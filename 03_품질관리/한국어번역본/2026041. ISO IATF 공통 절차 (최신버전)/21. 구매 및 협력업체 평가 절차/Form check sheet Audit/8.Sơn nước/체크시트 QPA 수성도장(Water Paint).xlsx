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comments/comment1.xml" ContentType="application/vnd.openxmlformats-officedocument.spreadsheetml.comments+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comments/comment2.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40" yWindow="60" windowWidth="20730" windowHeight="11760" tabRatio="600" firstSheet="0" activeTab="3" autoFilterDateGrouping="1"/>
  </bookViews>
  <sheets>
    <sheet xmlns:r="http://schemas.openxmlformats.org/officeDocument/2006/relationships" name="Cover." sheetId="1" state="visible" r:id="rId1"/>
    <sheet xmlns:r="http://schemas.openxmlformats.org/officeDocument/2006/relationships" name="Result Report" sheetId="2" state="visible" r:id="rId2"/>
    <sheet xmlns:r="http://schemas.openxmlformats.org/officeDocument/2006/relationships" name="Non-Conforming Item" sheetId="3" state="visible" r:id="rId3"/>
    <sheet xmlns:r="http://schemas.openxmlformats.org/officeDocument/2006/relationships" name="Checksheet QPA" sheetId="4" state="visible" r:id="rId4"/>
  </sheets>
  <externalReferences>
    <externalReference xmlns:r="http://schemas.openxmlformats.org/officeDocument/2006/relationships" r:id="rId5"/>
    <externalReference xmlns:r="http://schemas.openxmlformats.org/officeDocument/2006/relationships" r:id="rId6"/>
    <externalReference xmlns:r="http://schemas.openxmlformats.org/officeDocument/2006/relationships" r:id="rId7"/>
    <externalReference xmlns:r="http://schemas.openxmlformats.org/officeDocument/2006/relationships" r:id="rId8"/>
    <externalReference xmlns:r="http://schemas.openxmlformats.org/officeDocument/2006/relationships" r:id="rId9"/>
    <externalReference xmlns:r="http://schemas.openxmlformats.org/officeDocument/2006/relationships" r:id="rId10"/>
    <externalReference xmlns:r="http://schemas.openxmlformats.org/officeDocument/2006/relationships" r:id="rId11"/>
    <externalReference xmlns:r="http://schemas.openxmlformats.org/officeDocument/2006/relationships" r:id="rId12"/>
    <externalReference xmlns:r="http://schemas.openxmlformats.org/officeDocument/2006/relationships" r:id="rId13"/>
    <externalReference xmlns:r="http://schemas.openxmlformats.org/officeDocument/2006/relationships" r:id="rId14"/>
    <externalReference xmlns:r="http://schemas.openxmlformats.org/officeDocument/2006/relationships" r:id="rId15"/>
    <externalReference xmlns:r="http://schemas.openxmlformats.org/officeDocument/2006/relationships" r:id="rId16"/>
    <externalReference xmlns:r="http://schemas.openxmlformats.org/officeDocument/2006/relationships" r:id="rId17"/>
    <externalReference xmlns:r="http://schemas.openxmlformats.org/officeDocument/2006/relationships" r:id="rId18"/>
    <externalReference xmlns:r="http://schemas.openxmlformats.org/officeDocument/2006/relationships" r:id="rId19"/>
    <externalReference xmlns:r="http://schemas.openxmlformats.org/officeDocument/2006/relationships" r:id="rId20"/>
    <externalReference xmlns:r="http://schemas.openxmlformats.org/officeDocument/2006/relationships" r:id="rId21"/>
    <externalReference xmlns:r="http://schemas.openxmlformats.org/officeDocument/2006/relationships" r:id="rId22"/>
    <externalReference xmlns:r="http://schemas.openxmlformats.org/officeDocument/2006/relationships" r:id="rId23"/>
    <externalReference xmlns:r="http://schemas.openxmlformats.org/officeDocument/2006/relationships" r:id="rId24"/>
    <externalReference xmlns:r="http://schemas.openxmlformats.org/officeDocument/2006/relationships" r:id="rId25"/>
    <externalReference xmlns:r="http://schemas.openxmlformats.org/officeDocument/2006/relationships" r:id="rId26"/>
    <externalReference xmlns:r="http://schemas.openxmlformats.org/officeDocument/2006/relationships" r:id="rId27"/>
    <externalReference xmlns:r="http://schemas.openxmlformats.org/officeDocument/2006/relationships" r:id="rId28"/>
    <externalReference xmlns:r="http://schemas.openxmlformats.org/officeDocument/2006/relationships" r:id="rId29"/>
    <externalReference xmlns:r="http://schemas.openxmlformats.org/officeDocument/2006/relationships" r:id="rId30"/>
    <externalReference xmlns:r="http://schemas.openxmlformats.org/officeDocument/2006/relationships" r:id="rId31"/>
    <externalReference xmlns:r="http://schemas.openxmlformats.org/officeDocument/2006/relationships" r:id="rId32"/>
  </externalReferences>
  <definedNames>
    <definedName name="_1">#N/A</definedName>
    <definedName name="_3">#N/A</definedName>
    <definedName name="_4">#N/A</definedName>
    <definedName name="_DAT1">[1]Sheet1!#REF!</definedName>
    <definedName name="_DAT13">[1]Sheet1!#REF!</definedName>
    <definedName name="_DAT16">[1]Sheet1!#REF!</definedName>
    <definedName name="_DAT17">[1]Sheet1!#REF!</definedName>
    <definedName name="_DAT18">[1]Sheet1!#REF!</definedName>
    <definedName name="_DAT19">[1]Sheet1!#REF!</definedName>
    <definedName name="_DAT20">[1]Sheet1!#REF!</definedName>
    <definedName name="_DAT3">[1]Sheet1!#REF!</definedName>
    <definedName name="_DAT9">[1]Sheet1!#REF!</definedName>
    <definedName name="_Order1" hidden="1">255</definedName>
    <definedName name="_Order2" hidden="1">255</definedName>
    <definedName name="AAA">[4]매출이익!$J$1:$L$65536,[4]매출이익!$P$1:$R$65536,[4]매출이익!$V$1:$X$65536,[4]매출이익!$AB$1:$AD$65536,[4]매출이익!$AH$1:$AJ$65536,[4]매출이익!$AN$1:$AP$65536,[4]매출이익!$AT$1:$AV$65536,[4]매출이익!$AZ$1:$BB$65536,[4]매출이익!$BF$1:$BH$65536,[4]매출이익!$BL$1:$BN$65536,[4]매출이익!$BR$1:$BT$65536,[4]매출이익!$BX$1:$BZ$65536,[4]매출이익!$CD$1:$CF$65536,[4]매출이익!$CJ$1:$CL$65536,[4]매출이익!$CP$1:$CR$65536</definedName>
    <definedName name="Assessment_Types">#REF!</definedName>
    <definedName name="Calqty">#REF!</definedName>
    <definedName name="Choices">[5]Sheet7!$A$19:$A$20</definedName>
    <definedName name="code">#REF!</definedName>
    <definedName name="CODENO">'[7]BOM LIST 정리'!$D$7:$D$48</definedName>
    <definedName name="CONTRACT">#REF!</definedName>
    <definedName name="_xlnm.Database">#REF!</definedName>
    <definedName name="HIDDEN">[4]제품별!$F$1:$I$65536,[4]제품별!$N$1:$P$65536,[4]제품별!$T$1:$V$65536,[4]제품별!$Z$1:$AB$65536,[4]제품별!$AF$1:$AH$65536,[4]제품별!$AL$1:$AN$65536,[4]제품별!$AR$1:$AT$65536,[4]제품별!$AX$1:$BA$65536,[4]제품별!$BF$1:$BH$65536,[4]제품별!$BL$1:$BN$65536,[4]제품별!$BR$1:$BT$65536,[4]제품별!$BX$1:$BZ$65536,[4]제품별!$CD$1:$CF$65536,[4]제품별!$CJ$1:$CL$65536,[4]제품별!$CP$1:$CS$65536,[4]제품별!$CX$1:$DA$65536,[4]제품별!$DF$1:$DI$65536,[4]제품별!$DN$1:$DQ$65536,[4]제품별!$DV$1:$DY$65536</definedName>
    <definedName name="it">[9]!it</definedName>
    <definedName name="jan">#REF!</definedName>
    <definedName name="lll">[9]!lll</definedName>
    <definedName name="MRP">#REF!</definedName>
    <definedName name="NORM">[9]!NORM</definedName>
    <definedName name="purpose">[10]Notes!$B$4:$B$13</definedName>
    <definedName name="qqqq">#REF!</definedName>
    <definedName name="qty">#REF!</definedName>
    <definedName name="Question_Scores">'[11]Data Summary - Do Not Use'!$E$10:$E$12</definedName>
    <definedName name="scores">[5]Sheet7!$A$1:$A$5</definedName>
    <definedName name="scores3">[5]Sheet7!$I$1:$I$3</definedName>
    <definedName name="SCORES4">[5]Sheet7!$K$1:$K$4</definedName>
    <definedName name="scores5">[5]Sheet7!$M$1:$M$2</definedName>
    <definedName name="scores6">[5]Sheet7!$A$9:$A$13</definedName>
    <definedName name="scores8">[5]Sheet7!$K$9:$K$12</definedName>
    <definedName name="sss">[1]Sheet1!#REF!</definedName>
    <definedName name="sssss">[9]!sssss</definedName>
    <definedName name="table1">[12]Sheet1!$A$1:$A$5</definedName>
    <definedName name="table2">[12]Sheet1!$B$1:$B$4</definedName>
    <definedName name="TEST1">[1]Sheet1!#REF!</definedName>
    <definedName name="U">'[13]BOM LIST 정리'!#REF!</definedName>
    <definedName name="VER">[5]Sheet7!$A$23:$A$24</definedName>
    <definedName name="WOST">[9]!WOST</definedName>
    <definedName name="Y">'[13]BOM LIST 정리'!#REF!</definedName>
    <definedName name="경통1">[9]!경통1</definedName>
    <definedName name="경통2">[9]!경통2</definedName>
    <definedName name="ㄴ">#REF!</definedName>
    <definedName name="ㄴㄴ">[9]!ㄴㄴ</definedName>
    <definedName name="대표자">[16]기본데이타!$C$6</definedName>
    <definedName name="동화">[1]Sheet1!#REF!</definedName>
    <definedName name="ㅁ">[1]Sheet1!#REF!</definedName>
    <definedName name="ㅁ1">'[17]매출이익(실적)'!#REF!</definedName>
    <definedName name="ㅁ109">#REF!</definedName>
    <definedName name="ㅁㅁㅁ">[1]Sheet1!#REF!</definedName>
    <definedName name="ㅁㅂ">[1]Sheet1!#REF!</definedName>
    <definedName name="면허번호">[16]기본데이타!$C$9</definedName>
    <definedName name="몰려">#REF!</definedName>
    <definedName name="ㅂㅈ">[1]Sheet1!#REF!</definedName>
    <definedName name="부적합유형">#REF!</definedName>
    <definedName name="생산계획">'[19]1월월보'!#REF!</definedName>
    <definedName name="서일">[7]기준정보!$A$4:$B$20</definedName>
    <definedName name="서일ITEM구분">'[7]BOM LIST 정리'!$D$7:$G$146</definedName>
    <definedName name="ㅇ">[1]Sheet1!#REF!</definedName>
    <definedName name="업체현황">'[21]#REF'!#REF!</definedName>
    <definedName name="우리그">[1]Sheet1!#REF!</definedName>
    <definedName name="원가절감전체">[23]O_970122!#REF!</definedName>
    <definedName name="임시L">'[7]BOM LIST 정리'!$C$248</definedName>
    <definedName name="임시NO">#REF!</definedName>
    <definedName name="입고단가">'[13]입고단가 LIST'!$B$6:$L$610</definedName>
    <definedName name="제조하">'[25]제조 경영'!#REF!</definedName>
    <definedName name="종합현황">[27]사기정계!#REF!</definedName>
    <definedName name="주소">[16]기본데이타!$C$8</definedName>
    <definedName name="진단일">[16]기본데이타!$C$12</definedName>
    <definedName name="항목별">'[19]1월월보'!#REF!</definedName>
    <definedName name="화인더">[27]사기정계!#REF!</definedName>
    <definedName name="회사명">[16]기본데이타!$C$5</definedName>
    <definedName name="_DAT1" localSheetId="1">[1]Sheet1!#REF!</definedName>
    <definedName name="_DAT13" localSheetId="1">[1]Sheet1!#REF!</definedName>
    <definedName name="_DAT16" localSheetId="1">[1]Sheet1!#REF!</definedName>
    <definedName name="_DAT17" localSheetId="1">[1]Sheet1!#REF!</definedName>
    <definedName name="_DAT18" localSheetId="1">[1]Sheet1!#REF!</definedName>
    <definedName name="_DAT19" localSheetId="1">[1]Sheet1!#REF!</definedName>
    <definedName name="_DAT20" localSheetId="1">[1]Sheet1!#REF!</definedName>
    <definedName name="_DAT3" localSheetId="1">[1]Sheet1!#REF!</definedName>
    <definedName name="_DAT9" localSheetId="1">[1]Sheet1!#REF!</definedName>
    <definedName name="CONTRACT" localSheetId="1">#REF!</definedName>
    <definedName name="_xlnm.Database" localSheetId="1">#REF!</definedName>
    <definedName name="jan" localSheetId="1">#REF!</definedName>
    <definedName name="MRP" localSheetId="1">#REF!</definedName>
    <definedName name="qqqq" localSheetId="1">#REF!</definedName>
    <definedName name="sss" localSheetId="1">[1]Sheet1!#REF!</definedName>
    <definedName name="TEST1" localSheetId="1">[1]Sheet1!#REF!</definedName>
    <definedName name="U" localSheetId="1">'[13]BOM LIST 정리'!#REF!</definedName>
    <definedName name="Y" localSheetId="1">'[13]BOM LIST 정리'!#REF!</definedName>
    <definedName name="ㄴ" localSheetId="1">#REF!</definedName>
    <definedName name="동화" localSheetId="1">[1]Sheet1!#REF!</definedName>
    <definedName name="ㅁ" localSheetId="1">[1]Sheet1!#REF!</definedName>
    <definedName name="ㅁ1" localSheetId="1">'[17]매출이익(실적)'!#REF!</definedName>
    <definedName name="ㅁ109" localSheetId="1">#REF!</definedName>
    <definedName name="ㅁㅁㅁ" localSheetId="1">[1]Sheet1!#REF!</definedName>
    <definedName name="ㅁㅂ" localSheetId="1">[1]Sheet1!#REF!</definedName>
    <definedName name="몰려" localSheetId="1">#REF!</definedName>
    <definedName name="ㅂㅈ" localSheetId="1">[1]Sheet1!#REF!</definedName>
    <definedName name="생산계획" localSheetId="1">'[19]1월월보'!#REF!</definedName>
    <definedName name="ㅇ" localSheetId="1">[1]Sheet1!#REF!</definedName>
    <definedName name="업체현황" localSheetId="1">'[21]#REF'!#REF!</definedName>
    <definedName name="우리그" localSheetId="1">[1]Sheet1!#REF!</definedName>
    <definedName name="원가절감전체" localSheetId="1">[23]O_970122!#REF!</definedName>
    <definedName name="임시NO" localSheetId="1">#REF!</definedName>
    <definedName name="제조하" localSheetId="1">'[25]제조 경영'!#REF!</definedName>
    <definedName name="종합현황" localSheetId="1">[27]사기정계!#REF!</definedName>
    <definedName name="항목별" localSheetId="1">'[19]1월월보'!#REF!</definedName>
    <definedName name="화인더" localSheetId="1">[27]사기정계!#REF!</definedName>
    <definedName name="_xlnm.Print_Area" localSheetId="1">'Result Report'!$B$1:$S$26</definedName>
    <definedName name="_DAT1" localSheetId="2">[2]Sheet1!#REF!</definedName>
    <definedName name="_DAT13" localSheetId="2">[2]Sheet1!#REF!</definedName>
    <definedName name="_DAT16" localSheetId="2">[2]Sheet1!#REF!</definedName>
    <definedName name="_DAT17" localSheetId="2">[2]Sheet1!#REF!</definedName>
    <definedName name="_DAT18" localSheetId="2">[2]Sheet1!#REF!</definedName>
    <definedName name="_DAT19" localSheetId="2">[2]Sheet1!#REF!</definedName>
    <definedName name="_DAT20" localSheetId="2">[2]Sheet1!#REF!</definedName>
    <definedName name="_DAT3" localSheetId="2">[2]Sheet1!#REF!</definedName>
    <definedName name="_DAT9" localSheetId="2">[2]Sheet1!#REF!</definedName>
    <definedName name="AAA" localSheetId="2">[3]매출이익!$J$1:$L$65536,[3]매출이익!$P$1:$R$65536,[3]매출이익!$V$1:$X$65536,[3]매출이익!$AB$1:$AD$65536,[3]매출이익!$AH$1:$AJ$65536,[3]매출이익!$AN$1:$AP$65536,[3]매출이익!$AT$1:$AV$65536,[3]매출이익!$AZ$1:$BB$65536,[3]매출이익!$BF$1:$BH$65536,[3]매출이익!$BL$1:$BN$65536,[3]매출이익!$BR$1:$BT$65536,[3]매출이익!$BX$1:$BZ$65536,[3]매출이익!$CD$1:$CF$65536,[3]매출이익!$CJ$1:$CL$65536,[3]매출이익!$CP$1:$CR$65536</definedName>
    <definedName name="CODENO" localSheetId="2">'[6]BOM LIST 정리'!$D$7:$D$48</definedName>
    <definedName name="CONTRACT" localSheetId="2">#REF!</definedName>
    <definedName name="_xlnm.Database" localSheetId="2">#REF!</definedName>
    <definedName name="HIDDEN" localSheetId="2">[3]제품별!$F$1:$I$65536,[3]제품별!$N$1:$P$65536,[3]제품별!$T$1:$V$65536,[3]제품별!$Z$1:$AB$65536,[3]제품별!$AF$1:$AH$65536,[3]제품별!$AL$1:$AN$65536,[3]제품별!$AR$1:$AT$65536,[3]제품별!$AX$1:$BA$65536,[3]제품별!$BF$1:$BH$65536,[3]제품별!$BL$1:$BN$65536,[3]제품별!$BR$1:$BT$65536,[3]제품별!$BX$1:$BZ$65536,[3]제품별!$CD$1:$CF$65536,[3]제품별!$CJ$1:$CL$65536,[3]제품별!$CP$1:$CS$65536,[3]제품별!$CX$1:$DA$65536,[3]제품별!$DF$1:$DI$65536,[3]제품별!$DN$1:$DQ$65536,[3]제품별!$DV$1:$DY$65536</definedName>
    <definedName name="it" localSheetId="2">[8]!it</definedName>
    <definedName name="jan" localSheetId="2">#REF!</definedName>
    <definedName name="lll" localSheetId="2">[8]!lll</definedName>
    <definedName name="MRP" localSheetId="2">#REF!</definedName>
    <definedName name="NORM" localSheetId="2">[8]!NORM</definedName>
    <definedName name="qqqq" localSheetId="2">#REF!</definedName>
    <definedName name="sss" localSheetId="2">[2]Sheet1!#REF!</definedName>
    <definedName name="sssss" localSheetId="2">[8]!sssss</definedName>
    <definedName name="TEST1" localSheetId="2">[2]Sheet1!#REF!</definedName>
    <definedName name="U" localSheetId="2">'[14]BOM LIST 정리'!#REF!</definedName>
    <definedName name="WOST" localSheetId="2">[8]!WOST</definedName>
    <definedName name="Y" localSheetId="2">'[14]BOM LIST 정리'!#REF!</definedName>
    <definedName name="경통1" localSheetId="2">[8]!경통1</definedName>
    <definedName name="경통2" localSheetId="2">[8]!경통2</definedName>
    <definedName name="ㄴ" localSheetId="2">#REF!</definedName>
    <definedName name="ㄴㄴ" localSheetId="2">[8]!ㄴㄴ</definedName>
    <definedName name="대표자" localSheetId="2">[15]기본데이타!$C$6</definedName>
    <definedName name="동화" localSheetId="2">[2]Sheet1!#REF!</definedName>
    <definedName name="ㅁ" localSheetId="2">[2]Sheet1!#REF!</definedName>
    <definedName name="ㅁ1" localSheetId="2">'[18]매출이익(실적)'!#REF!</definedName>
    <definedName name="ㅁ109" localSheetId="2">#REF!</definedName>
    <definedName name="ㅁㅁㅁ" localSheetId="2">[2]Sheet1!#REF!</definedName>
    <definedName name="ㅁㅂ" localSheetId="2">[2]Sheet1!#REF!</definedName>
    <definedName name="면허번호" localSheetId="2">[15]기본데이타!$C$9</definedName>
    <definedName name="몰려" localSheetId="2">#REF!</definedName>
    <definedName name="ㅂㅈ" localSheetId="2">[2]Sheet1!#REF!</definedName>
    <definedName name="생산계획" localSheetId="2">'[20]1월월보'!#REF!</definedName>
    <definedName name="서일" localSheetId="2">[6]기준정보!$A$4:$B$20</definedName>
    <definedName name="서일ITEM구분" localSheetId="2">'[6]BOM LIST 정리'!$D$7:$G$146</definedName>
    <definedName name="ㅇ" localSheetId="2">[2]Sheet1!#REF!</definedName>
    <definedName name="업체현황" localSheetId="2">'[22]#REF'!#REF!</definedName>
    <definedName name="우리그" localSheetId="2">[2]Sheet1!#REF!</definedName>
    <definedName name="원가절감전체" localSheetId="2">[24]O_970122!#REF!</definedName>
    <definedName name="임시L" localSheetId="2">'[6]BOM LIST 정리'!$C$248</definedName>
    <definedName name="임시NO" localSheetId="2">#REF!</definedName>
    <definedName name="입고단가" localSheetId="2">'[14]입고단가 LIST'!$B$6:$L$610</definedName>
    <definedName name="제조하" localSheetId="2">'[26]제조 경영'!#REF!</definedName>
    <definedName name="종합현황" localSheetId="2">[28]사기정계!#REF!</definedName>
    <definedName name="주소" localSheetId="2">[15]기본데이타!$C$8</definedName>
    <definedName name="진단일" localSheetId="2">[15]기본데이타!$C$12</definedName>
    <definedName name="항목별" localSheetId="2">'[20]1월월보'!#REF!</definedName>
    <definedName name="화인더" localSheetId="2">[28]사기정계!#REF!</definedName>
    <definedName name="회사명" localSheetId="2">[15]기본데이타!$C$5</definedName>
    <definedName name="_xlnm.Print_Area" localSheetId="2">'Non-Conforming Item'!$A$1:$O$39</definedName>
    <definedName name="_DAT1" localSheetId="3">[1]Sheet1!#REF!</definedName>
    <definedName name="_DAT13" localSheetId="3">[1]Sheet1!#REF!</definedName>
    <definedName name="_DAT16" localSheetId="3">[1]Sheet1!#REF!</definedName>
    <definedName name="_DAT17" localSheetId="3">[1]Sheet1!#REF!</definedName>
    <definedName name="_DAT18" localSheetId="3">[1]Sheet1!#REF!</definedName>
    <definedName name="_DAT19" localSheetId="3">[1]Sheet1!#REF!</definedName>
    <definedName name="_DAT20" localSheetId="3">[1]Sheet1!#REF!</definedName>
    <definedName name="_DAT3" localSheetId="3">[1]Sheet1!#REF!</definedName>
    <definedName name="_DAT9" localSheetId="3">[1]Sheet1!#REF!</definedName>
    <definedName name="CONTRACT" localSheetId="3">#REF!</definedName>
    <definedName name="_xlnm.Database" localSheetId="3">#REF!</definedName>
    <definedName name="jan" localSheetId="3">#REF!</definedName>
    <definedName name="MRP" localSheetId="3">#REF!</definedName>
    <definedName name="qqqq" localSheetId="3">#REF!</definedName>
    <definedName name="sss" localSheetId="3">[1]Sheet1!#REF!</definedName>
    <definedName name="TEST1" localSheetId="3">[1]Sheet1!#REF!</definedName>
    <definedName name="U" localSheetId="3">'[13]BOM LIST 정리'!#REF!</definedName>
    <definedName name="Y" localSheetId="3">'[13]BOM LIST 정리'!#REF!</definedName>
    <definedName name="ㄴ" localSheetId="3">#REF!</definedName>
    <definedName name="동화" localSheetId="3">[1]Sheet1!#REF!</definedName>
    <definedName name="ㅁ" localSheetId="3">[1]Sheet1!#REF!</definedName>
    <definedName name="ㅁ1" localSheetId="3">'[17]매출이익(실적)'!#REF!</definedName>
    <definedName name="ㅁ109" localSheetId="3">#REF!</definedName>
    <definedName name="ㅁㅁㅁ" localSheetId="3">[1]Sheet1!#REF!</definedName>
    <definedName name="ㅁㅂ" localSheetId="3">[1]Sheet1!#REF!</definedName>
    <definedName name="몰려" localSheetId="3">#REF!</definedName>
    <definedName name="ㅂㅈ" localSheetId="3">[1]Sheet1!#REF!</definedName>
    <definedName name="생산계획" localSheetId="3">'[19]1월월보'!#REF!</definedName>
    <definedName name="ㅇ" localSheetId="3">[1]Sheet1!#REF!</definedName>
    <definedName name="업체현황" localSheetId="3">'[21]#REF'!#REF!</definedName>
    <definedName name="우리그" localSheetId="3">[1]Sheet1!#REF!</definedName>
    <definedName name="원가절감전체" localSheetId="3">[23]O_970122!#REF!</definedName>
    <definedName name="임시NO" localSheetId="3">#REF!</definedName>
    <definedName name="제조하" localSheetId="3">'[25]제조 경영'!#REF!</definedName>
    <definedName name="종합현황" localSheetId="3">[27]사기정계!#REF!</definedName>
    <definedName name="항목별" localSheetId="3">'[19]1월월보'!#REF!</definedName>
    <definedName name="화인더" localSheetId="3">[27]사기정계!#REF!</definedName>
    <definedName name="_xlnm.Print_Area" localSheetId="3">'Checksheet QPA'!$A$1:$H$71</definedName>
  </definedNames>
  <calcPr calcId="162913" fullCalcOnLoad="1"/>
</workbook>
</file>

<file path=xl/styles.xml><?xml version="1.0" encoding="utf-8"?>
<styleSheet xmlns="http://schemas.openxmlformats.org/spreadsheetml/2006/main">
  <numFmts count="66">
    <numFmt numFmtId="164" formatCode="0_);[Red]\(0\)"/>
    <numFmt numFmtId="165" formatCode="0.00_ "/>
    <numFmt numFmtId="166" formatCode="0_ "/>
    <numFmt numFmtId="167" formatCode="#,##0.0_ "/>
    <numFmt numFmtId="168" formatCode="[$-409]d&quot;-&quot;mmm&quot;-&quot;yy;@"/>
    <numFmt numFmtId="169" formatCode="_-* #,##0_-;\-* #,##0_-;_-* &quot;-&quot;_-;_-@_-"/>
    <numFmt numFmtId="170" formatCode="_-[$€-2]* #,##0.00_-;\-[$€-2]* #,##0.00_-;_-[$€-2]* &quot;-&quot;??_-"/>
    <numFmt numFmtId="171" formatCode="_ * #&quot;₩&quot;\!\!\,##0_ ;_ * &quot;₩&quot;&quot;₩&quot;\!\!\-#&quot;₩&quot;\!\!\,##0_ ;_ * &quot;-&quot;_ ;_ @_ "/>
    <numFmt numFmtId="172" formatCode="_ &quot;￥&quot;* #,##0_ ;_ &quot;￥&quot;* \-#,##0_ ;_ &quot;￥&quot;* &quot;-&quot;_ ;_ @_ "/>
    <numFmt numFmtId="173" formatCode="_ * #,##0.00_ ;_ * \-#,##0.00_ ;_ * &quot;-&quot;_ ;_ @_ "/>
    <numFmt numFmtId="174" formatCode="#,##0.00000000000"/>
    <numFmt numFmtId="175" formatCode="0.0000_ "/>
    <numFmt numFmtId="176" formatCode="_-* #,##0.00&quot;₩&quot;\!\ _F_-;&quot;₩&quot;\!\-* #,##0.00&quot;₩&quot;\!\ _F_-;_-* &quot;-&quot;??&quot;₩&quot;\!\ _F_-;_-@_-"/>
    <numFmt numFmtId="177" formatCode="_-* #,##0.00\ _F_-;\-* #,##0.00\ _F_-;_-* &quot;-&quot;??\ _F_-;_-@_-"/>
    <numFmt numFmtId="178" formatCode="_ &quot;₩&quot;* #,##0_ ;_ &quot;₩&quot;* &quot;₩&quot;&quot;₩&quot;&quot;₩&quot;&quot;₩&quot;&quot;₩&quot;&quot;₩&quot;&quot;₩&quot;&quot;₩&quot;&quot;₩&quot;&quot;₩&quot;&quot;₩&quot;\-#,##0_ ;_ &quot;₩&quot;* &quot;-&quot;_ ;_ @_ "/>
    <numFmt numFmtId="179" formatCode="&quot;₩&quot;#,##0;&quot;₩&quot;&quot;₩&quot;&quot;₩&quot;&quot;₩&quot;&quot;₩&quot;&quot;₩&quot;\-#,##0"/>
    <numFmt numFmtId="180" formatCode="_(* #,##0.0_);_(* &quot;₩&quot;&quot;₩&quot;&quot;₩&quot;&quot;₩&quot;&quot;₩&quot;&quot;₩&quot;\(#,##0.0&quot;₩&quot;&quot;₩&quot;&quot;₩&quot;&quot;₩&quot;&quot;₩&quot;&quot;₩&quot;\);_(* &quot;-&quot;??_);_(@_)"/>
    <numFmt numFmtId="181" formatCode="&quot;N$&quot;#,##0_);[Red]\(&quot;N$&quot;#,##0\)"/>
    <numFmt numFmtId="182" formatCode="&quot;₩&quot;#,##0.00;&quot;₩&quot;&quot;₩&quot;&quot;₩&quot;&quot;₩&quot;&quot;₩&quot;\-&quot;₩&quot;#,##0.00"/>
    <numFmt numFmtId="183" formatCode="&quot;$&quot;#,##0.00_);&quot;₩&quot;\(&quot;$&quot;#,##0.00&quot;₩&quot;\)"/>
    <numFmt numFmtId="184" formatCode="_ &quot;₩&quot;* #,##0.00_ ;_ &quot;₩&quot;* \-#,##0.00_ ;_ &quot;₩&quot;* &quot;-&quot;??_ ;_ @_ "/>
    <numFmt numFmtId="185" formatCode="#,##0_ ;[Red]\-#,##0\ "/>
    <numFmt numFmtId="186" formatCode="#,##0&quot; F&quot;_);[Red]\(#,##0&quot; F&quot;\)"/>
    <numFmt numFmtId="187" formatCode="_-&quot;₩&quot;* #,##0.00_-;\-&quot;₩&quot;* #,##0.00_-;_-&quot;₩&quot;* &quot;-&quot;??_-;_-@_-"/>
    <numFmt numFmtId="188" formatCode="_(* #,##0.0_);_(* \(#,##0.0\);_(* &quot;-&quot;_);_(@_)"/>
    <numFmt numFmtId="189" formatCode="&quot;₩&quot;#,##0.00;&quot;₩&quot;\-&quot;₩&quot;#,##0.00"/>
    <numFmt numFmtId="190" formatCode="&quot;₩&quot;#,##0;[Red]&quot;₩&quot;&quot;₩&quot;&quot;₩&quot;&quot;₩&quot;&quot;₩&quot;&quot;₩&quot;\-#,##0"/>
    <numFmt numFmtId="191" formatCode="#,##0.00;[Red]&quot;-&quot;#,##0.00"/>
    <numFmt numFmtId="192" formatCode="_ &quot;₩&quot;* #,##0_ ;_ &quot;₩&quot;* \-#,##0_ ;_ &quot;₩&quot;* &quot;-&quot;_ ;_ @_ "/>
    <numFmt numFmtId="193" formatCode="&quot;₩&quot;#,##0.00;[Red]&quot;₩&quot;\-#,##0.00"/>
    <numFmt numFmtId="194" formatCode="&quot;₩&quot;#,##0;[Red]&quot;₩&quot;\-#,##0"/>
    <numFmt numFmtId="195" formatCode="_(* #,##0.0000_);_(* \(#,##0.0000\);_(* &quot;-&quot;??_);_(@_)"/>
    <numFmt numFmtId="196" formatCode="_ * #,##0_ ;_ * \-#,##0_ ;_ * &quot;-&quot;_ ;_ @_ "/>
    <numFmt numFmtId="197" formatCode="_ * #,##0.00_ ;_ * \-#,##0.00_ ;_ * &quot;-&quot;??_ ;_ @_ "/>
    <numFmt numFmtId="198" formatCode="General_)"/>
    <numFmt numFmtId="199" formatCode="0.000"/>
    <numFmt numFmtId="200" formatCode="#,##0;[Red]\(#,##0\)"/>
    <numFmt numFmtId="201" formatCode="&quot;Kassaraportti &quot;d/m/yy"/>
    <numFmt numFmtId="202" formatCode="_ &quot;₩&quot;* #,##0_ ;_ &quot;₩&quot;* &quot;₩&quot;&quot;₩&quot;&quot;₩&quot;&quot;₩&quot;&quot;₩&quot;&quot;₩&quot;&quot;₩&quot;&quot;₩&quot;&quot;₩&quot;&quot;₩&quot;&quot;₩&quot;&quot;₩&quot;&quot;₩&quot;&quot;₩&quot;&quot;₩&quot;\-#,##0_ ;_ &quot;₩&quot;* &quot;-&quot;_ ;_ @_ "/>
    <numFmt numFmtId="203" formatCode="#,##0.000"/>
    <numFmt numFmtId="204" formatCode="&quot;₩&quot;#,##0.00;[Red]&quot;₩&quot;&quot;₩&quot;&quot;₩&quot;&quot;₩&quot;&quot;₩&quot;&quot;₩&quot;\-#,##0.00"/>
    <numFmt numFmtId="205" formatCode="&quot;₩&quot;#,##0.00;[Red]&quot;₩&quot;&quot;₩&quot;&quot;₩&quot;&quot;₩&quot;&quot;₩&quot;&quot;₩&quot;&quot;₩&quot;&quot;₩&quot;&quot;₩&quot;&quot;₩&quot;&quot;₩&quot;&quot;₩&quot;&quot;₩&quot;&quot;₩&quot;&quot;₩&quot;&quot;₩&quot;&quot;₩&quot;&quot;₩&quot;\-#,##0.00"/>
    <numFmt numFmtId="206" formatCode="#,##0.0_);[Red]\(#,##0.0\)"/>
    <numFmt numFmtId="207" formatCode="0.00000&quot;  &quot;"/>
    <numFmt numFmtId="208" formatCode="[Black]General;[Black]General;[Black]General;[Black]General"/>
    <numFmt numFmtId="209" formatCode="ddd"/>
    <numFmt numFmtId="210" formatCode="&quot;0&quot;0"/>
    <numFmt numFmtId="211" formatCode="_-* #,##0.00_-;\-* #,##0.00_-;_-* &quot;-&quot;??_-;_-@_-"/>
    <numFmt numFmtId="212" formatCode="_-&quot;$&quot;\ * #,##0_-;\-&quot;$&quot;\ * #,##0_-;_-&quot;$&quot;\ * &quot;-&quot;_-;_-@_-"/>
    <numFmt numFmtId="213" formatCode="_-&quot;$&quot;\ * #,##0.00_-;\-&quot;$&quot;\ * #,##0.00_-;_-&quot;$&quot;\ * &quot;-&quot;??_-;_-@_-"/>
    <numFmt numFmtId="214" formatCode="000000"/>
    <numFmt numFmtId="215" formatCode="&quot;$&quot;\ #,##0.00;[Red]\-&quot;$&quot;\ #,##0.00"/>
    <numFmt numFmtId="216" formatCode="_-* #,##0.0_-;\-* #,##0.0_-;_-* &quot;-&quot;??_-;_-@_-"/>
    <numFmt numFmtId="217" formatCode="_-* #,##0_-;\-* #,##0_-;_-* &quot;-&quot;??_-;_-@_-"/>
    <numFmt numFmtId="218" formatCode="&quot;$&quot;#,##0.00_);[Red]&quot;₩&quot;\(&quot;$&quot;#,##0.00&quot;₩&quot;\)"/>
    <numFmt numFmtId="219" formatCode="_ * #,##0.0_ ;_ * &quot;₩&quot;\!\-#,##0.0_ ;_ * &quot;-&quot;_ ;_ @_ "/>
    <numFmt numFmtId="220" formatCode="&quot;₩&quot;#,##0.00;[Red]&quot;₩&quot;\!\-&quot;₩&quot;#,##0.00"/>
    <numFmt numFmtId="221" formatCode="#,##0_ "/>
    <numFmt numFmtId="222" formatCode="_-* #,##0_-;&quot;₩&quot;&quot;₩&quot;&quot;₩&quot;&quot;₩&quot;&quot;₩&quot;&quot;₩&quot;\-* #,##0_-;_-* &quot;-&quot;??_-;_-@_-"/>
    <numFmt numFmtId="223" formatCode="_-* #,##0_-;&quot;₩&quot;\-* #,##0_-;_-* &quot;-&quot;_-;_-@_-"/>
    <numFmt numFmtId="224" formatCode="_-* #,##0_-;&quot;₩&quot;&quot;₩&quot;&quot;₩&quot;&quot;₩&quot;\-* #,##0_-;_-* &quot;-&quot;_-;_-@_-"/>
    <numFmt numFmtId="225" formatCode="&quot;£&quot;#,##0.00;[Red]\-&quot;£&quot;#,##0.00"/>
    <numFmt numFmtId="226" formatCode="_-&quot;₩&quot;* #,##0_-;\-&quot;₩&quot;* #,##0_-;_-&quot;₩&quot;* &quot;-&quot;_-;_-@_-"/>
    <numFmt numFmtId="227" formatCode="&quot;£&quot;#,##0;[Red]\-&quot;£&quot;#,##0"/>
    <numFmt numFmtId="228" formatCode="&quot;S&quot;\ #,##0.00;[Red]\-&quot;S&quot;\ #,##0.00"/>
    <numFmt numFmtId="229" formatCode="&quot;₩&quot;#,##0;&quot;₩&quot;\-#,##0"/>
  </numFmts>
  <fonts count="316">
    <font>
      <name val="돋움"/>
      <charset val="129"/>
      <family val="3"/>
      <sz val="11"/>
    </font>
    <font>
      <name val="Calibri"/>
      <family val="2"/>
      <color theme="1"/>
      <sz val="11"/>
      <scheme val="minor"/>
    </font>
    <font>
      <name val="Calibri"/>
      <family val="2"/>
      <color theme="1"/>
      <sz val="11"/>
      <scheme val="minor"/>
    </font>
    <font>
      <name val="Calibri"/>
      <charset val="129"/>
      <family val="2"/>
      <color theme="1"/>
      <sz val="11"/>
      <scheme val="minor"/>
    </font>
    <font>
      <name val="Calibri"/>
      <charset val="129"/>
      <family val="2"/>
      <color theme="1"/>
      <sz val="11"/>
      <scheme val="minor"/>
    </font>
    <font>
      <name val="Cambria"/>
      <charset val="129"/>
      <family val="2"/>
      <b val="1"/>
      <color theme="3"/>
      <sz val="18"/>
      <scheme val="major"/>
    </font>
    <font>
      <name val="Calibri"/>
      <charset val="129"/>
      <family val="2"/>
      <b val="1"/>
      <color theme="3"/>
      <sz val="15"/>
      <scheme val="minor"/>
    </font>
    <font>
      <name val="Calibri"/>
      <charset val="129"/>
      <family val="2"/>
      <b val="1"/>
      <color theme="3"/>
      <sz val="13"/>
      <scheme val="minor"/>
    </font>
    <font>
      <name val="Calibri"/>
      <charset val="129"/>
      <family val="2"/>
      <b val="1"/>
      <color theme="3"/>
      <sz val="11"/>
      <scheme val="minor"/>
    </font>
    <font>
      <name val="Calibri"/>
      <charset val="129"/>
      <family val="2"/>
      <color rgb="FF006100"/>
      <sz val="11"/>
      <scheme val="minor"/>
    </font>
    <font>
      <name val="Calibri"/>
      <charset val="129"/>
      <family val="2"/>
      <color rgb="FF9C0006"/>
      <sz val="11"/>
      <scheme val="minor"/>
    </font>
    <font>
      <name val="Calibri"/>
      <charset val="129"/>
      <family val="2"/>
      <color rgb="FF9C6500"/>
      <sz val="11"/>
      <scheme val="minor"/>
    </font>
    <font>
      <name val="Calibri"/>
      <charset val="129"/>
      <family val="2"/>
      <color rgb="FF3F3F76"/>
      <sz val="11"/>
      <scheme val="minor"/>
    </font>
    <font>
      <name val="Calibri"/>
      <charset val="129"/>
      <family val="2"/>
      <b val="1"/>
      <color rgb="FF3F3F3F"/>
      <sz val="11"/>
      <scheme val="minor"/>
    </font>
    <font>
      <name val="Calibri"/>
      <charset val="129"/>
      <family val="2"/>
      <b val="1"/>
      <color rgb="FFFA7D00"/>
      <sz val="11"/>
      <scheme val="minor"/>
    </font>
    <font>
      <name val="Calibri"/>
      <charset val="129"/>
      <family val="2"/>
      <color rgb="FFFA7D00"/>
      <sz val="11"/>
      <scheme val="minor"/>
    </font>
    <font>
      <name val="Calibri"/>
      <charset val="129"/>
      <family val="2"/>
      <b val="1"/>
      <color theme="0"/>
      <sz val="11"/>
      <scheme val="minor"/>
    </font>
    <font>
      <name val="Calibri"/>
      <charset val="129"/>
      <family val="2"/>
      <color rgb="FFFF0000"/>
      <sz val="11"/>
      <scheme val="minor"/>
    </font>
    <font>
      <name val="Calibri"/>
      <charset val="129"/>
      <family val="2"/>
      <i val="1"/>
      <color rgb="FF7F7F7F"/>
      <sz val="11"/>
      <scheme val="minor"/>
    </font>
    <font>
      <name val="Calibri"/>
      <charset val="129"/>
      <family val="2"/>
      <b val="1"/>
      <color theme="1"/>
      <sz val="11"/>
      <scheme val="minor"/>
    </font>
    <font>
      <name val="Calibri"/>
      <charset val="129"/>
      <family val="2"/>
      <color theme="0"/>
      <sz val="11"/>
      <scheme val="minor"/>
    </font>
    <font>
      <name val="ＭＳ Ｐゴシック"/>
      <charset val="129"/>
      <family val="3"/>
      <sz val="11"/>
    </font>
    <font>
      <name val="Cambria"/>
      <charset val="129"/>
      <family val="3"/>
      <b val="1"/>
      <sz val="10"/>
      <scheme val="major"/>
    </font>
    <font>
      <name val="Calibri"/>
      <charset val="129"/>
      <family val="2"/>
      <sz val="8"/>
      <scheme val="minor"/>
    </font>
    <font>
      <name val="돋움"/>
      <charset val="129"/>
      <family val="3"/>
      <sz val="8"/>
    </font>
    <font>
      <name val="Cambria"/>
      <charset val="129"/>
      <family val="3"/>
      <b val="1"/>
      <sz val="14"/>
      <scheme val="major"/>
    </font>
    <font>
      <name val="Cambria"/>
      <charset val="129"/>
      <family val="3"/>
      <b val="1"/>
      <sz val="12"/>
      <scheme val="major"/>
    </font>
    <font>
      <name val="Cambria"/>
      <charset val="129"/>
      <family val="3"/>
      <b val="1"/>
      <sz val="18"/>
      <scheme val="major"/>
    </font>
    <font>
      <name val="바탕체"/>
      <charset val="129"/>
      <family val="1"/>
      <sz val="10"/>
    </font>
    <font>
      <name val="바탕체"/>
      <charset val="129"/>
      <family val="1"/>
      <sz val="8"/>
    </font>
    <font>
      <name val="Cambria"/>
      <charset val="129"/>
      <family val="3"/>
      <color indexed="81"/>
      <sz val="10"/>
      <scheme val="major"/>
    </font>
    <font>
      <name val="Cambria"/>
      <charset val="129"/>
      <family val="3"/>
      <sz val="10"/>
      <scheme val="major"/>
    </font>
    <font>
      <name val="Cambria"/>
      <charset val="129"/>
      <family val="3"/>
      <sz val="12"/>
      <scheme val="major"/>
    </font>
    <font>
      <name val="Cambria"/>
      <charset val="129"/>
      <family val="3"/>
      <b val="1"/>
      <color indexed="12"/>
      <sz val="12"/>
      <scheme val="major"/>
    </font>
    <font>
      <name val="Cambria"/>
      <charset val="129"/>
      <family val="3"/>
      <b val="1"/>
      <color theme="9"/>
      <sz val="12"/>
      <scheme val="major"/>
    </font>
    <font>
      <name val="Cambria"/>
      <charset val="129"/>
      <family val="3"/>
      <b val="1"/>
      <sz val="11"/>
      <scheme val="major"/>
    </font>
    <font>
      <name val="Cambria"/>
      <charset val="129"/>
      <family val="3"/>
      <sz val="11"/>
      <scheme val="major"/>
    </font>
    <font>
      <name val="돋움"/>
      <charset val="129"/>
      <family val="3"/>
      <sz val="11"/>
    </font>
    <font>
      <name val="Cambria"/>
      <charset val="129"/>
      <family val="3"/>
      <b val="1"/>
      <sz val="10.5"/>
      <scheme val="major"/>
    </font>
    <font>
      <name val="Cambria"/>
      <charset val="129"/>
      <family val="3"/>
      <b val="1"/>
      <color theme="1"/>
      <sz val="11"/>
      <scheme val="major"/>
    </font>
    <font>
      <name val="Cambria"/>
      <charset val="129"/>
      <family val="3"/>
      <b val="1"/>
      <color indexed="12"/>
      <sz val="11"/>
      <scheme val="major"/>
    </font>
    <font>
      <name val="Cambria"/>
      <charset val="129"/>
      <family val="3"/>
      <color indexed="12"/>
      <sz val="10.5"/>
      <scheme val="major"/>
    </font>
    <font>
      <name val="Cambria"/>
      <charset val="129"/>
      <family val="3"/>
      <b val="1"/>
      <color theme="1"/>
      <sz val="10.5"/>
      <scheme val="major"/>
    </font>
    <font>
      <name val="Calibri"/>
      <charset val="129"/>
      <family val="3"/>
      <sz val="10"/>
      <scheme val="minor"/>
    </font>
    <font>
      <name val="Calibri"/>
      <charset val="129"/>
      <family val="3"/>
      <sz val="18"/>
      <scheme val="minor"/>
    </font>
    <font>
      <name val="Calibri"/>
      <charset val="129"/>
      <family val="3"/>
      <b val="1"/>
      <color rgb="FF003399"/>
      <sz val="10"/>
      <scheme val="minor"/>
    </font>
    <font>
      <name val="Calibri"/>
      <charset val="129"/>
      <family val="3"/>
      <color indexed="8"/>
      <sz val="10"/>
      <scheme val="minor"/>
    </font>
    <font>
      <name val="돋움"/>
      <charset val="129"/>
      <family val="3"/>
      <color indexed="12"/>
      <sz val="7.7"/>
      <u val="single"/>
    </font>
    <font>
      <name val="宋体"/>
      <charset val="129"/>
      <family val="3"/>
      <sz val="12"/>
    </font>
    <font>
      <name val="Arial"/>
      <family val="2"/>
      <sz val="12"/>
    </font>
    <font>
      <name val="바탕체"/>
      <charset val="129"/>
      <family val="1"/>
      <sz val="12"/>
    </font>
    <font>
      <name val="Arial"/>
      <family val="2"/>
      <sz val="10"/>
    </font>
    <font>
      <name val="바탕체"/>
      <charset val="129"/>
      <family val="1"/>
      <i val="1"/>
      <sz val="12"/>
    </font>
    <font>
      <name val="¹????¼"/>
      <charset val="129"/>
      <family val="1"/>
      <sz val="12"/>
    </font>
    <font>
      <name val="±¼¸²?¼"/>
      <charset val="129"/>
      <family val="3"/>
      <sz val="9"/>
    </font>
    <font>
      <name val="宋?"/>
      <charset val="129"/>
      <family val="3"/>
      <sz val="12"/>
    </font>
    <font>
      <name val="???"/>
      <family val="1"/>
      <sz val="12"/>
    </font>
    <font>
      <name val="Arial"/>
      <family val="2"/>
      <color indexed="12"/>
      <sz val="10"/>
      <u val="single"/>
    </font>
    <font>
      <name val="官?眉"/>
      <charset val="129"/>
      <family val="1"/>
      <sz val="12"/>
    </font>
    <font>
      <name val="굴림체"/>
      <charset val="129"/>
      <family val="3"/>
      <sz val="12"/>
    </font>
    <font>
      <name val="굴림체"/>
      <charset val="129"/>
      <family val="3"/>
      <sz val="11"/>
    </font>
    <font>
      <name val="Helv"/>
      <family val="2"/>
      <sz val="10"/>
    </font>
    <font>
      <name val="굴림체"/>
      <charset val="129"/>
      <family val="3"/>
      <sz val="10"/>
    </font>
    <font>
      <name val="Arial"/>
      <family val="2"/>
      <color indexed="36"/>
      <sz val="7.5"/>
      <u val="single"/>
    </font>
    <font>
      <name val="￠R¡×IoUAAA¡ER￠R¡¿u"/>
      <charset val="129"/>
      <family val="1"/>
      <sz val="12"/>
    </font>
    <font>
      <name val="Times New Roman"/>
      <family val="1"/>
      <sz val="12"/>
    </font>
    <font>
      <name val="©öUAAA¨ù"/>
      <charset val="129"/>
      <family val="1"/>
      <sz val="12"/>
    </font>
    <font>
      <name val="¹UAAA¼"/>
      <charset val="129"/>
      <family val="1"/>
      <b val="1"/>
      <color indexed="24"/>
      <sz val="18"/>
    </font>
    <font>
      <name val="¹UAAA¼"/>
      <charset val="129"/>
      <family val="1"/>
      <b val="1"/>
      <color indexed="24"/>
      <sz val="15"/>
    </font>
    <font>
      <name val="돋움체"/>
      <charset val="129"/>
      <family val="3"/>
      <b val="1"/>
      <sz val="12"/>
    </font>
    <font>
      <name val="돋움체"/>
      <charset val="129"/>
      <family val="3"/>
      <sz val="14"/>
    </font>
    <font>
      <name val="MS Sans Serif"/>
      <family val="2"/>
      <sz val="10"/>
    </font>
    <font>
      <name val="바탕체"/>
      <charset val="129"/>
      <family val="1"/>
      <sz val="7"/>
    </font>
    <font>
      <name val="¹UAAA¼"/>
      <charset val="129"/>
      <family val="3"/>
      <sz val="12"/>
    </font>
    <font>
      <name val="¹ÙÅÁÃ¼"/>
      <charset val="129"/>
      <family val="1"/>
      <sz val="12"/>
    </font>
    <font>
      <name val="맑은 고딕"/>
      <charset val="129"/>
      <family val="3"/>
      <color indexed="8"/>
      <sz val="11"/>
    </font>
    <font>
      <name val="맑은 고딕"/>
      <charset val="129"/>
      <family val="2"/>
      <color indexed="8"/>
      <sz val="11"/>
    </font>
    <font>
      <name val="맑은 고딕"/>
      <family val="3"/>
      <color indexed="8"/>
      <sz val="11"/>
    </font>
    <font>
      <name val="맑은 고딕"/>
      <charset val="129"/>
      <family val="2"/>
      <sz val="11"/>
    </font>
    <font>
      <name val="Calibri"/>
      <charset val="129"/>
      <family val="3"/>
      <color theme="1"/>
      <sz val="11"/>
      <scheme val="minor"/>
    </font>
    <font>
      <name val="굴림체"/>
      <charset val="129"/>
      <family val="3"/>
      <color indexed="8"/>
      <sz val="11"/>
    </font>
    <font>
      <name val="맑은 고딕"/>
      <charset val="129"/>
      <family val="3"/>
      <color indexed="9"/>
      <sz val="11"/>
    </font>
    <font>
      <name val="맑은 고딕"/>
      <charset val="129"/>
      <family val="2"/>
      <color indexed="9"/>
      <sz val="11"/>
    </font>
    <font>
      <name val="맑은 고딕"/>
      <family val="3"/>
      <color indexed="9"/>
      <sz val="11"/>
    </font>
    <font>
      <name val="Calibri"/>
      <charset val="129"/>
      <family val="3"/>
      <color theme="0"/>
      <sz val="11"/>
      <scheme val="minor"/>
    </font>
    <font>
      <name val="굴림체"/>
      <charset val="129"/>
      <family val="3"/>
      <color indexed="9"/>
      <sz val="11"/>
    </font>
    <font>
      <name val="¡Ii¡E¡þ¡E?o"/>
      <charset val="129"/>
      <family val="3"/>
      <sz val="11"/>
    </font>
    <font>
      <name val="￠RER￠R¡×u¡ER￠R¡¿u¡ERE "/>
      <charset val="129"/>
      <family val="3"/>
      <sz val="11"/>
    </font>
    <font>
      <name val="??????o"/>
      <family val="3"/>
      <sz val="11"/>
    </font>
    <font>
      <name val="¡¾¨ù¢¬©÷A¨ù"/>
      <charset val="129"/>
      <family val="3"/>
      <sz val="12"/>
    </font>
    <font>
      <name val="ⓒoUAAA¨u"/>
      <charset val="129"/>
      <family val="1"/>
      <sz val="12"/>
    </font>
    <font>
      <name val="¥ì¢¬¢¯o"/>
      <family val="3"/>
      <sz val="11"/>
    </font>
    <font>
      <name val="ⓒoUAAA¨u"/>
      <charset val="129"/>
      <family val="3"/>
      <sz val="12"/>
    </font>
    <font>
      <name val="¡¾¨u￠￢ⓒ÷A¨u"/>
      <charset val="129"/>
      <family val="3"/>
      <sz val="12"/>
    </font>
    <font>
      <name val="￠RIi￠RE￠Rⓒ­￠RE?o"/>
      <charset val="129"/>
      <family val="3"/>
      <sz val="11"/>
    </font>
    <font>
      <name val="¡ER￠R¡¿IoUAAA￠RER¡ER￠R￠"/>
      <charset val="129"/>
      <family val="1"/>
      <sz val="12"/>
    </font>
    <font>
      <name val="돋움"/>
      <charset val="129"/>
      <family val="3"/>
      <color indexed="8"/>
      <sz val="11"/>
    </font>
    <font>
      <name val="돋움"/>
      <charset val="129"/>
      <family val="3"/>
      <color indexed="9"/>
      <sz val="11"/>
    </font>
    <font>
      <name val="Arial"/>
      <family val="2"/>
      <sz val="11"/>
    </font>
    <font>
      <name val="1UAAA?"/>
      <family val="1"/>
      <sz val="12"/>
    </font>
    <font>
      <name val="¹UAAA¼"/>
      <charset val="129"/>
      <family val="1"/>
      <sz val="12"/>
    </font>
    <font>
      <name val="µ¸¿ò"/>
      <charset val="129"/>
      <family val="3"/>
      <sz val="11"/>
    </font>
    <font>
      <name val="μ¸¿o"/>
      <charset val="129"/>
      <family val="3"/>
      <sz val="11"/>
    </font>
    <font>
      <name val="돋움체"/>
      <charset val="129"/>
      <family val="3"/>
      <sz val="12"/>
    </font>
    <font>
      <name val="μ¸¿oA¼"/>
      <charset val="129"/>
      <family val="3"/>
      <sz val="12"/>
    </font>
    <font>
      <name val="µ¸¿òÃ¼"/>
      <charset val="129"/>
      <family val="3"/>
      <sz val="12"/>
    </font>
    <font>
      <name val="¹ÙÅÁÃ¼"/>
      <charset val="129"/>
      <family val="3"/>
      <sz val="12"/>
    </font>
    <font>
      <name val="±¼¸²A¼"/>
      <charset val="129"/>
      <family val="3"/>
      <sz val="12"/>
    </font>
    <font>
      <name val="∂?좲2A?"/>
      <charset val="129"/>
      <family val="3"/>
      <sz val="12"/>
    </font>
    <font>
      <name val="±¼¸²A¼"/>
      <charset val="129"/>
      <family val="3"/>
      <sz val="10"/>
    </font>
    <font>
      <name val="¹ÙÅÁÃ¼"/>
      <charset val="129"/>
      <family val="1"/>
      <b val="1"/>
      <sz val="12"/>
    </font>
    <font>
      <name val="¹UAAA¼"/>
      <charset val="129"/>
      <family val="1"/>
      <b val="1"/>
      <sz val="12"/>
    </font>
    <font>
      <name val="맑은 고딕"/>
      <charset val="129"/>
      <family val="3"/>
      <color indexed="20"/>
      <sz val="11"/>
    </font>
    <font>
      <name val="맑은 고딕"/>
      <charset val="129"/>
      <family val="2"/>
      <color indexed="20"/>
      <sz val="11"/>
    </font>
    <font>
      <name val="맑은 고딕"/>
      <family val="3"/>
      <color indexed="20"/>
      <sz val="11"/>
    </font>
    <font>
      <name val="돋움"/>
      <charset val="129"/>
      <family val="3"/>
      <color indexed="16"/>
      <sz val="11"/>
    </font>
    <font>
      <name val="Tms Rmn"/>
      <family val="1"/>
      <sz val="12"/>
    </font>
    <font>
      <name val="??UAAA¨?"/>
      <charset val="129"/>
      <family val="1"/>
      <sz val="12"/>
    </font>
    <font>
      <name val="¡ER￠R¡¿IoUAAA￠RER¡ER￠R￠"/>
      <charset val="129"/>
      <family val="1"/>
      <sz val="10"/>
    </font>
    <font>
      <name val="¡¾¨u￠￢ⓒ÷A¨u"/>
      <charset val="129"/>
      <family val="3"/>
      <sz val="9"/>
    </font>
    <font>
      <name val="¹UAAA¼"/>
      <charset val="129"/>
      <family val="1"/>
      <sz val="8"/>
    </font>
    <font>
      <name val="±¼¸²Ã¼"/>
      <charset val="129"/>
      <family val="3"/>
      <sz val="11"/>
    </font>
    <font>
      <name val="±¼¸²Ã¼"/>
      <charset val="129"/>
      <family val="3"/>
      <sz val="9"/>
    </font>
    <font>
      <name val="±¼¸²Ã¼"/>
      <charset val="129"/>
      <family val="3"/>
      <sz val="12"/>
    </font>
    <font>
      <name val="System"/>
      <charset val="129"/>
      <family val="2"/>
      <sz val="12"/>
    </font>
    <font>
      <name val="¹ÙÅÁÃ¼"/>
      <charset val="129"/>
      <family val="3"/>
      <sz val="10"/>
    </font>
    <font>
      <name val="¹UAAA¼"/>
      <charset val="129"/>
      <family val="1"/>
      <sz val="10"/>
    </font>
    <font>
      <name val="±¼¸²Ã¼"/>
      <charset val="129"/>
      <family val="3"/>
      <sz val="10"/>
    </font>
    <font>
      <name val="Times New Roman"/>
      <family val="1"/>
      <sz val="9"/>
    </font>
    <font>
      <name val="맑은 고딕"/>
      <charset val="129"/>
      <family val="3"/>
      <b val="1"/>
      <color indexed="52"/>
      <sz val="11"/>
    </font>
    <font>
      <name val="맑은 고딕"/>
      <charset val="129"/>
      <family val="2"/>
      <b val="1"/>
      <color indexed="52"/>
      <sz val="11"/>
    </font>
    <font>
      <name val="돋움"/>
      <charset val="129"/>
      <family val="3"/>
      <b val="1"/>
      <color indexed="53"/>
      <sz val="11"/>
    </font>
    <font>
      <name val="맑은 고딕"/>
      <family val="3"/>
      <b val="1"/>
      <color indexed="52"/>
      <sz val="11"/>
    </font>
    <font>
      <name val="Helv"/>
      <family val="2"/>
      <b val="1"/>
      <sz val="10"/>
    </font>
    <font>
      <name val="맑은 고딕"/>
      <charset val="129"/>
      <family val="3"/>
      <b val="1"/>
      <color indexed="9"/>
      <sz val="11"/>
    </font>
    <font>
      <name val="맑은 고딕"/>
      <charset val="129"/>
      <family val="2"/>
      <b val="1"/>
      <color indexed="9"/>
      <sz val="11"/>
    </font>
    <font>
      <name val="돋움"/>
      <charset val="129"/>
      <family val="3"/>
      <b val="1"/>
      <color indexed="9"/>
      <sz val="11"/>
    </font>
    <font>
      <name val="맑은 고딕"/>
      <family val="3"/>
      <b val="1"/>
      <color indexed="9"/>
      <sz val="11"/>
    </font>
    <font>
      <name val="Courier"/>
      <family val="3"/>
      <color indexed="8"/>
      <sz val="1"/>
    </font>
    <font>
      <name val="1UAAA?"/>
      <family val="1"/>
      <sz val="8"/>
    </font>
    <font>
      <name val="Arial"/>
      <family val="2"/>
      <color indexed="8"/>
      <sz val="10"/>
    </font>
    <font>
      <name val="Avalon"/>
      <family val="1"/>
      <b val="1"/>
      <sz val="12"/>
    </font>
    <font>
      <name val="돋움"/>
      <charset val="129"/>
      <family val="3"/>
      <b val="1"/>
      <color indexed="8"/>
      <sz val="11"/>
    </font>
    <font>
      <name val="맑은 고딕"/>
      <charset val="129"/>
      <family val="3"/>
      <i val="1"/>
      <color indexed="23"/>
      <sz val="11"/>
    </font>
    <font>
      <name val="맑은 고딕"/>
      <charset val="129"/>
      <family val="2"/>
      <i val="1"/>
      <color indexed="23"/>
      <sz val="11"/>
    </font>
    <font>
      <name val="맑은 고딕"/>
      <family val="3"/>
      <i val="1"/>
      <color indexed="23"/>
      <sz val="11"/>
    </font>
    <font>
      <name val="맑은 고딕"/>
      <charset val="129"/>
      <family val="3"/>
      <color indexed="17"/>
      <sz val="11"/>
    </font>
    <font>
      <name val="맑은 고딕"/>
      <charset val="129"/>
      <family val="2"/>
      <color indexed="17"/>
      <sz val="11"/>
    </font>
    <font>
      <name val="맑은 고딕"/>
      <family val="3"/>
      <color indexed="17"/>
      <sz val="11"/>
    </font>
    <font>
      <name val="돋움"/>
      <charset val="129"/>
      <family val="3"/>
      <color indexed="17"/>
      <sz val="11"/>
    </font>
    <font>
      <name val="Arial"/>
      <family val="2"/>
      <sz val="8"/>
    </font>
    <font>
      <name val="Helv"/>
      <family val="2"/>
      <b val="1"/>
      <sz val="12"/>
    </font>
    <font>
      <name val="Arial"/>
      <family val="2"/>
      <b val="1"/>
      <sz val="12"/>
    </font>
    <font>
      <name val="맑은 고딕"/>
      <charset val="129"/>
      <family val="3"/>
      <b val="1"/>
      <color indexed="56"/>
      <sz val="15"/>
    </font>
    <font>
      <name val="맑은 고딕"/>
      <charset val="129"/>
      <family val="2"/>
      <b val="1"/>
      <color indexed="56"/>
      <sz val="15"/>
    </font>
    <font>
      <name val="맑은 고딕"/>
      <family val="3"/>
      <b val="1"/>
      <color indexed="56"/>
      <sz val="15"/>
    </font>
    <font>
      <name val="돋움"/>
      <charset val="129"/>
      <family val="3"/>
      <b val="1"/>
      <color indexed="62"/>
      <sz val="15"/>
    </font>
    <font>
      <name val="맑은 고딕"/>
      <charset val="129"/>
      <family val="3"/>
      <b val="1"/>
      <color indexed="56"/>
      <sz val="13"/>
    </font>
    <font>
      <name val="맑은 고딕"/>
      <charset val="129"/>
      <family val="2"/>
      <b val="1"/>
      <color indexed="56"/>
      <sz val="13"/>
    </font>
    <font>
      <name val="맑은 고딕"/>
      <family val="3"/>
      <b val="1"/>
      <color indexed="56"/>
      <sz val="13"/>
    </font>
    <font>
      <name val="돋움"/>
      <charset val="129"/>
      <family val="3"/>
      <b val="1"/>
      <color indexed="62"/>
      <sz val="13"/>
    </font>
    <font>
      <name val="맑은 고딕"/>
      <charset val="129"/>
      <family val="3"/>
      <b val="1"/>
      <color indexed="56"/>
      <sz val="11"/>
    </font>
    <font>
      <name val="돋움"/>
      <charset val="129"/>
      <family val="3"/>
      <b val="1"/>
      <color indexed="62"/>
      <sz val="11"/>
    </font>
    <font>
      <name val="맑은 고딕"/>
      <charset val="129"/>
      <family val="2"/>
      <b val="1"/>
      <color indexed="56"/>
      <sz val="11"/>
    </font>
    <font>
      <name val="맑은 고딕"/>
      <family val="3"/>
      <b val="1"/>
      <color indexed="56"/>
      <sz val="11"/>
    </font>
    <font>
      <name val="Arial"/>
      <family val="2"/>
      <shadow val="1"/>
      <color indexed="9"/>
      <sz val="12"/>
    </font>
    <font>
      <name val="Arial"/>
      <family val="2"/>
      <color indexed="12"/>
      <sz val="10"/>
    </font>
    <font>
      <name val="Avalon"/>
      <family val="1"/>
      <sz val="5"/>
    </font>
    <font>
      <name val="맑은 고딕"/>
      <charset val="129"/>
      <family val="3"/>
      <color indexed="62"/>
      <sz val="11"/>
    </font>
    <font>
      <name val="맑은 고딕"/>
      <charset val="129"/>
      <family val="2"/>
      <color indexed="62"/>
      <sz val="11"/>
    </font>
    <font>
      <name val="돋움"/>
      <charset val="129"/>
      <family val="3"/>
      <color indexed="62"/>
      <sz val="11"/>
    </font>
    <font>
      <name val="맑은 고딕"/>
      <family val="3"/>
      <color indexed="62"/>
      <sz val="11"/>
    </font>
    <font>
      <name val="맑은 고딕"/>
      <charset val="129"/>
      <family val="3"/>
      <color indexed="52"/>
      <sz val="11"/>
    </font>
    <font>
      <name val="맑은 고딕"/>
      <charset val="129"/>
      <family val="2"/>
      <color indexed="52"/>
      <sz val="11"/>
    </font>
    <font>
      <name val="맑은 고딕"/>
      <family val="3"/>
      <color indexed="52"/>
      <sz val="11"/>
    </font>
    <font>
      <name val="돋움"/>
      <charset val="129"/>
      <family val="3"/>
      <color indexed="53"/>
      <sz val="11"/>
    </font>
    <font>
      <name val="Times New Roman"/>
      <family val="1"/>
      <sz val="10"/>
    </font>
    <font>
      <name val="Helv"/>
      <family val="2"/>
      <b val="1"/>
      <sz val="11"/>
    </font>
    <font>
      <name val="Avalon"/>
      <family val="1"/>
      <b val="1"/>
      <sz val="14"/>
    </font>
    <font>
      <name val="맑은 고딕"/>
      <charset val="129"/>
      <family val="3"/>
      <color indexed="60"/>
      <sz val="11"/>
    </font>
    <font>
      <name val="맑은 고딕"/>
      <charset val="129"/>
      <family val="2"/>
      <color indexed="60"/>
      <sz val="11"/>
    </font>
    <font>
      <name val="맑은 고딕"/>
      <family val="3"/>
      <color indexed="60"/>
      <sz val="11"/>
    </font>
    <font>
      <name val="돋움"/>
      <charset val="129"/>
      <family val="3"/>
      <color indexed="60"/>
      <sz val="11"/>
    </font>
    <font>
      <name val="Courier"/>
      <family val="3"/>
      <sz val="10"/>
    </font>
    <font>
      <name val="돋움"/>
      <charset val="129"/>
      <family val="2"/>
      <color indexed="8"/>
      <sz val="11"/>
    </font>
    <font>
      <name val="돋움"/>
      <charset val="129"/>
      <family val="2"/>
      <sz val="11"/>
    </font>
    <font>
      <name val="맑은 고딕"/>
      <charset val="129"/>
      <family val="3"/>
      <b val="1"/>
      <color indexed="63"/>
      <sz val="11"/>
    </font>
    <font>
      <name val="돋움"/>
      <charset val="129"/>
      <family val="3"/>
      <b val="1"/>
      <color indexed="63"/>
      <sz val="11"/>
    </font>
    <font>
      <name val="맑은 고딕"/>
      <charset val="129"/>
      <family val="2"/>
      <b val="1"/>
      <color indexed="63"/>
      <sz val="11"/>
    </font>
    <font>
      <name val="맑은 고딕"/>
      <family val="3"/>
      <b val="1"/>
      <color indexed="63"/>
      <sz val="11"/>
    </font>
    <font>
      <name val="바탕체"/>
      <charset val="129"/>
      <family val="1"/>
      <b val="1"/>
      <color indexed="23"/>
      <sz val="10"/>
    </font>
    <font>
      <name val="MS Sans Serif"/>
      <family val="2"/>
      <color indexed="9"/>
      <sz val="12"/>
    </font>
    <font>
      <name val="Verdana"/>
      <family val="2"/>
      <b val="1"/>
      <color indexed="18"/>
      <sz val="9"/>
    </font>
    <font>
      <name val="맑은 고딕"/>
      <charset val="129"/>
      <family val="3"/>
      <b val="1"/>
      <color indexed="62"/>
      <sz val="18"/>
    </font>
    <font>
      <name val="맑은 고딕"/>
      <charset val="129"/>
      <family val="3"/>
      <b val="1"/>
      <color indexed="56"/>
      <sz val="18"/>
    </font>
    <font>
      <name val="맑은 고딕"/>
      <charset val="129"/>
      <family val="2"/>
      <b val="1"/>
      <color indexed="56"/>
      <sz val="18"/>
    </font>
    <font>
      <name val="맑은 고딕"/>
      <family val="3"/>
      <b val="1"/>
      <color indexed="56"/>
      <sz val="18"/>
    </font>
    <font>
      <name val="맑은 고딕"/>
      <charset val="129"/>
      <family val="3"/>
      <b val="1"/>
      <color indexed="8"/>
      <sz val="11"/>
    </font>
    <font>
      <name val="맑은 고딕"/>
      <charset val="129"/>
      <family val="2"/>
      <b val="1"/>
      <color indexed="8"/>
      <sz val="11"/>
    </font>
    <font>
      <name val="맑은 고딕"/>
      <family val="3"/>
      <b val="1"/>
      <color indexed="8"/>
      <sz val="11"/>
    </font>
    <font>
      <name val="Arial"/>
      <family val="2"/>
      <color indexed="12"/>
      <sz val="8"/>
    </font>
    <font>
      <name val="맑은 고딕"/>
      <charset val="129"/>
      <family val="3"/>
      <color indexed="10"/>
      <sz val="11"/>
    </font>
    <font>
      <name val="맑은 고딕"/>
      <charset val="129"/>
      <family val="2"/>
      <color indexed="10"/>
      <sz val="11"/>
    </font>
    <font>
      <name val="맑은 고딕"/>
      <family val="3"/>
      <color indexed="10"/>
      <sz val="11"/>
    </font>
    <font>
      <name val="돋움"/>
      <charset val="129"/>
      <family val="3"/>
      <color indexed="10"/>
      <sz val="11"/>
    </font>
    <font>
      <name val="Avalon"/>
      <family val="1"/>
      <sz val="7"/>
    </font>
    <font>
      <name val="Frutiger"/>
      <family val="1"/>
      <sz val="7"/>
    </font>
    <font>
      <name val="ＭＳ Ｐゴシック"/>
      <family val="2"/>
      <color indexed="12"/>
      <sz val="11"/>
      <u val="single"/>
    </font>
    <font>
      <name val="夥鰻羹"/>
      <charset val="136"/>
      <family val="3"/>
      <sz val="12"/>
    </font>
    <font>
      <name val="Calibri"/>
      <charset val="129"/>
      <family val="3"/>
      <color rgb="FFFF0000"/>
      <sz val="11"/>
      <scheme val="minor"/>
    </font>
    <font>
      <name val="굴림체"/>
      <charset val="129"/>
      <family val="3"/>
      <color indexed="10"/>
      <sz val="11"/>
    </font>
    <font>
      <name val="Calibri"/>
      <charset val="129"/>
      <family val="3"/>
      <b val="1"/>
      <color rgb="FFFA7D00"/>
      <sz val="11"/>
      <scheme val="minor"/>
    </font>
    <font>
      <name val="맑은 고딕"/>
      <charset val="129"/>
      <family val="3"/>
      <b val="1"/>
      <color indexed="10"/>
      <sz val="11"/>
    </font>
    <font>
      <name val="굴림체"/>
      <charset val="129"/>
      <family val="3"/>
      <b val="1"/>
      <color indexed="52"/>
      <sz val="11"/>
    </font>
    <font>
      <name val="바탕체"/>
      <charset val="129"/>
      <family val="1"/>
      <color indexed="24"/>
      <sz val="12"/>
    </font>
    <font>
      <name val="바탕체"/>
      <charset val="129"/>
      <family val="1"/>
      <b val="1"/>
      <color indexed="24"/>
      <sz val="18"/>
    </font>
    <font>
      <name val="Courier"/>
      <family val="3"/>
      <b val="1"/>
      <color indexed="8"/>
      <sz val="1"/>
    </font>
    <font>
      <name val="바탕체"/>
      <charset val="129"/>
      <family val="1"/>
      <b val="1"/>
      <color indexed="24"/>
      <sz val="15"/>
    </font>
    <font>
      <name val="Courier"/>
      <family val="3"/>
      <sz val="12"/>
    </font>
    <font>
      <name val="官帕眉"/>
      <charset val="129"/>
      <family val="1"/>
      <sz val="12"/>
    </font>
    <font>
      <name val="Calibri"/>
      <charset val="129"/>
      <family val="3"/>
      <color rgb="FF9C0006"/>
      <sz val="11"/>
      <scheme val="minor"/>
    </font>
    <font>
      <name val="굴림체"/>
      <charset val="129"/>
      <family val="3"/>
      <color indexed="20"/>
      <sz val="11"/>
    </font>
    <font>
      <name val="명조"/>
      <charset val="129"/>
      <family val="3"/>
      <sz val="10"/>
    </font>
    <font>
      <name val="돋움"/>
      <charset val="129"/>
      <family val="3"/>
      <color indexed="36"/>
      <sz val="11"/>
      <u val="single"/>
    </font>
    <font>
      <name val="뼥?ⓒ"/>
      <charset val="129"/>
      <family val="3"/>
      <sz val="14"/>
    </font>
    <font>
      <name val="Calibri"/>
      <family val="2"/>
      <color theme="1"/>
      <sz val="11"/>
      <scheme val="minor"/>
    </font>
    <font>
      <name val="바탕체"/>
      <charset val="129"/>
      <family val="1"/>
      <sz val="11"/>
    </font>
    <font>
      <name val="굴림"/>
      <charset val="129"/>
      <family val="3"/>
      <sz val="12"/>
    </font>
    <font>
      <name val="Calibri"/>
      <charset val="129"/>
      <family val="3"/>
      <color rgb="FF9C6500"/>
      <sz val="11"/>
      <scheme val="minor"/>
    </font>
    <font>
      <name val="맑은 고딕"/>
      <charset val="129"/>
      <family val="3"/>
      <color indexed="19"/>
      <sz val="11"/>
    </font>
    <font>
      <name val="굴림체"/>
      <charset val="129"/>
      <family val="3"/>
      <color indexed="60"/>
      <sz val="11"/>
    </font>
    <font>
      <name val="뼻뮝"/>
      <charset val="129"/>
      <family val="1"/>
      <sz val="12"/>
    </font>
    <font>
      <name val="굴림체"/>
      <charset val="129"/>
      <family val="3"/>
      <sz val="9"/>
    </font>
    <font>
      <name val="Calibri"/>
      <charset val="129"/>
      <family val="3"/>
      <i val="1"/>
      <color rgb="FF7F7F7F"/>
      <sz val="11"/>
      <scheme val="minor"/>
    </font>
    <font>
      <name val="굴림체"/>
      <charset val="129"/>
      <family val="3"/>
      <i val="1"/>
      <color indexed="23"/>
      <sz val="11"/>
    </font>
    <font>
      <name val="Calibri"/>
      <charset val="129"/>
      <family val="3"/>
      <b val="1"/>
      <color theme="0"/>
      <sz val="11"/>
      <scheme val="minor"/>
    </font>
    <font>
      <name val="굴림체"/>
      <charset val="129"/>
      <family val="3"/>
      <b val="1"/>
      <color indexed="9"/>
      <sz val="11"/>
    </font>
    <font>
      <name val="돋움"/>
      <charset val="129"/>
      <family val="3"/>
      <sz val="14"/>
    </font>
    <font>
      <name val="굴림체"/>
      <charset val="129"/>
      <family val="3"/>
      <b val="1"/>
      <color indexed="16"/>
      <sz val="12"/>
    </font>
    <font>
      <name val="Calibri"/>
      <charset val="129"/>
      <family val="3"/>
      <color theme="1"/>
      <sz val="10"/>
      <scheme val="minor"/>
    </font>
    <font>
      <name val="Calibri"/>
      <charset val="129"/>
      <family val="3"/>
      <color rgb="FFFA7D00"/>
      <sz val="11"/>
      <scheme val="minor"/>
    </font>
    <font>
      <name val="굴림체"/>
      <charset val="129"/>
      <family val="3"/>
      <color indexed="52"/>
      <sz val="11"/>
    </font>
    <font>
      <name val="바탕체"/>
      <charset val="129"/>
      <family val="1"/>
      <color indexed="36"/>
      <sz val="12"/>
      <u val="single"/>
    </font>
    <font>
      <name val="奔覆眉"/>
      <charset val="129"/>
      <family val="3"/>
      <sz val="11"/>
    </font>
    <font>
      <name val="Calibri"/>
      <charset val="129"/>
      <family val="3"/>
      <b val="1"/>
      <color theme="1"/>
      <sz val="11"/>
      <scheme val="minor"/>
    </font>
    <font>
      <name val="굴림체"/>
      <charset val="129"/>
      <family val="3"/>
      <b val="1"/>
      <color indexed="8"/>
      <sz val="11"/>
    </font>
    <font>
      <name val="新細明體"/>
      <charset val="136"/>
      <family val="1"/>
      <sz val="12"/>
    </font>
    <font>
      <name val="Calibri"/>
      <charset val="129"/>
      <family val="3"/>
      <color rgb="FF3F3F76"/>
      <sz val="11"/>
      <scheme val="minor"/>
    </font>
    <font>
      <name val="굴림체"/>
      <charset val="129"/>
      <family val="3"/>
      <color indexed="62"/>
      <sz val="11"/>
    </font>
    <font>
      <name val="Calibri"/>
      <charset val="129"/>
      <family val="3"/>
      <b val="1"/>
      <color theme="3"/>
      <sz val="15"/>
      <scheme val="minor"/>
    </font>
    <font>
      <name val="맑은 고딕"/>
      <charset val="129"/>
      <family val="3"/>
      <b val="1"/>
      <color indexed="62"/>
      <sz val="15"/>
    </font>
    <font>
      <name val="굴림체"/>
      <charset val="129"/>
      <family val="3"/>
      <b val="1"/>
      <color indexed="56"/>
      <sz val="15"/>
    </font>
    <font>
      <name val="Cambria"/>
      <charset val="129"/>
      <family val="3"/>
      <b val="1"/>
      <color theme="3"/>
      <sz val="18"/>
      <scheme val="major"/>
    </font>
    <font>
      <name val="Calibri"/>
      <charset val="129"/>
      <family val="3"/>
      <b val="1"/>
      <color theme="3"/>
      <sz val="13"/>
      <scheme val="minor"/>
    </font>
    <font>
      <name val="맑은 고딕"/>
      <charset val="129"/>
      <family val="3"/>
      <b val="1"/>
      <color indexed="62"/>
      <sz val="13"/>
    </font>
    <font>
      <name val="굴림체"/>
      <charset val="129"/>
      <family val="3"/>
      <b val="1"/>
      <color indexed="56"/>
      <sz val="13"/>
    </font>
    <font>
      <name val="Calibri"/>
      <charset val="129"/>
      <family val="3"/>
      <b val="1"/>
      <color theme="3"/>
      <sz val="11"/>
      <scheme val="minor"/>
    </font>
    <font>
      <name val="맑은 고딕"/>
      <charset val="129"/>
      <family val="3"/>
      <b val="1"/>
      <color indexed="62"/>
      <sz val="11"/>
    </font>
    <font>
      <name val="굴림체"/>
      <charset val="129"/>
      <family val="3"/>
      <b val="1"/>
      <color indexed="56"/>
      <sz val="11"/>
    </font>
    <font>
      <name val="Calibri"/>
      <charset val="129"/>
      <family val="3"/>
      <color rgb="FF006100"/>
      <sz val="11"/>
      <scheme val="minor"/>
    </font>
    <font>
      <name val="굴림체"/>
      <charset val="129"/>
      <family val="3"/>
      <color indexed="17"/>
      <sz val="11"/>
    </font>
    <font>
      <name val="Calibri"/>
      <charset val="129"/>
      <family val="3"/>
      <b val="1"/>
      <color rgb="FF3F3F3F"/>
      <sz val="11"/>
      <scheme val="minor"/>
    </font>
    <font>
      <name val="굴림체"/>
      <charset val="129"/>
      <family val="3"/>
      <b val="1"/>
      <color indexed="63"/>
      <sz val="11"/>
    </font>
    <font>
      <name val="ＭＳ Ｐゴシック"/>
      <family val="2"/>
      <sz val="11"/>
    </font>
    <font>
      <name val="ＭＳ Ｐゴシック"/>
      <family val="2"/>
      <color indexed="36"/>
      <sz val="8.25"/>
      <u val="single"/>
    </font>
    <font>
      <name val="굴림체"/>
      <charset val="129"/>
      <family val="3"/>
      <color indexed="8"/>
      <sz val="9"/>
    </font>
    <font>
      <name val="돋움"/>
      <charset val="129"/>
      <family val="3"/>
      <color theme="1"/>
      <sz val="11"/>
    </font>
    <font>
      <name val="돋움"/>
      <charset val="129"/>
      <family val="2"/>
      <color theme="1"/>
      <sz val="11"/>
    </font>
    <font>
      <name val="Calibri"/>
      <charset val="134"/>
      <family val="2"/>
      <color theme="1"/>
      <sz val="11"/>
      <scheme val="minor"/>
    </font>
    <font>
      <name val="굴림체"/>
      <charset val="129"/>
      <family val="3"/>
      <color indexed="8"/>
      <sz val="10"/>
    </font>
    <font>
      <name val="굴림"/>
      <charset val="129"/>
      <family val="3"/>
      <b val="1"/>
      <sz val="10"/>
    </font>
    <font>
      <name val="맑은 고딕"/>
      <charset val="129"/>
      <family val="3"/>
      <color theme="10"/>
      <sz val="10"/>
      <u val="single"/>
    </font>
    <font>
      <name val="ＭＳ Ｐゴシック"/>
      <charset val="128"/>
      <family val="2"/>
      <sz val="11"/>
    </font>
    <font>
      <name val="Cambria"/>
      <charset val="129"/>
      <family val="3"/>
      <b val="1"/>
      <sz val="8"/>
      <scheme val="major"/>
    </font>
    <font>
      <name val="Cambria"/>
      <charset val="129"/>
      <family val="3"/>
      <b val="1"/>
      <color theme="1"/>
      <sz val="8"/>
      <scheme val="major"/>
    </font>
    <font>
      <name val="Cambria"/>
      <charset val="129"/>
      <family val="3"/>
      <b val="1"/>
      <color theme="1"/>
      <sz val="9"/>
      <scheme val="major"/>
    </font>
    <font>
      <name val="Calibri"/>
      <charset val="129"/>
      <family val="3"/>
      <b val="1"/>
      <color rgb="FF003399"/>
      <sz val="6"/>
      <scheme val="minor"/>
    </font>
    <font>
      <name val="Calibri"/>
      <charset val="129"/>
      <family val="3"/>
      <b val="1"/>
      <color rgb="FF003399"/>
      <sz val="8"/>
      <scheme val="minor"/>
    </font>
    <font>
      <name val="Calibri"/>
      <charset val="129"/>
      <family val="3"/>
      <sz val="8"/>
      <scheme val="minor"/>
    </font>
    <font>
      <name val="Times New Roman"/>
      <family val="1"/>
      <sz val="14"/>
    </font>
    <font>
      <name val="Times New Roman"/>
      <family val="1"/>
      <b val="1"/>
      <sz val="36"/>
    </font>
    <font>
      <name val="Times New Roman"/>
      <family val="1"/>
      <color theme="1"/>
      <sz val="14"/>
    </font>
    <font>
      <name val="Times New Roman"/>
      <family val="1"/>
      <color theme="1"/>
      <sz val="12"/>
    </font>
    <font>
      <name val="Times New Roman"/>
      <family val="1"/>
      <color rgb="FFFF0000"/>
      <sz val="12"/>
    </font>
    <font>
      <name val="Times New Roman"/>
      <family val="1"/>
      <sz val="16"/>
    </font>
    <font>
      <name val="Times New Roman"/>
      <family val="1"/>
      <color rgb="FF0000FF"/>
      <sz val="16"/>
    </font>
    <font>
      <name val="Wingdings"/>
      <charset val="2"/>
      <sz val="16"/>
    </font>
    <font>
      <name val="Times New Roman"/>
      <family val="1"/>
      <color rgb="FFFF0000"/>
      <sz val="9.6"/>
    </font>
    <font>
      <name val="Wingdings"/>
      <charset val="2"/>
      <sz val="12"/>
    </font>
    <font>
      <name val="Times New Roman"/>
      <family val="1"/>
      <sz val="7.2"/>
    </font>
    <font>
      <name val="Calibri"/>
      <family val="2"/>
      <color theme="10"/>
      <sz val="11"/>
      <u val="single"/>
      <scheme val="minor"/>
    </font>
    <font>
      <name val="Times New Roman"/>
      <family val="1"/>
      <b val="1"/>
      <sz val="20"/>
    </font>
    <font>
      <name val="Times New Roman"/>
      <family val="1"/>
      <b val="1"/>
      <sz val="12"/>
    </font>
    <font>
      <name val="Times New Roman"/>
      <family val="1"/>
      <b val="1"/>
      <color theme="1"/>
      <sz val="12"/>
    </font>
    <font>
      <name val="Times New Roman"/>
      <family val="1"/>
      <color rgb="FF0000FF"/>
      <sz val="12"/>
    </font>
    <font>
      <name val="Times New Roman"/>
      <family val="1"/>
      <color rgb="FF00B050"/>
      <sz val="12"/>
    </font>
    <font>
      <name val="Times New Roman"/>
      <family val="1"/>
      <b val="1"/>
      <color rgb="FF0000FF"/>
      <sz val="12"/>
    </font>
    <font>
      <name val="Times New Roman"/>
      <family val="1"/>
      <b val="1"/>
      <color rgb="FF333333"/>
      <sz val="12"/>
    </font>
    <font>
      <name val="Times New Roman"/>
      <family val="1"/>
      <color rgb="FF333333"/>
      <sz val="12"/>
    </font>
    <font>
      <name val="Tahoma"/>
      <family val="2"/>
      <b val="1"/>
      <color indexed="81"/>
      <sz val="12"/>
    </font>
    <font>
      <name val="Tahoma"/>
      <family val="2"/>
      <color indexed="81"/>
      <sz val="12"/>
    </font>
    <font>
      <name val="Cambria"/>
      <family val="1"/>
      <b val="1"/>
      <sz val="8"/>
      <scheme val="major"/>
    </font>
    <font>
      <name val="Cambria"/>
      <family val="1"/>
      <b val="1"/>
      <sz val="10.5"/>
      <scheme val="major"/>
    </font>
    <font>
      <name val="宋体"/>
      <charset val="134"/>
      <sz val="12"/>
    </font>
    <font>
      <name val="微软雅黑"/>
      <charset val="134"/>
      <family val="2"/>
      <sz val="12"/>
    </font>
    <font>
      <name val="바탕체"/>
      <charset val="129"/>
      <family val="3"/>
      <sz val="10"/>
    </font>
    <font>
      <name val="微软雅黑"/>
      <charset val="134"/>
      <family val="2"/>
      <sz val="10"/>
    </font>
    <font>
      <name val="微软雅黑"/>
      <charset val="134"/>
      <family val="2"/>
      <b val="1"/>
      <sz val="14"/>
    </font>
    <font>
      <name val="微软雅黑"/>
      <charset val="134"/>
      <family val="2"/>
      <b val="1"/>
      <color indexed="8"/>
      <sz val="12"/>
    </font>
    <font>
      <name val="微软雅黑"/>
      <charset val="134"/>
      <family val="2"/>
      <b val="1"/>
      <color indexed="18"/>
      <sz val="20"/>
    </font>
    <font>
      <name val="微软雅黑"/>
      <charset val="134"/>
      <family val="2"/>
      <sz val="16"/>
    </font>
    <font>
      <name val="微软雅黑"/>
      <charset val="134"/>
      <family val="2"/>
      <b val="1"/>
      <sz val="20"/>
    </font>
    <font>
      <name val="Wingdings"/>
      <charset val="2"/>
      <color theme="1"/>
      <sz val="20"/>
    </font>
    <font>
      <name val="Times New Roman"/>
      <family val="1"/>
      <color theme="1"/>
      <sz val="20"/>
    </font>
    <font>
      <name val="Times New Roman"/>
      <family val="1"/>
      <color theme="1"/>
      <sz val="18"/>
    </font>
    <font>
      <name val="Times New Roman"/>
      <family val="1"/>
      <b val="1"/>
      <sz val="22"/>
    </font>
  </fonts>
  <fills count="110">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indexed="9"/>
        <bgColor indexed="64"/>
      </patternFill>
    </fill>
    <fill>
      <patternFill patternType="solid">
        <fgColor theme="0" tint="-0.1499984740745262"/>
        <bgColor indexed="64"/>
      </patternFill>
    </fill>
    <fill>
      <patternFill patternType="solid">
        <fgColor indexed="41"/>
        <bgColor indexed="64"/>
      </patternFill>
    </fill>
    <fill>
      <patternFill patternType="solid">
        <fgColor indexed="47"/>
        <bgColor indexed="64"/>
      </patternFill>
    </fill>
    <fill>
      <patternFill patternType="solid">
        <fgColor theme="9" tint="0.3999755851924192"/>
        <bgColor indexed="64"/>
      </patternFill>
    </fill>
    <fill>
      <patternFill patternType="solid">
        <fgColor theme="0"/>
        <bgColor indexed="64"/>
      </patternFill>
    </fill>
    <fill>
      <patternFill patternType="solid">
        <fgColor indexed="31"/>
      </patternFill>
    </fill>
    <fill>
      <patternFill patternType="solid">
        <fgColor indexed="31"/>
        <bgColor indexed="64"/>
      </patternFill>
    </fill>
    <fill>
      <patternFill patternType="solid">
        <fgColor indexed="45"/>
      </patternFill>
    </fill>
    <fill>
      <patternFill patternType="solid">
        <fgColor indexed="45"/>
        <bgColor indexed="64"/>
      </patternFill>
    </fill>
    <fill>
      <patternFill patternType="solid">
        <fgColor indexed="42"/>
      </patternFill>
    </fill>
    <fill>
      <patternFill patternType="solid">
        <fgColor indexed="42"/>
        <bgColor indexed="64"/>
      </patternFill>
    </fill>
    <fill>
      <patternFill patternType="solid">
        <fgColor indexed="46"/>
      </patternFill>
    </fill>
    <fill>
      <patternFill patternType="solid">
        <fgColor indexed="46"/>
        <bgColor indexed="64"/>
      </patternFill>
    </fill>
    <fill>
      <patternFill patternType="solid">
        <fgColor indexed="27"/>
      </patternFill>
    </fill>
    <fill>
      <patternFill patternType="solid">
        <fgColor indexed="27"/>
        <bgColor indexed="64"/>
      </patternFill>
    </fill>
    <fill>
      <patternFill patternType="solid">
        <fgColor indexed="47"/>
      </patternFill>
    </fill>
    <fill>
      <patternFill patternType="solid">
        <fgColor indexed="44"/>
      </patternFill>
    </fill>
    <fill>
      <patternFill patternType="solid">
        <fgColor indexed="29"/>
      </patternFill>
    </fill>
    <fill>
      <patternFill patternType="solid">
        <fgColor indexed="26"/>
      </patternFill>
    </fill>
    <fill>
      <patternFill patternType="solid">
        <fgColor indexed="44"/>
        <bgColor indexed="64"/>
      </patternFill>
    </fill>
    <fill>
      <patternFill patternType="solid">
        <fgColor indexed="29"/>
        <bgColor indexed="64"/>
      </patternFill>
    </fill>
    <fill>
      <patternFill patternType="solid">
        <fgColor indexed="11"/>
      </patternFill>
    </fill>
    <fill>
      <patternFill patternType="solid">
        <fgColor indexed="11"/>
        <bgColor indexed="64"/>
      </patternFill>
    </fill>
    <fill>
      <patternFill patternType="solid">
        <fgColor indexed="51"/>
      </patternFill>
    </fill>
    <fill>
      <patternFill patternType="solid">
        <fgColor indexed="51"/>
        <bgColor indexed="64"/>
      </patternFill>
    </fill>
    <fill>
      <patternFill patternType="solid">
        <fgColor indexed="43"/>
      </patternFill>
    </fill>
    <fill>
      <patternFill patternType="solid">
        <fgColor indexed="30"/>
      </patternFill>
    </fill>
    <fill>
      <patternFill patternType="solid">
        <fgColor indexed="30"/>
        <bgColor indexed="64"/>
      </patternFill>
    </fill>
    <fill>
      <patternFill patternType="solid">
        <fgColor indexed="36"/>
      </patternFill>
    </fill>
    <fill>
      <patternFill patternType="solid">
        <fgColor indexed="20"/>
        <bgColor indexed="64"/>
      </patternFill>
    </fill>
    <fill>
      <patternFill patternType="solid">
        <fgColor indexed="49"/>
      </patternFill>
    </fill>
    <fill>
      <patternFill patternType="solid">
        <fgColor indexed="49"/>
        <bgColor indexed="64"/>
      </patternFill>
    </fill>
    <fill>
      <patternFill patternType="solid">
        <fgColor indexed="52"/>
      </patternFill>
    </fill>
    <fill>
      <patternFill patternType="solid">
        <fgColor indexed="52"/>
        <bgColor indexed="64"/>
      </patternFill>
    </fill>
    <fill>
      <patternFill patternType="solid">
        <fgColor indexed="53"/>
      </patternFill>
    </fill>
    <fill>
      <patternFill patternType="solid">
        <fgColor indexed="62"/>
      </patternFill>
    </fill>
    <fill>
      <patternFill patternType="solid">
        <fgColor indexed="47"/>
        <bgColor indexed="47"/>
      </patternFill>
    </fill>
    <fill>
      <patternFill patternType="solid">
        <fgColor indexed="31"/>
        <bgColor indexed="31"/>
      </patternFill>
    </fill>
    <fill>
      <patternFill patternType="solid">
        <fgColor indexed="44"/>
        <bgColor indexed="44"/>
      </patternFill>
    </fill>
    <fill>
      <patternFill patternType="solid">
        <fgColor indexed="62"/>
        <bgColor indexed="64"/>
      </patternFill>
    </fill>
    <fill>
      <patternFill patternType="solid">
        <fgColor indexed="54"/>
        <bgColor indexed="54"/>
      </patternFill>
    </fill>
    <fill>
      <patternFill patternType="solid">
        <fgColor indexed="10"/>
      </patternFill>
    </fill>
    <fill>
      <patternFill patternType="solid">
        <fgColor indexed="22"/>
        <bgColor indexed="22"/>
      </patternFill>
    </fill>
    <fill>
      <patternFill patternType="solid">
        <fgColor indexed="55"/>
        <bgColor indexed="55"/>
      </patternFill>
    </fill>
    <fill>
      <patternFill patternType="solid">
        <fgColor indexed="10"/>
        <bgColor indexed="64"/>
      </patternFill>
    </fill>
    <fill>
      <patternFill patternType="solid">
        <fgColor indexed="25"/>
        <bgColor indexed="25"/>
      </patternFill>
    </fill>
    <fill>
      <patternFill patternType="solid">
        <fgColor indexed="57"/>
      </patternFill>
    </fill>
    <fill>
      <patternFill patternType="solid">
        <fgColor indexed="57"/>
        <bgColor indexed="64"/>
      </patternFill>
    </fill>
    <fill>
      <patternFill patternType="solid">
        <fgColor indexed="49"/>
        <bgColor indexed="49"/>
      </patternFill>
    </fill>
    <fill>
      <patternFill patternType="solid">
        <fgColor indexed="26"/>
        <bgColor indexed="26"/>
      </patternFill>
    </fill>
    <fill>
      <patternFill patternType="solid">
        <fgColor indexed="43"/>
        <bgColor indexed="43"/>
      </patternFill>
    </fill>
    <fill>
      <patternFill patternType="solid">
        <fgColor indexed="53"/>
        <bgColor indexed="64"/>
      </patternFill>
    </fill>
    <fill>
      <patternFill patternType="solid">
        <fgColor indexed="52"/>
        <bgColor indexed="52"/>
      </patternFill>
    </fill>
    <fill>
      <patternFill patternType="solid">
        <fgColor indexed="45"/>
        <bgColor indexed="45"/>
      </patternFill>
    </fill>
    <fill>
      <patternFill patternType="solid">
        <fgColor indexed="22"/>
      </patternFill>
    </fill>
    <fill>
      <patternFill patternType="solid">
        <fgColor indexed="22"/>
        <bgColor indexed="64"/>
      </patternFill>
    </fill>
    <fill>
      <patternFill patternType="solid">
        <fgColor indexed="9"/>
        <bgColor indexed="9"/>
      </patternFill>
    </fill>
    <fill>
      <patternFill patternType="solid">
        <fgColor indexed="55"/>
      </patternFill>
    </fill>
    <fill>
      <patternFill patternType="solid">
        <fgColor indexed="55"/>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42"/>
        <bgColor indexed="42"/>
      </patternFill>
    </fill>
    <fill>
      <patternFill patternType="gray0625"/>
    </fill>
    <fill>
      <patternFill patternType="solid">
        <fgColor indexed="43"/>
        <bgColor indexed="64"/>
      </patternFill>
    </fill>
    <fill>
      <patternFill patternType="solid">
        <fgColor indexed="26"/>
        <bgColor indexed="64"/>
      </patternFill>
    </fill>
    <fill>
      <patternFill patternType="solid">
        <fgColor indexed="54"/>
        <bgColor indexed="64"/>
      </patternFill>
    </fill>
    <fill>
      <patternFill patternType="solid">
        <fgColor indexed="41"/>
      </patternFill>
    </fill>
    <fill>
      <patternFill patternType="solid">
        <fgColor indexed="40"/>
      </patternFill>
    </fill>
    <fill>
      <patternFill patternType="solid">
        <fgColor indexed="40"/>
        <bgColor indexed="64"/>
      </patternFill>
    </fill>
    <fill>
      <patternFill patternType="solid">
        <fgColor indexed="56"/>
      </patternFill>
    </fill>
    <fill>
      <patternFill patternType="solid">
        <fgColor indexed="54"/>
      </patternFill>
    </fill>
    <fill>
      <patternFill patternType="solid">
        <fgColor indexed="9"/>
      </patternFill>
    </fill>
    <fill>
      <patternFill patternType="solid">
        <fgColor rgb="FFFFFFFF"/>
        <bgColor indexed="64"/>
      </patternFill>
    </fill>
    <fill>
      <patternFill patternType="solid">
        <fgColor theme="7" tint="0.5999938962981048"/>
        <bgColor indexed="64"/>
      </patternFill>
    </fill>
    <fill>
      <patternFill patternType="solid">
        <fgColor theme="8" tint="0.5999938962981048"/>
        <bgColor indexed="64"/>
      </patternFill>
    </fill>
  </fills>
  <borders count="14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55"/>
      </right>
      <top style="thin">
        <color indexed="64"/>
      </top>
      <bottom style="thin">
        <color indexed="55"/>
      </bottom>
      <diagonal/>
    </border>
    <border>
      <left style="thin">
        <color indexed="55"/>
      </left>
      <right style="thin">
        <color indexed="55"/>
      </right>
      <top style="thin">
        <color indexed="64"/>
      </top>
      <bottom style="thin">
        <color indexed="55"/>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theme="1" tint="0.499984740745262"/>
      </left>
      <right style="thin">
        <color theme="1" tint="0.499984740745262"/>
      </right>
      <top style="medium">
        <color theme="1" tint="0.499984740745262"/>
      </top>
      <bottom/>
      <diagonal/>
    </border>
    <border>
      <left style="thin">
        <color theme="1" tint="0.499984740745262"/>
      </left>
      <right/>
      <top style="medium">
        <color theme="1" tint="0.499984740745262"/>
      </top>
      <bottom/>
      <diagonal/>
    </border>
    <border>
      <left/>
      <right style="thin">
        <color theme="1" tint="0.499984740745262"/>
      </right>
      <top style="medium">
        <color theme="1" tint="0.499984740745262"/>
      </top>
      <bottom/>
      <diagonal/>
    </border>
    <border>
      <left/>
      <right/>
      <top style="medium">
        <color theme="1" tint="0.499984740745262"/>
      </top>
      <bottom/>
      <diagonal/>
    </border>
    <border>
      <left style="thin">
        <color theme="1" tint="0.499984740745262"/>
      </left>
      <right style="thin">
        <color theme="1" tint="0.499984740745262"/>
      </right>
      <top/>
      <bottom style="double">
        <color theme="1" tint="0.499984740745262"/>
      </bottom>
      <diagonal/>
    </border>
    <border>
      <left style="thin">
        <color theme="1" tint="0.499984740745262"/>
      </left>
      <right style="thin">
        <color theme="1" tint="0.499984740745262"/>
      </right>
      <top style="thin">
        <color theme="1" tint="0.499984740745262"/>
      </top>
      <bottom style="double">
        <color theme="1" tint="0.499984740745262"/>
      </bottom>
      <diagonal/>
    </border>
    <border>
      <left/>
      <right style="thin">
        <color theme="1" tint="0.499984740745262"/>
      </right>
      <top style="thin">
        <color theme="1" tint="0.499984740745262"/>
      </top>
      <bottom style="double">
        <color theme="1" tint="0.499984740745262"/>
      </bottom>
      <diagonal/>
    </border>
    <border>
      <left/>
      <right/>
      <top style="thin">
        <color theme="1" tint="0.499984740745262"/>
      </top>
      <bottom style="double">
        <color theme="1" tint="0.499984740745262"/>
      </bottom>
      <diagonal/>
    </border>
    <border>
      <left style="thin">
        <color theme="1" tint="0.499984740745262"/>
      </left>
      <right/>
      <top style="thin">
        <color theme="1" tint="0.499984740745262"/>
      </top>
      <bottom style="double">
        <color theme="1" tint="0.499984740745262"/>
      </bottom>
      <diagonal/>
    </border>
    <border>
      <left style="thin">
        <color theme="1" tint="0.499984740745262"/>
      </left>
      <right style="thin">
        <color theme="1" tint="0.499984740745262"/>
      </right>
      <top/>
      <bottom style="hair">
        <color theme="1" tint="0.499984740745262"/>
      </bottom>
      <diagonal/>
    </border>
    <border>
      <left/>
      <right style="thin">
        <color theme="1" tint="0.499984740745262"/>
      </right>
      <top/>
      <bottom style="hair">
        <color theme="1" tint="0.499984740745262"/>
      </bottom>
      <diagonal/>
    </border>
    <border>
      <left/>
      <right/>
      <top/>
      <bottom style="hair">
        <color theme="1" tint="0.499984740745262"/>
      </bottom>
      <diagonal/>
    </border>
    <border>
      <left style="thin">
        <color theme="1" tint="0.499984740745262"/>
      </left>
      <right/>
      <top/>
      <bottom style="hair">
        <color theme="1" tint="0.499984740745262"/>
      </bottom>
      <diagonal/>
    </border>
    <border>
      <left/>
      <right style="medium">
        <color theme="1" tint="0.499984740745262"/>
      </right>
      <top/>
      <bottom style="hair">
        <color theme="1" tint="0.499984740745262"/>
      </bottom>
      <diagonal/>
    </border>
    <border>
      <left style="medium">
        <color theme="1" tint="0.499984740745262"/>
      </left>
      <right/>
      <top style="hair">
        <color theme="1" tint="0.499984740745262"/>
      </top>
      <bottom style="hair">
        <color theme="1" tint="0.499984740745262"/>
      </bottom>
      <diagonal/>
    </border>
    <border>
      <left style="thin">
        <color theme="1" tint="0.499984740745262"/>
      </left>
      <right style="thin">
        <color theme="1" tint="0.499984740745262"/>
      </right>
      <top style="hair">
        <color theme="1" tint="0.499984740745262"/>
      </top>
      <bottom style="hair">
        <color theme="1" tint="0.499984740745262"/>
      </bottom>
      <diagonal/>
    </border>
    <border>
      <left/>
      <right style="thin">
        <color theme="1" tint="0.499984740745262"/>
      </right>
      <top style="hair">
        <color theme="1" tint="0.499984740745262"/>
      </top>
      <bottom style="hair">
        <color theme="1" tint="0.499984740745262"/>
      </bottom>
      <diagonal/>
    </border>
    <border>
      <left/>
      <right/>
      <top style="hair">
        <color theme="1" tint="0.499984740745262"/>
      </top>
      <bottom style="hair">
        <color theme="1" tint="0.499984740745262"/>
      </bottom>
      <diagonal/>
    </border>
    <border>
      <left style="thin">
        <color theme="1" tint="0.499984740745262"/>
      </left>
      <right/>
      <top style="hair">
        <color theme="1" tint="0.499984740745262"/>
      </top>
      <bottom style="hair">
        <color theme="1" tint="0.499984740745262"/>
      </bottom>
      <diagonal/>
    </border>
    <border>
      <left/>
      <right style="medium">
        <color theme="1" tint="0.499984740745262"/>
      </right>
      <top style="hair">
        <color theme="1" tint="0.499984740745262"/>
      </top>
      <bottom style="hair">
        <color theme="1" tint="0.499984740745262"/>
      </bottom>
      <diagonal/>
    </border>
    <border>
      <left style="medium">
        <color theme="1" tint="0.499984740745262"/>
      </left>
      <right/>
      <top style="hair">
        <color theme="1" tint="0.499984740745262"/>
      </top>
      <bottom style="medium">
        <color theme="1" tint="0.499984740745262"/>
      </bottom>
      <diagonal/>
    </border>
    <border>
      <left style="thin">
        <color theme="1" tint="0.499984740745262"/>
      </left>
      <right style="thin">
        <color theme="1" tint="0.499984740745262"/>
      </right>
      <top style="hair">
        <color theme="1" tint="0.499984740745262"/>
      </top>
      <bottom style="medium">
        <color theme="1" tint="0.499984740745262"/>
      </bottom>
      <diagonal/>
    </border>
    <border>
      <left/>
      <right style="thin">
        <color theme="1" tint="0.499984740745262"/>
      </right>
      <top style="hair">
        <color theme="1" tint="0.499984740745262"/>
      </top>
      <bottom style="medium">
        <color theme="1" tint="0.499984740745262"/>
      </bottom>
      <diagonal/>
    </border>
    <border>
      <left/>
      <right/>
      <top style="hair">
        <color theme="1" tint="0.499984740745262"/>
      </top>
      <bottom style="medium">
        <color theme="1" tint="0.499984740745262"/>
      </bottom>
      <diagonal/>
    </border>
    <border>
      <left style="thin">
        <color theme="1" tint="0.499984740745262"/>
      </left>
      <right/>
      <top style="hair">
        <color theme="1" tint="0.499984740745262"/>
      </top>
      <bottom style="medium">
        <color theme="1" tint="0.499984740745262"/>
      </bottom>
      <diagonal/>
    </border>
    <border>
      <left/>
      <right style="medium">
        <color theme="1" tint="0.499984740745262"/>
      </right>
      <top style="hair">
        <color theme="1" tint="0.499984740745262"/>
      </top>
      <bottom style="medium">
        <color theme="1" tint="0.499984740745262"/>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style="double">
        <color indexed="64"/>
      </left>
      <right/>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double">
        <color indexed="64"/>
      </top>
      <bottom style="double">
        <color indexed="64"/>
      </bottom>
      <diagonal/>
    </border>
    <border>
      <left/>
      <right/>
      <top style="medium">
        <color indexed="64"/>
      </top>
      <bottom style="medium">
        <color indexed="64"/>
      </bottom>
      <diagonal/>
    </border>
    <border>
      <left/>
      <right/>
      <top/>
      <bottom style="thick">
        <color indexed="62"/>
      </bottom>
      <diagonal/>
    </border>
    <border>
      <left/>
      <right/>
      <top/>
      <bottom style="thick">
        <color indexed="54"/>
      </bottom>
      <diagonal/>
    </border>
    <border>
      <left/>
      <right/>
      <top/>
      <bottom style="thick">
        <color indexed="22"/>
      </bottom>
      <diagonal/>
    </border>
    <border>
      <left/>
      <right/>
      <top/>
      <bottom style="medium">
        <color indexed="30"/>
      </bottom>
      <diagonal/>
    </border>
    <border>
      <left/>
      <right/>
      <top/>
      <bottom style="medium">
        <color indexed="44"/>
      </bottom>
      <diagonal/>
    </border>
    <border>
      <left style="double">
        <color indexed="64"/>
      </left>
      <right style="double">
        <color indexed="64"/>
      </right>
      <top style="double">
        <color indexed="64"/>
      </top>
      <bottom style="double">
        <color indexed="64"/>
      </bottom>
      <diagonal/>
    </border>
    <border>
      <left style="hair">
        <color auto="1"/>
      </left>
      <right style="hair">
        <color auto="1"/>
      </right>
      <top style="hair">
        <color auto="1"/>
      </top>
      <bottom style="hair">
        <color auto="1"/>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12"/>
      </top>
      <bottom style="medium">
        <color indexed="12"/>
      </bottom>
      <diagonal/>
    </border>
    <border>
      <left/>
      <right/>
      <top/>
      <bottom style="thick">
        <color indexed="44"/>
      </bottom>
      <diagonal/>
    </border>
    <border>
      <left style="thin">
        <color indexed="48"/>
      </left>
      <right style="thin">
        <color indexed="48"/>
      </right>
      <top style="thin">
        <color indexed="48"/>
      </top>
      <bottom style="thin">
        <color indexed="48"/>
      </bottom>
      <diagonal/>
    </border>
    <border>
      <left/>
      <right/>
      <top style="thin">
        <color indexed="62"/>
      </top>
      <bottom style="double">
        <color indexed="62"/>
      </bottom>
      <diagonal/>
    </border>
    <border>
      <left/>
      <right/>
      <top style="thin">
        <color indexed="64"/>
      </top>
      <bottom style="double">
        <color indexed="64"/>
      </bottom>
      <diagonal/>
    </border>
    <border>
      <left/>
      <right/>
      <top style="thin">
        <color indexed="54"/>
      </top>
      <bottom style="double">
        <color indexed="54"/>
      </bottom>
      <diagonal/>
    </border>
    <border>
      <left/>
      <right style="thin">
        <color indexed="64"/>
      </right>
      <top style="thin">
        <color indexed="64"/>
      </top>
      <bottom/>
      <diagonal/>
    </border>
    <border>
      <left/>
      <right/>
      <top/>
      <bottom style="double">
        <color indexed="10"/>
      </bottom>
      <diagonal/>
    </border>
    <border>
      <left/>
      <right/>
      <top style="thin">
        <color indexed="56"/>
      </top>
      <bottom style="double">
        <color indexed="56"/>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double">
        <color indexed="64"/>
      </top>
      <bottom/>
      <diagonal/>
    </border>
    <border>
      <left style="medium">
        <color theme="1" tint="0.499984740745262"/>
      </left>
      <right style="thin">
        <color theme="1" tint="0.499984740745262"/>
      </right>
      <top style="medium">
        <color theme="1" tint="0.499984740745262"/>
      </top>
      <bottom/>
      <diagonal/>
    </border>
    <border>
      <left style="thin">
        <color theme="1" tint="0.499984740745262"/>
      </left>
      <right/>
      <top style="medium">
        <color theme="1" tint="0.499984740745262"/>
      </top>
      <bottom style="thin">
        <color theme="1" tint="0.499984740745262"/>
      </bottom>
      <diagonal/>
    </border>
    <border>
      <left/>
      <right/>
      <top style="medium">
        <color theme="1" tint="0.499984740745262"/>
      </top>
      <bottom style="thin">
        <color theme="1" tint="0.499984740745262"/>
      </bottom>
      <diagonal/>
    </border>
    <border>
      <left/>
      <right style="thin">
        <color theme="1" tint="0.499984740745262"/>
      </right>
      <top style="medium">
        <color theme="1" tint="0.499984740745262"/>
      </top>
      <bottom style="thin">
        <color theme="1" tint="0.499984740745262"/>
      </bottom>
      <diagonal/>
    </border>
    <border>
      <left style="thin">
        <color theme="1" tint="0.499984740745262"/>
      </left>
      <right style="medium">
        <color theme="1" tint="0.499984740745262"/>
      </right>
      <top style="medium">
        <color theme="1" tint="0.499984740745262"/>
      </top>
      <bottom/>
      <diagonal/>
    </border>
    <border>
      <left style="medium">
        <color theme="1" tint="0.499984740745262"/>
      </left>
      <right style="thin">
        <color theme="1" tint="0.499984740745262"/>
      </right>
      <top/>
      <bottom style="double">
        <color theme="1" tint="0.499984740745262"/>
      </bottom>
      <diagonal/>
    </border>
    <border>
      <left style="thin">
        <color theme="1" tint="0.499984740745262"/>
      </left>
      <right style="medium">
        <color theme="1" tint="0.499984740745262"/>
      </right>
      <top/>
      <bottom style="double">
        <color theme="1" tint="0.499984740745262"/>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bottom style="thin">
        <color rgb="FF000000"/>
      </bottom>
      <diagonal/>
    </border>
    <border>
      <left style="thin">
        <color rgb="FF000000"/>
      </left>
      <right/>
      <top style="thin">
        <color indexed="64"/>
      </top>
      <bottom style="thin">
        <color rgb="FF000000"/>
      </bottom>
      <diagonal/>
    </border>
    <border>
      <left/>
      <right style="thin">
        <color rgb="FF000000"/>
      </right>
      <top style="thin">
        <color indexed="64"/>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right/>
      <top style="thin">
        <color theme="1" tint="0.499984740745262"/>
      </top>
      <bottom/>
      <diagonal/>
    </border>
    <border>
      <left style="thin">
        <color theme="1" tint="0.499984740745262"/>
      </left>
      <right style="thin">
        <color theme="1" tint="0.499984740745262"/>
      </right>
      <top style="hair">
        <color theme="1" tint="0.499984740745262"/>
      </top>
      <bottom/>
      <diagonal/>
    </border>
    <border>
      <left/>
      <right style="thin">
        <color theme="1" tint="0.499984740745262"/>
      </right>
      <top style="hair">
        <color theme="1" tint="0.499984740745262"/>
      </top>
      <bottom/>
      <diagonal/>
    </border>
    <border>
      <left style="medium">
        <color theme="1" tint="0.499984740745262"/>
      </left>
      <right/>
      <top style="hair">
        <color theme="1" tint="0.499984740745262"/>
      </top>
      <bottom/>
      <diagonal/>
    </border>
    <border>
      <left style="medium">
        <color theme="1" tint="0.499984740745262"/>
      </left>
      <right/>
      <top/>
      <bottom style="hair">
        <color theme="1" tint="0.499984740745262"/>
      </bottom>
      <diagonal/>
    </border>
    <border>
      <left/>
      <right style="thin">
        <color theme="1" tint="0.499984740745262"/>
      </right>
      <top/>
      <bottom/>
      <diagonal/>
    </border>
    <border>
      <left style="thin">
        <color theme="1" tint="0.499984740745262"/>
      </left>
      <right/>
      <top/>
      <bottom/>
      <diagonal/>
    </border>
    <border>
      <left style="thin">
        <color theme="1" tint="0.499984740745262"/>
      </left>
      <right style="thin">
        <color theme="1" tint="0.499984740745262"/>
      </right>
      <top/>
      <bottom/>
      <diagonal/>
    </border>
    <border>
      <left/>
      <right style="medium">
        <color theme="1" tint="0.499984740745262"/>
      </right>
      <top style="hair">
        <color theme="1" tint="0.499984740745262"/>
      </top>
      <bottom/>
      <diagonal/>
    </border>
    <border>
      <left style="medium">
        <color indexed="64"/>
      </left>
      <right style="medium">
        <color indexed="64"/>
      </right>
      <top/>
      <bottom/>
      <diagonal/>
    </border>
    <border>
      <left/>
      <right style="thin">
        <color indexed="55"/>
      </right>
      <top style="thin">
        <color indexed="64"/>
      </top>
      <bottom/>
      <diagonal/>
    </border>
    <border>
      <left/>
      <right/>
      <top style="thin">
        <color indexed="64"/>
      </top>
      <bottom style="thin">
        <color indexed="55"/>
      </bottom>
      <diagonal/>
    </border>
    <border>
      <left/>
      <right style="thin">
        <color indexed="55"/>
      </right>
      <top style="thin">
        <color indexed="64"/>
      </top>
      <bottom style="thin">
        <color indexed="55"/>
      </bottom>
      <diagonal/>
    </border>
    <border>
      <left/>
      <right style="thin">
        <color indexed="64"/>
      </right>
      <top/>
      <bottom/>
      <diagonal/>
    </border>
    <border>
      <left style="thin">
        <color theme="1" tint="0.499984740745262"/>
      </left>
      <right style="thin">
        <color theme="1" tint="0.499984740745262"/>
      </right>
      <top style="medium">
        <color theme="1" tint="0.499984740745262"/>
      </top>
      <bottom style="double">
        <color theme="1" tint="0.499984740745262"/>
      </bottom>
      <diagonal/>
    </border>
    <border>
      <left style="thin">
        <color theme="1" tint="0.499984740745262"/>
      </left>
      <right style="medium">
        <color theme="1" tint="0.499984740745262"/>
      </right>
      <top style="medium">
        <color theme="1" tint="0.499984740745262"/>
      </top>
      <bottom style="double">
        <color theme="1" tint="0.499984740745262"/>
      </bottom>
      <diagonal/>
    </border>
    <border>
      <left style="thin">
        <color theme="1" tint="0.499984740745262"/>
      </left>
      <right style="medium">
        <color theme="1" tint="0.499984740745262"/>
      </right>
      <top/>
      <bottom/>
      <diagonal/>
    </border>
    <border>
      <left style="thin">
        <color theme="1" tint="0.499984740745262"/>
      </left>
      <right style="thin">
        <color theme="1" tint="0.499984740745262"/>
      </right>
      <top style="medium">
        <color theme="1" tint="0.499984740745262"/>
      </top>
      <bottom style="thin">
        <color theme="1" tint="0.499984740745262"/>
      </bottom>
      <diagonal/>
    </border>
    <border>
      <left style="medium">
        <color theme="1" tint="0.499984740745262"/>
      </left>
      <right style="thin">
        <color theme="1" tint="0.499984740745262"/>
      </right>
      <top style="medium">
        <color theme="1" tint="0.499984740745262"/>
      </top>
      <bottom style="double">
        <color theme="1" tint="0.499984740745262"/>
      </bottom>
      <diagonal/>
    </border>
    <border>
      <left style="medium">
        <color theme="1" tint="0.499984740745262"/>
      </left>
      <right/>
      <top/>
      <bottom/>
      <diagonal/>
    </border>
    <border>
      <left style="medium">
        <color theme="1" tint="0.499984740745262"/>
      </left>
      <right style="thin">
        <color theme="1" tint="0.499984740745262"/>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indexed="64"/>
      </top>
      <bottom style="thin">
        <color rgb="FF000000"/>
      </bottom>
      <diagonal/>
    </border>
    <border>
      <left/>
      <right style="thin">
        <color rgb="FF000000"/>
      </right>
      <top style="thin">
        <color indexed="64"/>
      </top>
      <bottom/>
      <diagonal/>
    </border>
    <border>
      <left/>
      <right/>
      <top style="hair">
        <color indexed="64"/>
      </top>
      <bottom/>
      <diagonal/>
    </border>
    <border>
      <left/>
      <right style="thin">
        <color indexed="64"/>
      </right>
      <top style="hair">
        <color indexed="64"/>
      </top>
      <bottom/>
      <diagonal/>
    </border>
    <border>
      <left/>
      <right style="thin">
        <color indexed="64"/>
      </right>
      <top/>
      <bottom style="hair">
        <color indexed="64"/>
      </bottom>
      <diagonal/>
    </border>
  </borders>
  <cellStyleXfs count="51111">
    <xf numFmtId="0" fontId="37" fillId="0" borderId="0" applyAlignment="1">
      <alignment vertical="center"/>
    </xf>
    <xf numFmtId="169" fontId="37" fillId="0" borderId="0" applyAlignment="1">
      <alignment vertical="center"/>
    </xf>
    <xf numFmtId="9" fontId="37" fillId="0" borderId="0" applyAlignment="1">
      <alignment vertical="center"/>
    </xf>
    <xf numFmtId="0" fontId="21" fillId="0" borderId="0"/>
    <xf numFmtId="0" fontId="28" fillId="0" borderId="0"/>
    <xf numFmtId="0" fontId="37" fillId="0" borderId="0" applyAlignment="1">
      <alignment vertical="center"/>
    </xf>
    <xf numFmtId="0" fontId="4" fillId="0" borderId="0" applyAlignment="1">
      <alignment vertical="center"/>
    </xf>
    <xf numFmtId="9" fontId="4" fillId="0" borderId="0" applyAlignment="1">
      <alignment vertical="center"/>
    </xf>
    <xf numFmtId="0" fontId="37" fillId="0" borderId="0" applyAlignment="1">
      <alignment vertical="center"/>
    </xf>
    <xf numFmtId="0" fontId="47" fillId="0" borderId="0" applyAlignment="1" applyProtection="1">
      <alignment vertical="top"/>
      <protection locked="0" hidden="0"/>
    </xf>
    <xf numFmtId="0" fontId="48" fillId="0" borderId="0"/>
    <xf numFmtId="170" fontId="49" fillId="0" borderId="0"/>
    <xf numFmtId="170" fontId="50" fillId="0" borderId="0"/>
    <xf numFmtId="0" fontId="50" fillId="0" borderId="0"/>
    <xf numFmtId="171" fontId="37" fillId="0" borderId="0"/>
    <xf numFmtId="0" fontId="51" fillId="0" borderId="0"/>
    <xf numFmtId="170" fontId="49" fillId="0" borderId="0"/>
    <xf numFmtId="170" fontId="49" fillId="0" borderId="0"/>
    <xf numFmtId="170" fontId="49" fillId="0" borderId="0"/>
    <xf numFmtId="0" fontId="50" fillId="0" borderId="0"/>
    <xf numFmtId="0" fontId="50" fillId="0" borderId="0"/>
    <xf numFmtId="0" fontId="50" fillId="0" borderId="0"/>
    <xf numFmtId="0" fontId="50" fillId="0" borderId="0"/>
    <xf numFmtId="170" fontId="52" fillId="0" borderId="0"/>
    <xf numFmtId="170" fontId="53" fillId="0" borderId="0"/>
    <xf numFmtId="170" fontId="49" fillId="0" borderId="0"/>
    <xf numFmtId="170" fontId="49" fillId="0" borderId="0"/>
    <xf numFmtId="170" fontId="49" fillId="0" borderId="0"/>
    <xf numFmtId="170" fontId="53" fillId="0" borderId="0"/>
    <xf numFmtId="170" fontId="54" fillId="0" borderId="0"/>
    <xf numFmtId="172" fontId="55" fillId="0" borderId="0"/>
    <xf numFmtId="170" fontId="56" fillId="0" borderId="0"/>
    <xf numFmtId="0" fontId="57" fillId="0" borderId="0" applyAlignment="1" applyProtection="1">
      <alignment vertical="top"/>
      <protection locked="0" hidden="0"/>
    </xf>
    <xf numFmtId="170" fontId="51" fillId="0" borderId="0"/>
    <xf numFmtId="0" fontId="51" fillId="0" borderId="0"/>
    <xf numFmtId="170" fontId="53" fillId="0" borderId="0"/>
    <xf numFmtId="170" fontId="53" fillId="0" borderId="0"/>
    <xf numFmtId="0" fontId="51" fillId="0" borderId="0"/>
    <xf numFmtId="170" fontId="58" fillId="0" borderId="0"/>
    <xf numFmtId="10" fontId="58" fillId="0" borderId="0"/>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0" fontId="37" fillId="0" borderId="49" applyAlignment="1">
      <alignment vertical="center"/>
    </xf>
    <xf numFmtId="0"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4" fontId="59" fillId="0" borderId="49" applyAlignment="1">
      <alignment vertical="center"/>
    </xf>
    <xf numFmtId="170" fontId="50" fillId="0" borderId="49" applyAlignment="1">
      <alignment vertical="center"/>
    </xf>
    <xf numFmtId="175" fontId="50"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7" fontId="37" fillId="0" borderId="49" applyAlignment="1">
      <alignment vertical="center"/>
    </xf>
    <xf numFmtId="177" fontId="37" fillId="0" borderId="49" applyAlignment="1">
      <alignment vertical="center"/>
    </xf>
    <xf numFmtId="177"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7" fontId="37" fillId="0" borderId="49" applyAlignment="1">
      <alignment vertical="center"/>
    </xf>
    <xf numFmtId="177" fontId="37" fillId="0" borderId="49" applyAlignment="1">
      <alignment vertical="center"/>
    </xf>
    <xf numFmtId="177"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0" fontId="60"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0"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7" fontId="37" fillId="0" borderId="49" applyAlignment="1">
      <alignment vertical="center"/>
    </xf>
    <xf numFmtId="177" fontId="37" fillId="0" borderId="49" applyAlignment="1">
      <alignment vertical="center"/>
    </xf>
    <xf numFmtId="177"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6"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3" fontId="37" fillId="0" borderId="49" applyAlignment="1">
      <alignment vertical="center"/>
    </xf>
    <xf numFmtId="170" fontId="51" fillId="0" borderId="0"/>
    <xf numFmtId="170" fontId="51" fillId="0" borderId="0"/>
    <xf numFmtId="170" fontId="51" fillId="0" borderId="0"/>
    <xf numFmtId="170" fontId="51" fillId="0" borderId="0"/>
    <xf numFmtId="170" fontId="50" fillId="0" borderId="0"/>
    <xf numFmtId="170" fontId="51" fillId="0" borderId="0"/>
    <xf numFmtId="0" fontId="51" fillId="0" borderId="0"/>
    <xf numFmtId="170" fontId="51" fillId="0" borderId="0"/>
    <xf numFmtId="170" fontId="51" fillId="0" borderId="0"/>
    <xf numFmtId="0" fontId="51" fillId="0" borderId="0"/>
    <xf numFmtId="170" fontId="37" fillId="0" borderId="0"/>
    <xf numFmtId="0" fontId="37" fillId="0" borderId="0"/>
    <xf numFmtId="178" fontId="50" fillId="0" borderId="0"/>
    <xf numFmtId="170" fontId="51" fillId="0" borderId="0"/>
    <xf numFmtId="179" fontId="37" fillId="0" borderId="0"/>
    <xf numFmtId="180" fontId="37" fillId="0" borderId="0"/>
    <xf numFmtId="181" fontId="37" fillId="0" borderId="0"/>
    <xf numFmtId="182" fontId="37" fillId="0" borderId="0"/>
    <xf numFmtId="183" fontId="37" fillId="0" borderId="0"/>
    <xf numFmtId="170" fontId="50" fillId="0" borderId="0"/>
    <xf numFmtId="170" fontId="50" fillId="0" borderId="0"/>
    <xf numFmtId="170" fontId="51" fillId="0" borderId="0"/>
    <xf numFmtId="0" fontId="51" fillId="0" borderId="0"/>
    <xf numFmtId="170" fontId="37" fillId="0" borderId="0"/>
    <xf numFmtId="0" fontId="37" fillId="0" borderId="0"/>
    <xf numFmtId="170" fontId="51" fillId="0" borderId="0"/>
    <xf numFmtId="0" fontId="51" fillId="0" borderId="0"/>
    <xf numFmtId="170" fontId="60" fillId="0" borderId="0"/>
    <xf numFmtId="0" fontId="60" fillId="0" borderId="0"/>
    <xf numFmtId="170" fontId="50" fillId="0" borderId="0"/>
    <xf numFmtId="170" fontId="51" fillId="0" borderId="0"/>
    <xf numFmtId="170" fontId="51" fillId="0" borderId="0"/>
    <xf numFmtId="170" fontId="51" fillId="0" borderId="0"/>
    <xf numFmtId="0" fontId="51" fillId="0" borderId="0"/>
    <xf numFmtId="0" fontId="61" fillId="0" borderId="0"/>
    <xf numFmtId="170" fontId="50" fillId="0" borderId="0"/>
    <xf numFmtId="170" fontId="50" fillId="0" borderId="0"/>
    <xf numFmtId="170" fontId="50" fillId="0" borderId="0"/>
    <xf numFmtId="170" fontId="51" fillId="0" borderId="0"/>
    <xf numFmtId="170" fontId="51" fillId="0" borderId="0"/>
    <xf numFmtId="170" fontId="60" fillId="0" borderId="0"/>
    <xf numFmtId="0" fontId="60" fillId="0" borderId="0"/>
    <xf numFmtId="170" fontId="51" fillId="0" borderId="0"/>
    <xf numFmtId="170" fontId="51" fillId="0" borderId="0"/>
    <xf numFmtId="170" fontId="51" fillId="0" borderId="0"/>
    <xf numFmtId="170" fontId="51" fillId="0" borderId="0"/>
    <xf numFmtId="170" fontId="51" fillId="0" borderId="0"/>
    <xf numFmtId="170" fontId="51" fillId="0" borderId="0"/>
    <xf numFmtId="170" fontId="51" fillId="0" borderId="0"/>
    <xf numFmtId="170" fontId="51" fillId="0" borderId="0"/>
    <xf numFmtId="170" fontId="51" fillId="0" borderId="0"/>
    <xf numFmtId="170" fontId="51" fillId="0" borderId="0"/>
    <xf numFmtId="0" fontId="51" fillId="0" borderId="0"/>
    <xf numFmtId="170" fontId="50" fillId="0" borderId="0"/>
    <xf numFmtId="0" fontId="50" fillId="0" borderId="0"/>
    <xf numFmtId="170" fontId="50" fillId="0" borderId="0"/>
    <xf numFmtId="0" fontId="50" fillId="0" borderId="0"/>
    <xf numFmtId="170" fontId="50" fillId="0" borderId="0"/>
    <xf numFmtId="0" fontId="50" fillId="0" borderId="0"/>
    <xf numFmtId="170" fontId="51" fillId="0" borderId="0"/>
    <xf numFmtId="170" fontId="51" fillId="0" borderId="0"/>
    <xf numFmtId="170" fontId="51" fillId="0" borderId="0"/>
    <xf numFmtId="170" fontId="51" fillId="0" borderId="0"/>
    <xf numFmtId="170" fontId="37" fillId="0" borderId="0"/>
    <xf numFmtId="0" fontId="37" fillId="0" borderId="0"/>
    <xf numFmtId="170" fontId="50" fillId="0" borderId="0"/>
    <xf numFmtId="184" fontId="59" fillId="0" borderId="0"/>
    <xf numFmtId="185" fontId="60" fillId="0" borderId="0"/>
    <xf numFmtId="186" fontId="37" fillId="0" borderId="0"/>
    <xf numFmtId="186" fontId="37" fillId="0" borderId="0"/>
    <xf numFmtId="186" fontId="37" fillId="0" borderId="0"/>
    <xf numFmtId="186" fontId="37" fillId="0" borderId="0"/>
    <xf numFmtId="186" fontId="37" fillId="0" borderId="0"/>
    <xf numFmtId="186" fontId="37" fillId="0" borderId="0"/>
    <xf numFmtId="186" fontId="37" fillId="0" borderId="0"/>
    <xf numFmtId="186" fontId="37" fillId="0" borderId="0"/>
    <xf numFmtId="187" fontId="62" fillId="0" borderId="0"/>
    <xf numFmtId="170" fontId="51" fillId="0" borderId="0"/>
    <xf numFmtId="170" fontId="51" fillId="0" borderId="0"/>
    <xf numFmtId="170" fontId="51" fillId="0" borderId="0"/>
    <xf numFmtId="170" fontId="51" fillId="0" borderId="0"/>
    <xf numFmtId="170" fontId="51" fillId="0" borderId="0"/>
    <xf numFmtId="0" fontId="61" fillId="0" borderId="0"/>
    <xf numFmtId="170" fontId="50" fillId="0" borderId="0"/>
    <xf numFmtId="170" fontId="51" fillId="0" borderId="0"/>
    <xf numFmtId="170" fontId="51" fillId="0" borderId="0"/>
    <xf numFmtId="170" fontId="51" fillId="0" borderId="0"/>
    <xf numFmtId="170" fontId="51" fillId="0" borderId="0"/>
    <xf numFmtId="170" fontId="51" fillId="0" borderId="0"/>
    <xf numFmtId="170" fontId="51" fillId="0" borderId="0"/>
    <xf numFmtId="170" fontId="51" fillId="0" borderId="0"/>
    <xf numFmtId="170" fontId="51" fillId="0" borderId="0"/>
    <xf numFmtId="170" fontId="50" fillId="0" borderId="0"/>
    <xf numFmtId="170" fontId="51" fillId="0" borderId="0"/>
    <xf numFmtId="0" fontId="51" fillId="0" borderId="0"/>
    <xf numFmtId="170" fontId="51" fillId="0" borderId="0"/>
    <xf numFmtId="0" fontId="51" fillId="0" borderId="0"/>
    <xf numFmtId="170" fontId="51" fillId="0" borderId="0"/>
    <xf numFmtId="0" fontId="51" fillId="0" borderId="0"/>
    <xf numFmtId="170" fontId="51" fillId="0" borderId="0"/>
    <xf numFmtId="0" fontId="51" fillId="0" borderId="0"/>
    <xf numFmtId="170" fontId="51" fillId="0" borderId="0"/>
    <xf numFmtId="170" fontId="51" fillId="0" borderId="0"/>
    <xf numFmtId="0" fontId="51" fillId="0" borderId="0"/>
    <xf numFmtId="170" fontId="51" fillId="0" borderId="0"/>
    <xf numFmtId="170" fontId="51" fillId="0" borderId="0"/>
    <xf numFmtId="170" fontId="50" fillId="0" borderId="0"/>
    <xf numFmtId="170" fontId="50" fillId="0" borderId="0"/>
    <xf numFmtId="0" fontId="63" fillId="0" borderId="0" applyAlignment="1" applyProtection="1">
      <alignment vertical="top"/>
      <protection locked="0" hidden="0"/>
    </xf>
    <xf numFmtId="0" fontId="51" fillId="0" borderId="0"/>
    <xf numFmtId="0" fontId="51" fillId="0" borderId="0"/>
    <xf numFmtId="10" fontId="64" fillId="0" borderId="0"/>
    <xf numFmtId="170" fontId="65" fillId="0" borderId="0"/>
    <xf numFmtId="10" fontId="66" fillId="0" borderId="0"/>
    <xf numFmtId="170" fontId="67" fillId="0" borderId="0"/>
    <xf numFmtId="170" fontId="68" fillId="0" borderId="0"/>
    <xf numFmtId="170" fontId="51" fillId="0" borderId="0"/>
    <xf numFmtId="0" fontId="51" fillId="0" borderId="0"/>
    <xf numFmtId="49" fontId="69" fillId="0" borderId="49" applyAlignment="1">
      <alignment vertical="center"/>
    </xf>
    <xf numFmtId="170" fontId="70" fillId="0" borderId="50" applyAlignment="1">
      <alignment horizontal="center" vertical="center"/>
    </xf>
    <xf numFmtId="170" fontId="70" fillId="0" borderId="50" applyAlignment="1">
      <alignment horizontal="center" vertical="center"/>
    </xf>
    <xf numFmtId="49" fontId="69" fillId="0" borderId="49" applyAlignment="1">
      <alignment vertical="center"/>
    </xf>
    <xf numFmtId="49" fontId="69" fillId="0" borderId="49" applyAlignment="1">
      <alignment vertical="center"/>
    </xf>
    <xf numFmtId="49" fontId="69" fillId="0" borderId="49" applyAlignment="1">
      <alignment vertical="center"/>
    </xf>
    <xf numFmtId="170" fontId="71" fillId="0" borderId="51"/>
    <xf numFmtId="4" fontId="72" fillId="0" borderId="52" applyAlignment="1">
      <alignment vertical="center"/>
    </xf>
    <xf numFmtId="4" fontId="72" fillId="0" borderId="52" applyAlignment="1">
      <alignment vertical="center"/>
    </xf>
    <xf numFmtId="4" fontId="72" fillId="0" borderId="52" applyAlignment="1">
      <alignment vertical="center"/>
    </xf>
    <xf numFmtId="4" fontId="72" fillId="0" borderId="52" applyAlignment="1">
      <alignment vertical="center"/>
    </xf>
    <xf numFmtId="4" fontId="72" fillId="0" borderId="52" applyAlignment="1">
      <alignment vertical="center"/>
    </xf>
    <xf numFmtId="4" fontId="72" fillId="0" borderId="52" applyAlignment="1">
      <alignment vertical="center"/>
    </xf>
    <xf numFmtId="4" fontId="72" fillId="0" borderId="52" applyAlignment="1">
      <alignment vertical="center"/>
    </xf>
    <xf numFmtId="4" fontId="72" fillId="0" borderId="52" applyAlignment="1">
      <alignment vertical="center"/>
    </xf>
    <xf numFmtId="4" fontId="72" fillId="0" borderId="52" applyAlignment="1">
      <alignment vertical="center"/>
    </xf>
    <xf numFmtId="4" fontId="72" fillId="0" borderId="52" applyAlignment="1">
      <alignment vertical="center"/>
    </xf>
    <xf numFmtId="4" fontId="72" fillId="0" borderId="52" applyAlignment="1">
      <alignment vertical="center"/>
    </xf>
    <xf numFmtId="4" fontId="72" fillId="0" borderId="52" applyAlignment="1">
      <alignment vertical="center"/>
    </xf>
    <xf numFmtId="4" fontId="72" fillId="0" borderId="52" applyAlignment="1">
      <alignment vertical="center"/>
    </xf>
    <xf numFmtId="4" fontId="72" fillId="0" borderId="52" applyAlignment="1">
      <alignment vertical="center"/>
    </xf>
    <xf numFmtId="4" fontId="72" fillId="0" borderId="52" applyAlignment="1">
      <alignment vertical="center"/>
    </xf>
    <xf numFmtId="4" fontId="72" fillId="0" borderId="52" applyAlignment="1">
      <alignment vertical="center"/>
    </xf>
    <xf numFmtId="4" fontId="72" fillId="0" borderId="52" applyAlignment="1">
      <alignment vertical="center"/>
    </xf>
    <xf numFmtId="4" fontId="72" fillId="0" borderId="52" applyAlignment="1">
      <alignment vertical="center"/>
    </xf>
    <xf numFmtId="4" fontId="72" fillId="0" borderId="52" applyAlignment="1">
      <alignment vertical="center"/>
    </xf>
    <xf numFmtId="4" fontId="72" fillId="0" borderId="52" applyAlignment="1">
      <alignment vertical="center"/>
    </xf>
    <xf numFmtId="4" fontId="72" fillId="0" borderId="52" applyAlignment="1">
      <alignment vertical="center"/>
    </xf>
    <xf numFmtId="4" fontId="72" fillId="0" borderId="52" applyAlignment="1">
      <alignment vertical="center"/>
    </xf>
    <xf numFmtId="4" fontId="72" fillId="0" borderId="52" applyAlignment="1">
      <alignment vertical="center"/>
    </xf>
    <xf numFmtId="4" fontId="72" fillId="0" borderId="52" applyAlignment="1">
      <alignment vertical="center"/>
    </xf>
    <xf numFmtId="4" fontId="72" fillId="0" borderId="52" applyAlignment="1">
      <alignment vertical="center"/>
    </xf>
    <xf numFmtId="4" fontId="72" fillId="0" borderId="52" applyAlignment="1">
      <alignment vertical="center"/>
    </xf>
    <xf numFmtId="4" fontId="72" fillId="0" borderId="52" applyAlignment="1">
      <alignment vertical="center"/>
    </xf>
    <xf numFmtId="4" fontId="72" fillId="0" borderId="52" applyAlignment="1">
      <alignment vertical="center"/>
    </xf>
    <xf numFmtId="4" fontId="72" fillId="0" borderId="52" applyAlignment="1">
      <alignment vertical="center"/>
    </xf>
    <xf numFmtId="4" fontId="72" fillId="0" borderId="52" applyAlignment="1">
      <alignment vertical="center"/>
    </xf>
    <xf numFmtId="4" fontId="72" fillId="0" borderId="52" applyAlignment="1">
      <alignment vertical="center"/>
    </xf>
    <xf numFmtId="4" fontId="72" fillId="0" borderId="52" applyAlignment="1">
      <alignment vertical="center"/>
    </xf>
    <xf numFmtId="4" fontId="72" fillId="0" borderId="52" applyAlignment="1">
      <alignment vertical="center"/>
    </xf>
    <xf numFmtId="4" fontId="72" fillId="0" borderId="52" applyAlignment="1">
      <alignment vertical="center"/>
    </xf>
    <xf numFmtId="9" fontId="73" fillId="0" borderId="0"/>
    <xf numFmtId="10" fontId="74" fillId="0" borderId="0"/>
    <xf numFmtId="0" fontId="75" fillId="39" borderId="0" applyAlignment="1">
      <alignment vertical="center"/>
    </xf>
    <xf numFmtId="0" fontId="75" fillId="39" borderId="0" applyAlignment="1">
      <alignment vertical="center"/>
    </xf>
    <xf numFmtId="0" fontId="76" fillId="39" borderId="0" applyAlignment="1">
      <alignment vertical="center"/>
    </xf>
    <xf numFmtId="0" fontId="77" fillId="39" borderId="0" applyAlignment="1">
      <alignment vertical="center"/>
    </xf>
    <xf numFmtId="0" fontId="75" fillId="39" borderId="0" applyAlignment="1">
      <alignment vertical="center"/>
    </xf>
    <xf numFmtId="0" fontId="76" fillId="39" borderId="0" applyAlignment="1">
      <alignment vertical="center"/>
    </xf>
    <xf numFmtId="0" fontId="78" fillId="40" borderId="0" applyAlignment="1">
      <alignment vertical="center"/>
    </xf>
    <xf numFmtId="0" fontId="75" fillId="41" borderId="0" applyAlignment="1">
      <alignment vertical="center"/>
    </xf>
    <xf numFmtId="0" fontId="75" fillId="41" borderId="0" applyAlignment="1">
      <alignment vertical="center"/>
    </xf>
    <xf numFmtId="0" fontId="76" fillId="41" borderId="0" applyAlignment="1">
      <alignment vertical="center"/>
    </xf>
    <xf numFmtId="0" fontId="77" fillId="41" borderId="0" applyAlignment="1">
      <alignment vertical="center"/>
    </xf>
    <xf numFmtId="0" fontId="75" fillId="41" borderId="0" applyAlignment="1">
      <alignment vertical="center"/>
    </xf>
    <xf numFmtId="0" fontId="76" fillId="41" borderId="0" applyAlignment="1">
      <alignment vertical="center"/>
    </xf>
    <xf numFmtId="0" fontId="78" fillId="42" borderId="0" applyAlignment="1">
      <alignment vertical="center"/>
    </xf>
    <xf numFmtId="0" fontId="75" fillId="43" borderId="0" applyAlignment="1">
      <alignment vertical="center"/>
    </xf>
    <xf numFmtId="0" fontId="75" fillId="43" borderId="0" applyAlignment="1">
      <alignment vertical="center"/>
    </xf>
    <xf numFmtId="0" fontId="76" fillId="43" borderId="0" applyAlignment="1">
      <alignment vertical="center"/>
    </xf>
    <xf numFmtId="0" fontId="77" fillId="43" borderId="0" applyAlignment="1">
      <alignment vertical="center"/>
    </xf>
    <xf numFmtId="0" fontId="75" fillId="43" borderId="0" applyAlignment="1">
      <alignment vertical="center"/>
    </xf>
    <xf numFmtId="0" fontId="76" fillId="43" borderId="0" applyAlignment="1">
      <alignment vertical="center"/>
    </xf>
    <xf numFmtId="0" fontId="78" fillId="44" borderId="0" applyAlignment="1">
      <alignment vertical="center"/>
    </xf>
    <xf numFmtId="0" fontId="75" fillId="45" borderId="0" applyAlignment="1">
      <alignment vertical="center"/>
    </xf>
    <xf numFmtId="0" fontId="75" fillId="45" borderId="0" applyAlignment="1">
      <alignment vertical="center"/>
    </xf>
    <xf numFmtId="0" fontId="76" fillId="45" borderId="0" applyAlignment="1">
      <alignment vertical="center"/>
    </xf>
    <xf numFmtId="0" fontId="77" fillId="45" borderId="0" applyAlignment="1">
      <alignment vertical="center"/>
    </xf>
    <xf numFmtId="0" fontId="75" fillId="45" borderId="0" applyAlignment="1">
      <alignment vertical="center"/>
    </xf>
    <xf numFmtId="0" fontId="76" fillId="45" borderId="0" applyAlignment="1">
      <alignment vertical="center"/>
    </xf>
    <xf numFmtId="0" fontId="78" fillId="46" borderId="0" applyAlignment="1">
      <alignment vertical="center"/>
    </xf>
    <xf numFmtId="0" fontId="75" fillId="47" borderId="0" applyAlignment="1">
      <alignment vertical="center"/>
    </xf>
    <xf numFmtId="0" fontId="75" fillId="47" borderId="0" applyAlignment="1">
      <alignment vertical="center"/>
    </xf>
    <xf numFmtId="0" fontId="76" fillId="47" borderId="0" applyAlignment="1">
      <alignment vertical="center"/>
    </xf>
    <xf numFmtId="0" fontId="77" fillId="47" borderId="0" applyAlignment="1">
      <alignment vertical="center"/>
    </xf>
    <xf numFmtId="0" fontId="75" fillId="47" borderId="0" applyAlignment="1">
      <alignment vertical="center"/>
    </xf>
    <xf numFmtId="0" fontId="76" fillId="47" borderId="0" applyAlignment="1">
      <alignment vertical="center"/>
    </xf>
    <xf numFmtId="0" fontId="78" fillId="48" borderId="0" applyAlignment="1">
      <alignment vertical="center"/>
    </xf>
    <xf numFmtId="0" fontId="75" fillId="49" borderId="0" applyAlignment="1">
      <alignment vertical="center"/>
    </xf>
    <xf numFmtId="0" fontId="75" fillId="49" borderId="0" applyAlignment="1">
      <alignment vertical="center"/>
    </xf>
    <xf numFmtId="0" fontId="76" fillId="49" borderId="0" applyAlignment="1">
      <alignment vertical="center"/>
    </xf>
    <xf numFmtId="0" fontId="77" fillId="49" borderId="0" applyAlignment="1">
      <alignment vertical="center"/>
    </xf>
    <xf numFmtId="0" fontId="75" fillId="49" borderId="0" applyAlignment="1">
      <alignment vertical="center"/>
    </xf>
    <xf numFmtId="0" fontId="76" fillId="49" borderId="0" applyAlignment="1">
      <alignment vertical="center"/>
    </xf>
    <xf numFmtId="0" fontId="78" fillId="36" borderId="0" applyAlignment="1">
      <alignment vertical="center"/>
    </xf>
    <xf numFmtId="0" fontId="79"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79"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79"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79"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79"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79"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79" fillId="10" borderId="0" applyAlignment="1">
      <alignment vertical="center"/>
    </xf>
    <xf numFmtId="170" fontId="79" fillId="10" borderId="0" applyAlignment="1">
      <alignment vertical="center"/>
    </xf>
    <xf numFmtId="170" fontId="79" fillId="10" borderId="0" applyAlignment="1">
      <alignment vertical="center"/>
    </xf>
    <xf numFmtId="0" fontId="79" fillId="10" borderId="0" applyAlignment="1">
      <alignment vertical="center"/>
    </xf>
    <xf numFmtId="0" fontId="79" fillId="10" borderId="0" applyAlignment="1">
      <alignment vertical="center"/>
    </xf>
    <xf numFmtId="170" fontId="79" fillId="10" borderId="0" applyAlignment="1">
      <alignment vertical="center"/>
    </xf>
    <xf numFmtId="170" fontId="79" fillId="10" borderId="0" applyAlignment="1">
      <alignment vertical="center"/>
    </xf>
    <xf numFmtId="0" fontId="79" fillId="10" borderId="0" applyAlignment="1">
      <alignment vertical="center"/>
    </xf>
    <xf numFmtId="0" fontId="79" fillId="10" borderId="0" applyAlignment="1">
      <alignment vertical="center"/>
    </xf>
    <xf numFmtId="170" fontId="79" fillId="10" borderId="0" applyAlignment="1">
      <alignment vertical="center"/>
    </xf>
    <xf numFmtId="0" fontId="79" fillId="10" borderId="0" applyAlignment="1">
      <alignment vertical="center"/>
    </xf>
    <xf numFmtId="170" fontId="75" fillId="50" borderId="0" applyAlignment="1">
      <alignment vertical="center"/>
    </xf>
    <xf numFmtId="0" fontId="80" fillId="39"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79"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79" fillId="10" borderId="0" applyAlignment="1">
      <alignment vertical="center"/>
    </xf>
    <xf numFmtId="0" fontId="4" fillId="10" borderId="0" applyAlignment="1">
      <alignment vertical="center"/>
    </xf>
    <xf numFmtId="170" fontId="79" fillId="10" borderId="0" applyAlignment="1">
      <alignment vertical="center"/>
    </xf>
    <xf numFmtId="0" fontId="4" fillId="10" borderId="0" applyAlignment="1">
      <alignment vertical="center"/>
    </xf>
    <xf numFmtId="0" fontId="79" fillId="10" borderId="0" applyAlignment="1">
      <alignment vertical="center"/>
    </xf>
    <xf numFmtId="0" fontId="4" fillId="10" borderId="0" applyAlignment="1">
      <alignment vertical="center"/>
    </xf>
    <xf numFmtId="170" fontId="79"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79"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170" fontId="79" fillId="10" borderId="0" applyAlignment="1">
      <alignment vertical="center"/>
    </xf>
    <xf numFmtId="0" fontId="4" fillId="10" borderId="0" applyAlignment="1">
      <alignment vertical="center"/>
    </xf>
    <xf numFmtId="0" fontId="79" fillId="10" borderId="0" applyAlignment="1">
      <alignment vertical="center"/>
    </xf>
    <xf numFmtId="0" fontId="4" fillId="10" borderId="0" applyAlignment="1">
      <alignment vertical="center"/>
    </xf>
    <xf numFmtId="170" fontId="79"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79"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170" fontId="79" fillId="10" borderId="0" applyAlignment="1">
      <alignment vertical="center"/>
    </xf>
    <xf numFmtId="0" fontId="4" fillId="10" borderId="0" applyAlignment="1">
      <alignment vertical="center"/>
    </xf>
    <xf numFmtId="0" fontId="79"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170" fontId="75" fillId="39"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79"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79"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79"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79"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79"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79"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4" fillId="10" borderId="0" applyAlignment="1">
      <alignment vertical="center"/>
    </xf>
    <xf numFmtId="0" fontId="79"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79"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79"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79"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79"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79"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79" fillId="14" borderId="0" applyAlignment="1">
      <alignment vertical="center"/>
    </xf>
    <xf numFmtId="170" fontId="79" fillId="14" borderId="0" applyAlignment="1">
      <alignment vertical="center"/>
    </xf>
    <xf numFmtId="170" fontId="79" fillId="14" borderId="0" applyAlignment="1">
      <alignment vertical="center"/>
    </xf>
    <xf numFmtId="0" fontId="79" fillId="14" borderId="0" applyAlignment="1">
      <alignment vertical="center"/>
    </xf>
    <xf numFmtId="0" fontId="79" fillId="14" borderId="0" applyAlignment="1">
      <alignment vertical="center"/>
    </xf>
    <xf numFmtId="170" fontId="79" fillId="14" borderId="0" applyAlignment="1">
      <alignment vertical="center"/>
    </xf>
    <xf numFmtId="170" fontId="79" fillId="14" borderId="0" applyAlignment="1">
      <alignment vertical="center"/>
    </xf>
    <xf numFmtId="0" fontId="79" fillId="14" borderId="0" applyAlignment="1">
      <alignment vertical="center"/>
    </xf>
    <xf numFmtId="0" fontId="79" fillId="14" borderId="0" applyAlignment="1">
      <alignment vertical="center"/>
    </xf>
    <xf numFmtId="170" fontId="79" fillId="14" borderId="0" applyAlignment="1">
      <alignment vertical="center"/>
    </xf>
    <xf numFmtId="0" fontId="79" fillId="14" borderId="0" applyAlignment="1">
      <alignment vertical="center"/>
    </xf>
    <xf numFmtId="170" fontId="75" fillId="51" borderId="0" applyAlignment="1">
      <alignment vertical="center"/>
    </xf>
    <xf numFmtId="0" fontId="80" fillId="41"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79"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79" fillId="14" borderId="0" applyAlignment="1">
      <alignment vertical="center"/>
    </xf>
    <xf numFmtId="0" fontId="4" fillId="14" borderId="0" applyAlignment="1">
      <alignment vertical="center"/>
    </xf>
    <xf numFmtId="170" fontId="79" fillId="14" borderId="0" applyAlignment="1">
      <alignment vertical="center"/>
    </xf>
    <xf numFmtId="0" fontId="4" fillId="14" borderId="0" applyAlignment="1">
      <alignment vertical="center"/>
    </xf>
    <xf numFmtId="0" fontId="79" fillId="14" borderId="0" applyAlignment="1">
      <alignment vertical="center"/>
    </xf>
    <xf numFmtId="0" fontId="4" fillId="14" borderId="0" applyAlignment="1">
      <alignment vertical="center"/>
    </xf>
    <xf numFmtId="170" fontId="79"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79"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170" fontId="79" fillId="14" borderId="0" applyAlignment="1">
      <alignment vertical="center"/>
    </xf>
    <xf numFmtId="0" fontId="4" fillId="14" borderId="0" applyAlignment="1">
      <alignment vertical="center"/>
    </xf>
    <xf numFmtId="0" fontId="79" fillId="14" borderId="0" applyAlignment="1">
      <alignment vertical="center"/>
    </xf>
    <xf numFmtId="0" fontId="4" fillId="14" borderId="0" applyAlignment="1">
      <alignment vertical="center"/>
    </xf>
    <xf numFmtId="170" fontId="79"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79"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170" fontId="79" fillId="14" borderId="0" applyAlignment="1">
      <alignment vertical="center"/>
    </xf>
    <xf numFmtId="0" fontId="4" fillId="14" borderId="0" applyAlignment="1">
      <alignment vertical="center"/>
    </xf>
    <xf numFmtId="0" fontId="79"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170" fontId="75" fillId="41"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79"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79"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79"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79"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79"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79"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4" fillId="14" borderId="0" applyAlignment="1">
      <alignment vertical="center"/>
    </xf>
    <xf numFmtId="0" fontId="79"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79"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79"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79"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79"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79"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79" fillId="18" borderId="0" applyAlignment="1">
      <alignment vertical="center"/>
    </xf>
    <xf numFmtId="170" fontId="79" fillId="18" borderId="0" applyAlignment="1">
      <alignment vertical="center"/>
    </xf>
    <xf numFmtId="170" fontId="79" fillId="18" borderId="0" applyAlignment="1">
      <alignment vertical="center"/>
    </xf>
    <xf numFmtId="0" fontId="79" fillId="18" borderId="0" applyAlignment="1">
      <alignment vertical="center"/>
    </xf>
    <xf numFmtId="0" fontId="79" fillId="18" borderId="0" applyAlignment="1">
      <alignment vertical="center"/>
    </xf>
    <xf numFmtId="170" fontId="79" fillId="18" borderId="0" applyAlignment="1">
      <alignment vertical="center"/>
    </xf>
    <xf numFmtId="170" fontId="79" fillId="18" borderId="0" applyAlignment="1">
      <alignment vertical="center"/>
    </xf>
    <xf numFmtId="0" fontId="79" fillId="18" borderId="0" applyAlignment="1">
      <alignment vertical="center"/>
    </xf>
    <xf numFmtId="0" fontId="79" fillId="18" borderId="0" applyAlignment="1">
      <alignment vertical="center"/>
    </xf>
    <xf numFmtId="170" fontId="79" fillId="18" borderId="0" applyAlignment="1">
      <alignment vertical="center"/>
    </xf>
    <xf numFmtId="0" fontId="79" fillId="18" borderId="0" applyAlignment="1">
      <alignment vertical="center"/>
    </xf>
    <xf numFmtId="170" fontId="75" fillId="52" borderId="0" applyAlignment="1">
      <alignment vertical="center"/>
    </xf>
    <xf numFmtId="0" fontId="80" fillId="43"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79"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79" fillId="18" borderId="0" applyAlignment="1">
      <alignment vertical="center"/>
    </xf>
    <xf numFmtId="0" fontId="4" fillId="18" borderId="0" applyAlignment="1">
      <alignment vertical="center"/>
    </xf>
    <xf numFmtId="170" fontId="79" fillId="18" borderId="0" applyAlignment="1">
      <alignment vertical="center"/>
    </xf>
    <xf numFmtId="0" fontId="4" fillId="18" borderId="0" applyAlignment="1">
      <alignment vertical="center"/>
    </xf>
    <xf numFmtId="0" fontId="79" fillId="18" borderId="0" applyAlignment="1">
      <alignment vertical="center"/>
    </xf>
    <xf numFmtId="0" fontId="4" fillId="18" borderId="0" applyAlignment="1">
      <alignment vertical="center"/>
    </xf>
    <xf numFmtId="170" fontId="79"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79"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170" fontId="79" fillId="18" borderId="0" applyAlignment="1">
      <alignment vertical="center"/>
    </xf>
    <xf numFmtId="0" fontId="4" fillId="18" borderId="0" applyAlignment="1">
      <alignment vertical="center"/>
    </xf>
    <xf numFmtId="0" fontId="79" fillId="18" borderId="0" applyAlignment="1">
      <alignment vertical="center"/>
    </xf>
    <xf numFmtId="0" fontId="4" fillId="18" borderId="0" applyAlignment="1">
      <alignment vertical="center"/>
    </xf>
    <xf numFmtId="170" fontId="79"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79"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170" fontId="79" fillId="18" borderId="0" applyAlignment="1">
      <alignment vertical="center"/>
    </xf>
    <xf numFmtId="0" fontId="4" fillId="18" borderId="0" applyAlignment="1">
      <alignment vertical="center"/>
    </xf>
    <xf numFmtId="0" fontId="79"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170" fontId="75" fillId="43"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79"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79"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79"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79"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79"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79"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4" fillId="18" borderId="0" applyAlignment="1">
      <alignment vertical="center"/>
    </xf>
    <xf numFmtId="0" fontId="79"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79"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79"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79"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79"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79"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79" fillId="22" borderId="0" applyAlignment="1">
      <alignment vertical="center"/>
    </xf>
    <xf numFmtId="170" fontId="79" fillId="22" borderId="0" applyAlignment="1">
      <alignment vertical="center"/>
    </xf>
    <xf numFmtId="170" fontId="79" fillId="22" borderId="0" applyAlignment="1">
      <alignment vertical="center"/>
    </xf>
    <xf numFmtId="0" fontId="79" fillId="22" borderId="0" applyAlignment="1">
      <alignment vertical="center"/>
    </xf>
    <xf numFmtId="0" fontId="79" fillId="22" borderId="0" applyAlignment="1">
      <alignment vertical="center"/>
    </xf>
    <xf numFmtId="170" fontId="79" fillId="22" borderId="0" applyAlignment="1">
      <alignment vertical="center"/>
    </xf>
    <xf numFmtId="170" fontId="79" fillId="22" borderId="0" applyAlignment="1">
      <alignment vertical="center"/>
    </xf>
    <xf numFmtId="0" fontId="79" fillId="22" borderId="0" applyAlignment="1">
      <alignment vertical="center"/>
    </xf>
    <xf numFmtId="0" fontId="79" fillId="22" borderId="0" applyAlignment="1">
      <alignment vertical="center"/>
    </xf>
    <xf numFmtId="170" fontId="79" fillId="22" borderId="0" applyAlignment="1">
      <alignment vertical="center"/>
    </xf>
    <xf numFmtId="0" fontId="79" fillId="22" borderId="0" applyAlignment="1">
      <alignment vertical="center"/>
    </xf>
    <xf numFmtId="170" fontId="75" fillId="49" borderId="0" applyAlignment="1">
      <alignment vertical="center"/>
    </xf>
    <xf numFmtId="0" fontId="80" fillId="45"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79"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79" fillId="22" borderId="0" applyAlignment="1">
      <alignment vertical="center"/>
    </xf>
    <xf numFmtId="0" fontId="4" fillId="22" borderId="0" applyAlignment="1">
      <alignment vertical="center"/>
    </xf>
    <xf numFmtId="170" fontId="79" fillId="22" borderId="0" applyAlignment="1">
      <alignment vertical="center"/>
    </xf>
    <xf numFmtId="0" fontId="4" fillId="22" borderId="0" applyAlignment="1">
      <alignment vertical="center"/>
    </xf>
    <xf numFmtId="0" fontId="79" fillId="22" borderId="0" applyAlignment="1">
      <alignment vertical="center"/>
    </xf>
    <xf numFmtId="0" fontId="4" fillId="22" borderId="0" applyAlignment="1">
      <alignment vertical="center"/>
    </xf>
    <xf numFmtId="170" fontId="79"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79"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170" fontId="79" fillId="22" borderId="0" applyAlignment="1">
      <alignment vertical="center"/>
    </xf>
    <xf numFmtId="0" fontId="4" fillId="22" borderId="0" applyAlignment="1">
      <alignment vertical="center"/>
    </xf>
    <xf numFmtId="0" fontId="79" fillId="22" borderId="0" applyAlignment="1">
      <alignment vertical="center"/>
    </xf>
    <xf numFmtId="0" fontId="4" fillId="22" borderId="0" applyAlignment="1">
      <alignment vertical="center"/>
    </xf>
    <xf numFmtId="170" fontId="79"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79"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170" fontId="79" fillId="22" borderId="0" applyAlignment="1">
      <alignment vertical="center"/>
    </xf>
    <xf numFmtId="0" fontId="4" fillId="22" borderId="0" applyAlignment="1">
      <alignment vertical="center"/>
    </xf>
    <xf numFmtId="0" fontId="79"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170" fontId="75" fillId="45"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79"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79"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79"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79"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79"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79"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4" fillId="22" borderId="0" applyAlignment="1">
      <alignment vertical="center"/>
    </xf>
    <xf numFmtId="0" fontId="79"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79"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79"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79"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79"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79"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79" fillId="26" borderId="0" applyAlignment="1">
      <alignment vertical="center"/>
    </xf>
    <xf numFmtId="170" fontId="79" fillId="26" borderId="0" applyAlignment="1">
      <alignment vertical="center"/>
    </xf>
    <xf numFmtId="170" fontId="79" fillId="26" borderId="0" applyAlignment="1">
      <alignment vertical="center"/>
    </xf>
    <xf numFmtId="0" fontId="79" fillId="26" borderId="0" applyAlignment="1">
      <alignment vertical="center"/>
    </xf>
    <xf numFmtId="0" fontId="79" fillId="26" borderId="0" applyAlignment="1">
      <alignment vertical="center"/>
    </xf>
    <xf numFmtId="170" fontId="79" fillId="26" borderId="0" applyAlignment="1">
      <alignment vertical="center"/>
    </xf>
    <xf numFmtId="170" fontId="79" fillId="26" borderId="0" applyAlignment="1">
      <alignment vertical="center"/>
    </xf>
    <xf numFmtId="0" fontId="79" fillId="26" borderId="0" applyAlignment="1">
      <alignment vertical="center"/>
    </xf>
    <xf numFmtId="0" fontId="79" fillId="26" borderId="0" applyAlignment="1">
      <alignment vertical="center"/>
    </xf>
    <xf numFmtId="170" fontId="79" fillId="26" borderId="0" applyAlignment="1">
      <alignment vertical="center"/>
    </xf>
    <xf numFmtId="0" fontId="79" fillId="26" borderId="0" applyAlignment="1">
      <alignment vertical="center"/>
    </xf>
    <xf numFmtId="170" fontId="75" fillId="47" borderId="0" applyAlignment="1">
      <alignment vertical="center"/>
    </xf>
    <xf numFmtId="0" fontId="80" fillId="47"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79"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79" fillId="26" borderId="0" applyAlignment="1">
      <alignment vertical="center"/>
    </xf>
    <xf numFmtId="0" fontId="4" fillId="26" borderId="0" applyAlignment="1">
      <alignment vertical="center"/>
    </xf>
    <xf numFmtId="170" fontId="79" fillId="26" borderId="0" applyAlignment="1">
      <alignment vertical="center"/>
    </xf>
    <xf numFmtId="0" fontId="4" fillId="26" borderId="0" applyAlignment="1">
      <alignment vertical="center"/>
    </xf>
    <xf numFmtId="0" fontId="79" fillId="26" borderId="0" applyAlignment="1">
      <alignment vertical="center"/>
    </xf>
    <xf numFmtId="0" fontId="4" fillId="26" borderId="0" applyAlignment="1">
      <alignment vertical="center"/>
    </xf>
    <xf numFmtId="170" fontId="79"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79"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170" fontId="79" fillId="26" borderId="0" applyAlignment="1">
      <alignment vertical="center"/>
    </xf>
    <xf numFmtId="0" fontId="4" fillId="26" borderId="0" applyAlignment="1">
      <alignment vertical="center"/>
    </xf>
    <xf numFmtId="0" fontId="79" fillId="26" borderId="0" applyAlignment="1">
      <alignment vertical="center"/>
    </xf>
    <xf numFmtId="0" fontId="4" fillId="26" borderId="0" applyAlignment="1">
      <alignment vertical="center"/>
    </xf>
    <xf numFmtId="170" fontId="79"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79"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170" fontId="79" fillId="26" borderId="0" applyAlignment="1">
      <alignment vertical="center"/>
    </xf>
    <xf numFmtId="0" fontId="4" fillId="26" borderId="0" applyAlignment="1">
      <alignment vertical="center"/>
    </xf>
    <xf numFmtId="0" fontId="79"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79"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79"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79"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79"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79"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79"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4" fillId="26" borderId="0" applyAlignment="1">
      <alignment vertical="center"/>
    </xf>
    <xf numFmtId="0" fontId="79"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79"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79"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79"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79"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79"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79" fillId="30" borderId="0" applyAlignment="1">
      <alignment vertical="center"/>
    </xf>
    <xf numFmtId="170" fontId="79" fillId="30" borderId="0" applyAlignment="1">
      <alignment vertical="center"/>
    </xf>
    <xf numFmtId="170" fontId="79" fillId="30" borderId="0" applyAlignment="1">
      <alignment vertical="center"/>
    </xf>
    <xf numFmtId="0" fontId="79" fillId="30" borderId="0" applyAlignment="1">
      <alignment vertical="center"/>
    </xf>
    <xf numFmtId="0" fontId="79" fillId="30" borderId="0" applyAlignment="1">
      <alignment vertical="center"/>
    </xf>
    <xf numFmtId="170" fontId="79" fillId="30" borderId="0" applyAlignment="1">
      <alignment vertical="center"/>
    </xf>
    <xf numFmtId="170" fontId="79" fillId="30" borderId="0" applyAlignment="1">
      <alignment vertical="center"/>
    </xf>
    <xf numFmtId="0" fontId="79" fillId="30" borderId="0" applyAlignment="1">
      <alignment vertical="center"/>
    </xf>
    <xf numFmtId="0" fontId="79" fillId="30" borderId="0" applyAlignment="1">
      <alignment vertical="center"/>
    </xf>
    <xf numFmtId="170" fontId="79" fillId="30" borderId="0" applyAlignment="1">
      <alignment vertical="center"/>
    </xf>
    <xf numFmtId="0" fontId="79" fillId="30" borderId="0" applyAlignment="1">
      <alignment vertical="center"/>
    </xf>
    <xf numFmtId="170" fontId="75" fillId="52" borderId="0" applyAlignment="1">
      <alignment vertical="center"/>
    </xf>
    <xf numFmtId="0" fontId="80" fillId="49"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79"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79" fillId="30" borderId="0" applyAlignment="1">
      <alignment vertical="center"/>
    </xf>
    <xf numFmtId="0" fontId="4" fillId="30" borderId="0" applyAlignment="1">
      <alignment vertical="center"/>
    </xf>
    <xf numFmtId="170" fontId="79" fillId="30" borderId="0" applyAlignment="1">
      <alignment vertical="center"/>
    </xf>
    <xf numFmtId="0" fontId="4" fillId="30" borderId="0" applyAlignment="1">
      <alignment vertical="center"/>
    </xf>
    <xf numFmtId="0" fontId="79" fillId="30" borderId="0" applyAlignment="1">
      <alignment vertical="center"/>
    </xf>
    <xf numFmtId="0" fontId="4" fillId="30" borderId="0" applyAlignment="1">
      <alignment vertical="center"/>
    </xf>
    <xf numFmtId="170" fontId="79"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79"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170" fontId="79" fillId="30" borderId="0" applyAlignment="1">
      <alignment vertical="center"/>
    </xf>
    <xf numFmtId="0" fontId="4" fillId="30" borderId="0" applyAlignment="1">
      <alignment vertical="center"/>
    </xf>
    <xf numFmtId="0" fontId="79" fillId="30" borderId="0" applyAlignment="1">
      <alignment vertical="center"/>
    </xf>
    <xf numFmtId="0" fontId="4" fillId="30" borderId="0" applyAlignment="1">
      <alignment vertical="center"/>
    </xf>
    <xf numFmtId="170" fontId="79"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79"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170" fontId="79" fillId="30" borderId="0" applyAlignment="1">
      <alignment vertical="center"/>
    </xf>
    <xf numFmtId="0" fontId="4" fillId="30" borderId="0" applyAlignment="1">
      <alignment vertical="center"/>
    </xf>
    <xf numFmtId="0" fontId="79"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170" fontId="75" fillId="49"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79"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79"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79"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79"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79"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79"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4" fillId="30" borderId="0" applyAlignment="1">
      <alignment vertical="center"/>
    </xf>
    <xf numFmtId="0" fontId="75" fillId="50" borderId="0" applyAlignment="1">
      <alignment vertical="center"/>
    </xf>
    <xf numFmtId="0" fontId="75" fillId="50" borderId="0" applyAlignment="1">
      <alignment vertical="center"/>
    </xf>
    <xf numFmtId="0" fontId="76" fillId="50" borderId="0" applyAlignment="1">
      <alignment vertical="center"/>
    </xf>
    <xf numFmtId="0" fontId="77" fillId="50" borderId="0" applyAlignment="1">
      <alignment vertical="center"/>
    </xf>
    <xf numFmtId="0" fontId="75" fillId="50" borderId="0" applyAlignment="1">
      <alignment vertical="center"/>
    </xf>
    <xf numFmtId="0" fontId="76" fillId="50" borderId="0" applyAlignment="1">
      <alignment vertical="center"/>
    </xf>
    <xf numFmtId="0" fontId="78" fillId="53" borderId="0" applyAlignment="1">
      <alignment vertical="center"/>
    </xf>
    <xf numFmtId="0" fontId="75" fillId="51" borderId="0" applyAlignment="1">
      <alignment vertical="center"/>
    </xf>
    <xf numFmtId="0" fontId="75" fillId="51" borderId="0" applyAlignment="1">
      <alignment vertical="center"/>
    </xf>
    <xf numFmtId="0" fontId="76" fillId="51" borderId="0" applyAlignment="1">
      <alignment vertical="center"/>
    </xf>
    <xf numFmtId="0" fontId="77" fillId="51" borderId="0" applyAlignment="1">
      <alignment vertical="center"/>
    </xf>
    <xf numFmtId="0" fontId="75" fillId="51" borderId="0" applyAlignment="1">
      <alignment vertical="center"/>
    </xf>
    <xf numFmtId="0" fontId="76" fillId="51" borderId="0" applyAlignment="1">
      <alignment vertical="center"/>
    </xf>
    <xf numFmtId="0" fontId="78" fillId="54" borderId="0" applyAlignment="1">
      <alignment vertical="center"/>
    </xf>
    <xf numFmtId="0" fontId="75" fillId="55" borderId="0" applyAlignment="1">
      <alignment vertical="center"/>
    </xf>
    <xf numFmtId="0" fontId="75" fillId="55" borderId="0" applyAlignment="1">
      <alignment vertical="center"/>
    </xf>
    <xf numFmtId="0" fontId="76" fillId="55" borderId="0" applyAlignment="1">
      <alignment vertical="center"/>
    </xf>
    <xf numFmtId="0" fontId="77" fillId="55" borderId="0" applyAlignment="1">
      <alignment vertical="center"/>
    </xf>
    <xf numFmtId="0" fontId="75" fillId="55" borderId="0" applyAlignment="1">
      <alignment vertical="center"/>
    </xf>
    <xf numFmtId="0" fontId="76" fillId="55" borderId="0" applyAlignment="1">
      <alignment vertical="center"/>
    </xf>
    <xf numFmtId="0" fontId="78" fillId="56" borderId="0" applyAlignment="1">
      <alignment vertical="center"/>
    </xf>
    <xf numFmtId="0" fontId="75" fillId="45" borderId="0" applyAlignment="1">
      <alignment vertical="center"/>
    </xf>
    <xf numFmtId="0" fontId="75" fillId="45" borderId="0" applyAlignment="1">
      <alignment vertical="center"/>
    </xf>
    <xf numFmtId="0" fontId="76" fillId="45" borderId="0" applyAlignment="1">
      <alignment vertical="center"/>
    </xf>
    <xf numFmtId="0" fontId="77" fillId="45" borderId="0" applyAlignment="1">
      <alignment vertical="center"/>
    </xf>
    <xf numFmtId="0" fontId="75" fillId="45" borderId="0" applyAlignment="1">
      <alignment vertical="center"/>
    </xf>
    <xf numFmtId="0" fontId="76" fillId="45" borderId="0" applyAlignment="1">
      <alignment vertical="center"/>
    </xf>
    <xf numFmtId="0" fontId="78" fillId="46" borderId="0" applyAlignment="1">
      <alignment vertical="center"/>
    </xf>
    <xf numFmtId="0" fontId="75" fillId="50" borderId="0" applyAlignment="1">
      <alignment vertical="center"/>
    </xf>
    <xf numFmtId="0" fontId="75" fillId="50" borderId="0" applyAlignment="1">
      <alignment vertical="center"/>
    </xf>
    <xf numFmtId="0" fontId="76" fillId="50" borderId="0" applyAlignment="1">
      <alignment vertical="center"/>
    </xf>
    <xf numFmtId="0" fontId="77" fillId="50" borderId="0" applyAlignment="1">
      <alignment vertical="center"/>
    </xf>
    <xf numFmtId="0" fontId="75" fillId="50" borderId="0" applyAlignment="1">
      <alignment vertical="center"/>
    </xf>
    <xf numFmtId="0" fontId="76" fillId="50" borderId="0" applyAlignment="1">
      <alignment vertical="center"/>
    </xf>
    <xf numFmtId="0" fontId="78" fillId="53" borderId="0" applyAlignment="1">
      <alignment vertical="center"/>
    </xf>
    <xf numFmtId="0" fontId="75" fillId="57" borderId="0" applyAlignment="1">
      <alignment vertical="center"/>
    </xf>
    <xf numFmtId="0" fontId="75" fillId="57" borderId="0" applyAlignment="1">
      <alignment vertical="center"/>
    </xf>
    <xf numFmtId="0" fontId="76" fillId="57" borderId="0" applyAlignment="1">
      <alignment vertical="center"/>
    </xf>
    <xf numFmtId="0" fontId="77" fillId="57" borderId="0" applyAlignment="1">
      <alignment vertical="center"/>
    </xf>
    <xf numFmtId="0" fontId="75" fillId="57" borderId="0" applyAlignment="1">
      <alignment vertical="center"/>
    </xf>
    <xf numFmtId="0" fontId="76" fillId="57" borderId="0" applyAlignment="1">
      <alignment vertical="center"/>
    </xf>
    <xf numFmtId="0" fontId="78" fillId="58" borderId="0" applyAlignment="1">
      <alignment vertical="center"/>
    </xf>
    <xf numFmtId="0" fontId="79"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79"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79"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79"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79"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79"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79" fillId="11" borderId="0" applyAlignment="1">
      <alignment vertical="center"/>
    </xf>
    <xf numFmtId="170" fontId="79" fillId="11" borderId="0" applyAlignment="1">
      <alignment vertical="center"/>
    </xf>
    <xf numFmtId="170" fontId="79" fillId="11" borderId="0" applyAlignment="1">
      <alignment vertical="center"/>
    </xf>
    <xf numFmtId="0" fontId="79" fillId="11" borderId="0" applyAlignment="1">
      <alignment vertical="center"/>
    </xf>
    <xf numFmtId="0" fontId="79" fillId="11" borderId="0" applyAlignment="1">
      <alignment vertical="center"/>
    </xf>
    <xf numFmtId="170" fontId="79" fillId="11" borderId="0" applyAlignment="1">
      <alignment vertical="center"/>
    </xf>
    <xf numFmtId="170" fontId="79" fillId="11" borderId="0" applyAlignment="1">
      <alignment vertical="center"/>
    </xf>
    <xf numFmtId="0" fontId="79" fillId="11" borderId="0" applyAlignment="1">
      <alignment vertical="center"/>
    </xf>
    <xf numFmtId="0" fontId="79" fillId="11" borderId="0" applyAlignment="1">
      <alignment vertical="center"/>
    </xf>
    <xf numFmtId="170" fontId="79" fillId="11" borderId="0" applyAlignment="1">
      <alignment vertical="center"/>
    </xf>
    <xf numFmtId="0" fontId="79" fillId="11" borderId="0" applyAlignment="1">
      <alignment vertical="center"/>
    </xf>
    <xf numFmtId="170" fontId="75" fillId="47" borderId="0" applyAlignment="1">
      <alignment vertical="center"/>
    </xf>
    <xf numFmtId="0" fontId="80" fillId="50"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79"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79" fillId="11" borderId="0" applyAlignment="1">
      <alignment vertical="center"/>
    </xf>
    <xf numFmtId="0" fontId="4" fillId="11" borderId="0" applyAlignment="1">
      <alignment vertical="center"/>
    </xf>
    <xf numFmtId="170" fontId="79" fillId="11" borderId="0" applyAlignment="1">
      <alignment vertical="center"/>
    </xf>
    <xf numFmtId="0" fontId="4" fillId="11" borderId="0" applyAlignment="1">
      <alignment vertical="center"/>
    </xf>
    <xf numFmtId="0" fontId="79" fillId="11" borderId="0" applyAlignment="1">
      <alignment vertical="center"/>
    </xf>
    <xf numFmtId="0" fontId="4" fillId="11" borderId="0" applyAlignment="1">
      <alignment vertical="center"/>
    </xf>
    <xf numFmtId="170" fontId="79"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79"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170" fontId="79" fillId="11" borderId="0" applyAlignment="1">
      <alignment vertical="center"/>
    </xf>
    <xf numFmtId="0" fontId="4" fillId="11" borderId="0" applyAlignment="1">
      <alignment vertical="center"/>
    </xf>
    <xf numFmtId="0" fontId="79" fillId="11" borderId="0" applyAlignment="1">
      <alignment vertical="center"/>
    </xf>
    <xf numFmtId="0" fontId="4" fillId="11" borderId="0" applyAlignment="1">
      <alignment vertical="center"/>
    </xf>
    <xf numFmtId="170" fontId="79"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79"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170" fontId="79" fillId="11" borderId="0" applyAlignment="1">
      <alignment vertical="center"/>
    </xf>
    <xf numFmtId="0" fontId="4" fillId="11" borderId="0" applyAlignment="1">
      <alignment vertical="center"/>
    </xf>
    <xf numFmtId="0" fontId="79"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170" fontId="75" fillId="50"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79"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79"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79"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79"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79"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79"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4" fillId="11" borderId="0" applyAlignment="1">
      <alignment vertical="center"/>
    </xf>
    <xf numFmtId="0" fontId="79"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79"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79"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79"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79"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79"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79" fillId="15" borderId="0" applyAlignment="1">
      <alignment vertical="center"/>
    </xf>
    <xf numFmtId="170" fontId="79" fillId="15" borderId="0" applyAlignment="1">
      <alignment vertical="center"/>
    </xf>
    <xf numFmtId="170" fontId="79" fillId="15" borderId="0" applyAlignment="1">
      <alignment vertical="center"/>
    </xf>
    <xf numFmtId="0" fontId="79" fillId="15" borderId="0" applyAlignment="1">
      <alignment vertical="center"/>
    </xf>
    <xf numFmtId="0" fontId="79" fillId="15" borderId="0" applyAlignment="1">
      <alignment vertical="center"/>
    </xf>
    <xf numFmtId="170" fontId="79" fillId="15" borderId="0" applyAlignment="1">
      <alignment vertical="center"/>
    </xf>
    <xf numFmtId="170" fontId="79" fillId="15" borderId="0" applyAlignment="1">
      <alignment vertical="center"/>
    </xf>
    <xf numFmtId="0" fontId="79" fillId="15" borderId="0" applyAlignment="1">
      <alignment vertical="center"/>
    </xf>
    <xf numFmtId="0" fontId="79" fillId="15" borderId="0" applyAlignment="1">
      <alignment vertical="center"/>
    </xf>
    <xf numFmtId="170" fontId="79" fillId="15" borderId="0" applyAlignment="1">
      <alignment vertical="center"/>
    </xf>
    <xf numFmtId="0" fontId="79" fillId="15" borderId="0" applyAlignment="1">
      <alignment vertical="center"/>
    </xf>
    <xf numFmtId="170" fontId="75" fillId="51" borderId="0" applyAlignment="1">
      <alignment vertical="center"/>
    </xf>
    <xf numFmtId="0" fontId="80" fillId="51"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79"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79" fillId="15" borderId="0" applyAlignment="1">
      <alignment vertical="center"/>
    </xf>
    <xf numFmtId="0" fontId="4" fillId="15" borderId="0" applyAlignment="1">
      <alignment vertical="center"/>
    </xf>
    <xf numFmtId="170" fontId="79" fillId="15" borderId="0" applyAlignment="1">
      <alignment vertical="center"/>
    </xf>
    <xf numFmtId="0" fontId="4" fillId="15" borderId="0" applyAlignment="1">
      <alignment vertical="center"/>
    </xf>
    <xf numFmtId="0" fontId="79" fillId="15" borderId="0" applyAlignment="1">
      <alignment vertical="center"/>
    </xf>
    <xf numFmtId="0" fontId="4" fillId="15" borderId="0" applyAlignment="1">
      <alignment vertical="center"/>
    </xf>
    <xf numFmtId="170" fontId="79"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79"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170" fontId="79" fillId="15" borderId="0" applyAlignment="1">
      <alignment vertical="center"/>
    </xf>
    <xf numFmtId="0" fontId="4" fillId="15" borderId="0" applyAlignment="1">
      <alignment vertical="center"/>
    </xf>
    <xf numFmtId="0" fontId="79" fillId="15" borderId="0" applyAlignment="1">
      <alignment vertical="center"/>
    </xf>
    <xf numFmtId="0" fontId="4" fillId="15" borderId="0" applyAlignment="1">
      <alignment vertical="center"/>
    </xf>
    <xf numFmtId="170" fontId="79"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79"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170" fontId="79" fillId="15" borderId="0" applyAlignment="1">
      <alignment vertical="center"/>
    </xf>
    <xf numFmtId="0" fontId="4" fillId="15" borderId="0" applyAlignment="1">
      <alignment vertical="center"/>
    </xf>
    <xf numFmtId="0" fontId="79"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79"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79"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79"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79"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79"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79"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4" fillId="15" borderId="0" applyAlignment="1">
      <alignment vertical="center"/>
    </xf>
    <xf numFmtId="0" fontId="79"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79"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79"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79"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79"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79"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79" fillId="19" borderId="0" applyAlignment="1">
      <alignment vertical="center"/>
    </xf>
    <xf numFmtId="170" fontId="79" fillId="19" borderId="0" applyAlignment="1">
      <alignment vertical="center"/>
    </xf>
    <xf numFmtId="170" fontId="79" fillId="19" borderId="0" applyAlignment="1">
      <alignment vertical="center"/>
    </xf>
    <xf numFmtId="0" fontId="79" fillId="19" borderId="0" applyAlignment="1">
      <alignment vertical="center"/>
    </xf>
    <xf numFmtId="0" fontId="79" fillId="19" borderId="0" applyAlignment="1">
      <alignment vertical="center"/>
    </xf>
    <xf numFmtId="170" fontId="79" fillId="19" borderId="0" applyAlignment="1">
      <alignment vertical="center"/>
    </xf>
    <xf numFmtId="170" fontId="79" fillId="19" borderId="0" applyAlignment="1">
      <alignment vertical="center"/>
    </xf>
    <xf numFmtId="0" fontId="79" fillId="19" borderId="0" applyAlignment="1">
      <alignment vertical="center"/>
    </xf>
    <xf numFmtId="0" fontId="79" fillId="19" borderId="0" applyAlignment="1">
      <alignment vertical="center"/>
    </xf>
    <xf numFmtId="170" fontId="79" fillId="19" borderId="0" applyAlignment="1">
      <alignment vertical="center"/>
    </xf>
    <xf numFmtId="0" fontId="79" fillId="19" borderId="0" applyAlignment="1">
      <alignment vertical="center"/>
    </xf>
    <xf numFmtId="170" fontId="75" fillId="59" borderId="0" applyAlignment="1">
      <alignment vertical="center"/>
    </xf>
    <xf numFmtId="0" fontId="80" fillId="55"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79"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79" fillId="19" borderId="0" applyAlignment="1">
      <alignment vertical="center"/>
    </xf>
    <xf numFmtId="0" fontId="4" fillId="19" borderId="0" applyAlignment="1">
      <alignment vertical="center"/>
    </xf>
    <xf numFmtId="170" fontId="79" fillId="19" borderId="0" applyAlignment="1">
      <alignment vertical="center"/>
    </xf>
    <xf numFmtId="0" fontId="4" fillId="19" borderId="0" applyAlignment="1">
      <alignment vertical="center"/>
    </xf>
    <xf numFmtId="0" fontId="79" fillId="19" borderId="0" applyAlignment="1">
      <alignment vertical="center"/>
    </xf>
    <xf numFmtId="0" fontId="4" fillId="19" borderId="0" applyAlignment="1">
      <alignment vertical="center"/>
    </xf>
    <xf numFmtId="170" fontId="79"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79"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170" fontId="79" fillId="19" borderId="0" applyAlignment="1">
      <alignment vertical="center"/>
    </xf>
    <xf numFmtId="0" fontId="4" fillId="19" borderId="0" applyAlignment="1">
      <alignment vertical="center"/>
    </xf>
    <xf numFmtId="0" fontId="79" fillId="19" borderId="0" applyAlignment="1">
      <alignment vertical="center"/>
    </xf>
    <xf numFmtId="0" fontId="4" fillId="19" borderId="0" applyAlignment="1">
      <alignment vertical="center"/>
    </xf>
    <xf numFmtId="170" fontId="79"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79"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170" fontId="79" fillId="19" borderId="0" applyAlignment="1">
      <alignment vertical="center"/>
    </xf>
    <xf numFmtId="0" fontId="4" fillId="19" borderId="0" applyAlignment="1">
      <alignment vertical="center"/>
    </xf>
    <xf numFmtId="0" fontId="79"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170" fontId="75" fillId="55"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79"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79"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79"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79"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79"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79"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4" fillId="19" borderId="0" applyAlignment="1">
      <alignment vertical="center"/>
    </xf>
    <xf numFmtId="0" fontId="79"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79"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79"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79"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79"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79"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79" fillId="23" borderId="0" applyAlignment="1">
      <alignment vertical="center"/>
    </xf>
    <xf numFmtId="170" fontId="79" fillId="23" borderId="0" applyAlignment="1">
      <alignment vertical="center"/>
    </xf>
    <xf numFmtId="170" fontId="79" fillId="23" borderId="0" applyAlignment="1">
      <alignment vertical="center"/>
    </xf>
    <xf numFmtId="0" fontId="79" fillId="23" borderId="0" applyAlignment="1">
      <alignment vertical="center"/>
    </xf>
    <xf numFmtId="0" fontId="79" fillId="23" borderId="0" applyAlignment="1">
      <alignment vertical="center"/>
    </xf>
    <xf numFmtId="170" fontId="79" fillId="23" borderId="0" applyAlignment="1">
      <alignment vertical="center"/>
    </xf>
    <xf numFmtId="170" fontId="79" fillId="23" borderId="0" applyAlignment="1">
      <alignment vertical="center"/>
    </xf>
    <xf numFmtId="0" fontId="79" fillId="23" borderId="0" applyAlignment="1">
      <alignment vertical="center"/>
    </xf>
    <xf numFmtId="0" fontId="79" fillId="23" borderId="0" applyAlignment="1">
      <alignment vertical="center"/>
    </xf>
    <xf numFmtId="170" fontId="79" fillId="23" borderId="0" applyAlignment="1">
      <alignment vertical="center"/>
    </xf>
    <xf numFmtId="0" fontId="79" fillId="23" borderId="0" applyAlignment="1">
      <alignment vertical="center"/>
    </xf>
    <xf numFmtId="170" fontId="75" fillId="41" borderId="0" applyAlignment="1">
      <alignment vertical="center"/>
    </xf>
    <xf numFmtId="0" fontId="80" fillId="45"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79"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79" fillId="23" borderId="0" applyAlignment="1">
      <alignment vertical="center"/>
    </xf>
    <xf numFmtId="0" fontId="4" fillId="23" borderId="0" applyAlignment="1">
      <alignment vertical="center"/>
    </xf>
    <xf numFmtId="170" fontId="79" fillId="23" borderId="0" applyAlignment="1">
      <alignment vertical="center"/>
    </xf>
    <xf numFmtId="0" fontId="4" fillId="23" borderId="0" applyAlignment="1">
      <alignment vertical="center"/>
    </xf>
    <xf numFmtId="0" fontId="79" fillId="23" borderId="0" applyAlignment="1">
      <alignment vertical="center"/>
    </xf>
    <xf numFmtId="0" fontId="4" fillId="23" borderId="0" applyAlignment="1">
      <alignment vertical="center"/>
    </xf>
    <xf numFmtId="170" fontId="79"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79"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170" fontId="79" fillId="23" borderId="0" applyAlignment="1">
      <alignment vertical="center"/>
    </xf>
    <xf numFmtId="0" fontId="4" fillId="23" borderId="0" applyAlignment="1">
      <alignment vertical="center"/>
    </xf>
    <xf numFmtId="0" fontId="79" fillId="23" borderId="0" applyAlignment="1">
      <alignment vertical="center"/>
    </xf>
    <xf numFmtId="0" fontId="4" fillId="23" borderId="0" applyAlignment="1">
      <alignment vertical="center"/>
    </xf>
    <xf numFmtId="170" fontId="79"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79"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170" fontId="79" fillId="23" borderId="0" applyAlignment="1">
      <alignment vertical="center"/>
    </xf>
    <xf numFmtId="0" fontId="4" fillId="23" borderId="0" applyAlignment="1">
      <alignment vertical="center"/>
    </xf>
    <xf numFmtId="0" fontId="79"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170" fontId="75" fillId="45"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79"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79"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79"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79"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79"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79"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4" fillId="23" borderId="0" applyAlignment="1">
      <alignment vertical="center"/>
    </xf>
    <xf numFmtId="0" fontId="79"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79"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79"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79"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79"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79"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79" fillId="27" borderId="0" applyAlignment="1">
      <alignment vertical="center"/>
    </xf>
    <xf numFmtId="170" fontId="79" fillId="27" borderId="0" applyAlignment="1">
      <alignment vertical="center"/>
    </xf>
    <xf numFmtId="170" fontId="79" fillId="27" borderId="0" applyAlignment="1">
      <alignment vertical="center"/>
    </xf>
    <xf numFmtId="0" fontId="79" fillId="27" borderId="0" applyAlignment="1">
      <alignment vertical="center"/>
    </xf>
    <xf numFmtId="0" fontId="79" fillId="27" borderId="0" applyAlignment="1">
      <alignment vertical="center"/>
    </xf>
    <xf numFmtId="170" fontId="79" fillId="27" borderId="0" applyAlignment="1">
      <alignment vertical="center"/>
    </xf>
    <xf numFmtId="170" fontId="79" fillId="27" borderId="0" applyAlignment="1">
      <alignment vertical="center"/>
    </xf>
    <xf numFmtId="0" fontId="79" fillId="27" borderId="0" applyAlignment="1">
      <alignment vertical="center"/>
    </xf>
    <xf numFmtId="0" fontId="79" fillId="27" borderId="0" applyAlignment="1">
      <alignment vertical="center"/>
    </xf>
    <xf numFmtId="170" fontId="79" fillId="27" borderId="0" applyAlignment="1">
      <alignment vertical="center"/>
    </xf>
    <xf numFmtId="0" fontId="79" fillId="27" borderId="0" applyAlignment="1">
      <alignment vertical="center"/>
    </xf>
    <xf numFmtId="170" fontId="75" fillId="47" borderId="0" applyAlignment="1">
      <alignment vertical="center"/>
    </xf>
    <xf numFmtId="0" fontId="80" fillId="50"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79"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79" fillId="27" borderId="0" applyAlignment="1">
      <alignment vertical="center"/>
    </xf>
    <xf numFmtId="0" fontId="4" fillId="27" borderId="0" applyAlignment="1">
      <alignment vertical="center"/>
    </xf>
    <xf numFmtId="170" fontId="79" fillId="27" borderId="0" applyAlignment="1">
      <alignment vertical="center"/>
    </xf>
    <xf numFmtId="0" fontId="4" fillId="27" borderId="0" applyAlignment="1">
      <alignment vertical="center"/>
    </xf>
    <xf numFmtId="0" fontId="79" fillId="27" borderId="0" applyAlignment="1">
      <alignment vertical="center"/>
    </xf>
    <xf numFmtId="0" fontId="4" fillId="27" borderId="0" applyAlignment="1">
      <alignment vertical="center"/>
    </xf>
    <xf numFmtId="170" fontId="79"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79"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170" fontId="79" fillId="27" borderId="0" applyAlignment="1">
      <alignment vertical="center"/>
    </xf>
    <xf numFmtId="0" fontId="4" fillId="27" borderId="0" applyAlignment="1">
      <alignment vertical="center"/>
    </xf>
    <xf numFmtId="0" fontId="79" fillId="27" borderId="0" applyAlignment="1">
      <alignment vertical="center"/>
    </xf>
    <xf numFmtId="0" fontId="4" fillId="27" borderId="0" applyAlignment="1">
      <alignment vertical="center"/>
    </xf>
    <xf numFmtId="170" fontId="79"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79"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170" fontId="79" fillId="27" borderId="0" applyAlignment="1">
      <alignment vertical="center"/>
    </xf>
    <xf numFmtId="0" fontId="4" fillId="27" borderId="0" applyAlignment="1">
      <alignment vertical="center"/>
    </xf>
    <xf numFmtId="0" fontId="79"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170" fontId="75" fillId="50"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79"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79"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79"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79"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79"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79"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4" fillId="27" borderId="0" applyAlignment="1">
      <alignment vertical="center"/>
    </xf>
    <xf numFmtId="0" fontId="79"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79"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79"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79"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79"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79"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79" fillId="31" borderId="0" applyAlignment="1">
      <alignment vertical="center"/>
    </xf>
    <xf numFmtId="170" fontId="79" fillId="31" borderId="0" applyAlignment="1">
      <alignment vertical="center"/>
    </xf>
    <xf numFmtId="170" fontId="79" fillId="31" borderId="0" applyAlignment="1">
      <alignment vertical="center"/>
    </xf>
    <xf numFmtId="0" fontId="79" fillId="31" borderId="0" applyAlignment="1">
      <alignment vertical="center"/>
    </xf>
    <xf numFmtId="0" fontId="79" fillId="31" borderId="0" applyAlignment="1">
      <alignment vertical="center"/>
    </xf>
    <xf numFmtId="170" fontId="79" fillId="31" borderId="0" applyAlignment="1">
      <alignment vertical="center"/>
    </xf>
    <xf numFmtId="170" fontId="79" fillId="31" borderId="0" applyAlignment="1">
      <alignment vertical="center"/>
    </xf>
    <xf numFmtId="0" fontId="79" fillId="31" borderId="0" applyAlignment="1">
      <alignment vertical="center"/>
    </xf>
    <xf numFmtId="0" fontId="79" fillId="31" borderId="0" applyAlignment="1">
      <alignment vertical="center"/>
    </xf>
    <xf numFmtId="170" fontId="79" fillId="31" borderId="0" applyAlignment="1">
      <alignment vertical="center"/>
    </xf>
    <xf numFmtId="0" fontId="79" fillId="31" borderId="0" applyAlignment="1">
      <alignment vertical="center"/>
    </xf>
    <xf numFmtId="170" fontId="75" fillId="52" borderId="0" applyAlignment="1">
      <alignment vertical="center"/>
    </xf>
    <xf numFmtId="0" fontId="80" fillId="57"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79"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79" fillId="31" borderId="0" applyAlignment="1">
      <alignment vertical="center"/>
    </xf>
    <xf numFmtId="0" fontId="4" fillId="31" borderId="0" applyAlignment="1">
      <alignment vertical="center"/>
    </xf>
    <xf numFmtId="170" fontId="79" fillId="31" borderId="0" applyAlignment="1">
      <alignment vertical="center"/>
    </xf>
    <xf numFmtId="0" fontId="4" fillId="31" borderId="0" applyAlignment="1">
      <alignment vertical="center"/>
    </xf>
    <xf numFmtId="0" fontId="79" fillId="31" borderId="0" applyAlignment="1">
      <alignment vertical="center"/>
    </xf>
    <xf numFmtId="0" fontId="4" fillId="31" borderId="0" applyAlignment="1">
      <alignment vertical="center"/>
    </xf>
    <xf numFmtId="170" fontId="79"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79"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170" fontId="79" fillId="31" borderId="0" applyAlignment="1">
      <alignment vertical="center"/>
    </xf>
    <xf numFmtId="0" fontId="4" fillId="31" borderId="0" applyAlignment="1">
      <alignment vertical="center"/>
    </xf>
    <xf numFmtId="0" fontId="79" fillId="31" borderId="0" applyAlignment="1">
      <alignment vertical="center"/>
    </xf>
    <xf numFmtId="0" fontId="4" fillId="31" borderId="0" applyAlignment="1">
      <alignment vertical="center"/>
    </xf>
    <xf numFmtId="170" fontId="79"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79"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170" fontId="79" fillId="31" borderId="0" applyAlignment="1">
      <alignment vertical="center"/>
    </xf>
    <xf numFmtId="0" fontId="4" fillId="31" borderId="0" applyAlignment="1">
      <alignment vertical="center"/>
    </xf>
    <xf numFmtId="0" fontId="79"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170" fontId="75" fillId="57"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79"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79"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79"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79"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79"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79"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0" fontId="4" fillId="31" borderId="0" applyAlignment="1">
      <alignment vertical="center"/>
    </xf>
    <xf numFmtId="170" fontId="37" fillId="0" borderId="0"/>
    <xf numFmtId="0" fontId="81" fillId="60" borderId="0" applyAlignment="1">
      <alignment vertical="center"/>
    </xf>
    <xf numFmtId="0" fontId="81" fillId="60" borderId="0" applyAlignment="1">
      <alignment vertical="center"/>
    </xf>
    <xf numFmtId="0" fontId="82" fillId="60" borderId="0" applyAlignment="1">
      <alignment vertical="center"/>
    </xf>
    <xf numFmtId="0" fontId="83" fillId="60" borderId="0" applyAlignment="1">
      <alignment vertical="center"/>
    </xf>
    <xf numFmtId="0" fontId="81" fillId="60" borderId="0" applyAlignment="1">
      <alignment vertical="center"/>
    </xf>
    <xf numFmtId="0" fontId="82" fillId="60" borderId="0" applyAlignment="1">
      <alignment vertical="center"/>
    </xf>
    <xf numFmtId="0" fontId="82" fillId="61" borderId="0" applyAlignment="1">
      <alignment vertical="center"/>
    </xf>
    <xf numFmtId="0" fontId="81" fillId="51" borderId="0" applyAlignment="1">
      <alignment vertical="center"/>
    </xf>
    <xf numFmtId="0" fontId="81" fillId="51" borderId="0" applyAlignment="1">
      <alignment vertical="center"/>
    </xf>
    <xf numFmtId="0" fontId="82" fillId="51" borderId="0" applyAlignment="1">
      <alignment vertical="center"/>
    </xf>
    <xf numFmtId="0" fontId="83" fillId="51" borderId="0" applyAlignment="1">
      <alignment vertical="center"/>
    </xf>
    <xf numFmtId="0" fontId="81" fillId="51" borderId="0" applyAlignment="1">
      <alignment vertical="center"/>
    </xf>
    <xf numFmtId="0" fontId="82" fillId="51" borderId="0" applyAlignment="1">
      <alignment vertical="center"/>
    </xf>
    <xf numFmtId="0" fontId="82" fillId="54" borderId="0" applyAlignment="1">
      <alignment vertical="center"/>
    </xf>
    <xf numFmtId="0" fontId="81" fillId="55" borderId="0" applyAlignment="1">
      <alignment vertical="center"/>
    </xf>
    <xf numFmtId="0" fontId="81" fillId="55" borderId="0" applyAlignment="1">
      <alignment vertical="center"/>
    </xf>
    <xf numFmtId="0" fontId="82" fillId="55" borderId="0" applyAlignment="1">
      <alignment vertical="center"/>
    </xf>
    <xf numFmtId="0" fontId="83" fillId="55" borderId="0" applyAlignment="1">
      <alignment vertical="center"/>
    </xf>
    <xf numFmtId="0" fontId="81" fillId="55" borderId="0" applyAlignment="1">
      <alignment vertical="center"/>
    </xf>
    <xf numFmtId="0" fontId="82" fillId="55" borderId="0" applyAlignment="1">
      <alignment vertical="center"/>
    </xf>
    <xf numFmtId="0" fontId="82" fillId="56" borderId="0" applyAlignment="1">
      <alignment vertical="center"/>
    </xf>
    <xf numFmtId="0" fontId="81" fillId="62" borderId="0" applyAlignment="1">
      <alignment vertical="center"/>
    </xf>
    <xf numFmtId="0" fontId="81" fillId="62" borderId="0" applyAlignment="1">
      <alignment vertical="center"/>
    </xf>
    <xf numFmtId="0" fontId="82" fillId="62" borderId="0" applyAlignment="1">
      <alignment vertical="center"/>
    </xf>
    <xf numFmtId="0" fontId="83" fillId="62" borderId="0" applyAlignment="1">
      <alignment vertical="center"/>
    </xf>
    <xf numFmtId="0" fontId="81" fillId="62" borderId="0" applyAlignment="1">
      <alignment vertical="center"/>
    </xf>
    <xf numFmtId="0" fontId="82" fillId="62" borderId="0" applyAlignment="1">
      <alignment vertical="center"/>
    </xf>
    <xf numFmtId="0" fontId="82" fillId="63" borderId="0" applyAlignment="1">
      <alignment vertical="center"/>
    </xf>
    <xf numFmtId="0" fontId="81" fillId="64" borderId="0" applyAlignment="1">
      <alignment vertical="center"/>
    </xf>
    <xf numFmtId="0" fontId="81" fillId="64" borderId="0" applyAlignment="1">
      <alignment vertical="center"/>
    </xf>
    <xf numFmtId="0" fontId="82" fillId="64" borderId="0" applyAlignment="1">
      <alignment vertical="center"/>
    </xf>
    <xf numFmtId="0" fontId="83" fillId="64" borderId="0" applyAlignment="1">
      <alignment vertical="center"/>
    </xf>
    <xf numFmtId="0" fontId="81" fillId="64" borderId="0" applyAlignment="1">
      <alignment vertical="center"/>
    </xf>
    <xf numFmtId="0" fontId="82" fillId="64" borderId="0" applyAlignment="1">
      <alignment vertical="center"/>
    </xf>
    <xf numFmtId="0" fontId="82" fillId="65" borderId="0" applyAlignment="1">
      <alignment vertical="center"/>
    </xf>
    <xf numFmtId="0" fontId="81" fillId="66" borderId="0" applyAlignment="1">
      <alignment vertical="center"/>
    </xf>
    <xf numFmtId="0" fontId="81" fillId="66" borderId="0" applyAlignment="1">
      <alignment vertical="center"/>
    </xf>
    <xf numFmtId="0" fontId="82" fillId="66" borderId="0" applyAlignment="1">
      <alignment vertical="center"/>
    </xf>
    <xf numFmtId="0" fontId="83" fillId="66" borderId="0" applyAlignment="1">
      <alignment vertical="center"/>
    </xf>
    <xf numFmtId="0" fontId="81" fillId="66" borderId="0" applyAlignment="1">
      <alignment vertical="center"/>
    </xf>
    <xf numFmtId="0" fontId="82" fillId="66" borderId="0" applyAlignment="1">
      <alignment vertical="center"/>
    </xf>
    <xf numFmtId="0" fontId="82" fillId="67" borderId="0" applyAlignment="1">
      <alignment vertical="center"/>
    </xf>
    <xf numFmtId="0" fontId="84" fillId="12" borderId="0" applyAlignment="1">
      <alignment vertical="center"/>
    </xf>
    <xf numFmtId="0" fontId="84" fillId="12" borderId="0" applyAlignment="1">
      <alignment vertical="center"/>
    </xf>
    <xf numFmtId="0" fontId="84" fillId="12" borderId="0" applyAlignment="1">
      <alignment vertical="center"/>
    </xf>
    <xf numFmtId="0" fontId="84" fillId="12" borderId="0" applyAlignment="1">
      <alignment vertical="center"/>
    </xf>
    <xf numFmtId="0" fontId="84" fillId="12" borderId="0" applyAlignment="1">
      <alignment vertical="center"/>
    </xf>
    <xf numFmtId="0" fontId="84" fillId="12" borderId="0" applyAlignment="1">
      <alignment vertical="center"/>
    </xf>
    <xf numFmtId="0" fontId="84" fillId="12" borderId="0" applyAlignment="1">
      <alignment vertical="center"/>
    </xf>
    <xf numFmtId="170" fontId="81" fillId="47" borderId="0" applyAlignment="1">
      <alignment vertical="center"/>
    </xf>
    <xf numFmtId="0" fontId="84" fillId="12" borderId="0" applyAlignment="1">
      <alignment vertical="center"/>
    </xf>
    <xf numFmtId="0" fontId="85" fillId="60" borderId="0" applyAlignment="1">
      <alignment vertical="center"/>
    </xf>
    <xf numFmtId="0" fontId="84" fillId="12" borderId="0" applyAlignment="1">
      <alignment vertical="center"/>
    </xf>
    <xf numFmtId="170" fontId="81" fillId="60" borderId="0" applyAlignment="1">
      <alignment vertical="center"/>
    </xf>
    <xf numFmtId="0" fontId="20" fillId="12" borderId="0" applyAlignment="1">
      <alignment vertical="center"/>
    </xf>
    <xf numFmtId="0" fontId="84" fillId="12" borderId="0" applyAlignment="1">
      <alignment vertical="center"/>
    </xf>
    <xf numFmtId="0" fontId="84" fillId="12" borderId="0" applyAlignment="1">
      <alignment vertical="center"/>
    </xf>
    <xf numFmtId="0" fontId="84" fillId="12" borderId="0" applyAlignment="1">
      <alignment vertical="center"/>
    </xf>
    <xf numFmtId="0" fontId="84" fillId="12" borderId="0" applyAlignment="1">
      <alignment vertical="center"/>
    </xf>
    <xf numFmtId="0" fontId="84" fillId="12" borderId="0" applyAlignment="1">
      <alignment vertical="center"/>
    </xf>
    <xf numFmtId="0" fontId="84" fillId="12" borderId="0" applyAlignment="1">
      <alignment vertical="center"/>
    </xf>
    <xf numFmtId="0" fontId="84" fillId="12" borderId="0" applyAlignment="1">
      <alignment vertical="center"/>
    </xf>
    <xf numFmtId="0" fontId="84" fillId="16" borderId="0" applyAlignment="1">
      <alignment vertical="center"/>
    </xf>
    <xf numFmtId="0" fontId="84" fillId="16" borderId="0" applyAlignment="1">
      <alignment vertical="center"/>
    </xf>
    <xf numFmtId="0" fontId="84" fillId="16" borderId="0" applyAlignment="1">
      <alignment vertical="center"/>
    </xf>
    <xf numFmtId="0" fontId="84" fillId="16" borderId="0" applyAlignment="1">
      <alignment vertical="center"/>
    </xf>
    <xf numFmtId="0" fontId="84" fillId="16" borderId="0" applyAlignment="1">
      <alignment vertical="center"/>
    </xf>
    <xf numFmtId="0" fontId="84" fillId="16" borderId="0" applyAlignment="1">
      <alignment vertical="center"/>
    </xf>
    <xf numFmtId="0" fontId="84" fillId="16" borderId="0" applyAlignment="1">
      <alignment vertical="center"/>
    </xf>
    <xf numFmtId="170" fontId="81" fillId="68" borderId="0" applyAlignment="1">
      <alignment vertical="center"/>
    </xf>
    <xf numFmtId="0" fontId="84" fillId="16" borderId="0" applyAlignment="1">
      <alignment vertical="center"/>
    </xf>
    <xf numFmtId="0" fontId="85" fillId="51" borderId="0" applyAlignment="1">
      <alignment vertical="center"/>
    </xf>
    <xf numFmtId="0" fontId="84" fillId="16" borderId="0" applyAlignment="1">
      <alignment vertical="center"/>
    </xf>
    <xf numFmtId="170" fontId="81" fillId="51" borderId="0" applyAlignment="1">
      <alignment vertical="center"/>
    </xf>
    <xf numFmtId="0" fontId="20" fillId="16" borderId="0" applyAlignment="1">
      <alignment vertical="center"/>
    </xf>
    <xf numFmtId="0" fontId="84" fillId="16" borderId="0" applyAlignment="1">
      <alignment vertical="center"/>
    </xf>
    <xf numFmtId="0" fontId="84" fillId="16" borderId="0" applyAlignment="1">
      <alignment vertical="center"/>
    </xf>
    <xf numFmtId="0" fontId="84" fillId="16" borderId="0" applyAlignment="1">
      <alignment vertical="center"/>
    </xf>
    <xf numFmtId="0" fontId="84" fillId="16" borderId="0" applyAlignment="1">
      <alignment vertical="center"/>
    </xf>
    <xf numFmtId="0" fontId="84" fillId="16" borderId="0" applyAlignment="1">
      <alignment vertical="center"/>
    </xf>
    <xf numFmtId="0" fontId="84" fillId="16" borderId="0" applyAlignment="1">
      <alignment vertical="center"/>
    </xf>
    <xf numFmtId="0" fontId="84" fillId="16" borderId="0" applyAlignment="1">
      <alignment vertical="center"/>
    </xf>
    <xf numFmtId="0" fontId="84" fillId="20" borderId="0" applyAlignment="1">
      <alignment vertical="center"/>
    </xf>
    <xf numFmtId="0" fontId="84" fillId="20" borderId="0" applyAlignment="1">
      <alignment vertical="center"/>
    </xf>
    <xf numFmtId="0" fontId="84" fillId="20" borderId="0" applyAlignment="1">
      <alignment vertical="center"/>
    </xf>
    <xf numFmtId="0" fontId="84" fillId="20" borderId="0" applyAlignment="1">
      <alignment vertical="center"/>
    </xf>
    <xf numFmtId="0" fontId="84" fillId="20" borderId="0" applyAlignment="1">
      <alignment vertical="center"/>
    </xf>
    <xf numFmtId="0" fontId="84" fillId="20" borderId="0" applyAlignment="1">
      <alignment vertical="center"/>
    </xf>
    <xf numFmtId="0" fontId="84" fillId="20" borderId="0" applyAlignment="1">
      <alignment vertical="center"/>
    </xf>
    <xf numFmtId="170" fontId="81" fillId="57" borderId="0" applyAlignment="1">
      <alignment vertical="center"/>
    </xf>
    <xf numFmtId="0" fontId="84" fillId="20" borderId="0" applyAlignment="1">
      <alignment vertical="center"/>
    </xf>
    <xf numFmtId="0" fontId="85" fillId="55" borderId="0" applyAlignment="1">
      <alignment vertical="center"/>
    </xf>
    <xf numFmtId="0" fontId="84" fillId="20" borderId="0" applyAlignment="1">
      <alignment vertical="center"/>
    </xf>
    <xf numFmtId="170" fontId="81" fillId="55" borderId="0" applyAlignment="1">
      <alignment vertical="center"/>
    </xf>
    <xf numFmtId="0" fontId="20" fillId="20" borderId="0" applyAlignment="1">
      <alignment vertical="center"/>
    </xf>
    <xf numFmtId="0" fontId="84" fillId="20" borderId="0" applyAlignment="1">
      <alignment vertical="center"/>
    </xf>
    <xf numFmtId="0" fontId="84" fillId="20" borderId="0" applyAlignment="1">
      <alignment vertical="center"/>
    </xf>
    <xf numFmtId="0" fontId="84" fillId="20" borderId="0" applyAlignment="1">
      <alignment vertical="center"/>
    </xf>
    <xf numFmtId="0" fontId="84" fillId="20" borderId="0" applyAlignment="1">
      <alignment vertical="center"/>
    </xf>
    <xf numFmtId="0" fontId="84" fillId="20" borderId="0" applyAlignment="1">
      <alignment vertical="center"/>
    </xf>
    <xf numFmtId="0" fontId="84" fillId="20" borderId="0" applyAlignment="1">
      <alignment vertical="center"/>
    </xf>
    <xf numFmtId="0" fontId="84" fillId="20" borderId="0" applyAlignment="1">
      <alignment vertical="center"/>
    </xf>
    <xf numFmtId="0" fontId="84" fillId="24" borderId="0" applyAlignment="1">
      <alignment vertical="center"/>
    </xf>
    <xf numFmtId="0" fontId="84" fillId="24" borderId="0" applyAlignment="1">
      <alignment vertical="center"/>
    </xf>
    <xf numFmtId="0" fontId="84" fillId="24" borderId="0" applyAlignment="1">
      <alignment vertical="center"/>
    </xf>
    <xf numFmtId="0" fontId="84" fillId="24" borderId="0" applyAlignment="1">
      <alignment vertical="center"/>
    </xf>
    <xf numFmtId="0" fontId="84" fillId="24" borderId="0" applyAlignment="1">
      <alignment vertical="center"/>
    </xf>
    <xf numFmtId="0" fontId="84" fillId="24" borderId="0" applyAlignment="1">
      <alignment vertical="center"/>
    </xf>
    <xf numFmtId="0" fontId="84" fillId="24" borderId="0" applyAlignment="1">
      <alignment vertical="center"/>
    </xf>
    <xf numFmtId="170" fontId="81" fillId="41" borderId="0" applyAlignment="1">
      <alignment vertical="center"/>
    </xf>
    <xf numFmtId="0" fontId="84" fillId="24" borderId="0" applyAlignment="1">
      <alignment vertical="center"/>
    </xf>
    <xf numFmtId="0" fontId="85" fillId="62" borderId="0" applyAlignment="1">
      <alignment vertical="center"/>
    </xf>
    <xf numFmtId="0" fontId="84" fillId="24" borderId="0" applyAlignment="1">
      <alignment vertical="center"/>
    </xf>
    <xf numFmtId="170" fontId="81" fillId="62" borderId="0" applyAlignment="1">
      <alignment vertical="center"/>
    </xf>
    <xf numFmtId="0" fontId="20" fillId="24" borderId="0" applyAlignment="1">
      <alignment vertical="center"/>
    </xf>
    <xf numFmtId="0" fontId="84" fillId="24" borderId="0" applyAlignment="1">
      <alignment vertical="center"/>
    </xf>
    <xf numFmtId="0" fontId="84" fillId="24" borderId="0" applyAlignment="1">
      <alignment vertical="center"/>
    </xf>
    <xf numFmtId="0" fontId="84" fillId="24" borderId="0" applyAlignment="1">
      <alignment vertical="center"/>
    </xf>
    <xf numFmtId="0" fontId="84" fillId="24" borderId="0" applyAlignment="1">
      <alignment vertical="center"/>
    </xf>
    <xf numFmtId="0" fontId="84" fillId="24" borderId="0" applyAlignment="1">
      <alignment vertical="center"/>
    </xf>
    <xf numFmtId="0" fontId="84" fillId="24" borderId="0" applyAlignment="1">
      <alignment vertical="center"/>
    </xf>
    <xf numFmtId="0" fontId="84" fillId="24" borderId="0" applyAlignment="1">
      <alignment vertical="center"/>
    </xf>
    <xf numFmtId="0" fontId="84" fillId="28" borderId="0" applyAlignment="1">
      <alignment vertical="center"/>
    </xf>
    <xf numFmtId="0" fontId="84" fillId="28" borderId="0" applyAlignment="1">
      <alignment vertical="center"/>
    </xf>
    <xf numFmtId="0" fontId="84" fillId="28" borderId="0" applyAlignment="1">
      <alignment vertical="center"/>
    </xf>
    <xf numFmtId="0" fontId="84" fillId="28" borderId="0" applyAlignment="1">
      <alignment vertical="center"/>
    </xf>
    <xf numFmtId="0" fontId="84" fillId="28" borderId="0" applyAlignment="1">
      <alignment vertical="center"/>
    </xf>
    <xf numFmtId="0" fontId="84" fillId="28" borderId="0" applyAlignment="1">
      <alignment vertical="center"/>
    </xf>
    <xf numFmtId="0" fontId="84" fillId="28" borderId="0" applyAlignment="1">
      <alignment vertical="center"/>
    </xf>
    <xf numFmtId="170" fontId="81" fillId="47" borderId="0" applyAlignment="1">
      <alignment vertical="center"/>
    </xf>
    <xf numFmtId="0" fontId="84" fillId="28" borderId="0" applyAlignment="1">
      <alignment vertical="center"/>
    </xf>
    <xf numFmtId="0" fontId="85" fillId="64" borderId="0" applyAlignment="1">
      <alignment vertical="center"/>
    </xf>
    <xf numFmtId="0" fontId="84" fillId="28" borderId="0" applyAlignment="1">
      <alignment vertical="center"/>
    </xf>
    <xf numFmtId="170" fontId="81" fillId="64" borderId="0" applyAlignment="1">
      <alignment vertical="center"/>
    </xf>
    <xf numFmtId="0" fontId="20" fillId="28" borderId="0" applyAlignment="1">
      <alignment vertical="center"/>
    </xf>
    <xf numFmtId="0" fontId="84" fillId="28" borderId="0" applyAlignment="1">
      <alignment vertical="center"/>
    </xf>
    <xf numFmtId="0" fontId="84" fillId="28" borderId="0" applyAlignment="1">
      <alignment vertical="center"/>
    </xf>
    <xf numFmtId="0" fontId="84" fillId="28" borderId="0" applyAlignment="1">
      <alignment vertical="center"/>
    </xf>
    <xf numFmtId="0" fontId="84" fillId="28" borderId="0" applyAlignment="1">
      <alignment vertical="center"/>
    </xf>
    <xf numFmtId="0" fontId="84" fillId="28" borderId="0" applyAlignment="1">
      <alignment vertical="center"/>
    </xf>
    <xf numFmtId="0" fontId="84" fillId="28" borderId="0" applyAlignment="1">
      <alignment vertical="center"/>
    </xf>
    <xf numFmtId="0" fontId="84" fillId="28" borderId="0" applyAlignment="1">
      <alignment vertical="center"/>
    </xf>
    <xf numFmtId="0" fontId="84" fillId="32" borderId="0" applyAlignment="1">
      <alignment vertical="center"/>
    </xf>
    <xf numFmtId="0" fontId="84" fillId="32" borderId="0" applyAlignment="1">
      <alignment vertical="center"/>
    </xf>
    <xf numFmtId="0" fontId="84" fillId="32" borderId="0" applyAlignment="1">
      <alignment vertical="center"/>
    </xf>
    <xf numFmtId="0" fontId="84" fillId="32" borderId="0" applyAlignment="1">
      <alignment vertical="center"/>
    </xf>
    <xf numFmtId="0" fontId="84" fillId="32" borderId="0" applyAlignment="1">
      <alignment vertical="center"/>
    </xf>
    <xf numFmtId="0" fontId="84" fillId="32" borderId="0" applyAlignment="1">
      <alignment vertical="center"/>
    </xf>
    <xf numFmtId="0" fontId="84" fillId="32" borderId="0" applyAlignment="1">
      <alignment vertical="center"/>
    </xf>
    <xf numFmtId="170" fontId="81" fillId="51" borderId="0" applyAlignment="1">
      <alignment vertical="center"/>
    </xf>
    <xf numFmtId="0" fontId="84" fillId="32" borderId="0" applyAlignment="1">
      <alignment vertical="center"/>
    </xf>
    <xf numFmtId="0" fontId="85" fillId="66" borderId="0" applyAlignment="1">
      <alignment vertical="center"/>
    </xf>
    <xf numFmtId="0" fontId="84" fillId="32" borderId="0" applyAlignment="1">
      <alignment vertical="center"/>
    </xf>
    <xf numFmtId="170" fontId="81" fillId="66" borderId="0" applyAlignment="1">
      <alignment vertical="center"/>
    </xf>
    <xf numFmtId="0" fontId="20" fillId="32" borderId="0" applyAlignment="1">
      <alignment vertical="center"/>
    </xf>
    <xf numFmtId="0" fontId="84" fillId="32" borderId="0" applyAlignment="1">
      <alignment vertical="center"/>
    </xf>
    <xf numFmtId="0" fontId="84" fillId="32" borderId="0" applyAlignment="1">
      <alignment vertical="center"/>
    </xf>
    <xf numFmtId="0" fontId="84" fillId="32" borderId="0" applyAlignment="1">
      <alignment vertical="center"/>
    </xf>
    <xf numFmtId="0" fontId="84" fillId="32" borderId="0" applyAlignment="1">
      <alignment vertical="center"/>
    </xf>
    <xf numFmtId="0" fontId="84" fillId="32" borderId="0" applyAlignment="1">
      <alignment vertical="center"/>
    </xf>
    <xf numFmtId="0" fontId="84" fillId="32" borderId="0" applyAlignment="1">
      <alignment vertical="center"/>
    </xf>
    <xf numFmtId="0" fontId="84" fillId="32" borderId="0" applyAlignment="1">
      <alignment vertical="center"/>
    </xf>
    <xf numFmtId="170" fontId="86" fillId="0" borderId="0"/>
    <xf numFmtId="170" fontId="86" fillId="0" borderId="0"/>
    <xf numFmtId="188" fontId="87" fillId="0" borderId="0"/>
    <xf numFmtId="0" fontId="64" fillId="0" borderId="0"/>
    <xf numFmtId="40" fontId="64" fillId="0" borderId="0"/>
    <xf numFmtId="170" fontId="88" fillId="0" borderId="0"/>
    <xf numFmtId="170" fontId="88" fillId="0" borderId="0"/>
    <xf numFmtId="170" fontId="89" fillId="0" borderId="0"/>
    <xf numFmtId="170" fontId="90" fillId="0" borderId="0"/>
    <xf numFmtId="170" fontId="91" fillId="0" borderId="0"/>
    <xf numFmtId="170" fontId="92" fillId="0" borderId="0"/>
    <xf numFmtId="170" fontId="66" fillId="0" borderId="0"/>
    <xf numFmtId="0" fontId="92" fillId="0" borderId="0"/>
    <xf numFmtId="0" fontId="66" fillId="0" borderId="0"/>
    <xf numFmtId="170" fontId="66" fillId="0" borderId="0"/>
    <xf numFmtId="0" fontId="93" fillId="0" borderId="0"/>
    <xf numFmtId="170" fontId="91" fillId="0" borderId="0"/>
    <xf numFmtId="189" fontId="93" fillId="0" borderId="0"/>
    <xf numFmtId="170" fontId="66" fillId="0" borderId="0"/>
    <xf numFmtId="170" fontId="94" fillId="0" borderId="0"/>
    <xf numFmtId="170" fontId="94" fillId="0" borderId="0"/>
    <xf numFmtId="0" fontId="95" fillId="0" borderId="0"/>
    <xf numFmtId="0" fontId="95" fillId="0" borderId="0"/>
    <xf numFmtId="0" fontId="81" fillId="69" borderId="0" applyAlignment="1">
      <alignment vertical="center"/>
    </xf>
    <xf numFmtId="170" fontId="96" fillId="70" borderId="0"/>
    <xf numFmtId="170" fontId="96" fillId="71" borderId="0"/>
    <xf numFmtId="170" fontId="97" fillId="72" borderId="0"/>
    <xf numFmtId="0" fontId="81" fillId="69" borderId="0" applyAlignment="1">
      <alignment vertical="center"/>
    </xf>
    <xf numFmtId="0" fontId="82" fillId="69" borderId="0" applyAlignment="1">
      <alignment vertical="center"/>
    </xf>
    <xf numFmtId="0" fontId="83" fillId="69" borderId="0" applyAlignment="1">
      <alignment vertical="center"/>
    </xf>
    <xf numFmtId="0" fontId="81" fillId="69" borderId="0" applyAlignment="1">
      <alignment vertical="center"/>
    </xf>
    <xf numFmtId="0" fontId="82" fillId="69" borderId="0" applyAlignment="1">
      <alignment vertical="center"/>
    </xf>
    <xf numFmtId="0" fontId="82" fillId="73" borderId="0" applyAlignment="1">
      <alignment vertical="center"/>
    </xf>
    <xf numFmtId="170" fontId="97" fillId="74" borderId="0"/>
    <xf numFmtId="0" fontId="81" fillId="75" borderId="0" applyAlignment="1">
      <alignment vertical="center"/>
    </xf>
    <xf numFmtId="170" fontId="96" fillId="70" borderId="0"/>
    <xf numFmtId="170" fontId="96" fillId="76" borderId="0"/>
    <xf numFmtId="170" fontId="97" fillId="77" borderId="0"/>
    <xf numFmtId="0" fontId="81" fillId="75" borderId="0" applyAlignment="1">
      <alignment vertical="center"/>
    </xf>
    <xf numFmtId="0" fontId="82" fillId="75" borderId="0" applyAlignment="1">
      <alignment vertical="center"/>
    </xf>
    <xf numFmtId="0" fontId="83" fillId="75" borderId="0" applyAlignment="1">
      <alignment vertical="center"/>
    </xf>
    <xf numFmtId="0" fontId="81" fillId="75" borderId="0" applyAlignment="1">
      <alignment vertical="center"/>
    </xf>
    <xf numFmtId="0" fontId="82" fillId="75" borderId="0" applyAlignment="1">
      <alignment vertical="center"/>
    </xf>
    <xf numFmtId="0" fontId="82" fillId="78" borderId="0" applyAlignment="1">
      <alignment vertical="center"/>
    </xf>
    <xf numFmtId="170" fontId="97" fillId="79" borderId="0"/>
    <xf numFmtId="0" fontId="81" fillId="80" borderId="0" applyAlignment="1">
      <alignment vertical="center"/>
    </xf>
    <xf numFmtId="170" fontId="96" fillId="70" borderId="0"/>
    <xf numFmtId="170" fontId="96" fillId="70" borderId="0"/>
    <xf numFmtId="170" fontId="97" fillId="76" borderId="0"/>
    <xf numFmtId="0" fontId="81" fillId="80" borderId="0" applyAlignment="1">
      <alignment vertical="center"/>
    </xf>
    <xf numFmtId="0" fontId="82" fillId="80" borderId="0" applyAlignment="1">
      <alignment vertical="center"/>
    </xf>
    <xf numFmtId="0" fontId="83" fillId="80" borderId="0" applyAlignment="1">
      <alignment vertical="center"/>
    </xf>
    <xf numFmtId="0" fontId="81" fillId="80" borderId="0" applyAlignment="1">
      <alignment vertical="center"/>
    </xf>
    <xf numFmtId="0" fontId="82" fillId="80" borderId="0" applyAlignment="1">
      <alignment vertical="center"/>
    </xf>
    <xf numFmtId="0" fontId="82" fillId="81" borderId="0" applyAlignment="1">
      <alignment vertical="center"/>
    </xf>
    <xf numFmtId="170" fontId="97" fillId="77" borderId="0"/>
    <xf numFmtId="0" fontId="81" fillId="62" borderId="0" applyAlignment="1">
      <alignment vertical="center"/>
    </xf>
    <xf numFmtId="170" fontId="96" fillId="70" borderId="0"/>
    <xf numFmtId="170" fontId="96" fillId="76" borderId="0"/>
    <xf numFmtId="170" fontId="97" fillId="76" borderId="0"/>
    <xf numFmtId="0" fontId="81" fillId="62" borderId="0" applyAlignment="1">
      <alignment vertical="center"/>
    </xf>
    <xf numFmtId="0" fontId="82" fillId="62" borderId="0" applyAlignment="1">
      <alignment vertical="center"/>
    </xf>
    <xf numFmtId="0" fontId="83" fillId="62" borderId="0" applyAlignment="1">
      <alignment vertical="center"/>
    </xf>
    <xf numFmtId="0" fontId="81" fillId="62" borderId="0" applyAlignment="1">
      <alignment vertical="center"/>
    </xf>
    <xf numFmtId="0" fontId="82" fillId="62" borderId="0" applyAlignment="1">
      <alignment vertical="center"/>
    </xf>
    <xf numFmtId="0" fontId="82" fillId="63" borderId="0" applyAlignment="1">
      <alignment vertical="center"/>
    </xf>
    <xf numFmtId="170" fontId="97" fillId="74" borderId="0"/>
    <xf numFmtId="0" fontId="81" fillId="64" borderId="0" applyAlignment="1">
      <alignment vertical="center"/>
    </xf>
    <xf numFmtId="170" fontId="96" fillId="70" borderId="0"/>
    <xf numFmtId="170" fontId="96" fillId="70" borderId="0"/>
    <xf numFmtId="170" fontId="97" fillId="72" borderId="0"/>
    <xf numFmtId="0" fontId="81" fillId="64" borderId="0" applyAlignment="1">
      <alignment vertical="center"/>
    </xf>
    <xf numFmtId="0" fontId="82" fillId="64" borderId="0" applyAlignment="1">
      <alignment vertical="center"/>
    </xf>
    <xf numFmtId="0" fontId="83" fillId="64" borderId="0" applyAlignment="1">
      <alignment vertical="center"/>
    </xf>
    <xf numFmtId="0" fontId="81" fillId="64" borderId="0" applyAlignment="1">
      <alignment vertical="center"/>
    </xf>
    <xf numFmtId="0" fontId="82" fillId="64" borderId="0" applyAlignment="1">
      <alignment vertical="center"/>
    </xf>
    <xf numFmtId="0" fontId="82" fillId="65" borderId="0" applyAlignment="1">
      <alignment vertical="center"/>
    </xf>
    <xf numFmtId="170" fontId="97" fillId="82" borderId="0"/>
    <xf numFmtId="0" fontId="81" fillId="68" borderId="0" applyAlignment="1">
      <alignment vertical="center"/>
    </xf>
    <xf numFmtId="170" fontId="96" fillId="83" borderId="0"/>
    <xf numFmtId="170" fontId="96" fillId="83" borderId="0"/>
    <xf numFmtId="170" fontId="97" fillId="84" borderId="0"/>
    <xf numFmtId="0" fontId="81" fillId="68" borderId="0" applyAlignment="1">
      <alignment vertical="center"/>
    </xf>
    <xf numFmtId="0" fontId="82" fillId="68" borderId="0" applyAlignment="1">
      <alignment vertical="center"/>
    </xf>
    <xf numFmtId="0" fontId="83" fillId="68" borderId="0" applyAlignment="1">
      <alignment vertical="center"/>
    </xf>
    <xf numFmtId="0" fontId="81" fillId="68" borderId="0" applyAlignment="1">
      <alignment vertical="center"/>
    </xf>
    <xf numFmtId="0" fontId="82" fillId="68" borderId="0" applyAlignment="1">
      <alignment vertical="center"/>
    </xf>
    <xf numFmtId="0" fontId="82" fillId="85" borderId="0" applyAlignment="1">
      <alignment vertical="center"/>
    </xf>
    <xf numFmtId="170" fontId="97" fillId="86" borderId="0"/>
    <xf numFmtId="170" fontId="50" fillId="0" borderId="0"/>
    <xf numFmtId="190" fontId="98" fillId="53" borderId="53" applyAlignment="1">
      <alignment horizontal="center" vertical="center"/>
    </xf>
    <xf numFmtId="170" fontId="71" fillId="0" borderId="0"/>
    <xf numFmtId="170" fontId="99" fillId="0" borderId="0"/>
    <xf numFmtId="170" fontId="100" fillId="0" borderId="0"/>
    <xf numFmtId="170" fontId="101" fillId="0" borderId="0"/>
    <xf numFmtId="170" fontId="51" fillId="0" borderId="0"/>
    <xf numFmtId="170" fontId="74" fillId="0" borderId="0"/>
    <xf numFmtId="170" fontId="102" fillId="0" borderId="0"/>
    <xf numFmtId="191" fontId="103" fillId="0" borderId="0"/>
    <xf numFmtId="170" fontId="100" fillId="0" borderId="0"/>
    <xf numFmtId="170" fontId="74" fillId="0" borderId="0"/>
    <xf numFmtId="0" fontId="102" fillId="0" borderId="0"/>
    <xf numFmtId="170" fontId="101" fillId="0" borderId="0"/>
    <xf numFmtId="170" fontId="102" fillId="0" borderId="0"/>
    <xf numFmtId="170" fontId="101" fillId="0" borderId="0"/>
    <xf numFmtId="170" fontId="102" fillId="0" borderId="0"/>
    <xf numFmtId="170" fontId="101" fillId="0" borderId="0"/>
    <xf numFmtId="192" fontId="100" fillId="0" borderId="0"/>
    <xf numFmtId="0" fontId="101" fillId="0" borderId="0"/>
    <xf numFmtId="0" fontId="102" fillId="0" borderId="0"/>
    <xf numFmtId="170" fontId="74" fillId="0" borderId="0"/>
    <xf numFmtId="170" fontId="100" fillId="0" borderId="0"/>
    <xf numFmtId="170" fontId="101" fillId="0" borderId="0"/>
    <xf numFmtId="170" fontId="102" fillId="0" borderId="0"/>
    <xf numFmtId="170" fontId="101" fillId="0" borderId="0"/>
    <xf numFmtId="0" fontId="102" fillId="0" borderId="0"/>
    <xf numFmtId="0" fontId="101" fillId="0" borderId="0"/>
    <xf numFmtId="0" fontId="100" fillId="0" borderId="0"/>
    <xf numFmtId="170" fontId="101" fillId="0" borderId="0"/>
    <xf numFmtId="170" fontId="102" fillId="0" borderId="0"/>
    <xf numFmtId="170" fontId="101" fillId="0" borderId="0"/>
    <xf numFmtId="170" fontId="104" fillId="0" borderId="0"/>
    <xf numFmtId="170" fontId="105" fillId="0" borderId="0"/>
    <xf numFmtId="0" fontId="104" fillId="0" borderId="0"/>
    <xf numFmtId="0" fontId="105" fillId="0" borderId="0"/>
    <xf numFmtId="170" fontId="99" fillId="0" borderId="0"/>
    <xf numFmtId="170" fontId="100" fillId="0" borderId="0"/>
    <xf numFmtId="170" fontId="106" fillId="0" borderId="0"/>
    <xf numFmtId="170" fontId="99" fillId="0" borderId="0"/>
    <xf numFmtId="170" fontId="102" fillId="0" borderId="0"/>
    <xf numFmtId="170" fontId="101" fillId="0" borderId="0"/>
    <xf numFmtId="0" fontId="102" fillId="0" borderId="0"/>
    <xf numFmtId="0" fontId="101" fillId="0" borderId="0"/>
    <xf numFmtId="170" fontId="107" fillId="0" borderId="0"/>
    <xf numFmtId="170" fontId="108" fillId="0" borderId="0"/>
    <xf numFmtId="170" fontId="100" fillId="0" borderId="0"/>
    <xf numFmtId="170" fontId="51" fillId="0" borderId="0"/>
    <xf numFmtId="170" fontId="102" fillId="0" borderId="0"/>
    <xf numFmtId="170" fontId="101" fillId="0" borderId="0"/>
    <xf numFmtId="170" fontId="104" fillId="0" borderId="0"/>
    <xf numFmtId="0" fontId="74" fillId="0" borderId="0"/>
    <xf numFmtId="0" fontId="102" fillId="0" borderId="0"/>
    <xf numFmtId="0" fontId="101" fillId="0" borderId="0"/>
    <xf numFmtId="0" fontId="102" fillId="0" borderId="0"/>
    <xf numFmtId="0" fontId="74" fillId="0" borderId="0"/>
    <xf numFmtId="0" fontId="100" fillId="0" borderId="0"/>
    <xf numFmtId="170" fontId="99" fillId="0" borderId="0"/>
    <xf numFmtId="170" fontId="74" fillId="0" borderId="0"/>
    <xf numFmtId="170" fontId="100" fillId="0" borderId="0"/>
    <xf numFmtId="170" fontId="101" fillId="0" borderId="0"/>
    <xf numFmtId="170" fontId="109" fillId="0" borderId="0"/>
    <xf numFmtId="170" fontId="105" fillId="0" borderId="0"/>
    <xf numFmtId="170" fontId="102" fillId="0" borderId="0"/>
    <xf numFmtId="170" fontId="101" fillId="0" borderId="0"/>
    <xf numFmtId="170" fontId="100" fillId="0" borderId="0"/>
    <xf numFmtId="170" fontId="106" fillId="0" borderId="0"/>
    <xf numFmtId="0" fontId="100" fillId="0" borderId="0"/>
    <xf numFmtId="0" fontId="106" fillId="0" borderId="0"/>
    <xf numFmtId="170" fontId="102" fillId="0" borderId="0"/>
    <xf numFmtId="170" fontId="101" fillId="0" borderId="0"/>
    <xf numFmtId="0" fontId="102" fillId="0" borderId="0"/>
    <xf numFmtId="0" fontId="101" fillId="0" borderId="0"/>
    <xf numFmtId="170" fontId="100" fillId="0" borderId="0"/>
    <xf numFmtId="170" fontId="106" fillId="0" borderId="0"/>
    <xf numFmtId="0" fontId="100" fillId="0" borderId="0"/>
    <xf numFmtId="0" fontId="106" fillId="0" borderId="0"/>
    <xf numFmtId="170" fontId="104" fillId="0" borderId="0"/>
    <xf numFmtId="170" fontId="105" fillId="0" borderId="0"/>
    <xf numFmtId="0" fontId="104" fillId="0" borderId="0"/>
    <xf numFmtId="0" fontId="105" fillId="0" borderId="0"/>
    <xf numFmtId="170" fontId="100" fillId="0" borderId="0"/>
    <xf numFmtId="170" fontId="99" fillId="0" borderId="0"/>
    <xf numFmtId="170" fontId="100" fillId="0" borderId="0"/>
    <xf numFmtId="170" fontId="101" fillId="0" borderId="0"/>
    <xf numFmtId="0" fontId="100" fillId="0" borderId="0"/>
    <xf numFmtId="0" fontId="101" fillId="0" borderId="0"/>
    <xf numFmtId="170" fontId="51" fillId="0" borderId="0"/>
    <xf numFmtId="170" fontId="74" fillId="0" borderId="0"/>
    <xf numFmtId="170" fontId="102" fillId="0" borderId="0"/>
    <xf numFmtId="38" fontId="103" fillId="0" borderId="0"/>
    <xf numFmtId="170" fontId="100" fillId="0" borderId="0"/>
    <xf numFmtId="170" fontId="74" fillId="0" borderId="0"/>
    <xf numFmtId="0" fontId="102" fillId="0" borderId="0"/>
    <xf numFmtId="170" fontId="101" fillId="0" borderId="0"/>
    <xf numFmtId="170" fontId="102" fillId="0" borderId="0"/>
    <xf numFmtId="170" fontId="105" fillId="0" borderId="0"/>
    <xf numFmtId="170" fontId="104" fillId="0" borderId="0"/>
    <xf numFmtId="170" fontId="105" fillId="0" borderId="0"/>
    <xf numFmtId="184" fontId="100" fillId="0" borderId="0"/>
    <xf numFmtId="0" fontId="101" fillId="0" borderId="0"/>
    <xf numFmtId="0" fontId="102" fillId="0" borderId="0"/>
    <xf numFmtId="170" fontId="101" fillId="0" borderId="0"/>
    <xf numFmtId="170" fontId="100" fillId="0" borderId="0"/>
    <xf numFmtId="170" fontId="101" fillId="0" borderId="0"/>
    <xf numFmtId="170" fontId="102" fillId="0" borderId="0"/>
    <xf numFmtId="170" fontId="101" fillId="0" borderId="0"/>
    <xf numFmtId="0" fontId="102" fillId="0" borderId="0"/>
    <xf numFmtId="0" fontId="101" fillId="0" borderId="0"/>
    <xf numFmtId="0" fontId="100" fillId="0" borderId="0"/>
    <xf numFmtId="170" fontId="101" fillId="0" borderId="0"/>
    <xf numFmtId="170" fontId="102" fillId="0" borderId="0"/>
    <xf numFmtId="170" fontId="101" fillId="0" borderId="0"/>
    <xf numFmtId="170" fontId="104" fillId="0" borderId="0"/>
    <xf numFmtId="170" fontId="105" fillId="0" borderId="0"/>
    <xf numFmtId="0" fontId="104" fillId="0" borderId="0"/>
    <xf numFmtId="0" fontId="105" fillId="0" borderId="0"/>
    <xf numFmtId="170" fontId="99" fillId="0" borderId="0"/>
    <xf numFmtId="170" fontId="100" fillId="0" borderId="0"/>
    <xf numFmtId="170" fontId="106" fillId="0" borderId="0"/>
    <xf numFmtId="170" fontId="99" fillId="0" borderId="0"/>
    <xf numFmtId="170" fontId="102" fillId="0" borderId="0"/>
    <xf numFmtId="170" fontId="101" fillId="0" borderId="0"/>
    <xf numFmtId="0" fontId="102" fillId="0" borderId="0"/>
    <xf numFmtId="0" fontId="101" fillId="0" borderId="0"/>
    <xf numFmtId="170" fontId="107" fillId="0" borderId="0"/>
    <xf numFmtId="170" fontId="108" fillId="0" borderId="0"/>
    <xf numFmtId="170" fontId="100" fillId="0" borderId="0"/>
    <xf numFmtId="170" fontId="51" fillId="0" borderId="0"/>
    <xf numFmtId="170" fontId="102" fillId="0" borderId="0"/>
    <xf numFmtId="170" fontId="101" fillId="0" borderId="0"/>
    <xf numFmtId="170" fontId="104" fillId="0" borderId="0"/>
    <xf numFmtId="0" fontId="74" fillId="0" borderId="0"/>
    <xf numFmtId="0" fontId="102" fillId="0" borderId="0"/>
    <xf numFmtId="0" fontId="101" fillId="0" borderId="0"/>
    <xf numFmtId="0" fontId="102" fillId="0" borderId="0"/>
    <xf numFmtId="0" fontId="74" fillId="0" borderId="0"/>
    <xf numFmtId="0" fontId="100" fillId="0" borderId="0"/>
    <xf numFmtId="170" fontId="99" fillId="0" borderId="0"/>
    <xf numFmtId="170" fontId="74" fillId="0" borderId="0"/>
    <xf numFmtId="170" fontId="100" fillId="0" borderId="0"/>
    <xf numFmtId="170" fontId="101" fillId="0" borderId="0"/>
    <xf numFmtId="170" fontId="109" fillId="0" borderId="0"/>
    <xf numFmtId="170" fontId="105" fillId="0" borderId="0"/>
    <xf numFmtId="170" fontId="104" fillId="0" borderId="0"/>
    <xf numFmtId="170" fontId="105" fillId="0" borderId="0"/>
    <xf numFmtId="170" fontId="100" fillId="0" borderId="0"/>
    <xf numFmtId="170" fontId="106" fillId="0" borderId="0"/>
    <xf numFmtId="0" fontId="100" fillId="0" borderId="0"/>
    <xf numFmtId="0" fontId="106" fillId="0" borderId="0"/>
    <xf numFmtId="170" fontId="102" fillId="0" borderId="0"/>
    <xf numFmtId="170" fontId="101" fillId="0" borderId="0"/>
    <xf numFmtId="0" fontId="102" fillId="0" borderId="0"/>
    <xf numFmtId="0" fontId="101" fillId="0" borderId="0"/>
    <xf numFmtId="170" fontId="100" fillId="0" borderId="0"/>
    <xf numFmtId="170" fontId="106" fillId="0" borderId="0"/>
    <xf numFmtId="0" fontId="100" fillId="0" borderId="0"/>
    <xf numFmtId="0" fontId="106" fillId="0" borderId="0"/>
    <xf numFmtId="170" fontId="104" fillId="0" borderId="0"/>
    <xf numFmtId="170" fontId="105" fillId="0" borderId="0"/>
    <xf numFmtId="0" fontId="104" fillId="0" borderId="0"/>
    <xf numFmtId="0" fontId="105" fillId="0" borderId="0"/>
    <xf numFmtId="170" fontId="100" fillId="0" borderId="0"/>
    <xf numFmtId="170" fontId="88" fillId="0" borderId="0"/>
    <xf numFmtId="170" fontId="88" fillId="0" borderId="0"/>
    <xf numFmtId="170" fontId="89" fillId="0" borderId="0"/>
    <xf numFmtId="170" fontId="66" fillId="0" borderId="0"/>
    <xf numFmtId="0" fontId="93" fillId="0" borderId="0"/>
    <xf numFmtId="0" fontId="93" fillId="0" borderId="0"/>
    <xf numFmtId="170" fontId="94" fillId="0" borderId="0"/>
    <xf numFmtId="170" fontId="94" fillId="0" borderId="0"/>
    <xf numFmtId="193" fontId="95" fillId="0" borderId="0"/>
    <xf numFmtId="194" fontId="95" fillId="0" borderId="0"/>
    <xf numFmtId="170" fontId="86" fillId="0" borderId="0"/>
    <xf numFmtId="170" fontId="86" fillId="0" borderId="0"/>
    <xf numFmtId="195" fontId="87" fillId="0" borderId="0"/>
    <xf numFmtId="0" fontId="64" fillId="0" borderId="0"/>
    <xf numFmtId="0" fontId="71" fillId="0" borderId="0"/>
    <xf numFmtId="170" fontId="71" fillId="0" borderId="0"/>
    <xf numFmtId="170" fontId="101" fillId="0" borderId="0"/>
    <xf numFmtId="170" fontId="51" fillId="0" borderId="0"/>
    <xf numFmtId="170" fontId="74" fillId="0" borderId="0"/>
    <xf numFmtId="170" fontId="107" fillId="0" borderId="0" applyAlignment="1" applyProtection="1">
      <alignment vertical="center"/>
      <protection locked="0" hidden="0"/>
    </xf>
    <xf numFmtId="170" fontId="101" fillId="0" borderId="0"/>
    <xf numFmtId="170" fontId="100" fillId="0" borderId="0"/>
    <xf numFmtId="170" fontId="74" fillId="0" borderId="0"/>
    <xf numFmtId="170" fontId="100" fillId="0" borderId="0"/>
    <xf numFmtId="170" fontId="74" fillId="0" borderId="0"/>
    <xf numFmtId="0" fontId="100" fillId="0" borderId="0"/>
    <xf numFmtId="0" fontId="110" fillId="0" borderId="0"/>
    <xf numFmtId="196" fontId="100" fillId="0" borderId="0"/>
    <xf numFmtId="170" fontId="101" fillId="0" borderId="0"/>
    <xf numFmtId="170" fontId="102" fillId="0" borderId="0"/>
    <xf numFmtId="170" fontId="101" fillId="0" borderId="0"/>
    <xf numFmtId="0" fontId="102" fillId="0" borderId="0"/>
    <xf numFmtId="0" fontId="101" fillId="0" borderId="0"/>
    <xf numFmtId="0" fontId="100" fillId="0" borderId="0"/>
    <xf numFmtId="170" fontId="101" fillId="0" borderId="0"/>
    <xf numFmtId="170" fontId="102" fillId="0" borderId="0"/>
    <xf numFmtId="170" fontId="101" fillId="0" borderId="0"/>
    <xf numFmtId="170" fontId="104" fillId="0" borderId="0"/>
    <xf numFmtId="170" fontId="105" fillId="0" borderId="0"/>
    <xf numFmtId="0" fontId="104" fillId="0" borderId="0"/>
    <xf numFmtId="0" fontId="105" fillId="0" borderId="0"/>
    <xf numFmtId="170" fontId="102" fillId="0" borderId="0"/>
    <xf numFmtId="170" fontId="101" fillId="0" borderId="0"/>
    <xf numFmtId="170" fontId="102" fillId="0" borderId="0"/>
    <xf numFmtId="170" fontId="101" fillId="0" borderId="0"/>
    <xf numFmtId="0" fontId="102" fillId="0" borderId="0"/>
    <xf numFmtId="0" fontId="101" fillId="0" borderId="0"/>
    <xf numFmtId="170" fontId="100" fillId="0" borderId="0"/>
    <xf numFmtId="170" fontId="51" fillId="0" borderId="0"/>
    <xf numFmtId="170" fontId="102" fillId="0" borderId="0"/>
    <xf numFmtId="170" fontId="101" fillId="0" borderId="0"/>
    <xf numFmtId="170" fontId="104" fillId="0" borderId="0"/>
    <xf numFmtId="170" fontId="106" fillId="0" borderId="0"/>
    <xf numFmtId="0" fontId="102" fillId="0" borderId="0"/>
    <xf numFmtId="0" fontId="74" fillId="0" borderId="0"/>
    <xf numFmtId="0" fontId="100" fillId="0" borderId="0"/>
    <xf numFmtId="170" fontId="101" fillId="0" borderId="0"/>
    <xf numFmtId="170" fontId="109" fillId="0" borderId="0"/>
    <xf numFmtId="170" fontId="105" fillId="0" borderId="0"/>
    <xf numFmtId="170" fontId="100" fillId="0" borderId="0"/>
    <xf numFmtId="170" fontId="106" fillId="0" borderId="0"/>
    <xf numFmtId="0" fontId="100" fillId="0" borderId="0"/>
    <xf numFmtId="0" fontId="106" fillId="0" borderId="0"/>
    <xf numFmtId="170" fontId="102" fillId="0" borderId="0"/>
    <xf numFmtId="170" fontId="101" fillId="0" borderId="0"/>
    <xf numFmtId="0" fontId="102" fillId="0" borderId="0"/>
    <xf numFmtId="0" fontId="101" fillId="0" borderId="0"/>
    <xf numFmtId="170" fontId="102" fillId="0" borderId="0"/>
    <xf numFmtId="170" fontId="101" fillId="0" borderId="0"/>
    <xf numFmtId="0" fontId="102" fillId="0" borderId="0"/>
    <xf numFmtId="0" fontId="101" fillId="0" borderId="0"/>
    <xf numFmtId="170" fontId="104" fillId="0" borderId="0"/>
    <xf numFmtId="170" fontId="105" fillId="0" borderId="0"/>
    <xf numFmtId="0" fontId="104" fillId="0" borderId="0"/>
    <xf numFmtId="0" fontId="105" fillId="0" borderId="0"/>
    <xf numFmtId="170" fontId="100" fillId="0" borderId="0"/>
    <xf numFmtId="170" fontId="100" fillId="0" borderId="0"/>
    <xf numFmtId="170" fontId="101" fillId="0" borderId="0"/>
    <xf numFmtId="0" fontId="100" fillId="0" borderId="0"/>
    <xf numFmtId="0" fontId="101" fillId="0" borderId="0"/>
    <xf numFmtId="170" fontId="51" fillId="0" borderId="0"/>
    <xf numFmtId="170" fontId="74" fillId="0" borderId="0"/>
    <xf numFmtId="170" fontId="102" fillId="0" borderId="0"/>
    <xf numFmtId="39" fontId="103" fillId="0" borderId="0"/>
    <xf numFmtId="170" fontId="100" fillId="0" borderId="0"/>
    <xf numFmtId="170" fontId="74" fillId="0" borderId="0"/>
    <xf numFmtId="0" fontId="102" fillId="0" borderId="0"/>
    <xf numFmtId="170" fontId="101" fillId="0" borderId="0"/>
    <xf numFmtId="170" fontId="102" fillId="0" borderId="0"/>
    <xf numFmtId="0" fontId="74" fillId="0" borderId="0"/>
    <xf numFmtId="197" fontId="100" fillId="0" borderId="0"/>
    <xf numFmtId="0" fontId="110" fillId="0" borderId="0"/>
    <xf numFmtId="0" fontId="111" fillId="0" borderId="0"/>
    <xf numFmtId="170" fontId="74" fillId="0" borderId="0"/>
    <xf numFmtId="170" fontId="100" fillId="0" borderId="0"/>
    <xf numFmtId="170" fontId="101" fillId="0" borderId="0"/>
    <xf numFmtId="170" fontId="102" fillId="0" borderId="0"/>
    <xf numFmtId="170" fontId="101" fillId="0" borderId="0"/>
    <xf numFmtId="0" fontId="102" fillId="0" borderId="0"/>
    <xf numFmtId="0" fontId="101" fillId="0" borderId="0"/>
    <xf numFmtId="0" fontId="100" fillId="0" borderId="0"/>
    <xf numFmtId="170" fontId="101" fillId="0" borderId="0"/>
    <xf numFmtId="170" fontId="102" fillId="0" borderId="0"/>
    <xf numFmtId="170" fontId="101" fillId="0" borderId="0"/>
    <xf numFmtId="170" fontId="104" fillId="0" borderId="0"/>
    <xf numFmtId="170" fontId="105" fillId="0" borderId="0"/>
    <xf numFmtId="0" fontId="104" fillId="0" borderId="0"/>
    <xf numFmtId="0" fontId="105" fillId="0" borderId="0"/>
    <xf numFmtId="170" fontId="100" fillId="0" borderId="0"/>
    <xf numFmtId="170" fontId="106" fillId="0" borderId="0"/>
    <xf numFmtId="170" fontId="102" fillId="0" borderId="0"/>
    <xf numFmtId="170" fontId="101" fillId="0" borderId="0"/>
    <xf numFmtId="0" fontId="102" fillId="0" borderId="0"/>
    <xf numFmtId="0" fontId="101" fillId="0" borderId="0"/>
    <xf numFmtId="170" fontId="100" fillId="0" borderId="0"/>
    <xf numFmtId="170" fontId="51" fillId="0" borderId="0"/>
    <xf numFmtId="170" fontId="102" fillId="0" borderId="0"/>
    <xf numFmtId="170" fontId="101" fillId="0" borderId="0"/>
    <xf numFmtId="170" fontId="104" fillId="0" borderId="0"/>
    <xf numFmtId="0" fontId="74" fillId="0" borderId="0"/>
    <xf numFmtId="0" fontId="102" fillId="0" borderId="0"/>
    <xf numFmtId="0" fontId="101" fillId="0" borderId="0"/>
    <xf numFmtId="0" fontId="102" fillId="0" borderId="0"/>
    <xf numFmtId="0" fontId="74" fillId="0" borderId="0"/>
    <xf numFmtId="0" fontId="100" fillId="0" borderId="0"/>
    <xf numFmtId="170" fontId="101" fillId="0" borderId="0"/>
    <xf numFmtId="170" fontId="109" fillId="0" borderId="0"/>
    <xf numFmtId="170" fontId="105" fillId="0" borderId="0"/>
    <xf numFmtId="170" fontId="100" fillId="0" borderId="0"/>
    <xf numFmtId="170" fontId="106" fillId="0" borderId="0"/>
    <xf numFmtId="0" fontId="100" fillId="0" borderId="0"/>
    <xf numFmtId="0" fontId="106" fillId="0" borderId="0"/>
    <xf numFmtId="170" fontId="102" fillId="0" borderId="0"/>
    <xf numFmtId="170" fontId="101" fillId="0" borderId="0"/>
    <xf numFmtId="0" fontId="102" fillId="0" borderId="0"/>
    <xf numFmtId="0" fontId="101" fillId="0" borderId="0"/>
    <xf numFmtId="170" fontId="100" fillId="0" borderId="0"/>
    <xf numFmtId="170" fontId="106" fillId="0" borderId="0"/>
    <xf numFmtId="0" fontId="100" fillId="0" borderId="0"/>
    <xf numFmtId="0" fontId="106" fillId="0" borderId="0"/>
    <xf numFmtId="170" fontId="104" fillId="0" borderId="0"/>
    <xf numFmtId="170" fontId="105" fillId="0" borderId="0"/>
    <xf numFmtId="0" fontId="104" fillId="0" borderId="0"/>
    <xf numFmtId="0" fontId="105" fillId="0" borderId="0"/>
    <xf numFmtId="170" fontId="100" fillId="0" borderId="0"/>
    <xf numFmtId="170" fontId="99" fillId="0" borderId="0"/>
    <xf numFmtId="170" fontId="99" fillId="0" borderId="0"/>
    <xf numFmtId="170" fontId="37" fillId="0" borderId="0"/>
    <xf numFmtId="0" fontId="37" fillId="0" borderId="0"/>
    <xf numFmtId="0" fontId="112" fillId="41" borderId="0" applyAlignment="1">
      <alignment vertical="center"/>
    </xf>
    <xf numFmtId="0" fontId="112" fillId="41" borderId="0" applyAlignment="1">
      <alignment vertical="center"/>
    </xf>
    <xf numFmtId="0" fontId="113" fillId="41" borderId="0" applyAlignment="1">
      <alignment vertical="center"/>
    </xf>
    <xf numFmtId="0" fontId="114" fillId="41" borderId="0" applyAlignment="1">
      <alignment vertical="center"/>
    </xf>
    <xf numFmtId="0" fontId="112" fillId="41" borderId="0" applyAlignment="1">
      <alignment vertical="center"/>
    </xf>
    <xf numFmtId="0" fontId="113" fillId="41" borderId="0" applyAlignment="1">
      <alignment vertical="center"/>
    </xf>
    <xf numFmtId="0" fontId="113" fillId="42" borderId="0" applyAlignment="1">
      <alignment vertical="center"/>
    </xf>
    <xf numFmtId="170" fontId="115" fillId="87" borderId="0"/>
    <xf numFmtId="170" fontId="116" fillId="0" borderId="0"/>
    <xf numFmtId="0" fontId="116" fillId="0" borderId="0"/>
    <xf numFmtId="170" fontId="117" fillId="0" borderId="0"/>
    <xf numFmtId="0" fontId="118" fillId="0" borderId="0"/>
    <xf numFmtId="170" fontId="94" fillId="0" borderId="0"/>
    <xf numFmtId="170" fontId="66" fillId="0" borderId="0"/>
    <xf numFmtId="0" fontId="119" fillId="0" borderId="0"/>
    <xf numFmtId="170" fontId="66" fillId="0" borderId="0"/>
    <xf numFmtId="170" fontId="92" fillId="0" borderId="0"/>
    <xf numFmtId="170" fontId="66" fillId="0" borderId="0"/>
    <xf numFmtId="0" fontId="92" fillId="0" borderId="0"/>
    <xf numFmtId="0" fontId="66" fillId="0" borderId="0"/>
    <xf numFmtId="170" fontId="92" fillId="0" borderId="0"/>
    <xf numFmtId="170" fontId="66" fillId="0" borderId="0"/>
    <xf numFmtId="0" fontId="92" fillId="0" borderId="0"/>
    <xf numFmtId="0" fontId="66" fillId="0" borderId="0"/>
    <xf numFmtId="0" fontId="64" fillId="0" borderId="0"/>
    <xf numFmtId="170" fontId="86" fillId="0" borderId="0"/>
    <xf numFmtId="170" fontId="120" fillId="0" borderId="0"/>
    <xf numFmtId="170" fontId="121" fillId="0" borderId="0"/>
    <xf numFmtId="0" fontId="107" fillId="0" borderId="0"/>
    <xf numFmtId="170" fontId="122" fillId="0" borderId="0"/>
    <xf numFmtId="170" fontId="107" fillId="0" borderId="0"/>
    <xf numFmtId="170" fontId="123" fillId="0" borderId="0"/>
    <xf numFmtId="170" fontId="73" fillId="0" borderId="0"/>
    <xf numFmtId="170" fontId="122" fillId="0" borderId="0"/>
    <xf numFmtId="170" fontId="124" fillId="0" borderId="0"/>
    <xf numFmtId="170" fontId="106" fillId="0" borderId="0"/>
    <xf numFmtId="170" fontId="100" fillId="0" borderId="0"/>
    <xf numFmtId="170" fontId="125" fillId="0" borderId="0"/>
    <xf numFmtId="170" fontId="126" fillId="0" borderId="0"/>
    <xf numFmtId="170" fontId="125" fillId="0" borderId="0"/>
    <xf numFmtId="0" fontId="126" fillId="0" borderId="0"/>
    <xf numFmtId="0" fontId="125" fillId="0" borderId="0"/>
    <xf numFmtId="0" fontId="126" fillId="0" borderId="0"/>
    <xf numFmtId="0" fontId="123" fillId="0" borderId="0"/>
    <xf numFmtId="170" fontId="100" fillId="0" borderId="0"/>
    <xf numFmtId="170" fontId="74" fillId="0" borderId="0"/>
    <xf numFmtId="170" fontId="100" fillId="0" borderId="0"/>
    <xf numFmtId="170" fontId="51" fillId="0" borderId="0"/>
    <xf numFmtId="0" fontId="100" fillId="0" borderId="0"/>
    <xf numFmtId="170" fontId="74" fillId="0" borderId="0"/>
    <xf numFmtId="170" fontId="102" fillId="0" borderId="0"/>
    <xf numFmtId="170" fontId="101" fillId="0" borderId="0"/>
    <xf numFmtId="170" fontId="102" fillId="0" borderId="0"/>
    <xf numFmtId="170" fontId="101" fillId="0" borderId="0"/>
    <xf numFmtId="0" fontId="102" fillId="0" borderId="0"/>
    <xf numFmtId="0" fontId="101" fillId="0" borderId="0"/>
    <xf numFmtId="0" fontId="107" fillId="0" borderId="0"/>
    <xf numFmtId="170" fontId="127" fillId="0" borderId="0"/>
    <xf numFmtId="170" fontId="109" fillId="0" borderId="0"/>
    <xf numFmtId="170" fontId="101" fillId="0" borderId="0"/>
    <xf numFmtId="170" fontId="104" fillId="0" borderId="0"/>
    <xf numFmtId="170" fontId="105" fillId="0" borderId="0"/>
    <xf numFmtId="0" fontId="104" fillId="0" borderId="0"/>
    <xf numFmtId="0" fontId="105" fillId="0" borderId="0"/>
    <xf numFmtId="170" fontId="100" fillId="0" borderId="0"/>
    <xf numFmtId="170" fontId="106" fillId="0" borderId="0"/>
    <xf numFmtId="0" fontId="100" fillId="0" borderId="0"/>
    <xf numFmtId="0" fontId="106" fillId="0" borderId="0"/>
    <xf numFmtId="170" fontId="100" fillId="0" borderId="0"/>
    <xf numFmtId="170" fontId="106" fillId="0" borderId="0"/>
    <xf numFmtId="170" fontId="102" fillId="0" borderId="0"/>
    <xf numFmtId="170" fontId="101" fillId="0" borderId="0"/>
    <xf numFmtId="0" fontId="102" fillId="0" borderId="0"/>
    <xf numFmtId="0" fontId="101" fillId="0" borderId="0"/>
    <xf numFmtId="170" fontId="102" fillId="0" borderId="0"/>
    <xf numFmtId="170" fontId="106" fillId="0" borderId="0"/>
    <xf numFmtId="49" fontId="100" fillId="0" borderId="0" applyAlignment="1">
      <alignment vertical="center"/>
    </xf>
    <xf numFmtId="170" fontId="123" fillId="0" borderId="0"/>
    <xf numFmtId="170" fontId="100" fillId="0" borderId="0"/>
    <xf numFmtId="170" fontId="101" fillId="0" borderId="0"/>
    <xf numFmtId="170" fontId="102" fillId="0" borderId="0"/>
    <xf numFmtId="170" fontId="106" fillId="0" borderId="0"/>
    <xf numFmtId="0" fontId="102" fillId="0" borderId="0"/>
    <xf numFmtId="0" fontId="74" fillId="0" borderId="0"/>
    <xf numFmtId="0" fontId="102" fillId="0" borderId="0"/>
    <xf numFmtId="0" fontId="101" fillId="0" borderId="0"/>
    <xf numFmtId="170" fontId="104" fillId="0" borderId="0"/>
    <xf numFmtId="170" fontId="105" fillId="0" borderId="0"/>
    <xf numFmtId="170" fontId="120" fillId="0" borderId="0"/>
    <xf numFmtId="170" fontId="74" fillId="0" borderId="0"/>
    <xf numFmtId="170" fontId="100" fillId="0" borderId="0"/>
    <xf numFmtId="170" fontId="106" fillId="0" borderId="0"/>
    <xf numFmtId="170" fontId="102" fillId="0" borderId="0"/>
    <xf numFmtId="170" fontId="101" fillId="0" borderId="0"/>
    <xf numFmtId="0" fontId="102" fillId="0" borderId="0"/>
    <xf numFmtId="0" fontId="101" fillId="0" borderId="0"/>
    <xf numFmtId="170" fontId="100" fillId="0" borderId="0"/>
    <xf numFmtId="170" fontId="106" fillId="0" borderId="0"/>
    <xf numFmtId="0" fontId="100" fillId="0" borderId="0"/>
    <xf numFmtId="0" fontId="106" fillId="0" borderId="0"/>
    <xf numFmtId="170" fontId="124" fillId="0" borderId="0"/>
    <xf numFmtId="170" fontId="124" fillId="0" borderId="0"/>
    <xf numFmtId="0" fontId="124" fillId="0" borderId="0"/>
    <xf numFmtId="0" fontId="124" fillId="0" borderId="0"/>
    <xf numFmtId="170" fontId="126" fillId="0" borderId="0"/>
    <xf numFmtId="170" fontId="106" fillId="0" borderId="0"/>
    <xf numFmtId="170" fontId="51" fillId="0" borderId="0"/>
    <xf numFmtId="170" fontId="51" fillId="0" borderId="0"/>
    <xf numFmtId="170" fontId="102" fillId="0" borderId="0"/>
    <xf numFmtId="170" fontId="101" fillId="0" borderId="0"/>
    <xf numFmtId="0" fontId="102" fillId="0" borderId="0"/>
    <xf numFmtId="0" fontId="101" fillId="0" borderId="0"/>
    <xf numFmtId="170" fontId="100" fillId="0" borderId="0"/>
    <xf numFmtId="170" fontId="106" fillId="0" borderId="0"/>
    <xf numFmtId="0" fontId="100" fillId="0" borderId="0"/>
    <xf numFmtId="0" fontId="106" fillId="0" borderId="0"/>
    <xf numFmtId="170" fontId="100" fillId="0" borderId="0"/>
    <xf numFmtId="164" fontId="51" fillId="0" borderId="0"/>
    <xf numFmtId="198" fontId="128" fillId="0" borderId="0"/>
    <xf numFmtId="199" fontId="128" fillId="0" borderId="0"/>
    <xf numFmtId="170" fontId="51" fillId="0" borderId="0"/>
    <xf numFmtId="170" fontId="51" fillId="0" borderId="0"/>
    <xf numFmtId="164" fontId="51" fillId="0" borderId="0"/>
    <xf numFmtId="200" fontId="51" fillId="0" borderId="0"/>
    <xf numFmtId="198" fontId="128" fillId="0" borderId="0"/>
    <xf numFmtId="0" fontId="129" fillId="88" borderId="54" applyAlignment="1">
      <alignment vertical="center"/>
    </xf>
    <xf numFmtId="0" fontId="129" fillId="88" borderId="54" applyAlignment="1">
      <alignment vertical="center"/>
    </xf>
    <xf numFmtId="0" fontId="129" fillId="89" borderId="54" applyAlignment="1">
      <alignment vertical="center"/>
    </xf>
    <xf numFmtId="0" fontId="130" fillId="89" borderId="54" applyAlignment="1">
      <alignment vertical="center"/>
    </xf>
    <xf numFmtId="0" fontId="129" fillId="89" borderId="54" applyAlignment="1">
      <alignment vertical="center"/>
    </xf>
    <xf numFmtId="170" fontId="131" fillId="90" borderId="54"/>
    <xf numFmtId="0" fontId="129" fillId="89" borderId="54" applyAlignment="1">
      <alignment vertical="center"/>
    </xf>
    <xf numFmtId="0" fontId="129" fillId="89" borderId="54" applyAlignment="1">
      <alignment vertical="center"/>
    </xf>
    <xf numFmtId="170" fontId="131" fillId="90" borderId="54"/>
    <xf numFmtId="0" fontId="129" fillId="89" borderId="54" applyAlignment="1">
      <alignment vertical="center"/>
    </xf>
    <xf numFmtId="170" fontId="131" fillId="90" borderId="54"/>
    <xf numFmtId="0" fontId="129" fillId="89" borderId="54" applyAlignment="1">
      <alignment vertical="center"/>
    </xf>
    <xf numFmtId="0" fontId="129" fillId="89" borderId="54" applyAlignment="1">
      <alignment vertical="center"/>
    </xf>
    <xf numFmtId="0" fontId="130" fillId="89" borderId="54" applyAlignment="1">
      <alignment vertical="center"/>
    </xf>
    <xf numFmtId="0" fontId="129" fillId="89" borderId="54" applyAlignment="1">
      <alignment vertical="center"/>
    </xf>
    <xf numFmtId="170" fontId="131" fillId="90" borderId="54"/>
    <xf numFmtId="0" fontId="129" fillId="89" borderId="54" applyAlignment="1">
      <alignment vertical="center"/>
    </xf>
    <xf numFmtId="0" fontId="129" fillId="89" borderId="54" applyAlignment="1">
      <alignment vertical="center"/>
    </xf>
    <xf numFmtId="170" fontId="131" fillId="90" borderId="54"/>
    <xf numFmtId="0" fontId="129" fillId="89" borderId="54" applyAlignment="1">
      <alignment vertical="center"/>
    </xf>
    <xf numFmtId="170" fontId="131" fillId="90" borderId="54"/>
    <xf numFmtId="0" fontId="129" fillId="89" borderId="54" applyAlignment="1">
      <alignment vertical="center"/>
    </xf>
    <xf numFmtId="0" fontId="129" fillId="89" borderId="54" applyAlignment="1">
      <alignment vertical="center"/>
    </xf>
    <xf numFmtId="0" fontId="130" fillId="89" borderId="54" applyAlignment="1">
      <alignment vertical="center"/>
    </xf>
    <xf numFmtId="0" fontId="129" fillId="89" borderId="54" applyAlignment="1">
      <alignment vertical="center"/>
    </xf>
    <xf numFmtId="0" fontId="129" fillId="89" borderId="54" applyAlignment="1">
      <alignment vertical="center"/>
    </xf>
    <xf numFmtId="0" fontId="129" fillId="89" borderId="54" applyAlignment="1">
      <alignment vertical="center"/>
    </xf>
    <xf numFmtId="0" fontId="129" fillId="89" borderId="54" applyAlignment="1">
      <alignment vertical="center"/>
    </xf>
    <xf numFmtId="170" fontId="131" fillId="90" borderId="54"/>
    <xf numFmtId="0" fontId="129" fillId="89" borderId="54" applyAlignment="1">
      <alignment vertical="center"/>
    </xf>
    <xf numFmtId="0" fontId="129" fillId="89" borderId="54" applyAlignment="1">
      <alignment vertical="center"/>
    </xf>
    <xf numFmtId="0" fontId="130" fillId="89" borderId="54" applyAlignment="1">
      <alignment vertical="center"/>
    </xf>
    <xf numFmtId="0" fontId="129" fillId="89" borderId="54" applyAlignment="1">
      <alignment vertical="center"/>
    </xf>
    <xf numFmtId="0" fontId="129" fillId="89" borderId="54" applyAlignment="1">
      <alignment vertical="center"/>
    </xf>
    <xf numFmtId="0" fontId="129" fillId="89" borderId="54" applyAlignment="1">
      <alignment vertical="center"/>
    </xf>
    <xf numFmtId="0" fontId="129" fillId="89" borderId="54" applyAlignment="1">
      <alignment vertical="center"/>
    </xf>
    <xf numFmtId="170" fontId="131" fillId="90" borderId="54"/>
    <xf numFmtId="0" fontId="129" fillId="89" borderId="54" applyAlignment="1">
      <alignment vertical="center"/>
    </xf>
    <xf numFmtId="0" fontId="130" fillId="89" borderId="54" applyAlignment="1">
      <alignment vertical="center"/>
    </xf>
    <xf numFmtId="0" fontId="129" fillId="89" borderId="54" applyAlignment="1">
      <alignment vertical="center"/>
    </xf>
    <xf numFmtId="0" fontId="130" fillId="89" borderId="54" applyAlignment="1">
      <alignment vertical="center"/>
    </xf>
    <xf numFmtId="0" fontId="129" fillId="89" borderId="54" applyAlignment="1">
      <alignment vertical="center"/>
    </xf>
    <xf numFmtId="170" fontId="131" fillId="90" borderId="54"/>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30"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30"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30" fillId="88" borderId="54" applyAlignment="1">
      <alignment vertical="center"/>
    </xf>
    <xf numFmtId="0" fontId="129" fillId="88" borderId="54" applyAlignment="1">
      <alignment vertical="center"/>
    </xf>
    <xf numFmtId="0" fontId="130" fillId="88" borderId="54" applyAlignment="1">
      <alignment vertical="center"/>
    </xf>
    <xf numFmtId="0" fontId="129" fillId="88" borderId="54" applyAlignment="1">
      <alignment vertical="center"/>
    </xf>
    <xf numFmtId="170" fontId="131" fillId="90" borderId="54"/>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30"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30" fillId="88" borderId="54" applyAlignment="1">
      <alignment vertical="center"/>
    </xf>
    <xf numFmtId="0" fontId="129" fillId="88" borderId="54" applyAlignment="1">
      <alignment vertical="center"/>
    </xf>
    <xf numFmtId="0" fontId="130" fillId="88" borderId="54" applyAlignment="1">
      <alignment vertical="center"/>
    </xf>
    <xf numFmtId="0" fontId="129" fillId="88" borderId="54" applyAlignment="1">
      <alignment vertical="center"/>
    </xf>
    <xf numFmtId="170" fontId="131" fillId="90" borderId="54"/>
    <xf numFmtId="0" fontId="129" fillId="88" borderId="54" applyAlignment="1">
      <alignment vertical="center"/>
    </xf>
    <xf numFmtId="0" fontId="129" fillId="88" borderId="54" applyAlignment="1">
      <alignment vertical="center"/>
    </xf>
    <xf numFmtId="0" fontId="130"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30"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30"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30"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30"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30"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30"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30"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30"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30"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30"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30"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30"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30"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30"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29" fillId="88" borderId="54" applyAlignment="1">
      <alignment vertical="center"/>
    </xf>
    <xf numFmtId="0" fontId="132" fillId="88" borderId="54" applyAlignment="1">
      <alignment vertical="center"/>
    </xf>
    <xf numFmtId="0" fontId="132" fillId="88" borderId="54" applyAlignment="1">
      <alignment vertical="center"/>
    </xf>
    <xf numFmtId="0" fontId="130" fillId="88" borderId="54" applyAlignment="1">
      <alignment vertical="center"/>
    </xf>
    <xf numFmtId="0" fontId="132" fillId="88" borderId="54" applyAlignment="1">
      <alignment vertical="center"/>
    </xf>
    <xf numFmtId="0" fontId="132" fillId="88" borderId="54" applyAlignment="1">
      <alignment vertical="center"/>
    </xf>
    <xf numFmtId="0" fontId="132" fillId="88" borderId="54" applyAlignment="1">
      <alignment vertical="center"/>
    </xf>
    <xf numFmtId="0" fontId="129" fillId="88" borderId="54" applyAlignment="1">
      <alignment vertical="center"/>
    </xf>
    <xf numFmtId="0" fontId="132" fillId="88" borderId="54" applyAlignment="1">
      <alignment vertical="center"/>
    </xf>
    <xf numFmtId="0" fontId="129" fillId="88" borderId="54" applyAlignment="1">
      <alignment vertical="center"/>
    </xf>
    <xf numFmtId="0" fontId="132" fillId="88" borderId="54" applyAlignment="1">
      <alignment vertical="center"/>
    </xf>
    <xf numFmtId="0" fontId="132" fillId="88" borderId="54" applyAlignment="1">
      <alignment vertical="center"/>
    </xf>
    <xf numFmtId="0" fontId="130" fillId="88" borderId="54" applyAlignment="1">
      <alignment vertical="center"/>
    </xf>
    <xf numFmtId="0" fontId="132" fillId="88" borderId="54" applyAlignment="1">
      <alignment vertical="center"/>
    </xf>
    <xf numFmtId="0" fontId="132" fillId="88" borderId="54" applyAlignment="1">
      <alignment vertical="center"/>
    </xf>
    <xf numFmtId="0" fontId="132" fillId="88" borderId="54" applyAlignment="1">
      <alignment vertical="center"/>
    </xf>
    <xf numFmtId="0" fontId="129" fillId="88" borderId="54" applyAlignment="1">
      <alignment vertical="center"/>
    </xf>
    <xf numFmtId="0" fontId="132" fillId="88" borderId="54" applyAlignment="1">
      <alignment vertical="center"/>
    </xf>
    <xf numFmtId="0" fontId="129" fillId="88" borderId="54" applyAlignment="1">
      <alignment vertical="center"/>
    </xf>
    <xf numFmtId="0" fontId="132" fillId="88" borderId="54" applyAlignment="1">
      <alignment vertical="center"/>
    </xf>
    <xf numFmtId="0" fontId="129" fillId="88" borderId="54" applyAlignment="1">
      <alignment vertical="center"/>
    </xf>
    <xf numFmtId="0" fontId="130" fillId="88" borderId="54" applyAlignment="1">
      <alignment vertical="center"/>
    </xf>
    <xf numFmtId="0" fontId="132" fillId="88" borderId="54" applyAlignment="1">
      <alignment vertical="center"/>
    </xf>
    <xf numFmtId="0" fontId="129" fillId="88" borderId="54" applyAlignment="1">
      <alignment vertical="center"/>
    </xf>
    <xf numFmtId="0" fontId="129" fillId="88" borderId="54" applyAlignment="1">
      <alignment vertical="center"/>
    </xf>
    <xf numFmtId="0" fontId="130" fillId="88" borderId="54" applyAlignment="1">
      <alignment vertical="center"/>
    </xf>
    <xf numFmtId="0" fontId="132" fillId="88" borderId="54" applyAlignment="1">
      <alignment vertical="center"/>
    </xf>
    <xf numFmtId="0" fontId="129" fillId="88" borderId="54" applyAlignment="1">
      <alignment vertical="center"/>
    </xf>
    <xf numFmtId="170" fontId="131" fillId="90" borderId="54"/>
    <xf numFmtId="0" fontId="129" fillId="88" borderId="54" applyAlignment="1">
      <alignment vertical="center"/>
    </xf>
    <xf numFmtId="0" fontId="132" fillId="88" borderId="54" applyAlignment="1">
      <alignment vertical="center"/>
    </xf>
    <xf numFmtId="0" fontId="132" fillId="88" borderId="54" applyAlignment="1">
      <alignment vertical="center"/>
    </xf>
    <xf numFmtId="0" fontId="130" fillId="88" borderId="54" applyAlignment="1">
      <alignment vertical="center"/>
    </xf>
    <xf numFmtId="0" fontId="132" fillId="88" borderId="54" applyAlignment="1">
      <alignment vertical="center"/>
    </xf>
    <xf numFmtId="0" fontId="132" fillId="88" borderId="54" applyAlignment="1">
      <alignment vertical="center"/>
    </xf>
    <xf numFmtId="0" fontId="132" fillId="88" borderId="54" applyAlignment="1">
      <alignment vertical="center"/>
    </xf>
    <xf numFmtId="0" fontId="129" fillId="88" borderId="54" applyAlignment="1">
      <alignment vertical="center"/>
    </xf>
    <xf numFmtId="0" fontId="132" fillId="88" borderId="54" applyAlignment="1">
      <alignment vertical="center"/>
    </xf>
    <xf numFmtId="0" fontId="129" fillId="88" borderId="54" applyAlignment="1">
      <alignment vertical="center"/>
    </xf>
    <xf numFmtId="0" fontId="132" fillId="88" borderId="54" applyAlignment="1">
      <alignment vertical="center"/>
    </xf>
    <xf numFmtId="0" fontId="129" fillId="88" borderId="54" applyAlignment="1">
      <alignment vertical="center"/>
    </xf>
    <xf numFmtId="0" fontId="130" fillId="88" borderId="54" applyAlignment="1">
      <alignment vertical="center"/>
    </xf>
    <xf numFmtId="0" fontId="132" fillId="88" borderId="54" applyAlignment="1">
      <alignment vertical="center"/>
    </xf>
    <xf numFmtId="0" fontId="129" fillId="88" borderId="54" applyAlignment="1">
      <alignment vertical="center"/>
    </xf>
    <xf numFmtId="0" fontId="129" fillId="88" borderId="54" applyAlignment="1">
      <alignment vertical="center"/>
    </xf>
    <xf numFmtId="0" fontId="130" fillId="88" borderId="54" applyAlignment="1">
      <alignment vertical="center"/>
    </xf>
    <xf numFmtId="0" fontId="132" fillId="88" borderId="54" applyAlignment="1">
      <alignment vertical="center"/>
    </xf>
    <xf numFmtId="0" fontId="129" fillId="88" borderId="54" applyAlignment="1">
      <alignment vertical="center"/>
    </xf>
    <xf numFmtId="170" fontId="131" fillId="90" borderId="54"/>
    <xf numFmtId="0" fontId="132" fillId="88" borderId="54" applyAlignment="1">
      <alignment vertical="center"/>
    </xf>
    <xf numFmtId="0" fontId="132" fillId="88" borderId="54" applyAlignment="1">
      <alignment vertical="center"/>
    </xf>
    <xf numFmtId="0" fontId="130" fillId="88" borderId="54" applyAlignment="1">
      <alignment vertical="center"/>
    </xf>
    <xf numFmtId="0" fontId="132" fillId="88" borderId="54" applyAlignment="1">
      <alignment vertical="center"/>
    </xf>
    <xf numFmtId="0" fontId="132" fillId="88" borderId="54" applyAlignment="1">
      <alignment vertical="center"/>
    </xf>
    <xf numFmtId="0" fontId="132" fillId="88" borderId="54" applyAlignment="1">
      <alignment vertical="center"/>
    </xf>
    <xf numFmtId="0" fontId="129" fillId="88" borderId="54" applyAlignment="1">
      <alignment vertical="center"/>
    </xf>
    <xf numFmtId="0" fontId="132" fillId="88" borderId="54" applyAlignment="1">
      <alignment vertical="center"/>
    </xf>
    <xf numFmtId="0" fontId="129" fillId="88" borderId="54" applyAlignment="1">
      <alignment vertical="center"/>
    </xf>
    <xf numFmtId="0" fontId="132" fillId="88" borderId="54" applyAlignment="1">
      <alignment vertical="center"/>
    </xf>
    <xf numFmtId="0" fontId="132" fillId="88" borderId="54" applyAlignment="1">
      <alignment vertical="center"/>
    </xf>
    <xf numFmtId="0" fontId="130" fillId="88" borderId="54" applyAlignment="1">
      <alignment vertical="center"/>
    </xf>
    <xf numFmtId="0" fontId="132" fillId="88" borderId="54" applyAlignment="1">
      <alignment vertical="center"/>
    </xf>
    <xf numFmtId="0" fontId="132" fillId="88" borderId="54" applyAlignment="1">
      <alignment vertical="center"/>
    </xf>
    <xf numFmtId="0" fontId="132" fillId="88" borderId="54" applyAlignment="1">
      <alignment vertical="center"/>
    </xf>
    <xf numFmtId="0" fontId="129" fillId="88" borderId="54" applyAlignment="1">
      <alignment vertical="center"/>
    </xf>
    <xf numFmtId="0" fontId="132" fillId="88" borderId="54" applyAlignment="1">
      <alignment vertical="center"/>
    </xf>
    <xf numFmtId="0" fontId="129" fillId="88" borderId="54" applyAlignment="1">
      <alignment vertical="center"/>
    </xf>
    <xf numFmtId="0" fontId="132" fillId="88" borderId="54" applyAlignment="1">
      <alignment vertical="center"/>
    </xf>
    <xf numFmtId="0" fontId="132" fillId="88" borderId="54" applyAlignment="1">
      <alignment vertical="center"/>
    </xf>
    <xf numFmtId="0" fontId="130" fillId="88" borderId="54" applyAlignment="1">
      <alignment vertical="center"/>
    </xf>
    <xf numFmtId="0" fontId="132" fillId="88" borderId="54" applyAlignment="1">
      <alignment vertical="center"/>
    </xf>
    <xf numFmtId="0" fontId="132" fillId="88" borderId="54" applyAlignment="1">
      <alignment vertical="center"/>
    </xf>
    <xf numFmtId="0" fontId="132" fillId="88" borderId="54" applyAlignment="1">
      <alignment vertical="center"/>
    </xf>
    <xf numFmtId="0" fontId="129" fillId="88" borderId="54" applyAlignment="1">
      <alignment vertical="center"/>
    </xf>
    <xf numFmtId="0" fontId="132" fillId="88" borderId="54" applyAlignment="1">
      <alignment vertical="center"/>
    </xf>
    <xf numFmtId="0" fontId="129" fillId="88" borderId="54" applyAlignment="1">
      <alignment vertical="center"/>
    </xf>
    <xf numFmtId="0" fontId="132" fillId="88" borderId="54" applyAlignment="1">
      <alignment vertical="center"/>
    </xf>
    <xf numFmtId="0" fontId="132" fillId="88" borderId="54" applyAlignment="1">
      <alignment vertical="center"/>
    </xf>
    <xf numFmtId="0" fontId="130" fillId="88" borderId="54" applyAlignment="1">
      <alignment vertical="center"/>
    </xf>
    <xf numFmtId="0" fontId="132" fillId="88" borderId="54" applyAlignment="1">
      <alignment vertical="center"/>
    </xf>
    <xf numFmtId="0" fontId="132" fillId="88" borderId="54" applyAlignment="1">
      <alignment vertical="center"/>
    </xf>
    <xf numFmtId="0" fontId="132" fillId="88" borderId="54" applyAlignment="1">
      <alignment vertical="center"/>
    </xf>
    <xf numFmtId="0" fontId="129" fillId="88" borderId="54" applyAlignment="1">
      <alignment vertical="center"/>
    </xf>
    <xf numFmtId="0" fontId="132" fillId="88" borderId="54" applyAlignment="1">
      <alignment vertical="center"/>
    </xf>
    <xf numFmtId="0" fontId="129" fillId="88" borderId="54" applyAlignment="1">
      <alignment vertical="center"/>
    </xf>
    <xf numFmtId="0" fontId="132" fillId="88" borderId="54" applyAlignment="1">
      <alignment vertical="center"/>
    </xf>
    <xf numFmtId="0" fontId="132" fillId="88" borderId="54" applyAlignment="1">
      <alignment vertical="center"/>
    </xf>
    <xf numFmtId="0" fontId="130" fillId="88" borderId="54" applyAlignment="1">
      <alignment vertical="center"/>
    </xf>
    <xf numFmtId="0" fontId="132" fillId="88" borderId="54" applyAlignment="1">
      <alignment vertical="center"/>
    </xf>
    <xf numFmtId="0" fontId="132" fillId="88" borderId="54" applyAlignment="1">
      <alignment vertical="center"/>
    </xf>
    <xf numFmtId="0" fontId="132" fillId="88" borderId="54" applyAlignment="1">
      <alignment vertical="center"/>
    </xf>
    <xf numFmtId="0" fontId="129" fillId="88" borderId="54" applyAlignment="1">
      <alignment vertical="center"/>
    </xf>
    <xf numFmtId="0" fontId="132" fillId="88" borderId="54" applyAlignment="1">
      <alignment vertical="center"/>
    </xf>
    <xf numFmtId="0" fontId="129" fillId="88" borderId="54" applyAlignment="1">
      <alignment vertical="center"/>
    </xf>
    <xf numFmtId="0" fontId="132" fillId="88" borderId="54" applyAlignment="1">
      <alignment vertical="center"/>
    </xf>
    <xf numFmtId="0" fontId="132" fillId="88" borderId="54" applyAlignment="1">
      <alignment vertical="center"/>
    </xf>
    <xf numFmtId="0" fontId="130" fillId="88" borderId="54" applyAlignment="1">
      <alignment vertical="center"/>
    </xf>
    <xf numFmtId="0" fontId="132" fillId="88" borderId="54" applyAlignment="1">
      <alignment vertical="center"/>
    </xf>
    <xf numFmtId="0" fontId="132" fillId="88" borderId="54" applyAlignment="1">
      <alignment vertical="center"/>
    </xf>
    <xf numFmtId="0" fontId="132" fillId="88" borderId="54" applyAlignment="1">
      <alignment vertical="center"/>
    </xf>
    <xf numFmtId="0" fontId="129" fillId="88" borderId="54" applyAlignment="1">
      <alignment vertical="center"/>
    </xf>
    <xf numFmtId="0" fontId="132" fillId="88" borderId="54" applyAlignment="1">
      <alignment vertical="center"/>
    </xf>
    <xf numFmtId="0" fontId="129" fillId="88" borderId="54" applyAlignment="1">
      <alignment vertical="center"/>
    </xf>
    <xf numFmtId="0" fontId="132" fillId="88" borderId="54" applyAlignment="1">
      <alignment vertical="center"/>
    </xf>
    <xf numFmtId="0" fontId="132" fillId="88" borderId="54" applyAlignment="1">
      <alignment vertical="center"/>
    </xf>
    <xf numFmtId="0" fontId="130" fillId="88" borderId="54" applyAlignment="1">
      <alignment vertical="center"/>
    </xf>
    <xf numFmtId="0" fontId="132" fillId="88" borderId="54" applyAlignment="1">
      <alignment vertical="center"/>
    </xf>
    <xf numFmtId="0" fontId="132" fillId="88" borderId="54" applyAlignment="1">
      <alignment vertical="center"/>
    </xf>
    <xf numFmtId="0" fontId="132" fillId="88" borderId="54" applyAlignment="1">
      <alignment vertical="center"/>
    </xf>
    <xf numFmtId="0" fontId="129" fillId="88" borderId="54" applyAlignment="1">
      <alignment vertical="center"/>
    </xf>
    <xf numFmtId="0" fontId="132" fillId="88" borderId="54" applyAlignment="1">
      <alignment vertical="center"/>
    </xf>
    <xf numFmtId="0" fontId="129" fillId="88" borderId="54" applyAlignment="1">
      <alignment vertical="center"/>
    </xf>
    <xf numFmtId="0" fontId="132" fillId="88" borderId="54" applyAlignment="1">
      <alignment vertical="center"/>
    </xf>
    <xf numFmtId="0" fontId="132" fillId="88" borderId="54" applyAlignment="1">
      <alignment vertical="center"/>
    </xf>
    <xf numFmtId="0" fontId="130" fillId="88" borderId="54" applyAlignment="1">
      <alignment vertical="center"/>
    </xf>
    <xf numFmtId="0" fontId="132" fillId="88" borderId="54" applyAlignment="1">
      <alignment vertical="center"/>
    </xf>
    <xf numFmtId="0" fontId="132" fillId="88" borderId="54" applyAlignment="1">
      <alignment vertical="center"/>
    </xf>
    <xf numFmtId="0" fontId="132" fillId="88" borderId="54" applyAlignment="1">
      <alignment vertical="center"/>
    </xf>
    <xf numFmtId="0" fontId="129" fillId="88" borderId="54" applyAlignment="1">
      <alignment vertical="center"/>
    </xf>
    <xf numFmtId="0" fontId="132" fillId="88" borderId="54" applyAlignment="1">
      <alignment vertical="center"/>
    </xf>
    <xf numFmtId="0" fontId="129" fillId="88" borderId="54" applyAlignment="1">
      <alignment vertical="center"/>
    </xf>
    <xf numFmtId="0" fontId="129" fillId="88" borderId="54" applyAlignment="1">
      <alignment vertical="center"/>
    </xf>
    <xf numFmtId="0" fontId="132" fillId="88" borderId="54" applyAlignment="1">
      <alignment vertical="center"/>
    </xf>
    <xf numFmtId="0" fontId="130" fillId="88" borderId="54" applyAlignment="1">
      <alignment vertical="center"/>
    </xf>
    <xf numFmtId="0" fontId="132" fillId="88" borderId="54" applyAlignment="1">
      <alignment vertical="center"/>
    </xf>
    <xf numFmtId="0" fontId="132" fillId="88" borderId="54" applyAlignment="1">
      <alignment vertical="center"/>
    </xf>
    <xf numFmtId="0" fontId="132" fillId="88" borderId="54" applyAlignment="1">
      <alignment vertical="center"/>
    </xf>
    <xf numFmtId="0" fontId="129" fillId="88" borderId="54" applyAlignment="1">
      <alignment vertical="center"/>
    </xf>
    <xf numFmtId="0" fontId="132" fillId="88" borderId="54" applyAlignment="1">
      <alignment vertical="center"/>
    </xf>
    <xf numFmtId="0" fontId="129" fillId="88" borderId="54" applyAlignment="1">
      <alignment vertical="center"/>
    </xf>
    <xf numFmtId="0" fontId="129" fillId="88" borderId="54" applyAlignment="1">
      <alignment vertical="center"/>
    </xf>
    <xf numFmtId="0" fontId="132" fillId="88" borderId="54" applyAlignment="1">
      <alignment vertical="center"/>
    </xf>
    <xf numFmtId="0" fontId="130" fillId="88" borderId="54" applyAlignment="1">
      <alignment vertical="center"/>
    </xf>
    <xf numFmtId="0" fontId="132" fillId="88" borderId="54" applyAlignment="1">
      <alignment vertical="center"/>
    </xf>
    <xf numFmtId="0" fontId="132" fillId="88" borderId="54" applyAlignment="1">
      <alignment vertical="center"/>
    </xf>
    <xf numFmtId="0" fontId="132" fillId="88" borderId="54" applyAlignment="1">
      <alignment vertical="center"/>
    </xf>
    <xf numFmtId="0" fontId="129" fillId="88" borderId="54" applyAlignment="1">
      <alignment vertical="center"/>
    </xf>
    <xf numFmtId="0" fontId="132" fillId="88" borderId="54" applyAlignment="1">
      <alignment vertical="center"/>
    </xf>
    <xf numFmtId="0" fontId="129" fillId="88" borderId="54" applyAlignment="1">
      <alignment vertical="center"/>
    </xf>
    <xf numFmtId="0" fontId="132" fillId="88" borderId="54" applyAlignment="1">
      <alignment vertical="center"/>
    </xf>
    <xf numFmtId="0" fontId="132" fillId="88" borderId="54" applyAlignment="1">
      <alignment vertical="center"/>
    </xf>
    <xf numFmtId="0" fontId="130" fillId="88" borderId="54" applyAlignment="1">
      <alignment vertical="center"/>
    </xf>
    <xf numFmtId="0" fontId="132" fillId="88" borderId="54" applyAlignment="1">
      <alignment vertical="center"/>
    </xf>
    <xf numFmtId="0" fontId="132" fillId="88" borderId="54" applyAlignment="1">
      <alignment vertical="center"/>
    </xf>
    <xf numFmtId="0" fontId="132" fillId="88" borderId="54" applyAlignment="1">
      <alignment vertical="center"/>
    </xf>
    <xf numFmtId="0" fontId="129" fillId="88" borderId="54" applyAlignment="1">
      <alignment vertical="center"/>
    </xf>
    <xf numFmtId="0" fontId="132" fillId="88" borderId="54" applyAlignment="1">
      <alignment vertical="center"/>
    </xf>
    <xf numFmtId="0" fontId="129" fillId="88" borderId="54" applyAlignment="1">
      <alignment vertical="center"/>
    </xf>
    <xf numFmtId="0" fontId="132" fillId="88" borderId="54" applyAlignment="1">
      <alignment vertical="center"/>
    </xf>
    <xf numFmtId="0" fontId="132" fillId="88" borderId="54" applyAlignment="1">
      <alignment vertical="center"/>
    </xf>
    <xf numFmtId="0" fontId="130" fillId="88" borderId="54" applyAlignment="1">
      <alignment vertical="center"/>
    </xf>
    <xf numFmtId="0" fontId="132" fillId="88" borderId="54" applyAlignment="1">
      <alignment vertical="center"/>
    </xf>
    <xf numFmtId="0" fontId="132" fillId="88" borderId="54" applyAlignment="1">
      <alignment vertical="center"/>
    </xf>
    <xf numFmtId="0" fontId="132" fillId="88" borderId="54" applyAlignment="1">
      <alignment vertical="center"/>
    </xf>
    <xf numFmtId="0" fontId="129" fillId="88" borderId="54" applyAlignment="1">
      <alignment vertical="center"/>
    </xf>
    <xf numFmtId="0" fontId="132" fillId="88" borderId="54" applyAlignment="1">
      <alignment vertical="center"/>
    </xf>
    <xf numFmtId="0" fontId="129" fillId="88" borderId="54" applyAlignment="1">
      <alignment vertical="center"/>
    </xf>
    <xf numFmtId="0" fontId="132" fillId="88" borderId="54" applyAlignment="1">
      <alignment vertical="center"/>
    </xf>
    <xf numFmtId="0" fontId="132" fillId="88" borderId="54" applyAlignment="1">
      <alignment vertical="center"/>
    </xf>
    <xf numFmtId="0" fontId="130" fillId="88" borderId="54" applyAlignment="1">
      <alignment vertical="center"/>
    </xf>
    <xf numFmtId="0" fontId="132" fillId="88" borderId="54" applyAlignment="1">
      <alignment vertical="center"/>
    </xf>
    <xf numFmtId="0" fontId="132" fillId="88" borderId="54" applyAlignment="1">
      <alignment vertical="center"/>
    </xf>
    <xf numFmtId="0" fontId="132" fillId="88" borderId="54" applyAlignment="1">
      <alignment vertical="center"/>
    </xf>
    <xf numFmtId="0" fontId="129" fillId="88" borderId="54" applyAlignment="1">
      <alignment vertical="center"/>
    </xf>
    <xf numFmtId="0" fontId="132" fillId="88" borderId="54" applyAlignment="1">
      <alignment vertical="center"/>
    </xf>
    <xf numFmtId="0" fontId="129" fillId="88" borderId="54" applyAlignment="1">
      <alignment vertical="center"/>
    </xf>
    <xf numFmtId="0" fontId="132" fillId="88" borderId="54" applyAlignment="1">
      <alignment vertical="center"/>
    </xf>
    <xf numFmtId="0" fontId="132" fillId="88" borderId="54" applyAlignment="1">
      <alignment vertical="center"/>
    </xf>
    <xf numFmtId="0" fontId="130" fillId="88" borderId="54" applyAlignment="1">
      <alignment vertical="center"/>
    </xf>
    <xf numFmtId="0" fontId="132" fillId="88" borderId="54" applyAlignment="1">
      <alignment vertical="center"/>
    </xf>
    <xf numFmtId="0" fontId="132" fillId="88" borderId="54" applyAlignment="1">
      <alignment vertical="center"/>
    </xf>
    <xf numFmtId="0" fontId="132" fillId="88" borderId="54" applyAlignment="1">
      <alignment vertical="center"/>
    </xf>
    <xf numFmtId="0" fontId="129" fillId="88" borderId="54" applyAlignment="1">
      <alignment vertical="center"/>
    </xf>
    <xf numFmtId="0" fontId="132" fillId="88" borderId="54" applyAlignment="1">
      <alignment vertical="center"/>
    </xf>
    <xf numFmtId="0" fontId="129" fillId="88" borderId="54" applyAlignment="1">
      <alignment vertical="center"/>
    </xf>
    <xf numFmtId="0" fontId="132" fillId="88" borderId="54" applyAlignment="1">
      <alignment vertical="center"/>
    </xf>
    <xf numFmtId="0" fontId="132" fillId="88" borderId="54" applyAlignment="1">
      <alignment vertical="center"/>
    </xf>
    <xf numFmtId="0" fontId="130" fillId="88" borderId="54" applyAlignment="1">
      <alignment vertical="center"/>
    </xf>
    <xf numFmtId="0" fontId="132" fillId="88" borderId="54" applyAlignment="1">
      <alignment vertical="center"/>
    </xf>
    <xf numFmtId="0" fontId="132" fillId="88" borderId="54" applyAlignment="1">
      <alignment vertical="center"/>
    </xf>
    <xf numFmtId="0" fontId="132" fillId="88" borderId="54" applyAlignment="1">
      <alignment vertical="center"/>
    </xf>
    <xf numFmtId="0" fontId="129" fillId="88" borderId="54" applyAlignment="1">
      <alignment vertical="center"/>
    </xf>
    <xf numFmtId="0" fontId="132" fillId="88" borderId="54" applyAlignment="1">
      <alignment vertical="center"/>
    </xf>
    <xf numFmtId="0" fontId="129" fillId="88" borderId="54" applyAlignment="1">
      <alignment vertical="center"/>
    </xf>
    <xf numFmtId="0" fontId="129" fillId="88" borderId="54" applyAlignment="1">
      <alignment vertical="center"/>
    </xf>
    <xf numFmtId="0" fontId="129" fillId="89" borderId="54" applyAlignment="1">
      <alignment vertical="center"/>
    </xf>
    <xf numFmtId="0" fontId="129" fillId="89" borderId="54" applyAlignment="1">
      <alignment vertical="center"/>
    </xf>
    <xf numFmtId="0" fontId="130" fillId="89" borderId="54" applyAlignment="1">
      <alignment vertical="center"/>
    </xf>
    <xf numFmtId="0" fontId="129" fillId="89" borderId="54" applyAlignment="1">
      <alignment vertical="center"/>
    </xf>
    <xf numFmtId="0" fontId="129" fillId="89" borderId="54" applyAlignment="1">
      <alignment vertical="center"/>
    </xf>
    <xf numFmtId="0" fontId="129" fillId="89" borderId="54" applyAlignment="1">
      <alignment vertical="center"/>
    </xf>
    <xf numFmtId="0" fontId="129" fillId="89" borderId="54" applyAlignment="1">
      <alignment vertical="center"/>
    </xf>
    <xf numFmtId="0" fontId="129" fillId="89" borderId="54" applyAlignment="1">
      <alignment vertical="center"/>
    </xf>
    <xf numFmtId="0" fontId="130" fillId="89" borderId="54" applyAlignment="1">
      <alignment vertical="center"/>
    </xf>
    <xf numFmtId="0" fontId="129" fillId="89" borderId="54" applyAlignment="1">
      <alignment vertical="center"/>
    </xf>
    <xf numFmtId="0" fontId="130" fillId="89" borderId="54" applyAlignment="1">
      <alignment vertical="center"/>
    </xf>
    <xf numFmtId="0" fontId="129" fillId="89" borderId="54" applyAlignment="1">
      <alignment vertical="center"/>
    </xf>
    <xf numFmtId="170" fontId="131" fillId="90" borderId="54"/>
    <xf numFmtId="0" fontId="129" fillId="89" borderId="54" applyAlignment="1">
      <alignment vertical="center"/>
    </xf>
    <xf numFmtId="0" fontId="129" fillId="89" borderId="54" applyAlignment="1">
      <alignment vertical="center"/>
    </xf>
    <xf numFmtId="0" fontId="130" fillId="89" borderId="54" applyAlignment="1">
      <alignment vertical="center"/>
    </xf>
    <xf numFmtId="0" fontId="129" fillId="89" borderId="54" applyAlignment="1">
      <alignment vertical="center"/>
    </xf>
    <xf numFmtId="0" fontId="129" fillId="89" borderId="54" applyAlignment="1">
      <alignment vertical="center"/>
    </xf>
    <xf numFmtId="0" fontId="129" fillId="89" borderId="54" applyAlignment="1">
      <alignment vertical="center"/>
    </xf>
    <xf numFmtId="0" fontId="129" fillId="89" borderId="54" applyAlignment="1">
      <alignment vertical="center"/>
    </xf>
    <xf numFmtId="170" fontId="131" fillId="90" borderId="54"/>
    <xf numFmtId="0" fontId="129" fillId="89" borderId="54" applyAlignment="1">
      <alignment vertical="center"/>
    </xf>
    <xf numFmtId="0" fontId="129" fillId="89" borderId="54" applyAlignment="1">
      <alignment vertical="center"/>
    </xf>
    <xf numFmtId="0" fontId="130" fillId="89" borderId="54" applyAlignment="1">
      <alignment vertical="center"/>
    </xf>
    <xf numFmtId="0" fontId="129" fillId="89" borderId="54" applyAlignment="1">
      <alignment vertical="center"/>
    </xf>
    <xf numFmtId="0" fontId="129" fillId="89" borderId="54" applyAlignment="1">
      <alignment vertical="center"/>
    </xf>
    <xf numFmtId="0" fontId="129" fillId="89" borderId="54" applyAlignment="1">
      <alignment vertical="center"/>
    </xf>
    <xf numFmtId="0" fontId="129" fillId="89" borderId="54" applyAlignment="1">
      <alignment vertical="center"/>
    </xf>
    <xf numFmtId="0" fontId="129" fillId="89" borderId="54" applyAlignment="1">
      <alignment vertical="center"/>
    </xf>
    <xf numFmtId="0" fontId="129" fillId="89" borderId="54" applyAlignment="1">
      <alignment vertical="center"/>
    </xf>
    <xf numFmtId="0" fontId="130" fillId="89" borderId="54" applyAlignment="1">
      <alignment vertical="center"/>
    </xf>
    <xf numFmtId="0" fontId="129" fillId="89" borderId="54" applyAlignment="1">
      <alignment vertical="center"/>
    </xf>
    <xf numFmtId="0" fontId="129" fillId="89" borderId="54" applyAlignment="1">
      <alignment vertical="center"/>
    </xf>
    <xf numFmtId="0" fontId="129" fillId="89" borderId="54" applyAlignment="1">
      <alignment vertical="center"/>
    </xf>
    <xf numFmtId="0" fontId="129" fillId="89" borderId="54" applyAlignment="1">
      <alignment vertical="center"/>
    </xf>
    <xf numFmtId="0" fontId="129" fillId="89" borderId="54" applyAlignment="1">
      <alignment vertical="center"/>
    </xf>
    <xf numFmtId="0" fontId="129" fillId="89" borderId="54" applyAlignment="1">
      <alignment vertical="center"/>
    </xf>
    <xf numFmtId="0" fontId="130" fillId="89" borderId="54" applyAlignment="1">
      <alignment vertical="center"/>
    </xf>
    <xf numFmtId="0" fontId="129" fillId="89" borderId="54" applyAlignment="1">
      <alignment vertical="center"/>
    </xf>
    <xf numFmtId="0" fontId="129" fillId="89" borderId="54" applyAlignment="1">
      <alignment vertical="center"/>
    </xf>
    <xf numFmtId="0" fontId="129" fillId="89" borderId="54" applyAlignment="1">
      <alignment vertical="center"/>
    </xf>
    <xf numFmtId="0" fontId="129" fillId="89" borderId="54" applyAlignment="1">
      <alignment vertical="center"/>
    </xf>
    <xf numFmtId="0" fontId="129" fillId="89" borderId="54" applyAlignment="1">
      <alignment vertical="center"/>
    </xf>
    <xf numFmtId="0" fontId="129" fillId="89" borderId="54" applyAlignment="1">
      <alignment vertical="center"/>
    </xf>
    <xf numFmtId="0" fontId="130" fillId="89" borderId="54" applyAlignment="1">
      <alignment vertical="center"/>
    </xf>
    <xf numFmtId="0" fontId="129" fillId="89" borderId="54" applyAlignment="1">
      <alignment vertical="center"/>
    </xf>
    <xf numFmtId="0" fontId="129" fillId="89" borderId="54" applyAlignment="1">
      <alignment vertical="center"/>
    </xf>
    <xf numFmtId="0" fontId="129" fillId="89" borderId="54" applyAlignment="1">
      <alignment vertical="center"/>
    </xf>
    <xf numFmtId="0" fontId="129" fillId="89" borderId="54" applyAlignment="1">
      <alignment vertical="center"/>
    </xf>
    <xf numFmtId="0" fontId="129" fillId="89" borderId="54" applyAlignment="1">
      <alignment vertical="center"/>
    </xf>
    <xf numFmtId="0" fontId="129" fillId="89" borderId="54" applyAlignment="1">
      <alignment vertical="center"/>
    </xf>
    <xf numFmtId="0" fontId="130" fillId="89" borderId="54" applyAlignment="1">
      <alignment vertical="center"/>
    </xf>
    <xf numFmtId="0" fontId="129" fillId="89" borderId="54" applyAlignment="1">
      <alignment vertical="center"/>
    </xf>
    <xf numFmtId="0" fontId="129" fillId="89" borderId="54" applyAlignment="1">
      <alignment vertical="center"/>
    </xf>
    <xf numFmtId="0" fontId="129" fillId="89" borderId="54" applyAlignment="1">
      <alignment vertical="center"/>
    </xf>
    <xf numFmtId="0" fontId="129" fillId="89" borderId="54" applyAlignment="1">
      <alignment vertical="center"/>
    </xf>
    <xf numFmtId="0" fontId="129" fillId="89" borderId="54" applyAlignment="1">
      <alignment vertical="center"/>
    </xf>
    <xf numFmtId="0" fontId="129" fillId="89" borderId="54" applyAlignment="1">
      <alignment vertical="center"/>
    </xf>
    <xf numFmtId="0" fontId="130" fillId="89" borderId="54" applyAlignment="1">
      <alignment vertical="center"/>
    </xf>
    <xf numFmtId="0" fontId="129" fillId="89" borderId="54" applyAlignment="1">
      <alignment vertical="center"/>
    </xf>
    <xf numFmtId="0" fontId="129" fillId="89" borderId="54" applyAlignment="1">
      <alignment vertical="center"/>
    </xf>
    <xf numFmtId="0" fontId="129" fillId="89" borderId="54" applyAlignment="1">
      <alignment vertical="center"/>
    </xf>
    <xf numFmtId="0" fontId="129" fillId="89" borderId="54" applyAlignment="1">
      <alignment vertical="center"/>
    </xf>
    <xf numFmtId="0" fontId="129" fillId="89" borderId="54" applyAlignment="1">
      <alignment vertical="center"/>
    </xf>
    <xf numFmtId="0" fontId="129" fillId="89" borderId="54" applyAlignment="1">
      <alignment vertical="center"/>
    </xf>
    <xf numFmtId="0" fontId="130" fillId="89" borderId="54" applyAlignment="1">
      <alignment vertical="center"/>
    </xf>
    <xf numFmtId="0" fontId="129" fillId="89" borderId="54" applyAlignment="1">
      <alignment vertical="center"/>
    </xf>
    <xf numFmtId="0" fontId="129" fillId="89" borderId="54" applyAlignment="1">
      <alignment vertical="center"/>
    </xf>
    <xf numFmtId="0" fontId="129" fillId="89" borderId="54" applyAlignment="1">
      <alignment vertical="center"/>
    </xf>
    <xf numFmtId="0" fontId="129" fillId="89" borderId="54" applyAlignment="1">
      <alignment vertical="center"/>
    </xf>
    <xf numFmtId="0" fontId="129" fillId="88" borderId="54" applyAlignment="1">
      <alignment vertical="center"/>
    </xf>
    <xf numFmtId="0" fontId="129" fillId="89" borderId="54" applyAlignment="1">
      <alignment vertical="center"/>
    </xf>
    <xf numFmtId="0" fontId="130" fillId="89" borderId="54" applyAlignment="1">
      <alignment vertical="center"/>
    </xf>
    <xf numFmtId="0" fontId="129" fillId="89" borderId="54" applyAlignment="1">
      <alignment vertical="center"/>
    </xf>
    <xf numFmtId="170" fontId="131" fillId="90" borderId="54"/>
    <xf numFmtId="0" fontId="129" fillId="89" borderId="54" applyAlignment="1">
      <alignment vertical="center"/>
    </xf>
    <xf numFmtId="0" fontId="129" fillId="89" borderId="54" applyAlignment="1">
      <alignment vertical="center"/>
    </xf>
    <xf numFmtId="0" fontId="129" fillId="89" borderId="54" applyAlignment="1">
      <alignment vertical="center"/>
    </xf>
    <xf numFmtId="170" fontId="131" fillId="90" borderId="54"/>
    <xf numFmtId="0" fontId="129" fillId="88" borderId="54" applyAlignment="1">
      <alignment vertical="center"/>
    </xf>
    <xf numFmtId="0" fontId="129" fillId="89" borderId="54" applyAlignment="1">
      <alignment vertical="center"/>
    </xf>
    <xf numFmtId="0" fontId="130" fillId="89" borderId="54" applyAlignment="1">
      <alignment vertical="center"/>
    </xf>
    <xf numFmtId="0" fontId="129" fillId="89" borderId="54" applyAlignment="1">
      <alignment vertical="center"/>
    </xf>
    <xf numFmtId="170" fontId="131" fillId="90" borderId="54"/>
    <xf numFmtId="0" fontId="129" fillId="89" borderId="54" applyAlignment="1">
      <alignment vertical="center"/>
    </xf>
    <xf numFmtId="0" fontId="129" fillId="89" borderId="54" applyAlignment="1">
      <alignment vertical="center"/>
    </xf>
    <xf numFmtId="170" fontId="131" fillId="90" borderId="54"/>
    <xf numFmtId="0" fontId="129" fillId="89" borderId="54" applyAlignment="1">
      <alignment vertical="center"/>
    </xf>
    <xf numFmtId="170" fontId="131" fillId="90" borderId="54"/>
    <xf numFmtId="0" fontId="129" fillId="88" borderId="54" applyAlignment="1">
      <alignment vertical="center"/>
    </xf>
    <xf numFmtId="0" fontId="129" fillId="89" borderId="54" applyAlignment="1">
      <alignment vertical="center"/>
    </xf>
    <xf numFmtId="0" fontId="130" fillId="89" borderId="54" applyAlignment="1">
      <alignment vertical="center"/>
    </xf>
    <xf numFmtId="0" fontId="129" fillId="89" borderId="54" applyAlignment="1">
      <alignment vertical="center"/>
    </xf>
    <xf numFmtId="170" fontId="131" fillId="90" borderId="54"/>
    <xf numFmtId="0" fontId="129" fillId="89" borderId="54" applyAlignment="1">
      <alignment vertical="center"/>
    </xf>
    <xf numFmtId="0" fontId="129" fillId="89" borderId="54" applyAlignment="1">
      <alignment vertical="center"/>
    </xf>
    <xf numFmtId="170" fontId="131" fillId="90" borderId="54"/>
    <xf numFmtId="0" fontId="129" fillId="89" borderId="54" applyAlignment="1">
      <alignment vertical="center"/>
    </xf>
    <xf numFmtId="170" fontId="131" fillId="90" borderId="54"/>
    <xf numFmtId="0" fontId="129" fillId="88" borderId="54" applyAlignment="1">
      <alignment vertical="center"/>
    </xf>
    <xf numFmtId="0" fontId="129" fillId="89" borderId="54" applyAlignment="1">
      <alignment vertical="center"/>
    </xf>
    <xf numFmtId="0" fontId="130" fillId="89" borderId="54" applyAlignment="1">
      <alignment vertical="center"/>
    </xf>
    <xf numFmtId="0" fontId="129" fillId="89" borderId="54" applyAlignment="1">
      <alignment vertical="center"/>
    </xf>
    <xf numFmtId="170" fontId="131" fillId="90" borderId="54"/>
    <xf numFmtId="0" fontId="129" fillId="89" borderId="54" applyAlignment="1">
      <alignment vertical="center"/>
    </xf>
    <xf numFmtId="0" fontId="129" fillId="89" borderId="54" applyAlignment="1">
      <alignment vertical="center"/>
    </xf>
    <xf numFmtId="170" fontId="131" fillId="90" borderId="54"/>
    <xf numFmtId="0" fontId="129" fillId="89" borderId="54" applyAlignment="1">
      <alignment vertical="center"/>
    </xf>
    <xf numFmtId="170" fontId="131" fillId="90" borderId="54"/>
    <xf numFmtId="0" fontId="129" fillId="88" borderId="54" applyAlignment="1">
      <alignment vertical="center"/>
    </xf>
    <xf numFmtId="0" fontId="129" fillId="89" borderId="54" applyAlignment="1">
      <alignment vertical="center"/>
    </xf>
    <xf numFmtId="0" fontId="130" fillId="89" borderId="54" applyAlignment="1">
      <alignment vertical="center"/>
    </xf>
    <xf numFmtId="0" fontId="129" fillId="89" borderId="54" applyAlignment="1">
      <alignment vertical="center"/>
    </xf>
    <xf numFmtId="170" fontId="131" fillId="90" borderId="54"/>
    <xf numFmtId="0" fontId="129" fillId="89" borderId="54" applyAlignment="1">
      <alignment vertical="center"/>
    </xf>
    <xf numFmtId="0" fontId="129" fillId="89" borderId="54" applyAlignment="1">
      <alignment vertical="center"/>
    </xf>
    <xf numFmtId="170" fontId="131" fillId="90" borderId="54"/>
    <xf numFmtId="0" fontId="129" fillId="89" borderId="54" applyAlignment="1">
      <alignment vertical="center"/>
    </xf>
    <xf numFmtId="170" fontId="131" fillId="90" borderId="54"/>
    <xf numFmtId="0" fontId="133" fillId="0" borderId="0"/>
    <xf numFmtId="0" fontId="133" fillId="0" borderId="0"/>
    <xf numFmtId="0" fontId="134" fillId="91" borderId="55" applyAlignment="1">
      <alignment vertical="center"/>
    </xf>
    <xf numFmtId="0" fontId="134" fillId="91" borderId="55" applyAlignment="1">
      <alignment vertical="center"/>
    </xf>
    <xf numFmtId="0" fontId="135" fillId="91" borderId="55" applyAlignment="1">
      <alignment vertical="center"/>
    </xf>
    <xf numFmtId="170" fontId="136" fillId="77" borderId="55"/>
    <xf numFmtId="0" fontId="137" fillId="91" borderId="55" applyAlignment="1">
      <alignment vertical="center"/>
    </xf>
    <xf numFmtId="0" fontId="134" fillId="91" borderId="55" applyAlignment="1">
      <alignment vertical="center"/>
    </xf>
    <xf numFmtId="0" fontId="135" fillId="91" borderId="55" applyAlignment="1">
      <alignment vertical="center"/>
    </xf>
    <xf numFmtId="0" fontId="135" fillId="92" borderId="55" applyAlignment="1">
      <alignment vertical="center"/>
    </xf>
    <xf numFmtId="170" fontId="136" fillId="77" borderId="55"/>
    <xf numFmtId="0" fontId="57" fillId="0" borderId="0" applyAlignment="1" applyProtection="1">
      <alignment vertical="top"/>
      <protection locked="0" hidden="0"/>
    </xf>
    <xf numFmtId="10" fontId="92" fillId="0" borderId="0"/>
    <xf numFmtId="4" fontId="138" fillId="0" borderId="0" applyProtection="1">
      <protection locked="0" hidden="0"/>
    </xf>
    <xf numFmtId="201" fontId="51" fillId="0" borderId="0"/>
    <xf numFmtId="201" fontId="51" fillId="0" borderId="0"/>
    <xf numFmtId="201" fontId="51" fillId="0" borderId="0"/>
    <xf numFmtId="201" fontId="51" fillId="0" borderId="0"/>
    <xf numFmtId="201" fontId="51" fillId="0" borderId="0"/>
    <xf numFmtId="201" fontId="51" fillId="0" borderId="0"/>
    <xf numFmtId="201" fontId="51" fillId="0" borderId="0"/>
    <xf numFmtId="201" fontId="51" fillId="0" borderId="0"/>
    <xf numFmtId="164" fontId="51" fillId="0" borderId="0"/>
    <xf numFmtId="202" fontId="37" fillId="0" borderId="0"/>
    <xf numFmtId="0" fontId="51" fillId="0" borderId="0"/>
    <xf numFmtId="0" fontId="37" fillId="0" borderId="0"/>
    <xf numFmtId="170" fontId="50" fillId="0" borderId="0" applyProtection="1">
      <protection locked="0" hidden="0"/>
    </xf>
    <xf numFmtId="170" fontId="51" fillId="0" borderId="0"/>
    <xf numFmtId="0" fontId="51" fillId="0" borderId="0"/>
    <xf numFmtId="0" fontId="37" fillId="0" borderId="0"/>
    <xf numFmtId="198" fontId="128" fillId="0" borderId="0"/>
    <xf numFmtId="0" fontId="37" fillId="0" borderId="0"/>
    <xf numFmtId="170" fontId="37" fillId="0" borderId="0"/>
    <xf numFmtId="0" fontId="37" fillId="0" borderId="0"/>
    <xf numFmtId="0" fontId="62" fillId="89" borderId="0"/>
    <xf numFmtId="170" fontId="139" fillId="0" borderId="0"/>
    <xf numFmtId="203" fontId="37" fillId="0" borderId="0" applyProtection="1">
      <protection locked="0" hidden="0"/>
    </xf>
    <xf numFmtId="204" fontId="98" fillId="0" borderId="0" applyProtection="1">
      <protection locked="0" hidden="0"/>
    </xf>
    <xf numFmtId="14" fontId="140" fillId="0" borderId="0"/>
    <xf numFmtId="14" fontId="51" fillId="0" borderId="0"/>
    <xf numFmtId="170" fontId="103" fillId="0" borderId="0" applyProtection="1">
      <protection locked="0" hidden="0"/>
    </xf>
    <xf numFmtId="0" fontId="141" fillId="1" borderId="0" applyAlignment="1">
      <alignment horizontal="center"/>
    </xf>
    <xf numFmtId="38" fontId="71" fillId="0" borderId="56" applyAlignment="1">
      <alignment vertical="center"/>
    </xf>
    <xf numFmtId="205" fontId="37" fillId="0" borderId="0"/>
    <xf numFmtId="170" fontId="50" fillId="0" borderId="0"/>
    <xf numFmtId="170" fontId="142" fillId="93" borderId="0"/>
    <xf numFmtId="170" fontId="142" fillId="94" borderId="0"/>
    <xf numFmtId="170" fontId="142" fillId="95" borderId="0"/>
    <xf numFmtId="170" fontId="50" fillId="0" borderId="0"/>
    <xf numFmtId="164" fontId="51" fillId="0" borderId="0"/>
    <xf numFmtId="198" fontId="128" fillId="0" borderId="0"/>
    <xf numFmtId="164" fontId="51" fillId="0" borderId="0"/>
    <xf numFmtId="200" fontId="51" fillId="0" borderId="0"/>
    <xf numFmtId="198" fontId="128" fillId="0" borderId="0"/>
    <xf numFmtId="170" fontId="128" fillId="0" borderId="0" applyAlignment="1">
      <alignment horizontal="left"/>
    </xf>
    <xf numFmtId="170" fontId="37" fillId="0" borderId="0"/>
    <xf numFmtId="0" fontId="75" fillId="0" borderId="0" applyAlignment="1">
      <alignment vertical="center"/>
    </xf>
    <xf numFmtId="0" fontId="75" fillId="0" borderId="0" applyAlignment="1">
      <alignment vertical="center"/>
    </xf>
    <xf numFmtId="0" fontId="75" fillId="0" borderId="0" applyAlignment="1">
      <alignment vertical="center"/>
    </xf>
    <xf numFmtId="0" fontId="75" fillId="0" borderId="0" applyAlignment="1">
      <alignment vertical="center"/>
    </xf>
    <xf numFmtId="0" fontId="75" fillId="0" borderId="0" applyAlignment="1">
      <alignment vertical="center"/>
    </xf>
    <xf numFmtId="0" fontId="75" fillId="0" borderId="0" applyAlignment="1">
      <alignment vertical="center"/>
    </xf>
    <xf numFmtId="0" fontId="75" fillId="0" borderId="0" applyAlignment="1">
      <alignment vertical="center"/>
    </xf>
    <xf numFmtId="0" fontId="76" fillId="0" borderId="0" applyAlignment="1">
      <alignment vertical="center"/>
    </xf>
    <xf numFmtId="0" fontId="143" fillId="0" borderId="0" applyAlignment="1">
      <alignment vertical="center"/>
    </xf>
    <xf numFmtId="0" fontId="143" fillId="0" borderId="0" applyAlignment="1">
      <alignment vertical="center"/>
    </xf>
    <xf numFmtId="0" fontId="144" fillId="0" borderId="0" applyAlignment="1">
      <alignment vertical="center"/>
    </xf>
    <xf numFmtId="0" fontId="145" fillId="0" borderId="0" applyAlignment="1">
      <alignment vertical="center"/>
    </xf>
    <xf numFmtId="0" fontId="143" fillId="0" borderId="0" applyAlignment="1">
      <alignment vertical="center"/>
    </xf>
    <xf numFmtId="0" fontId="144" fillId="0" borderId="0" applyAlignment="1">
      <alignment vertical="center"/>
    </xf>
    <xf numFmtId="0" fontId="144" fillId="0" borderId="0" applyAlignment="1">
      <alignment vertical="center"/>
    </xf>
    <xf numFmtId="170" fontId="138" fillId="0" borderId="0" applyProtection="1">
      <protection locked="0" hidden="0"/>
    </xf>
    <xf numFmtId="170" fontId="138" fillId="0" borderId="0" applyProtection="1">
      <protection locked="0" hidden="0"/>
    </xf>
    <xf numFmtId="170" fontId="138" fillId="0" borderId="0" applyProtection="1">
      <protection locked="0" hidden="0"/>
    </xf>
    <xf numFmtId="170" fontId="138" fillId="0" borderId="0" applyProtection="1">
      <protection locked="0" hidden="0"/>
    </xf>
    <xf numFmtId="170" fontId="138" fillId="0" borderId="0" applyProtection="1">
      <protection locked="0" hidden="0"/>
    </xf>
    <xf numFmtId="170" fontId="138" fillId="0" borderId="0" applyProtection="1">
      <protection locked="0" hidden="0"/>
    </xf>
    <xf numFmtId="170" fontId="138" fillId="0" borderId="0" applyProtection="1">
      <protection locked="0" hidden="0"/>
    </xf>
    <xf numFmtId="203" fontId="37" fillId="0" borderId="0" applyProtection="1">
      <protection locked="0" hidden="0"/>
    </xf>
    <xf numFmtId="179" fontId="98" fillId="0" borderId="0" applyProtection="1">
      <protection locked="0" hidden="0"/>
    </xf>
    <xf numFmtId="170" fontId="51" fillId="0" borderId="0"/>
    <xf numFmtId="0" fontId="146" fillId="43" borderId="0" applyAlignment="1">
      <alignment vertical="center"/>
    </xf>
    <xf numFmtId="0" fontId="146" fillId="43" borderId="0" applyAlignment="1">
      <alignment vertical="center"/>
    </xf>
    <xf numFmtId="0" fontId="147" fillId="43" borderId="0" applyAlignment="1">
      <alignment vertical="center"/>
    </xf>
    <xf numFmtId="0" fontId="148" fillId="43" borderId="0" applyAlignment="1">
      <alignment vertical="center"/>
    </xf>
    <xf numFmtId="0" fontId="146" fillId="43" borderId="0" applyAlignment="1">
      <alignment vertical="center"/>
    </xf>
    <xf numFmtId="0" fontId="147" fillId="43" borderId="0" applyAlignment="1">
      <alignment vertical="center"/>
    </xf>
    <xf numFmtId="0" fontId="147" fillId="44" borderId="0" applyAlignment="1">
      <alignment vertical="center"/>
    </xf>
    <xf numFmtId="170" fontId="149" fillId="96" borderId="0"/>
    <xf numFmtId="38" fontId="150" fillId="33" borderId="0"/>
    <xf numFmtId="0" fontId="151" fillId="0" borderId="0" applyAlignment="1">
      <alignment horizontal="left"/>
    </xf>
    <xf numFmtId="0" fontId="151" fillId="0" borderId="0" applyAlignment="1">
      <alignment horizontal="left"/>
    </xf>
    <xf numFmtId="0" fontId="152" fillId="0" borderId="57" applyAlignment="1">
      <alignment horizontal="left" vertical="center"/>
    </xf>
    <xf numFmtId="0" fontId="152" fillId="0" borderId="57" applyAlignment="1">
      <alignment horizontal="left" vertical="center"/>
    </xf>
    <xf numFmtId="0" fontId="152" fillId="0" borderId="14" applyAlignment="1">
      <alignment horizontal="left" vertical="center"/>
    </xf>
    <xf numFmtId="0" fontId="152" fillId="0" borderId="14" applyAlignment="1">
      <alignment horizontal="left" vertical="center"/>
    </xf>
    <xf numFmtId="170" fontId="152" fillId="0" borderId="14" applyAlignment="1">
      <alignment horizontal="left" vertical="center"/>
    </xf>
    <xf numFmtId="170" fontId="152" fillId="0" borderId="14" applyAlignment="1">
      <alignment horizontal="left" vertical="center"/>
    </xf>
    <xf numFmtId="170" fontId="152" fillId="0" borderId="14" applyAlignment="1">
      <alignment horizontal="left" vertical="center"/>
    </xf>
    <xf numFmtId="170" fontId="152" fillId="0" borderId="14" applyAlignment="1">
      <alignment horizontal="left" vertical="center"/>
    </xf>
    <xf numFmtId="170" fontId="152" fillId="0" borderId="14" applyAlignment="1">
      <alignment horizontal="left" vertical="center"/>
    </xf>
    <xf numFmtId="170" fontId="152" fillId="0" borderId="14" applyAlignment="1">
      <alignment horizontal="left" vertical="center"/>
    </xf>
    <xf numFmtId="170" fontId="152" fillId="0" borderId="14" applyAlignment="1">
      <alignment horizontal="left" vertical="center"/>
    </xf>
    <xf numFmtId="170" fontId="152" fillId="0" borderId="14" applyAlignment="1">
      <alignment horizontal="left" vertical="center"/>
    </xf>
    <xf numFmtId="170" fontId="152" fillId="0" borderId="14" applyAlignment="1">
      <alignment horizontal="left" vertical="center"/>
    </xf>
    <xf numFmtId="170" fontId="152" fillId="0" borderId="14" applyAlignment="1">
      <alignment horizontal="left" vertical="center"/>
    </xf>
    <xf numFmtId="170" fontId="152" fillId="0" borderId="14" applyAlignment="1">
      <alignment horizontal="left" vertical="center"/>
    </xf>
    <xf numFmtId="170" fontId="152" fillId="0" borderId="14" applyAlignment="1">
      <alignment horizontal="left" vertical="center"/>
    </xf>
    <xf numFmtId="170" fontId="152" fillId="0" borderId="14" applyAlignment="1">
      <alignment horizontal="left" vertical="center"/>
    </xf>
    <xf numFmtId="170" fontId="152" fillId="0" borderId="14" applyAlignment="1">
      <alignment horizontal="left" vertical="center"/>
    </xf>
    <xf numFmtId="0" fontId="152" fillId="0" borderId="14" applyAlignment="1">
      <alignment horizontal="left" vertical="center"/>
    </xf>
    <xf numFmtId="170" fontId="152" fillId="0" borderId="14" applyAlignment="1">
      <alignment horizontal="left" vertical="center"/>
    </xf>
    <xf numFmtId="170" fontId="152" fillId="0" borderId="14" applyAlignment="1">
      <alignment horizontal="left" vertical="center"/>
    </xf>
    <xf numFmtId="170" fontId="152" fillId="0" borderId="14" applyAlignment="1">
      <alignment horizontal="left" vertical="center"/>
    </xf>
    <xf numFmtId="170" fontId="152" fillId="0" borderId="14" applyAlignment="1">
      <alignment horizontal="left" vertical="center"/>
    </xf>
    <xf numFmtId="170" fontId="152" fillId="0" borderId="14" applyAlignment="1">
      <alignment horizontal="left" vertical="center"/>
    </xf>
    <xf numFmtId="170" fontId="152" fillId="0" borderId="14" applyAlignment="1">
      <alignment horizontal="left" vertical="center"/>
    </xf>
    <xf numFmtId="170" fontId="152" fillId="0" borderId="14" applyAlignment="1">
      <alignment horizontal="left" vertical="center"/>
    </xf>
    <xf numFmtId="170" fontId="152" fillId="0" borderId="14" applyAlignment="1">
      <alignment horizontal="left" vertical="center"/>
    </xf>
    <xf numFmtId="170" fontId="152" fillId="0" borderId="14" applyAlignment="1">
      <alignment horizontal="left" vertical="center"/>
    </xf>
    <xf numFmtId="170" fontId="152" fillId="0" borderId="14" applyAlignment="1">
      <alignment horizontal="left" vertical="center"/>
    </xf>
    <xf numFmtId="170" fontId="152" fillId="0" borderId="14" applyAlignment="1">
      <alignment horizontal="left" vertical="center"/>
    </xf>
    <xf numFmtId="170" fontId="152" fillId="0" borderId="14" applyAlignment="1">
      <alignment horizontal="left" vertical="center"/>
    </xf>
    <xf numFmtId="170" fontId="152" fillId="0" borderId="14" applyAlignment="1">
      <alignment horizontal="left" vertical="center"/>
    </xf>
    <xf numFmtId="170" fontId="152" fillId="0" borderId="14" applyAlignment="1">
      <alignment horizontal="left" vertical="center"/>
    </xf>
    <xf numFmtId="0" fontId="152" fillId="0" borderId="14" applyAlignment="1">
      <alignment horizontal="left" vertical="center"/>
    </xf>
    <xf numFmtId="0" fontId="153" fillId="0" borderId="58" applyAlignment="1">
      <alignment vertical="center"/>
    </xf>
    <xf numFmtId="0" fontId="153" fillId="0" borderId="58" applyAlignment="1">
      <alignment vertical="center"/>
    </xf>
    <xf numFmtId="0" fontId="154" fillId="0" borderId="58" applyAlignment="1">
      <alignment vertical="center"/>
    </xf>
    <xf numFmtId="0" fontId="155" fillId="0" borderId="58" applyAlignment="1">
      <alignment vertical="center"/>
    </xf>
    <xf numFmtId="0" fontId="153" fillId="0" borderId="58" applyAlignment="1">
      <alignment vertical="center"/>
    </xf>
    <xf numFmtId="0" fontId="154" fillId="0" borderId="58" applyAlignment="1">
      <alignment vertical="center"/>
    </xf>
    <xf numFmtId="0" fontId="154" fillId="0" borderId="58" applyAlignment="1">
      <alignment vertical="center"/>
    </xf>
    <xf numFmtId="170" fontId="156" fillId="0" borderId="59"/>
    <xf numFmtId="0" fontId="157" fillId="0" borderId="60" applyAlignment="1">
      <alignment vertical="center"/>
    </xf>
    <xf numFmtId="0" fontId="157" fillId="0" borderId="60" applyAlignment="1">
      <alignment vertical="center"/>
    </xf>
    <xf numFmtId="0" fontId="158" fillId="0" borderId="60" applyAlignment="1">
      <alignment vertical="center"/>
    </xf>
    <xf numFmtId="0" fontId="159" fillId="0" borderId="60" applyAlignment="1">
      <alignment vertical="center"/>
    </xf>
    <xf numFmtId="0" fontId="157" fillId="0" borderId="60" applyAlignment="1">
      <alignment vertical="center"/>
    </xf>
    <xf numFmtId="0" fontId="158" fillId="0" borderId="60" applyAlignment="1">
      <alignment vertical="center"/>
    </xf>
    <xf numFmtId="0" fontId="158" fillId="0" borderId="60" applyAlignment="1">
      <alignment vertical="center"/>
    </xf>
    <xf numFmtId="170" fontId="160" fillId="0" borderId="60"/>
    <xf numFmtId="0" fontId="161" fillId="0" borderId="61" applyAlignment="1">
      <alignment vertical="center"/>
    </xf>
    <xf numFmtId="170" fontId="162" fillId="0" borderId="62"/>
    <xf numFmtId="0" fontId="161" fillId="0" borderId="61" applyAlignment="1">
      <alignment vertical="center"/>
    </xf>
    <xf numFmtId="0" fontId="163" fillId="0" borderId="61" applyAlignment="1">
      <alignment vertical="center"/>
    </xf>
    <xf numFmtId="170" fontId="162" fillId="0" borderId="62"/>
    <xf numFmtId="170" fontId="162" fillId="0" borderId="62"/>
    <xf numFmtId="0" fontId="161" fillId="0" borderId="61" applyAlignment="1">
      <alignment vertical="center"/>
    </xf>
    <xf numFmtId="0" fontId="161" fillId="0" borderId="61" applyAlignment="1">
      <alignment vertical="center"/>
    </xf>
    <xf numFmtId="0" fontId="163" fillId="0" borderId="61" applyAlignment="1">
      <alignment vertical="center"/>
    </xf>
    <xf numFmtId="170" fontId="162" fillId="0" borderId="62"/>
    <xf numFmtId="170" fontId="162" fillId="0" borderId="62"/>
    <xf numFmtId="0" fontId="163" fillId="0" borderId="61" applyAlignment="1">
      <alignment vertical="center"/>
    </xf>
    <xf numFmtId="170" fontId="162" fillId="0" borderId="62"/>
    <xf numFmtId="170" fontId="162" fillId="0" borderId="62"/>
    <xf numFmtId="170" fontId="162" fillId="0" borderId="62"/>
    <xf numFmtId="170" fontId="162" fillId="0" borderId="62"/>
    <xf numFmtId="170" fontId="162" fillId="0" borderId="62"/>
    <xf numFmtId="170" fontId="162" fillId="0" borderId="62"/>
    <xf numFmtId="170" fontId="162" fillId="0" borderId="62"/>
    <xf numFmtId="170" fontId="162" fillId="0" borderId="62"/>
    <xf numFmtId="170" fontId="162" fillId="0" borderId="62"/>
    <xf numFmtId="170" fontId="162" fillId="0" borderId="62"/>
    <xf numFmtId="170" fontId="162" fillId="0" borderId="62"/>
    <xf numFmtId="170" fontId="162" fillId="0" borderId="62"/>
    <xf numFmtId="0" fontId="161" fillId="0" borderId="0" applyAlignment="1">
      <alignment vertical="center"/>
    </xf>
    <xf numFmtId="0" fontId="161" fillId="0" borderId="0" applyAlignment="1">
      <alignment vertical="center"/>
    </xf>
    <xf numFmtId="0" fontId="163" fillId="0" borderId="0" applyAlignment="1">
      <alignment vertical="center"/>
    </xf>
    <xf numFmtId="0" fontId="164" fillId="0" borderId="0" applyAlignment="1">
      <alignment vertical="center"/>
    </xf>
    <xf numFmtId="0" fontId="161" fillId="0" borderId="0" applyAlignment="1">
      <alignment vertical="center"/>
    </xf>
    <xf numFmtId="0" fontId="163" fillId="0" borderId="0" applyAlignment="1">
      <alignment vertical="center"/>
    </xf>
    <xf numFmtId="0" fontId="163" fillId="0" borderId="0" applyAlignment="1">
      <alignment vertical="center"/>
    </xf>
    <xf numFmtId="170" fontId="162" fillId="0" borderId="0"/>
    <xf numFmtId="203" fontId="37" fillId="0" borderId="0" applyProtection="1">
      <protection locked="0" hidden="0"/>
    </xf>
    <xf numFmtId="206" fontId="50" fillId="0" borderId="0" applyProtection="1">
      <protection locked="0" hidden="0"/>
    </xf>
    <xf numFmtId="203" fontId="37" fillId="0" borderId="0" applyProtection="1">
      <protection locked="0" hidden="0"/>
    </xf>
    <xf numFmtId="206" fontId="50" fillId="0" borderId="0" applyProtection="1">
      <protection locked="0" hidden="0"/>
    </xf>
    <xf numFmtId="207" fontId="50" fillId="0" borderId="0"/>
    <xf numFmtId="184" fontId="62" fillId="0" borderId="0"/>
    <xf numFmtId="170" fontId="50" fillId="0" borderId="0"/>
    <xf numFmtId="170" fontId="50" fillId="0" borderId="0"/>
    <xf numFmtId="170" fontId="50" fillId="0" borderId="0"/>
    <xf numFmtId="170" fontId="50" fillId="0" borderId="0"/>
    <xf numFmtId="170" fontId="50" fillId="0" borderId="0"/>
    <xf numFmtId="208" fontId="165" fillId="0" borderId="0"/>
    <xf numFmtId="170" fontId="166" fillId="0" borderId="63"/>
    <xf numFmtId="209" fontId="167" fillId="97" borderId="64" applyAlignment="1">
      <alignment horizontal="left" vertical="top" textRotation="90"/>
    </xf>
    <xf numFmtId="170" fontId="124" fillId="0" borderId="0"/>
    <xf numFmtId="170" fontId="50" fillId="0" borderId="0"/>
    <xf numFmtId="0" fontId="50" fillId="0" borderId="0"/>
    <xf numFmtId="0" fontId="168" fillId="49" borderId="54" applyAlignment="1">
      <alignment vertical="center"/>
    </xf>
    <xf numFmtId="10" fontId="150" fillId="33" borderId="10"/>
    <xf numFmtId="10" fontId="150" fillId="33" borderId="10"/>
    <xf numFmtId="10" fontId="150" fillId="33" borderId="10"/>
    <xf numFmtId="10" fontId="150" fillId="33" borderId="10"/>
    <xf numFmtId="10" fontId="150" fillId="33" borderId="10"/>
    <xf numFmtId="10" fontId="150" fillId="33" borderId="10"/>
    <xf numFmtId="10" fontId="150" fillId="33" borderId="10"/>
    <xf numFmtId="10" fontId="150" fillId="33" borderId="10"/>
    <xf numFmtId="10" fontId="150" fillId="33" borderId="10"/>
    <xf numFmtId="10" fontId="150" fillId="33" borderId="10"/>
    <xf numFmtId="10" fontId="150" fillId="33" borderId="10"/>
    <xf numFmtId="10" fontId="150" fillId="33" borderId="10"/>
    <xf numFmtId="10" fontId="150" fillId="33" borderId="10"/>
    <xf numFmtId="10" fontId="150" fillId="33" borderId="10"/>
    <xf numFmtId="10" fontId="150" fillId="33" borderId="10"/>
    <xf numFmtId="10" fontId="150" fillId="33" borderId="10"/>
    <xf numFmtId="10" fontId="150" fillId="33" borderId="10"/>
    <xf numFmtId="10" fontId="150" fillId="33" borderId="10"/>
    <xf numFmtId="10" fontId="150" fillId="33" borderId="10"/>
    <xf numFmtId="10" fontId="150" fillId="33" borderId="10"/>
    <xf numFmtId="10" fontId="150" fillId="33" borderId="10"/>
    <xf numFmtId="10" fontId="150" fillId="33" borderId="10"/>
    <xf numFmtId="10" fontId="150" fillId="33" borderId="10"/>
    <xf numFmtId="10" fontId="150" fillId="33" borderId="10"/>
    <xf numFmtId="0" fontId="168" fillId="49" borderId="54" applyAlignment="1">
      <alignment vertical="center"/>
    </xf>
    <xf numFmtId="0" fontId="168" fillId="36" borderId="54" applyAlignment="1">
      <alignment vertical="center"/>
    </xf>
    <xf numFmtId="0" fontId="169" fillId="36" borderId="54" applyAlignment="1">
      <alignment vertical="center"/>
    </xf>
    <xf numFmtId="0" fontId="168" fillId="36" borderId="54" applyAlignment="1">
      <alignment vertical="center"/>
    </xf>
    <xf numFmtId="170" fontId="170" fillId="84" borderId="54"/>
    <xf numFmtId="0" fontId="168" fillId="36" borderId="54" applyAlignment="1">
      <alignment vertical="center"/>
    </xf>
    <xf numFmtId="0" fontId="168" fillId="36" borderId="54" applyAlignment="1">
      <alignment vertical="center"/>
    </xf>
    <xf numFmtId="170" fontId="170" fillId="84" borderId="54"/>
    <xf numFmtId="0" fontId="168" fillId="36" borderId="54" applyAlignment="1">
      <alignment vertical="center"/>
    </xf>
    <xf numFmtId="170" fontId="170" fillId="84" borderId="54"/>
    <xf numFmtId="0" fontId="168" fillId="49" borderId="54" applyAlignment="1">
      <alignment vertical="center"/>
    </xf>
    <xf numFmtId="0" fontId="168" fillId="36" borderId="54" applyAlignment="1">
      <alignment vertical="center"/>
    </xf>
    <xf numFmtId="0" fontId="169" fillId="36" borderId="54" applyAlignment="1">
      <alignment vertical="center"/>
    </xf>
    <xf numFmtId="0" fontId="168" fillId="36" borderId="54" applyAlignment="1">
      <alignment vertical="center"/>
    </xf>
    <xf numFmtId="170" fontId="170" fillId="84" borderId="54"/>
    <xf numFmtId="0" fontId="168" fillId="36" borderId="54" applyAlignment="1">
      <alignment vertical="center"/>
    </xf>
    <xf numFmtId="0" fontId="168" fillId="36" borderId="54" applyAlignment="1">
      <alignment vertical="center"/>
    </xf>
    <xf numFmtId="170" fontId="170" fillId="84" borderId="54"/>
    <xf numFmtId="0" fontId="168" fillId="36" borderId="54" applyAlignment="1">
      <alignment vertical="center"/>
    </xf>
    <xf numFmtId="170" fontId="170" fillId="84" borderId="54"/>
    <xf numFmtId="0" fontId="168" fillId="49" borderId="54" applyAlignment="1">
      <alignment vertical="center"/>
    </xf>
    <xf numFmtId="0" fontId="168" fillId="36" borderId="54" applyAlignment="1">
      <alignment vertical="center"/>
    </xf>
    <xf numFmtId="0" fontId="169" fillId="36" borderId="54" applyAlignment="1">
      <alignment vertical="center"/>
    </xf>
    <xf numFmtId="0" fontId="168" fillId="36" borderId="54" applyAlignment="1">
      <alignment vertical="center"/>
    </xf>
    <xf numFmtId="0" fontId="168" fillId="36" borderId="54" applyAlignment="1">
      <alignment vertical="center"/>
    </xf>
    <xf numFmtId="0" fontId="168" fillId="36" borderId="54" applyAlignment="1">
      <alignment vertical="center"/>
    </xf>
    <xf numFmtId="0" fontId="168" fillId="36" borderId="54" applyAlignment="1">
      <alignment vertical="center"/>
    </xf>
    <xf numFmtId="170" fontId="170" fillId="84" borderId="54"/>
    <xf numFmtId="0" fontId="168" fillId="49" borderId="54" applyAlignment="1">
      <alignment vertical="center"/>
    </xf>
    <xf numFmtId="0" fontId="168" fillId="36" borderId="54" applyAlignment="1">
      <alignment vertical="center"/>
    </xf>
    <xf numFmtId="0" fontId="169" fillId="36" borderId="54" applyAlignment="1">
      <alignment vertical="center"/>
    </xf>
    <xf numFmtId="0" fontId="168" fillId="36" borderId="54" applyAlignment="1">
      <alignment vertical="center"/>
    </xf>
    <xf numFmtId="0" fontId="168" fillId="36" borderId="54" applyAlignment="1">
      <alignment vertical="center"/>
    </xf>
    <xf numFmtId="0" fontId="168" fillId="36" borderId="54" applyAlignment="1">
      <alignment vertical="center"/>
    </xf>
    <xf numFmtId="0" fontId="168" fillId="36" borderId="54" applyAlignment="1">
      <alignment vertical="center"/>
    </xf>
    <xf numFmtId="170" fontId="170" fillId="84" borderId="54"/>
    <xf numFmtId="0" fontId="168" fillId="49" borderId="54" applyAlignment="1">
      <alignment vertical="center"/>
    </xf>
    <xf numFmtId="0" fontId="169" fillId="36" borderId="54" applyAlignment="1">
      <alignment vertical="center"/>
    </xf>
    <xf numFmtId="0" fontId="168" fillId="36" borderId="54" applyAlignment="1">
      <alignment vertical="center"/>
    </xf>
    <xf numFmtId="170" fontId="170" fillId="84" borderId="54"/>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9"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9"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9" fillId="49" borderId="54" applyAlignment="1">
      <alignment vertical="center"/>
    </xf>
    <xf numFmtId="0" fontId="168" fillId="49" borderId="54" applyAlignment="1">
      <alignment vertical="center"/>
    </xf>
    <xf numFmtId="0" fontId="169" fillId="49" borderId="54" applyAlignment="1">
      <alignment vertical="center"/>
    </xf>
    <xf numFmtId="0" fontId="168" fillId="49" borderId="54" applyAlignment="1">
      <alignment vertical="center"/>
    </xf>
    <xf numFmtId="170" fontId="170" fillId="84" borderId="54"/>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9"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9" fillId="49" borderId="54" applyAlignment="1">
      <alignment vertical="center"/>
    </xf>
    <xf numFmtId="0" fontId="168" fillId="49" borderId="54" applyAlignment="1">
      <alignment vertical="center"/>
    </xf>
    <xf numFmtId="0" fontId="169" fillId="49" borderId="54" applyAlignment="1">
      <alignment vertical="center"/>
    </xf>
    <xf numFmtId="0" fontId="168" fillId="49" borderId="54" applyAlignment="1">
      <alignment vertical="center"/>
    </xf>
    <xf numFmtId="170" fontId="170" fillId="84" borderId="54"/>
    <xf numFmtId="0" fontId="168" fillId="49" borderId="54" applyAlignment="1">
      <alignment vertical="center"/>
    </xf>
    <xf numFmtId="0" fontId="168" fillId="49" borderId="54" applyAlignment="1">
      <alignment vertical="center"/>
    </xf>
    <xf numFmtId="0" fontId="169"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9"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9"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9"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9"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9"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9"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9"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9"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9"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9"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9"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9"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9"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9"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71" fillId="49" borderId="54" applyAlignment="1">
      <alignment vertical="center"/>
    </xf>
    <xf numFmtId="0" fontId="171" fillId="49" borderId="54" applyAlignment="1">
      <alignment vertical="center"/>
    </xf>
    <xf numFmtId="0" fontId="169" fillId="49" borderId="54" applyAlignment="1">
      <alignment vertical="center"/>
    </xf>
    <xf numFmtId="0" fontId="171" fillId="49" borderId="54" applyAlignment="1">
      <alignment vertical="center"/>
    </xf>
    <xf numFmtId="0" fontId="171" fillId="49" borderId="54" applyAlignment="1">
      <alignment vertical="center"/>
    </xf>
    <xf numFmtId="0" fontId="171" fillId="49" borderId="54" applyAlignment="1">
      <alignment vertical="center"/>
    </xf>
    <xf numFmtId="0" fontId="168" fillId="49" borderId="54" applyAlignment="1">
      <alignment vertical="center"/>
    </xf>
    <xf numFmtId="0" fontId="171" fillId="49" borderId="54" applyAlignment="1">
      <alignment vertical="center"/>
    </xf>
    <xf numFmtId="0" fontId="168" fillId="49" borderId="54" applyAlignment="1">
      <alignment vertical="center"/>
    </xf>
    <xf numFmtId="0" fontId="171" fillId="49" borderId="54" applyAlignment="1">
      <alignment vertical="center"/>
    </xf>
    <xf numFmtId="0" fontId="171" fillId="49" borderId="54" applyAlignment="1">
      <alignment vertical="center"/>
    </xf>
    <xf numFmtId="0" fontId="169" fillId="49" borderId="54" applyAlignment="1">
      <alignment vertical="center"/>
    </xf>
    <xf numFmtId="0" fontId="171" fillId="49" borderId="54" applyAlignment="1">
      <alignment vertical="center"/>
    </xf>
    <xf numFmtId="0" fontId="171" fillId="49" borderId="54" applyAlignment="1">
      <alignment vertical="center"/>
    </xf>
    <xf numFmtId="0" fontId="171" fillId="49" borderId="54" applyAlignment="1">
      <alignment vertical="center"/>
    </xf>
    <xf numFmtId="0" fontId="168" fillId="49" borderId="54" applyAlignment="1">
      <alignment vertical="center"/>
    </xf>
    <xf numFmtId="0" fontId="171" fillId="49" borderId="54" applyAlignment="1">
      <alignment vertical="center"/>
    </xf>
    <xf numFmtId="0" fontId="168" fillId="49" borderId="54" applyAlignment="1">
      <alignment vertical="center"/>
    </xf>
    <xf numFmtId="0" fontId="171" fillId="49" borderId="54" applyAlignment="1">
      <alignment vertical="center"/>
    </xf>
    <xf numFmtId="0" fontId="168" fillId="49" borderId="54" applyAlignment="1">
      <alignment vertical="center"/>
    </xf>
    <xf numFmtId="0" fontId="169" fillId="49" borderId="54" applyAlignment="1">
      <alignment vertical="center"/>
    </xf>
    <xf numFmtId="0" fontId="171" fillId="49" borderId="54" applyAlignment="1">
      <alignment vertical="center"/>
    </xf>
    <xf numFmtId="0" fontId="168" fillId="49" borderId="54" applyAlignment="1">
      <alignment vertical="center"/>
    </xf>
    <xf numFmtId="0" fontId="168" fillId="49" borderId="54" applyAlignment="1">
      <alignment vertical="center"/>
    </xf>
    <xf numFmtId="0" fontId="169" fillId="49" borderId="54" applyAlignment="1">
      <alignment vertical="center"/>
    </xf>
    <xf numFmtId="0" fontId="171" fillId="49" borderId="54" applyAlignment="1">
      <alignment vertical="center"/>
    </xf>
    <xf numFmtId="0" fontId="168" fillId="49" borderId="54" applyAlignment="1">
      <alignment vertical="center"/>
    </xf>
    <xf numFmtId="170" fontId="170" fillId="84" borderId="54"/>
    <xf numFmtId="0" fontId="168" fillId="49" borderId="54" applyAlignment="1">
      <alignment vertical="center"/>
    </xf>
    <xf numFmtId="0" fontId="171" fillId="49" borderId="54" applyAlignment="1">
      <alignment vertical="center"/>
    </xf>
    <xf numFmtId="0" fontId="171" fillId="49" borderId="54" applyAlignment="1">
      <alignment vertical="center"/>
    </xf>
    <xf numFmtId="0" fontId="169" fillId="49" borderId="54" applyAlignment="1">
      <alignment vertical="center"/>
    </xf>
    <xf numFmtId="0" fontId="171" fillId="49" borderId="54" applyAlignment="1">
      <alignment vertical="center"/>
    </xf>
    <xf numFmtId="0" fontId="171" fillId="49" borderId="54" applyAlignment="1">
      <alignment vertical="center"/>
    </xf>
    <xf numFmtId="0" fontId="171" fillId="49" borderId="54" applyAlignment="1">
      <alignment vertical="center"/>
    </xf>
    <xf numFmtId="0" fontId="168" fillId="49" borderId="54" applyAlignment="1">
      <alignment vertical="center"/>
    </xf>
    <xf numFmtId="0" fontId="171" fillId="49" borderId="54" applyAlignment="1">
      <alignment vertical="center"/>
    </xf>
    <xf numFmtId="0" fontId="168" fillId="49" borderId="54" applyAlignment="1">
      <alignment vertical="center"/>
    </xf>
    <xf numFmtId="0" fontId="171" fillId="49" borderId="54" applyAlignment="1">
      <alignment vertical="center"/>
    </xf>
    <xf numFmtId="0" fontId="168" fillId="49" borderId="54" applyAlignment="1">
      <alignment vertical="center"/>
    </xf>
    <xf numFmtId="0" fontId="169" fillId="49" borderId="54" applyAlignment="1">
      <alignment vertical="center"/>
    </xf>
    <xf numFmtId="0" fontId="171" fillId="49" borderId="54" applyAlignment="1">
      <alignment vertical="center"/>
    </xf>
    <xf numFmtId="0" fontId="168" fillId="49" borderId="54" applyAlignment="1">
      <alignment vertical="center"/>
    </xf>
    <xf numFmtId="0" fontId="168" fillId="49" borderId="54" applyAlignment="1">
      <alignment vertical="center"/>
    </xf>
    <xf numFmtId="0" fontId="169" fillId="49" borderId="54" applyAlignment="1">
      <alignment vertical="center"/>
    </xf>
    <xf numFmtId="0" fontId="171" fillId="49" borderId="54" applyAlignment="1">
      <alignment vertical="center"/>
    </xf>
    <xf numFmtId="0" fontId="168" fillId="49" borderId="54" applyAlignment="1">
      <alignment vertical="center"/>
    </xf>
    <xf numFmtId="170" fontId="170" fillId="84" borderId="54"/>
    <xf numFmtId="0" fontId="171" fillId="49" borderId="54" applyAlignment="1">
      <alignment vertical="center"/>
    </xf>
    <xf numFmtId="0" fontId="171" fillId="49" borderId="54" applyAlignment="1">
      <alignment vertical="center"/>
    </xf>
    <xf numFmtId="0" fontId="169" fillId="49" borderId="54" applyAlignment="1">
      <alignment vertical="center"/>
    </xf>
    <xf numFmtId="0" fontId="171" fillId="49" borderId="54" applyAlignment="1">
      <alignment vertical="center"/>
    </xf>
    <xf numFmtId="0" fontId="171" fillId="49" borderId="54" applyAlignment="1">
      <alignment vertical="center"/>
    </xf>
    <xf numFmtId="0" fontId="171" fillId="49" borderId="54" applyAlignment="1">
      <alignment vertical="center"/>
    </xf>
    <xf numFmtId="0" fontId="168" fillId="49" borderId="54" applyAlignment="1">
      <alignment vertical="center"/>
    </xf>
    <xf numFmtId="0" fontId="171" fillId="49" borderId="54" applyAlignment="1">
      <alignment vertical="center"/>
    </xf>
    <xf numFmtId="0" fontId="168" fillId="49" borderId="54" applyAlignment="1">
      <alignment vertical="center"/>
    </xf>
    <xf numFmtId="0" fontId="171" fillId="49" borderId="54" applyAlignment="1">
      <alignment vertical="center"/>
    </xf>
    <xf numFmtId="0" fontId="171" fillId="49" borderId="54" applyAlignment="1">
      <alignment vertical="center"/>
    </xf>
    <xf numFmtId="0" fontId="169" fillId="49" borderId="54" applyAlignment="1">
      <alignment vertical="center"/>
    </xf>
    <xf numFmtId="0" fontId="171" fillId="49" borderId="54" applyAlignment="1">
      <alignment vertical="center"/>
    </xf>
    <xf numFmtId="0" fontId="171" fillId="49" borderId="54" applyAlignment="1">
      <alignment vertical="center"/>
    </xf>
    <xf numFmtId="0" fontId="171" fillId="49" borderId="54" applyAlignment="1">
      <alignment vertical="center"/>
    </xf>
    <xf numFmtId="0" fontId="168" fillId="49" borderId="54" applyAlignment="1">
      <alignment vertical="center"/>
    </xf>
    <xf numFmtId="0" fontId="171" fillId="49" borderId="54" applyAlignment="1">
      <alignment vertical="center"/>
    </xf>
    <xf numFmtId="0" fontId="168" fillId="49" borderId="54" applyAlignment="1">
      <alignment vertical="center"/>
    </xf>
    <xf numFmtId="0" fontId="171" fillId="49" borderId="54" applyAlignment="1">
      <alignment vertical="center"/>
    </xf>
    <xf numFmtId="0" fontId="171" fillId="49" borderId="54" applyAlignment="1">
      <alignment vertical="center"/>
    </xf>
    <xf numFmtId="0" fontId="169" fillId="49" borderId="54" applyAlignment="1">
      <alignment vertical="center"/>
    </xf>
    <xf numFmtId="0" fontId="171" fillId="49" borderId="54" applyAlignment="1">
      <alignment vertical="center"/>
    </xf>
    <xf numFmtId="0" fontId="171" fillId="49" borderId="54" applyAlignment="1">
      <alignment vertical="center"/>
    </xf>
    <xf numFmtId="0" fontId="171" fillId="49" borderId="54" applyAlignment="1">
      <alignment vertical="center"/>
    </xf>
    <xf numFmtId="0" fontId="168" fillId="49" borderId="54" applyAlignment="1">
      <alignment vertical="center"/>
    </xf>
    <xf numFmtId="0" fontId="171" fillId="49" borderId="54" applyAlignment="1">
      <alignment vertical="center"/>
    </xf>
    <xf numFmtId="0" fontId="168" fillId="49" borderId="54" applyAlignment="1">
      <alignment vertical="center"/>
    </xf>
    <xf numFmtId="0" fontId="171" fillId="49" borderId="54" applyAlignment="1">
      <alignment vertical="center"/>
    </xf>
    <xf numFmtId="0" fontId="171" fillId="49" borderId="54" applyAlignment="1">
      <alignment vertical="center"/>
    </xf>
    <xf numFmtId="0" fontId="169" fillId="49" borderId="54" applyAlignment="1">
      <alignment vertical="center"/>
    </xf>
    <xf numFmtId="0" fontId="171" fillId="49" borderId="54" applyAlignment="1">
      <alignment vertical="center"/>
    </xf>
    <xf numFmtId="0" fontId="171" fillId="49" borderId="54" applyAlignment="1">
      <alignment vertical="center"/>
    </xf>
    <xf numFmtId="0" fontId="171" fillId="49" borderId="54" applyAlignment="1">
      <alignment vertical="center"/>
    </xf>
    <xf numFmtId="0" fontId="168" fillId="49" borderId="54" applyAlignment="1">
      <alignment vertical="center"/>
    </xf>
    <xf numFmtId="0" fontId="171" fillId="49" borderId="54" applyAlignment="1">
      <alignment vertical="center"/>
    </xf>
    <xf numFmtId="0" fontId="168" fillId="49" borderId="54" applyAlignment="1">
      <alignment vertical="center"/>
    </xf>
    <xf numFmtId="0" fontId="171" fillId="49" borderId="54" applyAlignment="1">
      <alignment vertical="center"/>
    </xf>
    <xf numFmtId="0" fontId="171" fillId="49" borderId="54" applyAlignment="1">
      <alignment vertical="center"/>
    </xf>
    <xf numFmtId="0" fontId="169" fillId="49" borderId="54" applyAlignment="1">
      <alignment vertical="center"/>
    </xf>
    <xf numFmtId="0" fontId="171" fillId="49" borderId="54" applyAlignment="1">
      <alignment vertical="center"/>
    </xf>
    <xf numFmtId="0" fontId="171" fillId="49" borderId="54" applyAlignment="1">
      <alignment vertical="center"/>
    </xf>
    <xf numFmtId="0" fontId="171" fillId="49" borderId="54" applyAlignment="1">
      <alignment vertical="center"/>
    </xf>
    <xf numFmtId="0" fontId="168" fillId="49" borderId="54" applyAlignment="1">
      <alignment vertical="center"/>
    </xf>
    <xf numFmtId="0" fontId="171" fillId="49" borderId="54" applyAlignment="1">
      <alignment vertical="center"/>
    </xf>
    <xf numFmtId="0" fontId="168" fillId="49" borderId="54" applyAlignment="1">
      <alignment vertical="center"/>
    </xf>
    <xf numFmtId="0" fontId="171" fillId="49" borderId="54" applyAlignment="1">
      <alignment vertical="center"/>
    </xf>
    <xf numFmtId="0" fontId="171" fillId="49" borderId="54" applyAlignment="1">
      <alignment vertical="center"/>
    </xf>
    <xf numFmtId="0" fontId="169" fillId="49" borderId="54" applyAlignment="1">
      <alignment vertical="center"/>
    </xf>
    <xf numFmtId="0" fontId="171" fillId="49" borderId="54" applyAlignment="1">
      <alignment vertical="center"/>
    </xf>
    <xf numFmtId="0" fontId="171" fillId="49" borderId="54" applyAlignment="1">
      <alignment vertical="center"/>
    </xf>
    <xf numFmtId="0" fontId="171" fillId="49" borderId="54" applyAlignment="1">
      <alignment vertical="center"/>
    </xf>
    <xf numFmtId="0" fontId="168" fillId="49" borderId="54" applyAlignment="1">
      <alignment vertical="center"/>
    </xf>
    <xf numFmtId="0" fontId="171" fillId="49" borderId="54" applyAlignment="1">
      <alignment vertical="center"/>
    </xf>
    <xf numFmtId="0" fontId="168" fillId="49" borderId="54" applyAlignment="1">
      <alignment vertical="center"/>
    </xf>
    <xf numFmtId="0" fontId="171" fillId="49" borderId="54" applyAlignment="1">
      <alignment vertical="center"/>
    </xf>
    <xf numFmtId="0" fontId="171" fillId="49" borderId="54" applyAlignment="1">
      <alignment vertical="center"/>
    </xf>
    <xf numFmtId="0" fontId="169" fillId="49" borderId="54" applyAlignment="1">
      <alignment vertical="center"/>
    </xf>
    <xf numFmtId="0" fontId="171" fillId="49" borderId="54" applyAlignment="1">
      <alignment vertical="center"/>
    </xf>
    <xf numFmtId="0" fontId="171" fillId="49" borderId="54" applyAlignment="1">
      <alignment vertical="center"/>
    </xf>
    <xf numFmtId="0" fontId="171" fillId="49" borderId="54" applyAlignment="1">
      <alignment vertical="center"/>
    </xf>
    <xf numFmtId="0" fontId="168" fillId="49" borderId="54" applyAlignment="1">
      <alignment vertical="center"/>
    </xf>
    <xf numFmtId="0" fontId="171" fillId="49" borderId="54" applyAlignment="1">
      <alignment vertical="center"/>
    </xf>
    <xf numFmtId="0" fontId="168" fillId="49" borderId="54" applyAlignment="1">
      <alignment vertical="center"/>
    </xf>
    <xf numFmtId="0" fontId="171" fillId="49" borderId="54" applyAlignment="1">
      <alignment vertical="center"/>
    </xf>
    <xf numFmtId="0" fontId="171" fillId="49" borderId="54" applyAlignment="1">
      <alignment vertical="center"/>
    </xf>
    <xf numFmtId="0" fontId="169" fillId="49" borderId="54" applyAlignment="1">
      <alignment vertical="center"/>
    </xf>
    <xf numFmtId="0" fontId="171" fillId="49" borderId="54" applyAlignment="1">
      <alignment vertical="center"/>
    </xf>
    <xf numFmtId="0" fontId="171" fillId="49" borderId="54" applyAlignment="1">
      <alignment vertical="center"/>
    </xf>
    <xf numFmtId="0" fontId="171" fillId="49" borderId="54" applyAlignment="1">
      <alignment vertical="center"/>
    </xf>
    <xf numFmtId="0" fontId="168" fillId="49" borderId="54" applyAlignment="1">
      <alignment vertical="center"/>
    </xf>
    <xf numFmtId="0" fontId="171" fillId="49" borderId="54" applyAlignment="1">
      <alignment vertical="center"/>
    </xf>
    <xf numFmtId="0" fontId="168" fillId="49" borderId="54" applyAlignment="1">
      <alignment vertical="center"/>
    </xf>
    <xf numFmtId="0" fontId="168" fillId="49" borderId="54" applyAlignment="1">
      <alignment vertical="center"/>
    </xf>
    <xf numFmtId="0" fontId="171" fillId="49" borderId="54" applyAlignment="1">
      <alignment vertical="center"/>
    </xf>
    <xf numFmtId="0" fontId="169" fillId="49" borderId="54" applyAlignment="1">
      <alignment vertical="center"/>
    </xf>
    <xf numFmtId="0" fontId="171" fillId="49" borderId="54" applyAlignment="1">
      <alignment vertical="center"/>
    </xf>
    <xf numFmtId="0" fontId="171" fillId="49" borderId="54" applyAlignment="1">
      <alignment vertical="center"/>
    </xf>
    <xf numFmtId="0" fontId="171" fillId="49" borderId="54" applyAlignment="1">
      <alignment vertical="center"/>
    </xf>
    <xf numFmtId="0" fontId="168" fillId="49" borderId="54" applyAlignment="1">
      <alignment vertical="center"/>
    </xf>
    <xf numFmtId="0" fontId="171" fillId="49" borderId="54" applyAlignment="1">
      <alignment vertical="center"/>
    </xf>
    <xf numFmtId="0" fontId="168" fillId="49" borderId="54" applyAlignment="1">
      <alignment vertical="center"/>
    </xf>
    <xf numFmtId="0" fontId="168" fillId="49" borderId="54" applyAlignment="1">
      <alignment vertical="center"/>
    </xf>
    <xf numFmtId="0" fontId="171" fillId="49" borderId="54" applyAlignment="1">
      <alignment vertical="center"/>
    </xf>
    <xf numFmtId="0" fontId="169" fillId="49" borderId="54" applyAlignment="1">
      <alignment vertical="center"/>
    </xf>
    <xf numFmtId="0" fontId="171" fillId="49" borderId="54" applyAlignment="1">
      <alignment vertical="center"/>
    </xf>
    <xf numFmtId="0" fontId="171" fillId="49" borderId="54" applyAlignment="1">
      <alignment vertical="center"/>
    </xf>
    <xf numFmtId="0" fontId="171" fillId="49" borderId="54" applyAlignment="1">
      <alignment vertical="center"/>
    </xf>
    <xf numFmtId="0" fontId="168" fillId="49" borderId="54" applyAlignment="1">
      <alignment vertical="center"/>
    </xf>
    <xf numFmtId="0" fontId="171" fillId="49" borderId="54" applyAlignment="1">
      <alignment vertical="center"/>
    </xf>
    <xf numFmtId="0" fontId="168" fillId="49" borderId="54" applyAlignment="1">
      <alignment vertical="center"/>
    </xf>
    <xf numFmtId="0" fontId="171" fillId="49" borderId="54" applyAlignment="1">
      <alignment vertical="center"/>
    </xf>
    <xf numFmtId="0" fontId="171" fillId="49" borderId="54" applyAlignment="1">
      <alignment vertical="center"/>
    </xf>
    <xf numFmtId="0" fontId="169" fillId="49" borderId="54" applyAlignment="1">
      <alignment vertical="center"/>
    </xf>
    <xf numFmtId="0" fontId="171" fillId="49" borderId="54" applyAlignment="1">
      <alignment vertical="center"/>
    </xf>
    <xf numFmtId="0" fontId="171" fillId="49" borderId="54" applyAlignment="1">
      <alignment vertical="center"/>
    </xf>
    <xf numFmtId="0" fontId="171" fillId="49" borderId="54" applyAlignment="1">
      <alignment vertical="center"/>
    </xf>
    <xf numFmtId="0" fontId="168" fillId="49" borderId="54" applyAlignment="1">
      <alignment vertical="center"/>
    </xf>
    <xf numFmtId="0" fontId="171" fillId="49" borderId="54" applyAlignment="1">
      <alignment vertical="center"/>
    </xf>
    <xf numFmtId="0" fontId="168" fillId="49" borderId="54" applyAlignment="1">
      <alignment vertical="center"/>
    </xf>
    <xf numFmtId="0" fontId="171" fillId="49" borderId="54" applyAlignment="1">
      <alignment vertical="center"/>
    </xf>
    <xf numFmtId="0" fontId="171" fillId="49" borderId="54" applyAlignment="1">
      <alignment vertical="center"/>
    </xf>
    <xf numFmtId="0" fontId="169" fillId="49" borderId="54" applyAlignment="1">
      <alignment vertical="center"/>
    </xf>
    <xf numFmtId="0" fontId="171" fillId="49" borderId="54" applyAlignment="1">
      <alignment vertical="center"/>
    </xf>
    <xf numFmtId="0" fontId="171" fillId="49" borderId="54" applyAlignment="1">
      <alignment vertical="center"/>
    </xf>
    <xf numFmtId="0" fontId="171" fillId="49" borderId="54" applyAlignment="1">
      <alignment vertical="center"/>
    </xf>
    <xf numFmtId="0" fontId="168" fillId="49" borderId="54" applyAlignment="1">
      <alignment vertical="center"/>
    </xf>
    <xf numFmtId="0" fontId="171" fillId="49" borderId="54" applyAlignment="1">
      <alignment vertical="center"/>
    </xf>
    <xf numFmtId="0" fontId="168" fillId="49" borderId="54" applyAlignment="1">
      <alignment vertical="center"/>
    </xf>
    <xf numFmtId="0" fontId="171" fillId="49" borderId="54" applyAlignment="1">
      <alignment vertical="center"/>
    </xf>
    <xf numFmtId="0" fontId="171" fillId="49" borderId="54" applyAlignment="1">
      <alignment vertical="center"/>
    </xf>
    <xf numFmtId="0" fontId="169" fillId="49" borderId="54" applyAlignment="1">
      <alignment vertical="center"/>
    </xf>
    <xf numFmtId="0" fontId="171" fillId="49" borderId="54" applyAlignment="1">
      <alignment vertical="center"/>
    </xf>
    <xf numFmtId="0" fontId="171" fillId="49" borderId="54" applyAlignment="1">
      <alignment vertical="center"/>
    </xf>
    <xf numFmtId="0" fontId="171" fillId="49" borderId="54" applyAlignment="1">
      <alignment vertical="center"/>
    </xf>
    <xf numFmtId="0" fontId="168" fillId="49" borderId="54" applyAlignment="1">
      <alignment vertical="center"/>
    </xf>
    <xf numFmtId="0" fontId="171" fillId="49" borderId="54" applyAlignment="1">
      <alignment vertical="center"/>
    </xf>
    <xf numFmtId="0" fontId="168" fillId="49" borderId="54" applyAlignment="1">
      <alignment vertical="center"/>
    </xf>
    <xf numFmtId="0" fontId="171" fillId="49" borderId="54" applyAlignment="1">
      <alignment vertical="center"/>
    </xf>
    <xf numFmtId="0" fontId="171" fillId="49" borderId="54" applyAlignment="1">
      <alignment vertical="center"/>
    </xf>
    <xf numFmtId="0" fontId="169" fillId="49" borderId="54" applyAlignment="1">
      <alignment vertical="center"/>
    </xf>
    <xf numFmtId="0" fontId="171" fillId="49" borderId="54" applyAlignment="1">
      <alignment vertical="center"/>
    </xf>
    <xf numFmtId="0" fontId="171" fillId="49" borderId="54" applyAlignment="1">
      <alignment vertical="center"/>
    </xf>
    <xf numFmtId="0" fontId="171" fillId="49" borderId="54" applyAlignment="1">
      <alignment vertical="center"/>
    </xf>
    <xf numFmtId="0" fontId="168" fillId="49" borderId="54" applyAlignment="1">
      <alignment vertical="center"/>
    </xf>
    <xf numFmtId="0" fontId="171" fillId="49" borderId="54" applyAlignment="1">
      <alignment vertical="center"/>
    </xf>
    <xf numFmtId="0" fontId="168" fillId="49" borderId="54" applyAlignment="1">
      <alignment vertical="center"/>
    </xf>
    <xf numFmtId="0" fontId="171" fillId="49" borderId="54" applyAlignment="1">
      <alignment vertical="center"/>
    </xf>
    <xf numFmtId="0" fontId="171" fillId="49" borderId="54" applyAlignment="1">
      <alignment vertical="center"/>
    </xf>
    <xf numFmtId="0" fontId="169" fillId="49" borderId="54" applyAlignment="1">
      <alignment vertical="center"/>
    </xf>
    <xf numFmtId="0" fontId="171" fillId="49" borderId="54" applyAlignment="1">
      <alignment vertical="center"/>
    </xf>
    <xf numFmtId="0" fontId="171" fillId="49" borderId="54" applyAlignment="1">
      <alignment vertical="center"/>
    </xf>
    <xf numFmtId="0" fontId="171" fillId="49" borderId="54" applyAlignment="1">
      <alignment vertical="center"/>
    </xf>
    <xf numFmtId="0" fontId="168" fillId="49" borderId="54" applyAlignment="1">
      <alignment vertical="center"/>
    </xf>
    <xf numFmtId="0" fontId="171"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49" borderId="54" applyAlignment="1">
      <alignment vertical="center"/>
    </xf>
    <xf numFmtId="0" fontId="168" fillId="36" borderId="54" applyAlignment="1">
      <alignment vertical="center"/>
    </xf>
    <xf numFmtId="0" fontId="168" fillId="36" borderId="54" applyAlignment="1">
      <alignment vertical="center"/>
    </xf>
    <xf numFmtId="0" fontId="169" fillId="36" borderId="54" applyAlignment="1">
      <alignment vertical="center"/>
    </xf>
    <xf numFmtId="0" fontId="168" fillId="36" borderId="54" applyAlignment="1">
      <alignment vertical="center"/>
    </xf>
    <xf numFmtId="0" fontId="168" fillId="36" borderId="54" applyAlignment="1">
      <alignment vertical="center"/>
    </xf>
    <xf numFmtId="0" fontId="168" fillId="36" borderId="54" applyAlignment="1">
      <alignment vertical="center"/>
    </xf>
    <xf numFmtId="0" fontId="168" fillId="36" borderId="54" applyAlignment="1">
      <alignment vertical="center"/>
    </xf>
    <xf numFmtId="0" fontId="168" fillId="36" borderId="54" applyAlignment="1">
      <alignment vertical="center"/>
    </xf>
    <xf numFmtId="0" fontId="169" fillId="36" borderId="54" applyAlignment="1">
      <alignment vertical="center"/>
    </xf>
    <xf numFmtId="0" fontId="168" fillId="36" borderId="54" applyAlignment="1">
      <alignment vertical="center"/>
    </xf>
    <xf numFmtId="0" fontId="169" fillId="36" borderId="54" applyAlignment="1">
      <alignment vertical="center"/>
    </xf>
    <xf numFmtId="0" fontId="168" fillId="36" borderId="54" applyAlignment="1">
      <alignment vertical="center"/>
    </xf>
    <xf numFmtId="170" fontId="170" fillId="84" borderId="54"/>
    <xf numFmtId="0" fontId="168" fillId="49" borderId="54" applyAlignment="1">
      <alignment vertical="center"/>
    </xf>
    <xf numFmtId="0" fontId="168" fillId="36" borderId="54" applyAlignment="1">
      <alignment vertical="center"/>
    </xf>
    <xf numFmtId="0" fontId="169" fillId="36" borderId="54" applyAlignment="1">
      <alignment vertical="center"/>
    </xf>
    <xf numFmtId="0" fontId="168" fillId="36" borderId="54" applyAlignment="1">
      <alignment vertical="center"/>
    </xf>
    <xf numFmtId="0" fontId="168" fillId="36" borderId="54" applyAlignment="1">
      <alignment vertical="center"/>
    </xf>
    <xf numFmtId="0" fontId="168" fillId="36" borderId="54" applyAlignment="1">
      <alignment vertical="center"/>
    </xf>
    <xf numFmtId="0" fontId="168" fillId="36" borderId="54" applyAlignment="1">
      <alignment vertical="center"/>
    </xf>
    <xf numFmtId="170" fontId="170" fillId="84" borderId="54"/>
    <xf numFmtId="0" fontId="168" fillId="36" borderId="54" applyAlignment="1">
      <alignment vertical="center"/>
    </xf>
    <xf numFmtId="0" fontId="168" fillId="36" borderId="54" applyAlignment="1">
      <alignment vertical="center"/>
    </xf>
    <xf numFmtId="0" fontId="169" fillId="36" borderId="54" applyAlignment="1">
      <alignment vertical="center"/>
    </xf>
    <xf numFmtId="0" fontId="168" fillId="36" borderId="54" applyAlignment="1">
      <alignment vertical="center"/>
    </xf>
    <xf numFmtId="0" fontId="168" fillId="36" borderId="54" applyAlignment="1">
      <alignment vertical="center"/>
    </xf>
    <xf numFmtId="0" fontId="168" fillId="36" borderId="54" applyAlignment="1">
      <alignment vertical="center"/>
    </xf>
    <xf numFmtId="0" fontId="168" fillId="36" borderId="54" applyAlignment="1">
      <alignment vertical="center"/>
    </xf>
    <xf numFmtId="0" fontId="168" fillId="36" borderId="54" applyAlignment="1">
      <alignment vertical="center"/>
    </xf>
    <xf numFmtId="0" fontId="168" fillId="36" borderId="54" applyAlignment="1">
      <alignment vertical="center"/>
    </xf>
    <xf numFmtId="0" fontId="169" fillId="36" borderId="54" applyAlignment="1">
      <alignment vertical="center"/>
    </xf>
    <xf numFmtId="0" fontId="168" fillId="36" borderId="54" applyAlignment="1">
      <alignment vertical="center"/>
    </xf>
    <xf numFmtId="0" fontId="168" fillId="36" borderId="54" applyAlignment="1">
      <alignment vertical="center"/>
    </xf>
    <xf numFmtId="0" fontId="168" fillId="36" borderId="54" applyAlignment="1">
      <alignment vertical="center"/>
    </xf>
    <xf numFmtId="0" fontId="168" fillId="36" borderId="54" applyAlignment="1">
      <alignment vertical="center"/>
    </xf>
    <xf numFmtId="0" fontId="168" fillId="36" borderId="54" applyAlignment="1">
      <alignment vertical="center"/>
    </xf>
    <xf numFmtId="0" fontId="168" fillId="36" borderId="54" applyAlignment="1">
      <alignment vertical="center"/>
    </xf>
    <xf numFmtId="0" fontId="169" fillId="36" borderId="54" applyAlignment="1">
      <alignment vertical="center"/>
    </xf>
    <xf numFmtId="0" fontId="168" fillId="36" borderId="54" applyAlignment="1">
      <alignment vertical="center"/>
    </xf>
    <xf numFmtId="0" fontId="168" fillId="36" borderId="54" applyAlignment="1">
      <alignment vertical="center"/>
    </xf>
    <xf numFmtId="0" fontId="168" fillId="36" borderId="54" applyAlignment="1">
      <alignment vertical="center"/>
    </xf>
    <xf numFmtId="0" fontId="168" fillId="36" borderId="54" applyAlignment="1">
      <alignment vertical="center"/>
    </xf>
    <xf numFmtId="0" fontId="168" fillId="36" borderId="54" applyAlignment="1">
      <alignment vertical="center"/>
    </xf>
    <xf numFmtId="0" fontId="168" fillId="36" borderId="54" applyAlignment="1">
      <alignment vertical="center"/>
    </xf>
    <xf numFmtId="0" fontId="169" fillId="36" borderId="54" applyAlignment="1">
      <alignment vertical="center"/>
    </xf>
    <xf numFmtId="0" fontId="168" fillId="36" borderId="54" applyAlignment="1">
      <alignment vertical="center"/>
    </xf>
    <xf numFmtId="0" fontId="168" fillId="36" borderId="54" applyAlignment="1">
      <alignment vertical="center"/>
    </xf>
    <xf numFmtId="0" fontId="168" fillId="36" borderId="54" applyAlignment="1">
      <alignment vertical="center"/>
    </xf>
    <xf numFmtId="0" fontId="168" fillId="36" borderId="54" applyAlignment="1">
      <alignment vertical="center"/>
    </xf>
    <xf numFmtId="0" fontId="168" fillId="36" borderId="54" applyAlignment="1">
      <alignment vertical="center"/>
    </xf>
    <xf numFmtId="0" fontId="168" fillId="36" borderId="54" applyAlignment="1">
      <alignment vertical="center"/>
    </xf>
    <xf numFmtId="0" fontId="169" fillId="36" borderId="54" applyAlignment="1">
      <alignment vertical="center"/>
    </xf>
    <xf numFmtId="0" fontId="168" fillId="36" borderId="54" applyAlignment="1">
      <alignment vertical="center"/>
    </xf>
    <xf numFmtId="0" fontId="168" fillId="36" borderId="54" applyAlignment="1">
      <alignment vertical="center"/>
    </xf>
    <xf numFmtId="0" fontId="168" fillId="36" borderId="54" applyAlignment="1">
      <alignment vertical="center"/>
    </xf>
    <xf numFmtId="0" fontId="168" fillId="36" borderId="54" applyAlignment="1">
      <alignment vertical="center"/>
    </xf>
    <xf numFmtId="0" fontId="168" fillId="36" borderId="54" applyAlignment="1">
      <alignment vertical="center"/>
    </xf>
    <xf numFmtId="0" fontId="168" fillId="36" borderId="54" applyAlignment="1">
      <alignment vertical="center"/>
    </xf>
    <xf numFmtId="0" fontId="169" fillId="36" borderId="54" applyAlignment="1">
      <alignment vertical="center"/>
    </xf>
    <xf numFmtId="0" fontId="168" fillId="36" borderId="54" applyAlignment="1">
      <alignment vertical="center"/>
    </xf>
    <xf numFmtId="0" fontId="168" fillId="36" borderId="54" applyAlignment="1">
      <alignment vertical="center"/>
    </xf>
    <xf numFmtId="0" fontId="168" fillId="36" borderId="54" applyAlignment="1">
      <alignment vertical="center"/>
    </xf>
    <xf numFmtId="0" fontId="168" fillId="36" borderId="54" applyAlignment="1">
      <alignment vertical="center"/>
    </xf>
    <xf numFmtId="0" fontId="168" fillId="36" borderId="54" applyAlignment="1">
      <alignment vertical="center"/>
    </xf>
    <xf numFmtId="0" fontId="168" fillId="36" borderId="54" applyAlignment="1">
      <alignment vertical="center"/>
    </xf>
    <xf numFmtId="0" fontId="169" fillId="36" borderId="54" applyAlignment="1">
      <alignment vertical="center"/>
    </xf>
    <xf numFmtId="0" fontId="168" fillId="36" borderId="54" applyAlignment="1">
      <alignment vertical="center"/>
    </xf>
    <xf numFmtId="0" fontId="168" fillId="36" borderId="54" applyAlignment="1">
      <alignment vertical="center"/>
    </xf>
    <xf numFmtId="0" fontId="168" fillId="36" borderId="54" applyAlignment="1">
      <alignment vertical="center"/>
    </xf>
    <xf numFmtId="0" fontId="168" fillId="36" borderId="54" applyAlignment="1">
      <alignment vertical="center"/>
    </xf>
    <xf numFmtId="0" fontId="168" fillId="49" borderId="54" applyAlignment="1">
      <alignment vertical="center"/>
    </xf>
    <xf numFmtId="0" fontId="168" fillId="49" borderId="54" applyAlignment="1">
      <alignment vertical="center"/>
    </xf>
    <xf numFmtId="0" fontId="169" fillId="36" borderId="54" applyAlignment="1">
      <alignment vertical="center"/>
    </xf>
    <xf numFmtId="0" fontId="168" fillId="36" borderId="54" applyAlignment="1">
      <alignment vertical="center"/>
    </xf>
    <xf numFmtId="170" fontId="170" fillId="84" borderId="54"/>
    <xf numFmtId="0" fontId="168" fillId="36" borderId="54" applyAlignment="1">
      <alignment vertical="center"/>
    </xf>
    <xf numFmtId="0" fontId="168" fillId="36" borderId="54" applyAlignment="1">
      <alignment vertical="center"/>
    </xf>
    <xf numFmtId="0" fontId="168" fillId="36" borderId="54" applyAlignment="1">
      <alignment vertical="center"/>
    </xf>
    <xf numFmtId="170" fontId="170" fillId="84" borderId="54"/>
    <xf numFmtId="0" fontId="168" fillId="49" borderId="54" applyAlignment="1">
      <alignment vertical="center"/>
    </xf>
    <xf numFmtId="0" fontId="168" fillId="49" borderId="54" applyAlignment="1">
      <alignment vertical="center"/>
    </xf>
    <xf numFmtId="0" fontId="169" fillId="36" borderId="54" applyAlignment="1">
      <alignment vertical="center"/>
    </xf>
    <xf numFmtId="0" fontId="168" fillId="36" borderId="54" applyAlignment="1">
      <alignment vertical="center"/>
    </xf>
    <xf numFmtId="170" fontId="170" fillId="84" borderId="54"/>
    <xf numFmtId="0" fontId="168" fillId="36" borderId="54" applyAlignment="1">
      <alignment vertical="center"/>
    </xf>
    <xf numFmtId="0" fontId="168" fillId="36" borderId="54" applyAlignment="1">
      <alignment vertical="center"/>
    </xf>
    <xf numFmtId="170" fontId="170" fillId="84" borderId="54"/>
    <xf numFmtId="0" fontId="168" fillId="36" borderId="54" applyAlignment="1">
      <alignment vertical="center"/>
    </xf>
    <xf numFmtId="170" fontId="170" fillId="84" borderId="54"/>
    <xf numFmtId="0" fontId="168" fillId="49" borderId="54" applyAlignment="1">
      <alignment vertical="center"/>
    </xf>
    <xf numFmtId="0" fontId="168" fillId="49" borderId="54" applyAlignment="1">
      <alignment vertical="center"/>
    </xf>
    <xf numFmtId="0" fontId="169" fillId="36" borderId="54" applyAlignment="1">
      <alignment vertical="center"/>
    </xf>
    <xf numFmtId="0" fontId="168" fillId="36" borderId="54" applyAlignment="1">
      <alignment vertical="center"/>
    </xf>
    <xf numFmtId="170" fontId="170" fillId="84" borderId="54"/>
    <xf numFmtId="0" fontId="168" fillId="36" borderId="54" applyAlignment="1">
      <alignment vertical="center"/>
    </xf>
    <xf numFmtId="0" fontId="168" fillId="36" borderId="54" applyAlignment="1">
      <alignment vertical="center"/>
    </xf>
    <xf numFmtId="170" fontId="170" fillId="84" borderId="54"/>
    <xf numFmtId="0" fontId="168" fillId="36" borderId="54" applyAlignment="1">
      <alignment vertical="center"/>
    </xf>
    <xf numFmtId="170" fontId="170" fillId="84" borderId="54"/>
    <xf numFmtId="0" fontId="168" fillId="49" borderId="54" applyAlignment="1">
      <alignment vertical="center"/>
    </xf>
    <xf numFmtId="0" fontId="168" fillId="49" borderId="54" applyAlignment="1">
      <alignment vertical="center"/>
    </xf>
    <xf numFmtId="0" fontId="169" fillId="36" borderId="54" applyAlignment="1">
      <alignment vertical="center"/>
    </xf>
    <xf numFmtId="0" fontId="168" fillId="36" borderId="54" applyAlignment="1">
      <alignment vertical="center"/>
    </xf>
    <xf numFmtId="170" fontId="170" fillId="84" borderId="54"/>
    <xf numFmtId="0" fontId="168" fillId="36" borderId="54" applyAlignment="1">
      <alignment vertical="center"/>
    </xf>
    <xf numFmtId="0" fontId="168" fillId="36" borderId="54" applyAlignment="1">
      <alignment vertical="center"/>
    </xf>
    <xf numFmtId="170" fontId="170" fillId="84" borderId="54"/>
    <xf numFmtId="0" fontId="168" fillId="36" borderId="54" applyAlignment="1">
      <alignment vertical="center"/>
    </xf>
    <xf numFmtId="170" fontId="170" fillId="84" borderId="54"/>
    <xf numFmtId="0" fontId="168" fillId="49" borderId="54" applyAlignment="1">
      <alignment vertical="center"/>
    </xf>
    <xf numFmtId="0" fontId="168" fillId="36" borderId="54" applyAlignment="1">
      <alignment vertical="center"/>
    </xf>
    <xf numFmtId="0" fontId="169" fillId="36" borderId="54" applyAlignment="1">
      <alignment vertical="center"/>
    </xf>
    <xf numFmtId="0" fontId="168" fillId="36" borderId="54" applyAlignment="1">
      <alignment vertical="center"/>
    </xf>
    <xf numFmtId="170" fontId="170" fillId="84" borderId="54"/>
    <xf numFmtId="0" fontId="168" fillId="36" borderId="54" applyAlignment="1">
      <alignment vertical="center"/>
    </xf>
    <xf numFmtId="0" fontId="168" fillId="36" borderId="54" applyAlignment="1">
      <alignment vertical="center"/>
    </xf>
    <xf numFmtId="170" fontId="170" fillId="84" borderId="54"/>
    <xf numFmtId="0" fontId="168" fillId="36" borderId="54" applyAlignment="1">
      <alignment vertical="center"/>
    </xf>
    <xf numFmtId="170" fontId="170" fillId="84" borderId="54"/>
    <xf numFmtId="170" fontId="170" fillId="70" borderId="54"/>
    <xf numFmtId="170" fontId="50" fillId="0" borderId="0"/>
    <xf numFmtId="0" fontId="50" fillId="0" borderId="0"/>
    <xf numFmtId="210" fontId="49" fillId="0" borderId="0"/>
    <xf numFmtId="170" fontId="50" fillId="0" borderId="0"/>
    <xf numFmtId="0" fontId="50" fillId="0" borderId="0"/>
    <xf numFmtId="164" fontId="51" fillId="0" borderId="0"/>
    <xf numFmtId="198" fontId="128" fillId="0" borderId="0"/>
    <xf numFmtId="164" fontId="51" fillId="0" borderId="0"/>
    <xf numFmtId="200" fontId="51" fillId="0" borderId="0"/>
    <xf numFmtId="198" fontId="128" fillId="0" borderId="0"/>
    <xf numFmtId="0" fontId="172" fillId="0" borderId="65" applyAlignment="1">
      <alignment vertical="center"/>
    </xf>
    <xf numFmtId="0" fontId="172" fillId="0" borderId="65" applyAlignment="1">
      <alignment vertical="center"/>
    </xf>
    <xf numFmtId="0" fontId="173" fillId="0" borderId="65" applyAlignment="1">
      <alignment vertical="center"/>
    </xf>
    <xf numFmtId="0" fontId="174" fillId="0" borderId="65" applyAlignment="1">
      <alignment vertical="center"/>
    </xf>
    <xf numFmtId="0" fontId="172" fillId="0" borderId="65" applyAlignment="1">
      <alignment vertical="center"/>
    </xf>
    <xf numFmtId="0" fontId="173" fillId="0" borderId="65" applyAlignment="1">
      <alignment vertical="center"/>
    </xf>
    <xf numFmtId="0" fontId="173" fillId="0" borderId="65" applyAlignment="1">
      <alignment vertical="center"/>
    </xf>
    <xf numFmtId="170" fontId="175" fillId="0" borderId="65"/>
    <xf numFmtId="170" fontId="49" fillId="0" borderId="0"/>
    <xf numFmtId="0" fontId="176" fillId="0" borderId="0" applyAlignment="1">
      <alignment horizontal="center"/>
    </xf>
    <xf numFmtId="169" fontId="51" fillId="0" borderId="0"/>
    <xf numFmtId="211" fontId="51" fillId="0" borderId="0"/>
    <xf numFmtId="38" fontId="71" fillId="0" borderId="0"/>
    <xf numFmtId="40" fontId="71" fillId="0" borderId="0"/>
    <xf numFmtId="38" fontId="49" fillId="0" borderId="0"/>
    <xf numFmtId="206" fontId="49" fillId="0" borderId="0"/>
    <xf numFmtId="40" fontId="49" fillId="0" borderId="0"/>
    <xf numFmtId="0" fontId="177" fillId="0" borderId="47"/>
    <xf numFmtId="0" fontId="177" fillId="0" borderId="47"/>
    <xf numFmtId="0" fontId="177" fillId="0" borderId="47"/>
    <xf numFmtId="170" fontId="177" fillId="0" borderId="47"/>
    <xf numFmtId="170" fontId="177" fillId="0" borderId="47"/>
    <xf numFmtId="170" fontId="177" fillId="0" borderId="47"/>
    <xf numFmtId="170" fontId="177" fillId="0" borderId="47"/>
    <xf numFmtId="170" fontId="177" fillId="0" borderId="47"/>
    <xf numFmtId="170" fontId="177" fillId="0" borderId="47"/>
    <xf numFmtId="170" fontId="177" fillId="0" borderId="47"/>
    <xf numFmtId="170" fontId="177" fillId="0" borderId="47"/>
    <xf numFmtId="170" fontId="177" fillId="0" borderId="47"/>
    <xf numFmtId="170" fontId="177" fillId="0" borderId="47"/>
    <xf numFmtId="170" fontId="177" fillId="0" borderId="47"/>
    <xf numFmtId="170" fontId="177" fillId="0" borderId="47"/>
    <xf numFmtId="170" fontId="177" fillId="0" borderId="47"/>
    <xf numFmtId="170" fontId="177" fillId="0" borderId="47"/>
    <xf numFmtId="170" fontId="177" fillId="0" borderId="47"/>
    <xf numFmtId="212" fontId="51" fillId="0" borderId="0"/>
    <xf numFmtId="213" fontId="51" fillId="0" borderId="0"/>
    <xf numFmtId="170" fontId="37" fillId="0" borderId="0"/>
    <xf numFmtId="170" fontId="37" fillId="0" borderId="0"/>
    <xf numFmtId="0" fontId="178" fillId="1" borderId="0" applyAlignment="1">
      <alignment horizontal="center" vertical="center" textRotation="90"/>
    </xf>
    <xf numFmtId="170" fontId="49" fillId="0" borderId="0"/>
    <xf numFmtId="0" fontId="179" fillId="59" borderId="0" applyAlignment="1">
      <alignment vertical="center"/>
    </xf>
    <xf numFmtId="0" fontId="179" fillId="59" borderId="0" applyAlignment="1">
      <alignment vertical="center"/>
    </xf>
    <xf numFmtId="0" fontId="180" fillId="59" borderId="0" applyAlignment="1">
      <alignment vertical="center"/>
    </xf>
    <xf numFmtId="0" fontId="181" fillId="59" borderId="0" applyAlignment="1">
      <alignment vertical="center"/>
    </xf>
    <xf numFmtId="0" fontId="179" fillId="59" borderId="0" applyAlignment="1">
      <alignment vertical="center"/>
    </xf>
    <xf numFmtId="0" fontId="180" fillId="59" borderId="0" applyAlignment="1">
      <alignment vertical="center"/>
    </xf>
    <xf numFmtId="0" fontId="180" fillId="98" borderId="0" applyAlignment="1">
      <alignment vertical="center"/>
    </xf>
    <xf numFmtId="170" fontId="182" fillId="84" borderId="0"/>
    <xf numFmtId="37" fontId="62" fillId="0" borderId="0"/>
    <xf numFmtId="37" fontId="62" fillId="0" borderId="0"/>
    <xf numFmtId="170" fontId="183" fillId="0" borderId="0"/>
    <xf numFmtId="0" fontId="183" fillId="0" borderId="0"/>
    <xf numFmtId="0" fontId="50" fillId="0" borderId="0"/>
    <xf numFmtId="214" fontId="37" fillId="0" borderId="0"/>
    <xf numFmtId="0" fontId="50" fillId="0" borderId="0"/>
    <xf numFmtId="214" fontId="37" fillId="0" borderId="0"/>
    <xf numFmtId="0" fontId="50" fillId="0" borderId="0"/>
    <xf numFmtId="170" fontId="51" fillId="0" borderId="0"/>
    <xf numFmtId="0" fontId="51" fillId="0" borderId="0"/>
    <xf numFmtId="0" fontId="37" fillId="52" borderId="66" applyAlignment="1">
      <alignment vertical="center"/>
    </xf>
    <xf numFmtId="0" fontId="96" fillId="99" borderId="66" applyAlignment="1">
      <alignment vertical="center"/>
    </xf>
    <xf numFmtId="0" fontId="96" fillId="99" borderId="66" applyAlignment="1">
      <alignment vertical="center"/>
    </xf>
    <xf numFmtId="0" fontId="184" fillId="99" borderId="66" applyAlignment="1">
      <alignment vertical="center"/>
    </xf>
    <xf numFmtId="0" fontId="96" fillId="99" borderId="66" applyAlignment="1">
      <alignment vertical="center"/>
    </xf>
    <xf numFmtId="170" fontId="37" fillId="83" borderId="66"/>
    <xf numFmtId="0" fontId="96" fillId="99" borderId="66" applyAlignment="1">
      <alignment vertical="center"/>
    </xf>
    <xf numFmtId="0" fontId="96" fillId="99" borderId="66" applyAlignment="1">
      <alignment vertical="center"/>
    </xf>
    <xf numFmtId="170" fontId="37" fillId="83" borderId="66"/>
    <xf numFmtId="0" fontId="96" fillId="99" borderId="66" applyAlignment="1">
      <alignment vertical="center"/>
    </xf>
    <xf numFmtId="170" fontId="37" fillId="83" borderId="66"/>
    <xf numFmtId="0" fontId="96" fillId="99" borderId="66" applyAlignment="1">
      <alignment vertical="center"/>
    </xf>
    <xf numFmtId="0" fontId="96" fillId="99" borderId="66" applyAlignment="1">
      <alignment vertical="center"/>
    </xf>
    <xf numFmtId="0" fontId="184" fillId="99" borderId="66" applyAlignment="1">
      <alignment vertical="center"/>
    </xf>
    <xf numFmtId="0" fontId="96" fillId="99" borderId="66" applyAlignment="1">
      <alignment vertical="center"/>
    </xf>
    <xf numFmtId="170" fontId="37" fillId="83" borderId="66"/>
    <xf numFmtId="0" fontId="96" fillId="99" borderId="66" applyAlignment="1">
      <alignment vertical="center"/>
    </xf>
    <xf numFmtId="0" fontId="96" fillId="99" borderId="66" applyAlignment="1">
      <alignment vertical="center"/>
    </xf>
    <xf numFmtId="170" fontId="37" fillId="83" borderId="66"/>
    <xf numFmtId="0" fontId="96" fillId="99" borderId="66" applyAlignment="1">
      <alignment vertical="center"/>
    </xf>
    <xf numFmtId="170" fontId="37" fillId="83" borderId="66"/>
    <xf numFmtId="0" fontId="96" fillId="99" borderId="66" applyAlignment="1">
      <alignment vertical="center"/>
    </xf>
    <xf numFmtId="0" fontId="96" fillId="99" borderId="66" applyAlignment="1">
      <alignment vertical="center"/>
    </xf>
    <xf numFmtId="0" fontId="184" fillId="99" borderId="66" applyAlignment="1">
      <alignment vertical="center"/>
    </xf>
    <xf numFmtId="0" fontId="96" fillId="99" borderId="66" applyAlignment="1">
      <alignment vertical="center"/>
    </xf>
    <xf numFmtId="0" fontId="96" fillId="99" borderId="66" applyAlignment="1">
      <alignment vertical="center"/>
    </xf>
    <xf numFmtId="0" fontId="96" fillId="99" borderId="66" applyAlignment="1">
      <alignment vertical="center"/>
    </xf>
    <xf numFmtId="0" fontId="96" fillId="99" borderId="66" applyAlignment="1">
      <alignment vertical="center"/>
    </xf>
    <xf numFmtId="170" fontId="37" fillId="83" borderId="66"/>
    <xf numFmtId="0" fontId="96" fillId="99" borderId="66" applyAlignment="1">
      <alignment vertical="center"/>
    </xf>
    <xf numFmtId="0" fontId="184" fillId="99" borderId="66" applyAlignment="1">
      <alignment vertical="center"/>
    </xf>
    <xf numFmtId="0" fontId="96" fillId="99" borderId="66" applyAlignment="1">
      <alignment vertical="center"/>
    </xf>
    <xf numFmtId="170" fontId="37" fillId="83" borderId="66"/>
    <xf numFmtId="0" fontId="184" fillId="99" borderId="66" applyAlignment="1">
      <alignment vertical="center"/>
    </xf>
    <xf numFmtId="0" fontId="96" fillId="99" borderId="66" applyAlignment="1">
      <alignment vertical="center"/>
    </xf>
    <xf numFmtId="170" fontId="37" fillId="83" borderId="66"/>
    <xf numFmtId="0" fontId="37" fillId="52" borderId="66" applyAlignment="1">
      <alignment vertical="center"/>
    </xf>
    <xf numFmtId="0" fontId="37" fillId="52" borderId="66" applyAlignment="1">
      <alignment vertical="center"/>
    </xf>
    <xf numFmtId="0" fontId="37" fillId="52" borderId="66" applyAlignment="1">
      <alignment vertical="center"/>
    </xf>
    <xf numFmtId="0" fontId="185"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185"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185" fillId="52" borderId="66" applyAlignment="1">
      <alignment vertical="center"/>
    </xf>
    <xf numFmtId="0" fontId="37" fillId="52" borderId="66" applyAlignment="1">
      <alignment vertical="center"/>
    </xf>
    <xf numFmtId="0" fontId="185" fillId="52" borderId="66" applyAlignment="1">
      <alignment vertical="center"/>
    </xf>
    <xf numFmtId="0" fontId="37" fillId="52" borderId="66" applyAlignment="1">
      <alignment vertical="center"/>
    </xf>
    <xf numFmtId="170" fontId="37" fillId="83" borderId="66"/>
    <xf numFmtId="0" fontId="37" fillId="52" borderId="66" applyAlignment="1">
      <alignment vertical="center"/>
    </xf>
    <xf numFmtId="0" fontId="37" fillId="52" borderId="66" applyAlignment="1">
      <alignment vertical="center"/>
    </xf>
    <xf numFmtId="0" fontId="37" fillId="52" borderId="66" applyAlignment="1">
      <alignment vertical="center"/>
    </xf>
    <xf numFmtId="0" fontId="185"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185" fillId="52" borderId="66" applyAlignment="1">
      <alignment vertical="center"/>
    </xf>
    <xf numFmtId="0" fontId="37" fillId="52" borderId="66" applyAlignment="1">
      <alignment vertical="center"/>
    </xf>
    <xf numFmtId="0" fontId="185" fillId="52" borderId="66" applyAlignment="1">
      <alignment vertical="center"/>
    </xf>
    <xf numFmtId="0" fontId="37" fillId="52" borderId="66" applyAlignment="1">
      <alignment vertical="center"/>
    </xf>
    <xf numFmtId="170" fontId="37" fillId="83" borderId="66"/>
    <xf numFmtId="0" fontId="37" fillId="52" borderId="66" applyAlignment="1">
      <alignment vertical="center"/>
    </xf>
    <xf numFmtId="0" fontId="37" fillId="52" borderId="66" applyAlignment="1">
      <alignment vertical="center"/>
    </xf>
    <xf numFmtId="0" fontId="185"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185"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185"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185"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185"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185"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185"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185"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185"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185"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185"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185"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185"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185"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185"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37" fillId="52" borderId="66" applyAlignment="1">
      <alignment vertical="center"/>
    </xf>
    <xf numFmtId="0" fontId="96" fillId="99" borderId="66" applyAlignment="1">
      <alignment vertical="center"/>
    </xf>
    <xf numFmtId="0" fontId="96" fillId="99" borderId="66" applyAlignment="1">
      <alignment vertical="center"/>
    </xf>
    <xf numFmtId="0" fontId="184" fillId="99" borderId="66" applyAlignment="1">
      <alignment vertical="center"/>
    </xf>
    <xf numFmtId="0" fontId="96" fillId="99" borderId="66" applyAlignment="1">
      <alignment vertical="center"/>
    </xf>
    <xf numFmtId="0" fontId="96" fillId="99" borderId="66" applyAlignment="1">
      <alignment vertical="center"/>
    </xf>
    <xf numFmtId="0" fontId="96" fillId="99" borderId="66" applyAlignment="1">
      <alignment vertical="center"/>
    </xf>
    <xf numFmtId="0" fontId="96" fillId="99" borderId="66" applyAlignment="1">
      <alignment vertical="center"/>
    </xf>
    <xf numFmtId="0" fontId="96" fillId="99" borderId="66" applyAlignment="1">
      <alignment vertical="center"/>
    </xf>
    <xf numFmtId="0" fontId="184" fillId="99" borderId="66" applyAlignment="1">
      <alignment vertical="center"/>
    </xf>
    <xf numFmtId="0" fontId="96" fillId="99" borderId="66" applyAlignment="1">
      <alignment vertical="center"/>
    </xf>
    <xf numFmtId="0" fontId="184" fillId="99" borderId="66" applyAlignment="1">
      <alignment vertical="center"/>
    </xf>
    <xf numFmtId="0" fontId="96" fillId="99" borderId="66" applyAlignment="1">
      <alignment vertical="center"/>
    </xf>
    <xf numFmtId="170" fontId="37" fillId="83" borderId="66"/>
    <xf numFmtId="0" fontId="37" fillId="52" borderId="66" applyAlignment="1">
      <alignment vertical="center"/>
    </xf>
    <xf numFmtId="0" fontId="96" fillId="99" borderId="66" applyAlignment="1">
      <alignment vertical="center"/>
    </xf>
    <xf numFmtId="0" fontId="184" fillId="99" borderId="66" applyAlignment="1">
      <alignment vertical="center"/>
    </xf>
    <xf numFmtId="0" fontId="96" fillId="99" borderId="66" applyAlignment="1">
      <alignment vertical="center"/>
    </xf>
    <xf numFmtId="0" fontId="96" fillId="99" borderId="66" applyAlignment="1">
      <alignment vertical="center"/>
    </xf>
    <xf numFmtId="0" fontId="96" fillId="99" borderId="66" applyAlignment="1">
      <alignment vertical="center"/>
    </xf>
    <xf numFmtId="0" fontId="96" fillId="99" borderId="66" applyAlignment="1">
      <alignment vertical="center"/>
    </xf>
    <xf numFmtId="170" fontId="37" fillId="83" borderId="66"/>
    <xf numFmtId="0" fontId="37" fillId="52" borderId="66" applyAlignment="1">
      <alignment vertical="center"/>
    </xf>
    <xf numFmtId="0" fontId="96" fillId="99" borderId="66" applyAlignment="1">
      <alignment vertical="center"/>
    </xf>
    <xf numFmtId="0" fontId="184" fillId="99" borderId="66" applyAlignment="1">
      <alignment vertical="center"/>
    </xf>
    <xf numFmtId="0" fontId="96" fillId="99" borderId="66" applyAlignment="1">
      <alignment vertical="center"/>
    </xf>
    <xf numFmtId="0" fontId="96" fillId="99" borderId="66" applyAlignment="1">
      <alignment vertical="center"/>
    </xf>
    <xf numFmtId="0" fontId="96" fillId="99" borderId="66" applyAlignment="1">
      <alignment vertical="center"/>
    </xf>
    <xf numFmtId="0" fontId="96" fillId="99" borderId="66" applyAlignment="1">
      <alignment vertical="center"/>
    </xf>
    <xf numFmtId="0" fontId="37" fillId="52" borderId="66" applyAlignment="1">
      <alignment vertical="center"/>
    </xf>
    <xf numFmtId="0" fontId="96" fillId="99" borderId="66" applyAlignment="1">
      <alignment vertical="center"/>
    </xf>
    <xf numFmtId="0" fontId="184" fillId="99" borderId="66" applyAlignment="1">
      <alignment vertical="center"/>
    </xf>
    <xf numFmtId="0" fontId="96" fillId="99" borderId="66" applyAlignment="1">
      <alignment vertical="center"/>
    </xf>
    <xf numFmtId="0" fontId="96" fillId="99" borderId="66" applyAlignment="1">
      <alignment vertical="center"/>
    </xf>
    <xf numFmtId="0" fontId="96" fillId="99" borderId="66" applyAlignment="1">
      <alignment vertical="center"/>
    </xf>
    <xf numFmtId="0" fontId="96" fillId="99" borderId="66" applyAlignment="1">
      <alignment vertical="center"/>
    </xf>
    <xf numFmtId="0" fontId="96" fillId="99" borderId="66" applyAlignment="1">
      <alignment vertical="center"/>
    </xf>
    <xf numFmtId="0" fontId="96" fillId="99" borderId="66" applyAlignment="1">
      <alignment vertical="center"/>
    </xf>
    <xf numFmtId="0" fontId="184" fillId="99" borderId="66" applyAlignment="1">
      <alignment vertical="center"/>
    </xf>
    <xf numFmtId="0" fontId="96" fillId="99" borderId="66" applyAlignment="1">
      <alignment vertical="center"/>
    </xf>
    <xf numFmtId="0" fontId="96" fillId="99" borderId="66" applyAlignment="1">
      <alignment vertical="center"/>
    </xf>
    <xf numFmtId="0" fontId="96" fillId="99" borderId="66" applyAlignment="1">
      <alignment vertical="center"/>
    </xf>
    <xf numFmtId="0" fontId="96" fillId="99" borderId="66" applyAlignment="1">
      <alignment vertical="center"/>
    </xf>
    <xf numFmtId="0" fontId="96" fillId="99" borderId="66" applyAlignment="1">
      <alignment vertical="center"/>
    </xf>
    <xf numFmtId="0" fontId="96" fillId="99" borderId="66" applyAlignment="1">
      <alignment vertical="center"/>
    </xf>
    <xf numFmtId="0" fontId="184" fillId="99" borderId="66" applyAlignment="1">
      <alignment vertical="center"/>
    </xf>
    <xf numFmtId="0" fontId="96" fillId="99" borderId="66" applyAlignment="1">
      <alignment vertical="center"/>
    </xf>
    <xf numFmtId="0" fontId="96" fillId="99" borderId="66" applyAlignment="1">
      <alignment vertical="center"/>
    </xf>
    <xf numFmtId="0" fontId="96" fillId="99" borderId="66" applyAlignment="1">
      <alignment vertical="center"/>
    </xf>
    <xf numFmtId="0" fontId="96" fillId="99" borderId="66" applyAlignment="1">
      <alignment vertical="center"/>
    </xf>
    <xf numFmtId="0" fontId="96" fillId="99" borderId="66" applyAlignment="1">
      <alignment vertical="center"/>
    </xf>
    <xf numFmtId="0" fontId="96" fillId="99" borderId="66" applyAlignment="1">
      <alignment vertical="center"/>
    </xf>
    <xf numFmtId="0" fontId="184" fillId="99" borderId="66" applyAlignment="1">
      <alignment vertical="center"/>
    </xf>
    <xf numFmtId="0" fontId="96" fillId="99" borderId="66" applyAlignment="1">
      <alignment vertical="center"/>
    </xf>
    <xf numFmtId="0" fontId="96" fillId="99" borderId="66" applyAlignment="1">
      <alignment vertical="center"/>
    </xf>
    <xf numFmtId="0" fontId="96" fillId="99" borderId="66" applyAlignment="1">
      <alignment vertical="center"/>
    </xf>
    <xf numFmtId="0" fontId="96" fillId="99" borderId="66" applyAlignment="1">
      <alignment vertical="center"/>
    </xf>
    <xf numFmtId="0" fontId="96" fillId="99" borderId="66" applyAlignment="1">
      <alignment vertical="center"/>
    </xf>
    <xf numFmtId="0" fontId="96" fillId="99" borderId="66" applyAlignment="1">
      <alignment vertical="center"/>
    </xf>
    <xf numFmtId="0" fontId="184" fillId="99" borderId="66" applyAlignment="1">
      <alignment vertical="center"/>
    </xf>
    <xf numFmtId="0" fontId="96" fillId="99" borderId="66" applyAlignment="1">
      <alignment vertical="center"/>
    </xf>
    <xf numFmtId="0" fontId="96" fillId="99" borderId="66" applyAlignment="1">
      <alignment vertical="center"/>
    </xf>
    <xf numFmtId="0" fontId="96" fillId="99" borderId="66" applyAlignment="1">
      <alignment vertical="center"/>
    </xf>
    <xf numFmtId="0" fontId="96" fillId="99" borderId="66" applyAlignment="1">
      <alignment vertical="center"/>
    </xf>
    <xf numFmtId="0" fontId="96" fillId="99" borderId="66" applyAlignment="1">
      <alignment vertical="center"/>
    </xf>
    <xf numFmtId="0" fontId="96" fillId="99" borderId="66" applyAlignment="1">
      <alignment vertical="center"/>
    </xf>
    <xf numFmtId="0" fontId="184" fillId="99" borderId="66" applyAlignment="1">
      <alignment vertical="center"/>
    </xf>
    <xf numFmtId="0" fontId="96" fillId="99" borderId="66" applyAlignment="1">
      <alignment vertical="center"/>
    </xf>
    <xf numFmtId="0" fontId="96" fillId="99" borderId="66" applyAlignment="1">
      <alignment vertical="center"/>
    </xf>
    <xf numFmtId="0" fontId="96" fillId="99" borderId="66" applyAlignment="1">
      <alignment vertical="center"/>
    </xf>
    <xf numFmtId="0" fontId="96" fillId="99" borderId="66" applyAlignment="1">
      <alignment vertical="center"/>
    </xf>
    <xf numFmtId="0" fontId="37" fillId="52" borderId="66" applyAlignment="1">
      <alignment vertical="center"/>
    </xf>
    <xf numFmtId="0" fontId="96" fillId="99" borderId="66" applyAlignment="1">
      <alignment vertical="center"/>
    </xf>
    <xf numFmtId="0" fontId="184" fillId="99" borderId="66" applyAlignment="1">
      <alignment vertical="center"/>
    </xf>
    <xf numFmtId="0" fontId="96" fillId="99" borderId="66" applyAlignment="1">
      <alignment vertical="center"/>
    </xf>
    <xf numFmtId="170" fontId="37" fillId="83" borderId="66"/>
    <xf numFmtId="0" fontId="96" fillId="99" borderId="66" applyAlignment="1">
      <alignment vertical="center"/>
    </xf>
    <xf numFmtId="0" fontId="96" fillId="99" borderId="66" applyAlignment="1">
      <alignment vertical="center"/>
    </xf>
    <xf numFmtId="0" fontId="96" fillId="99" borderId="66" applyAlignment="1">
      <alignment vertical="center"/>
    </xf>
    <xf numFmtId="170" fontId="37" fillId="83" borderId="66"/>
    <xf numFmtId="0" fontId="37" fillId="52" borderId="66" applyAlignment="1">
      <alignment vertical="center"/>
    </xf>
    <xf numFmtId="0" fontId="96" fillId="99" borderId="66" applyAlignment="1">
      <alignment vertical="center"/>
    </xf>
    <xf numFmtId="0" fontId="184" fillId="99" borderId="66" applyAlignment="1">
      <alignment vertical="center"/>
    </xf>
    <xf numFmtId="0" fontId="96" fillId="99" borderId="66" applyAlignment="1">
      <alignment vertical="center"/>
    </xf>
    <xf numFmtId="170" fontId="37" fillId="83" borderId="66"/>
    <xf numFmtId="0" fontId="96" fillId="99" borderId="66" applyAlignment="1">
      <alignment vertical="center"/>
    </xf>
    <xf numFmtId="0" fontId="96" fillId="99" borderId="66" applyAlignment="1">
      <alignment vertical="center"/>
    </xf>
    <xf numFmtId="0" fontId="96" fillId="99" borderId="66" applyAlignment="1">
      <alignment vertical="center"/>
    </xf>
    <xf numFmtId="170" fontId="37" fillId="83" borderId="66"/>
    <xf numFmtId="0" fontId="37" fillId="52" borderId="66" applyAlignment="1">
      <alignment vertical="center"/>
    </xf>
    <xf numFmtId="0" fontId="96" fillId="99" borderId="66" applyAlignment="1">
      <alignment vertical="center"/>
    </xf>
    <xf numFmtId="0" fontId="184" fillId="99" borderId="66" applyAlignment="1">
      <alignment vertical="center"/>
    </xf>
    <xf numFmtId="0" fontId="96" fillId="99" borderId="66" applyAlignment="1">
      <alignment vertical="center"/>
    </xf>
    <xf numFmtId="170" fontId="37" fillId="83" borderId="66"/>
    <xf numFmtId="0" fontId="96" fillId="99" borderId="66" applyAlignment="1">
      <alignment vertical="center"/>
    </xf>
    <xf numFmtId="0" fontId="96" fillId="99" borderId="66" applyAlignment="1">
      <alignment vertical="center"/>
    </xf>
    <xf numFmtId="170" fontId="37" fillId="83" borderId="66"/>
    <xf numFmtId="0" fontId="96" fillId="99" borderId="66" applyAlignment="1">
      <alignment vertical="center"/>
    </xf>
    <xf numFmtId="170" fontId="37" fillId="83" borderId="66"/>
    <xf numFmtId="0" fontId="37" fillId="52" borderId="66" applyAlignment="1">
      <alignment vertical="center"/>
    </xf>
    <xf numFmtId="0" fontId="96" fillId="99" borderId="66" applyAlignment="1">
      <alignment vertical="center"/>
    </xf>
    <xf numFmtId="0" fontId="184" fillId="99" borderId="66" applyAlignment="1">
      <alignment vertical="center"/>
    </xf>
    <xf numFmtId="0" fontId="96" fillId="99" borderId="66" applyAlignment="1">
      <alignment vertical="center"/>
    </xf>
    <xf numFmtId="170" fontId="37" fillId="83" borderId="66"/>
    <xf numFmtId="0" fontId="96" fillId="99" borderId="66" applyAlignment="1">
      <alignment vertical="center"/>
    </xf>
    <xf numFmtId="0" fontId="96" fillId="99" borderId="66" applyAlignment="1">
      <alignment vertical="center"/>
    </xf>
    <xf numFmtId="170" fontId="37" fillId="83" borderId="66"/>
    <xf numFmtId="0" fontId="96" fillId="99" borderId="66" applyAlignment="1">
      <alignment vertical="center"/>
    </xf>
    <xf numFmtId="170" fontId="37" fillId="83" borderId="66"/>
    <xf numFmtId="0" fontId="37" fillId="52" borderId="66" applyAlignment="1">
      <alignment vertical="center"/>
    </xf>
    <xf numFmtId="0" fontId="96" fillId="99" borderId="66" applyAlignment="1">
      <alignment vertical="center"/>
    </xf>
    <xf numFmtId="0" fontId="184" fillId="99" borderId="66" applyAlignment="1">
      <alignment vertical="center"/>
    </xf>
    <xf numFmtId="0" fontId="96" fillId="99" borderId="66" applyAlignment="1">
      <alignment vertical="center"/>
    </xf>
    <xf numFmtId="170" fontId="37" fillId="83" borderId="66"/>
    <xf numFmtId="0" fontId="96" fillId="99" borderId="66" applyAlignment="1">
      <alignment vertical="center"/>
    </xf>
    <xf numFmtId="0" fontId="96" fillId="99" borderId="66" applyAlignment="1">
      <alignment vertical="center"/>
    </xf>
    <xf numFmtId="170" fontId="37" fillId="83" borderId="66"/>
    <xf numFmtId="0" fontId="96" fillId="99" borderId="66" applyAlignment="1">
      <alignment vertical="center"/>
    </xf>
    <xf numFmtId="170" fontId="37" fillId="83" borderId="66"/>
    <xf numFmtId="0" fontId="37" fillId="52" borderId="66" applyAlignment="1">
      <alignment vertical="center"/>
    </xf>
    <xf numFmtId="0" fontId="96" fillId="99" borderId="66" applyAlignment="1">
      <alignment vertical="center"/>
    </xf>
    <xf numFmtId="0" fontId="184" fillId="99" borderId="66" applyAlignment="1">
      <alignment vertical="center"/>
    </xf>
    <xf numFmtId="0" fontId="96" fillId="99" borderId="66" applyAlignment="1">
      <alignment vertical="center"/>
    </xf>
    <xf numFmtId="170" fontId="37" fillId="83" borderId="66"/>
    <xf numFmtId="0" fontId="96" fillId="99" borderId="66" applyAlignment="1">
      <alignment vertical="center"/>
    </xf>
    <xf numFmtId="0" fontId="96" fillId="99" borderId="66" applyAlignment="1">
      <alignment vertical="center"/>
    </xf>
    <xf numFmtId="170" fontId="37" fillId="83" borderId="66"/>
    <xf numFmtId="0" fontId="96" fillId="99" borderId="66" applyAlignment="1">
      <alignment vertical="center"/>
    </xf>
    <xf numFmtId="170" fontId="37" fillId="83" borderId="66"/>
    <xf numFmtId="0" fontId="51" fillId="0" borderId="0"/>
    <xf numFmtId="0" fontId="51" fillId="0" borderId="0"/>
    <xf numFmtId="0" fontId="186" fillId="88" borderId="67" applyAlignment="1">
      <alignment vertical="center"/>
    </xf>
    <xf numFmtId="0" fontId="186" fillId="88" borderId="67" applyAlignment="1">
      <alignment vertical="center"/>
    </xf>
    <xf numFmtId="170" fontId="187" fillId="90" borderId="67"/>
    <xf numFmtId="170" fontId="187" fillId="90" borderId="67"/>
    <xf numFmtId="0" fontId="186" fillId="88" borderId="67" applyAlignment="1">
      <alignment vertical="center"/>
    </xf>
    <xf numFmtId="170" fontId="187" fillId="90" borderId="67"/>
    <xf numFmtId="170" fontId="187" fillId="90" borderId="67"/>
    <xf numFmtId="170" fontId="187" fillId="90" borderId="67"/>
    <xf numFmtId="170" fontId="187" fillId="90" borderId="67"/>
    <xf numFmtId="170" fontId="187" fillId="90" borderId="67"/>
    <xf numFmtId="0" fontId="186" fillId="88" borderId="67" applyAlignment="1">
      <alignment vertical="center"/>
    </xf>
    <xf numFmtId="0" fontId="186" fillId="88" borderId="67" applyAlignment="1">
      <alignment vertical="center"/>
    </xf>
    <xf numFmtId="0" fontId="186" fillId="88" borderId="67" applyAlignment="1">
      <alignment vertical="center"/>
    </xf>
    <xf numFmtId="0" fontId="186" fillId="88" borderId="67" applyAlignment="1">
      <alignment vertical="center"/>
    </xf>
    <xf numFmtId="0" fontId="188" fillId="88" borderId="67" applyAlignment="1">
      <alignment vertical="center"/>
    </xf>
    <xf numFmtId="0" fontId="186" fillId="88" borderId="67" applyAlignment="1">
      <alignment vertical="center"/>
    </xf>
    <xf numFmtId="0" fontId="186" fillId="88" borderId="67" applyAlignment="1">
      <alignment vertical="center"/>
    </xf>
    <xf numFmtId="0" fontId="186" fillId="88" borderId="67" applyAlignment="1">
      <alignment vertical="center"/>
    </xf>
    <xf numFmtId="0" fontId="186" fillId="88" borderId="67" applyAlignment="1">
      <alignment vertical="center"/>
    </xf>
    <xf numFmtId="0" fontId="186" fillId="88" borderId="67" applyAlignment="1">
      <alignment vertical="center"/>
    </xf>
    <xf numFmtId="0" fontId="186" fillId="88" borderId="67" applyAlignment="1">
      <alignment vertical="center"/>
    </xf>
    <xf numFmtId="0" fontId="188" fillId="88" borderId="67" applyAlignment="1">
      <alignment vertical="center"/>
    </xf>
    <xf numFmtId="0" fontId="186" fillId="88" borderId="67" applyAlignment="1">
      <alignment vertical="center"/>
    </xf>
    <xf numFmtId="0" fontId="186" fillId="88" borderId="67" applyAlignment="1">
      <alignment vertical="center"/>
    </xf>
    <xf numFmtId="0" fontId="186" fillId="88" borderId="67" applyAlignment="1">
      <alignment vertical="center"/>
    </xf>
    <xf numFmtId="0" fontId="186" fillId="88" borderId="67" applyAlignment="1">
      <alignment vertical="center"/>
    </xf>
    <xf numFmtId="0" fontId="186" fillId="88" borderId="67" applyAlignment="1">
      <alignment vertical="center"/>
    </xf>
    <xf numFmtId="0" fontId="188" fillId="88" borderId="67" applyAlignment="1">
      <alignment vertical="center"/>
    </xf>
    <xf numFmtId="0" fontId="186" fillId="88" borderId="67" applyAlignment="1">
      <alignment vertical="center"/>
    </xf>
    <xf numFmtId="0" fontId="188" fillId="88" borderId="67" applyAlignment="1">
      <alignment vertical="center"/>
    </xf>
    <xf numFmtId="0" fontId="186" fillId="88" borderId="67" applyAlignment="1">
      <alignment vertical="center"/>
    </xf>
    <xf numFmtId="170" fontId="187" fillId="90" borderId="67"/>
    <xf numFmtId="0" fontId="186" fillId="88" borderId="67" applyAlignment="1">
      <alignment vertical="center"/>
    </xf>
    <xf numFmtId="0" fontId="186" fillId="88" borderId="67" applyAlignment="1">
      <alignment vertical="center"/>
    </xf>
    <xf numFmtId="0" fontId="188" fillId="88" borderId="67" applyAlignment="1">
      <alignment vertical="center"/>
    </xf>
    <xf numFmtId="0" fontId="186" fillId="88" borderId="67" applyAlignment="1">
      <alignment vertical="center"/>
    </xf>
    <xf numFmtId="0" fontId="186" fillId="88" borderId="67" applyAlignment="1">
      <alignment vertical="center"/>
    </xf>
    <xf numFmtId="0" fontId="186" fillId="88" borderId="67" applyAlignment="1">
      <alignment vertical="center"/>
    </xf>
    <xf numFmtId="0" fontId="186" fillId="88" borderId="67" applyAlignment="1">
      <alignment vertical="center"/>
    </xf>
    <xf numFmtId="0" fontId="186" fillId="88" borderId="67" applyAlignment="1">
      <alignment vertical="center"/>
    </xf>
    <xf numFmtId="0" fontId="186" fillId="88" borderId="67" applyAlignment="1">
      <alignment vertical="center"/>
    </xf>
    <xf numFmtId="0" fontId="188" fillId="88" borderId="67" applyAlignment="1">
      <alignment vertical="center"/>
    </xf>
    <xf numFmtId="0" fontId="186" fillId="88" borderId="67" applyAlignment="1">
      <alignment vertical="center"/>
    </xf>
    <xf numFmtId="0" fontId="186" fillId="88" borderId="67" applyAlignment="1">
      <alignment vertical="center"/>
    </xf>
    <xf numFmtId="0" fontId="186" fillId="88" borderId="67" applyAlignment="1">
      <alignment vertical="center"/>
    </xf>
    <xf numFmtId="0" fontId="186" fillId="88" borderId="67" applyAlignment="1">
      <alignment vertical="center"/>
    </xf>
    <xf numFmtId="0" fontId="186" fillId="88" borderId="67" applyAlignment="1">
      <alignment vertical="center"/>
    </xf>
    <xf numFmtId="0" fontId="186" fillId="88" borderId="67" applyAlignment="1">
      <alignment vertical="center"/>
    </xf>
    <xf numFmtId="0" fontId="188" fillId="88" borderId="67" applyAlignment="1">
      <alignment vertical="center"/>
    </xf>
    <xf numFmtId="0" fontId="186" fillId="88" borderId="67" applyAlignment="1">
      <alignment vertical="center"/>
    </xf>
    <xf numFmtId="0" fontId="186" fillId="88" borderId="67" applyAlignment="1">
      <alignment vertical="center"/>
    </xf>
    <xf numFmtId="0" fontId="186" fillId="88" borderId="67" applyAlignment="1">
      <alignment vertical="center"/>
    </xf>
    <xf numFmtId="0" fontId="186" fillId="88" borderId="67" applyAlignment="1">
      <alignment vertical="center"/>
    </xf>
    <xf numFmtId="0" fontId="186" fillId="88" borderId="67" applyAlignment="1">
      <alignment vertical="center"/>
    </xf>
    <xf numFmtId="0" fontId="186" fillId="88" borderId="67" applyAlignment="1">
      <alignment vertical="center"/>
    </xf>
    <xf numFmtId="0" fontId="188" fillId="88" borderId="67" applyAlignment="1">
      <alignment vertical="center"/>
    </xf>
    <xf numFmtId="0" fontId="186" fillId="88" borderId="67" applyAlignment="1">
      <alignment vertical="center"/>
    </xf>
    <xf numFmtId="0" fontId="186" fillId="88" borderId="67" applyAlignment="1">
      <alignment vertical="center"/>
    </xf>
    <xf numFmtId="0" fontId="186" fillId="88" borderId="67" applyAlignment="1">
      <alignment vertical="center"/>
    </xf>
    <xf numFmtId="0" fontId="186" fillId="88" borderId="67" applyAlignment="1">
      <alignment vertical="center"/>
    </xf>
    <xf numFmtId="0" fontId="186" fillId="88" borderId="67" applyAlignment="1">
      <alignment vertical="center"/>
    </xf>
    <xf numFmtId="0" fontId="186" fillId="88" borderId="67" applyAlignment="1">
      <alignment vertical="center"/>
    </xf>
    <xf numFmtId="0" fontId="188" fillId="88" borderId="67" applyAlignment="1">
      <alignment vertical="center"/>
    </xf>
    <xf numFmtId="0" fontId="186" fillId="88" borderId="67" applyAlignment="1">
      <alignment vertical="center"/>
    </xf>
    <xf numFmtId="0" fontId="186" fillId="88" borderId="67" applyAlignment="1">
      <alignment vertical="center"/>
    </xf>
    <xf numFmtId="0" fontId="186" fillId="88" borderId="67" applyAlignment="1">
      <alignment vertical="center"/>
    </xf>
    <xf numFmtId="0" fontId="186" fillId="88" borderId="67" applyAlignment="1">
      <alignment vertical="center"/>
    </xf>
    <xf numFmtId="0" fontId="186" fillId="88" borderId="67" applyAlignment="1">
      <alignment vertical="center"/>
    </xf>
    <xf numFmtId="0" fontId="186" fillId="88" borderId="67" applyAlignment="1">
      <alignment vertical="center"/>
    </xf>
    <xf numFmtId="0" fontId="188" fillId="88" borderId="67" applyAlignment="1">
      <alignment vertical="center"/>
    </xf>
    <xf numFmtId="0" fontId="186" fillId="88" borderId="67" applyAlignment="1">
      <alignment vertical="center"/>
    </xf>
    <xf numFmtId="0" fontId="186" fillId="88" borderId="67" applyAlignment="1">
      <alignment vertical="center"/>
    </xf>
    <xf numFmtId="0" fontId="186" fillId="88" borderId="67" applyAlignment="1">
      <alignment vertical="center"/>
    </xf>
    <xf numFmtId="0" fontId="186" fillId="88" borderId="67" applyAlignment="1">
      <alignment vertical="center"/>
    </xf>
    <xf numFmtId="0" fontId="186" fillId="88" borderId="67" applyAlignment="1">
      <alignment vertical="center"/>
    </xf>
    <xf numFmtId="0" fontId="186" fillId="88" borderId="67" applyAlignment="1">
      <alignment vertical="center"/>
    </xf>
    <xf numFmtId="0" fontId="188" fillId="88" borderId="67" applyAlignment="1">
      <alignment vertical="center"/>
    </xf>
    <xf numFmtId="0" fontId="186" fillId="88" borderId="67" applyAlignment="1">
      <alignment vertical="center"/>
    </xf>
    <xf numFmtId="0" fontId="186" fillId="88" borderId="67" applyAlignment="1">
      <alignment vertical="center"/>
    </xf>
    <xf numFmtId="0" fontId="186" fillId="88" borderId="67" applyAlignment="1">
      <alignment vertical="center"/>
    </xf>
    <xf numFmtId="0" fontId="186" fillId="88" borderId="67" applyAlignment="1">
      <alignment vertical="center"/>
    </xf>
    <xf numFmtId="0" fontId="186" fillId="88" borderId="67" applyAlignment="1">
      <alignment vertical="center"/>
    </xf>
    <xf numFmtId="0" fontId="186" fillId="88" borderId="67" applyAlignment="1">
      <alignment vertical="center"/>
    </xf>
    <xf numFmtId="0" fontId="188" fillId="88" borderId="67" applyAlignment="1">
      <alignment vertical="center"/>
    </xf>
    <xf numFmtId="0" fontId="186" fillId="88" borderId="67" applyAlignment="1">
      <alignment vertical="center"/>
    </xf>
    <xf numFmtId="0" fontId="186" fillId="88" borderId="67" applyAlignment="1">
      <alignment vertical="center"/>
    </xf>
    <xf numFmtId="0" fontId="186" fillId="88" borderId="67" applyAlignment="1">
      <alignment vertical="center"/>
    </xf>
    <xf numFmtId="0" fontId="186" fillId="88" borderId="67" applyAlignment="1">
      <alignment vertical="center"/>
    </xf>
    <xf numFmtId="0" fontId="186" fillId="88" borderId="67" applyAlignment="1">
      <alignment vertical="center"/>
    </xf>
    <xf numFmtId="0" fontId="186" fillId="88" borderId="67" applyAlignment="1">
      <alignment vertical="center"/>
    </xf>
    <xf numFmtId="0" fontId="186" fillId="88" borderId="67" applyAlignment="1">
      <alignment vertical="center"/>
    </xf>
    <xf numFmtId="0" fontId="186" fillId="88" borderId="67" applyAlignment="1">
      <alignment vertical="center"/>
    </xf>
    <xf numFmtId="0" fontId="186" fillId="88" borderId="67" applyAlignment="1">
      <alignment vertical="center"/>
    </xf>
    <xf numFmtId="0" fontId="189" fillId="88" borderId="67" applyAlignment="1">
      <alignment vertical="center"/>
    </xf>
    <xf numFmtId="0" fontId="189" fillId="88" borderId="67" applyAlignment="1">
      <alignment vertical="center"/>
    </xf>
    <xf numFmtId="0" fontId="188" fillId="88" borderId="67" applyAlignment="1">
      <alignment vertical="center"/>
    </xf>
    <xf numFmtId="0" fontId="189" fillId="88" borderId="67" applyAlignment="1">
      <alignment vertical="center"/>
    </xf>
    <xf numFmtId="0" fontId="189" fillId="88" borderId="67" applyAlignment="1">
      <alignment vertical="center"/>
    </xf>
    <xf numFmtId="0" fontId="189" fillId="88" borderId="67" applyAlignment="1">
      <alignment vertical="center"/>
    </xf>
    <xf numFmtId="0" fontId="186" fillId="88" borderId="67" applyAlignment="1">
      <alignment vertical="center"/>
    </xf>
    <xf numFmtId="0" fontId="189" fillId="88" borderId="67" applyAlignment="1">
      <alignment vertical="center"/>
    </xf>
    <xf numFmtId="0" fontId="186" fillId="88" borderId="67" applyAlignment="1">
      <alignment vertical="center"/>
    </xf>
    <xf numFmtId="0" fontId="189" fillId="88" borderId="67" applyAlignment="1">
      <alignment vertical="center"/>
    </xf>
    <xf numFmtId="0" fontId="189" fillId="88" borderId="67" applyAlignment="1">
      <alignment vertical="center"/>
    </xf>
    <xf numFmtId="0" fontId="188" fillId="88" borderId="67" applyAlignment="1">
      <alignment vertical="center"/>
    </xf>
    <xf numFmtId="0" fontId="189" fillId="88" borderId="67" applyAlignment="1">
      <alignment vertical="center"/>
    </xf>
    <xf numFmtId="0" fontId="189" fillId="88" borderId="67" applyAlignment="1">
      <alignment vertical="center"/>
    </xf>
    <xf numFmtId="0" fontId="189" fillId="88" borderId="67" applyAlignment="1">
      <alignment vertical="center"/>
    </xf>
    <xf numFmtId="0" fontId="186" fillId="88" borderId="67" applyAlignment="1">
      <alignment vertical="center"/>
    </xf>
    <xf numFmtId="0" fontId="189" fillId="88" borderId="67" applyAlignment="1">
      <alignment vertical="center"/>
    </xf>
    <xf numFmtId="0" fontId="186" fillId="88" borderId="67" applyAlignment="1">
      <alignment vertical="center"/>
    </xf>
    <xf numFmtId="0" fontId="189" fillId="88" borderId="67" applyAlignment="1">
      <alignment vertical="center"/>
    </xf>
    <xf numFmtId="0" fontId="186" fillId="88" borderId="67" applyAlignment="1">
      <alignment vertical="center"/>
    </xf>
    <xf numFmtId="0" fontId="188" fillId="88" borderId="67" applyAlignment="1">
      <alignment vertical="center"/>
    </xf>
    <xf numFmtId="0" fontId="189" fillId="88" borderId="67" applyAlignment="1">
      <alignment vertical="center"/>
    </xf>
    <xf numFmtId="0" fontId="186" fillId="88" borderId="67" applyAlignment="1">
      <alignment vertical="center"/>
    </xf>
    <xf numFmtId="0" fontId="186" fillId="88" borderId="67" applyAlignment="1">
      <alignment vertical="center"/>
    </xf>
    <xf numFmtId="0" fontId="188" fillId="88" borderId="67" applyAlignment="1">
      <alignment vertical="center"/>
    </xf>
    <xf numFmtId="0" fontId="189" fillId="88" borderId="67" applyAlignment="1">
      <alignment vertical="center"/>
    </xf>
    <xf numFmtId="0" fontId="186" fillId="88" borderId="67" applyAlignment="1">
      <alignment vertical="center"/>
    </xf>
    <xf numFmtId="170" fontId="187" fillId="90" borderId="67"/>
    <xf numFmtId="0" fontId="189" fillId="88" borderId="67" applyAlignment="1">
      <alignment vertical="center"/>
    </xf>
    <xf numFmtId="0" fontId="189" fillId="88" borderId="67" applyAlignment="1">
      <alignment vertical="center"/>
    </xf>
    <xf numFmtId="0" fontId="188" fillId="88" borderId="67" applyAlignment="1">
      <alignment vertical="center"/>
    </xf>
    <xf numFmtId="0" fontId="189" fillId="88" borderId="67" applyAlignment="1">
      <alignment vertical="center"/>
    </xf>
    <xf numFmtId="0" fontId="189" fillId="88" borderId="67" applyAlignment="1">
      <alignment vertical="center"/>
    </xf>
    <xf numFmtId="0" fontId="189" fillId="88" borderId="67" applyAlignment="1">
      <alignment vertical="center"/>
    </xf>
    <xf numFmtId="0" fontId="186" fillId="88" borderId="67" applyAlignment="1">
      <alignment vertical="center"/>
    </xf>
    <xf numFmtId="0" fontId="189" fillId="88" borderId="67" applyAlignment="1">
      <alignment vertical="center"/>
    </xf>
    <xf numFmtId="0" fontId="186" fillId="88" borderId="67" applyAlignment="1">
      <alignment vertical="center"/>
    </xf>
    <xf numFmtId="0" fontId="189" fillId="88" borderId="67" applyAlignment="1">
      <alignment vertical="center"/>
    </xf>
    <xf numFmtId="0" fontId="189" fillId="88" borderId="67" applyAlignment="1">
      <alignment vertical="center"/>
    </xf>
    <xf numFmtId="0" fontId="188" fillId="88" borderId="67" applyAlignment="1">
      <alignment vertical="center"/>
    </xf>
    <xf numFmtId="0" fontId="189" fillId="88" borderId="67" applyAlignment="1">
      <alignment vertical="center"/>
    </xf>
    <xf numFmtId="0" fontId="189" fillId="88" borderId="67" applyAlignment="1">
      <alignment vertical="center"/>
    </xf>
    <xf numFmtId="0" fontId="189" fillId="88" borderId="67" applyAlignment="1">
      <alignment vertical="center"/>
    </xf>
    <xf numFmtId="0" fontId="186" fillId="88" borderId="67" applyAlignment="1">
      <alignment vertical="center"/>
    </xf>
    <xf numFmtId="0" fontId="189" fillId="88" borderId="67" applyAlignment="1">
      <alignment vertical="center"/>
    </xf>
    <xf numFmtId="0" fontId="186" fillId="88" borderId="67" applyAlignment="1">
      <alignment vertical="center"/>
    </xf>
    <xf numFmtId="0" fontId="189" fillId="88" borderId="67" applyAlignment="1">
      <alignment vertical="center"/>
    </xf>
    <xf numFmtId="0" fontId="189" fillId="88" borderId="67" applyAlignment="1">
      <alignment vertical="center"/>
    </xf>
    <xf numFmtId="0" fontId="188" fillId="88" borderId="67" applyAlignment="1">
      <alignment vertical="center"/>
    </xf>
    <xf numFmtId="0" fontId="189" fillId="88" borderId="67" applyAlignment="1">
      <alignment vertical="center"/>
    </xf>
    <xf numFmtId="0" fontId="189" fillId="88" borderId="67" applyAlignment="1">
      <alignment vertical="center"/>
    </xf>
    <xf numFmtId="0" fontId="189" fillId="88" borderId="67" applyAlignment="1">
      <alignment vertical="center"/>
    </xf>
    <xf numFmtId="0" fontId="186" fillId="88" borderId="67" applyAlignment="1">
      <alignment vertical="center"/>
    </xf>
    <xf numFmtId="0" fontId="189" fillId="88" borderId="67" applyAlignment="1">
      <alignment vertical="center"/>
    </xf>
    <xf numFmtId="0" fontId="186" fillId="88" borderId="67" applyAlignment="1">
      <alignment vertical="center"/>
    </xf>
    <xf numFmtId="0" fontId="189" fillId="88" borderId="67" applyAlignment="1">
      <alignment vertical="center"/>
    </xf>
    <xf numFmtId="0" fontId="189" fillId="88" borderId="67" applyAlignment="1">
      <alignment vertical="center"/>
    </xf>
    <xf numFmtId="0" fontId="188" fillId="88" borderId="67" applyAlignment="1">
      <alignment vertical="center"/>
    </xf>
    <xf numFmtId="0" fontId="189" fillId="88" borderId="67" applyAlignment="1">
      <alignment vertical="center"/>
    </xf>
    <xf numFmtId="0" fontId="189" fillId="88" borderId="67" applyAlignment="1">
      <alignment vertical="center"/>
    </xf>
    <xf numFmtId="0" fontId="189" fillId="88" borderId="67" applyAlignment="1">
      <alignment vertical="center"/>
    </xf>
    <xf numFmtId="0" fontId="186" fillId="88" borderId="67" applyAlignment="1">
      <alignment vertical="center"/>
    </xf>
    <xf numFmtId="0" fontId="189" fillId="88" borderId="67" applyAlignment="1">
      <alignment vertical="center"/>
    </xf>
    <xf numFmtId="0" fontId="186" fillId="88" borderId="67" applyAlignment="1">
      <alignment vertical="center"/>
    </xf>
    <xf numFmtId="0" fontId="189" fillId="88" borderId="67" applyAlignment="1">
      <alignment vertical="center"/>
    </xf>
    <xf numFmtId="0" fontId="189" fillId="88" borderId="67" applyAlignment="1">
      <alignment vertical="center"/>
    </xf>
    <xf numFmtId="0" fontId="188" fillId="88" borderId="67" applyAlignment="1">
      <alignment vertical="center"/>
    </xf>
    <xf numFmtId="0" fontId="189" fillId="88" borderId="67" applyAlignment="1">
      <alignment vertical="center"/>
    </xf>
    <xf numFmtId="0" fontId="189" fillId="88" borderId="67" applyAlignment="1">
      <alignment vertical="center"/>
    </xf>
    <xf numFmtId="0" fontId="189" fillId="88" borderId="67" applyAlignment="1">
      <alignment vertical="center"/>
    </xf>
    <xf numFmtId="0" fontId="186" fillId="88" borderId="67" applyAlignment="1">
      <alignment vertical="center"/>
    </xf>
    <xf numFmtId="0" fontId="189" fillId="88" borderId="67" applyAlignment="1">
      <alignment vertical="center"/>
    </xf>
    <xf numFmtId="0" fontId="186" fillId="88" borderId="67" applyAlignment="1">
      <alignment vertical="center"/>
    </xf>
    <xf numFmtId="0" fontId="189" fillId="88" borderId="67" applyAlignment="1">
      <alignment vertical="center"/>
    </xf>
    <xf numFmtId="0" fontId="189" fillId="88" borderId="67" applyAlignment="1">
      <alignment vertical="center"/>
    </xf>
    <xf numFmtId="0" fontId="188" fillId="88" borderId="67" applyAlignment="1">
      <alignment vertical="center"/>
    </xf>
    <xf numFmtId="0" fontId="189" fillId="88" borderId="67" applyAlignment="1">
      <alignment vertical="center"/>
    </xf>
    <xf numFmtId="0" fontId="189" fillId="88" borderId="67" applyAlignment="1">
      <alignment vertical="center"/>
    </xf>
    <xf numFmtId="0" fontId="189" fillId="88" borderId="67" applyAlignment="1">
      <alignment vertical="center"/>
    </xf>
    <xf numFmtId="0" fontId="186" fillId="88" borderId="67" applyAlignment="1">
      <alignment vertical="center"/>
    </xf>
    <xf numFmtId="0" fontId="189" fillId="88" borderId="67" applyAlignment="1">
      <alignment vertical="center"/>
    </xf>
    <xf numFmtId="0" fontId="186" fillId="88" borderId="67" applyAlignment="1">
      <alignment vertical="center"/>
    </xf>
    <xf numFmtId="0" fontId="189" fillId="88" borderId="67" applyAlignment="1">
      <alignment vertical="center"/>
    </xf>
    <xf numFmtId="0" fontId="189" fillId="88" borderId="67" applyAlignment="1">
      <alignment vertical="center"/>
    </xf>
    <xf numFmtId="0" fontId="188" fillId="88" borderId="67" applyAlignment="1">
      <alignment vertical="center"/>
    </xf>
    <xf numFmtId="0" fontId="189" fillId="88" borderId="67" applyAlignment="1">
      <alignment vertical="center"/>
    </xf>
    <xf numFmtId="0" fontId="189" fillId="88" borderId="67" applyAlignment="1">
      <alignment vertical="center"/>
    </xf>
    <xf numFmtId="0" fontId="189" fillId="88" borderId="67" applyAlignment="1">
      <alignment vertical="center"/>
    </xf>
    <xf numFmtId="0" fontId="186" fillId="88" borderId="67" applyAlignment="1">
      <alignment vertical="center"/>
    </xf>
    <xf numFmtId="0" fontId="189" fillId="88" borderId="67" applyAlignment="1">
      <alignment vertical="center"/>
    </xf>
    <xf numFmtId="0" fontId="186" fillId="88" borderId="67" applyAlignment="1">
      <alignment vertical="center"/>
    </xf>
    <xf numFmtId="0" fontId="189" fillId="88" borderId="67" applyAlignment="1">
      <alignment vertical="center"/>
    </xf>
    <xf numFmtId="0" fontId="189" fillId="88" borderId="67" applyAlignment="1">
      <alignment vertical="center"/>
    </xf>
    <xf numFmtId="0" fontId="188" fillId="88" borderId="67" applyAlignment="1">
      <alignment vertical="center"/>
    </xf>
    <xf numFmtId="0" fontId="189" fillId="88" borderId="67" applyAlignment="1">
      <alignment vertical="center"/>
    </xf>
    <xf numFmtId="0" fontId="189" fillId="88" borderId="67" applyAlignment="1">
      <alignment vertical="center"/>
    </xf>
    <xf numFmtId="0" fontId="189" fillId="88" borderId="67" applyAlignment="1">
      <alignment vertical="center"/>
    </xf>
    <xf numFmtId="0" fontId="186" fillId="88" borderId="67" applyAlignment="1">
      <alignment vertical="center"/>
    </xf>
    <xf numFmtId="0" fontId="189" fillId="88" borderId="67" applyAlignment="1">
      <alignment vertical="center"/>
    </xf>
    <xf numFmtId="0" fontId="186" fillId="88" borderId="67" applyAlignment="1">
      <alignment vertical="center"/>
    </xf>
    <xf numFmtId="0" fontId="186" fillId="88" borderId="67" applyAlignment="1">
      <alignment vertical="center"/>
    </xf>
    <xf numFmtId="0" fontId="188" fillId="88" borderId="67" applyAlignment="1">
      <alignment vertical="center"/>
    </xf>
    <xf numFmtId="0" fontId="186" fillId="88" borderId="67" applyAlignment="1">
      <alignment vertical="center"/>
    </xf>
    <xf numFmtId="0" fontId="186" fillId="88" borderId="67" applyAlignment="1">
      <alignment vertical="center"/>
    </xf>
    <xf numFmtId="170" fontId="187" fillId="90" borderId="67"/>
    <xf numFmtId="0" fontId="186" fillId="88" borderId="67" applyAlignment="1">
      <alignment vertical="center"/>
    </xf>
    <xf numFmtId="0" fontId="186" fillId="89" borderId="67" applyAlignment="1">
      <alignment vertical="center"/>
    </xf>
    <xf numFmtId="0" fontId="186" fillId="89" borderId="67" applyAlignment="1">
      <alignment vertical="center"/>
    </xf>
    <xf numFmtId="0" fontId="188" fillId="89" borderId="67" applyAlignment="1">
      <alignment vertical="center"/>
    </xf>
    <xf numFmtId="0" fontId="186" fillId="89" borderId="67" applyAlignment="1">
      <alignment vertical="center"/>
    </xf>
    <xf numFmtId="0" fontId="186" fillId="89" borderId="67" applyAlignment="1">
      <alignment vertical="center"/>
    </xf>
    <xf numFmtId="0" fontId="186" fillId="89" borderId="67" applyAlignment="1">
      <alignment vertical="center"/>
    </xf>
    <xf numFmtId="0" fontId="186" fillId="89" borderId="67" applyAlignment="1">
      <alignment vertical="center"/>
    </xf>
    <xf numFmtId="0" fontId="186" fillId="89" borderId="67" applyAlignment="1">
      <alignment vertical="center"/>
    </xf>
    <xf numFmtId="0" fontId="186" fillId="89" borderId="67" applyAlignment="1">
      <alignment vertical="center"/>
    </xf>
    <xf numFmtId="0" fontId="188" fillId="89" borderId="67" applyAlignment="1">
      <alignment vertical="center"/>
    </xf>
    <xf numFmtId="0" fontId="186" fillId="89" borderId="67" applyAlignment="1">
      <alignment vertical="center"/>
    </xf>
    <xf numFmtId="0" fontId="186" fillId="89" borderId="67" applyAlignment="1">
      <alignment vertical="center"/>
    </xf>
    <xf numFmtId="0" fontId="186" fillId="89" borderId="67" applyAlignment="1">
      <alignment vertical="center"/>
    </xf>
    <xf numFmtId="0" fontId="186" fillId="89" borderId="67" applyAlignment="1">
      <alignment vertical="center"/>
    </xf>
    <xf numFmtId="0" fontId="186" fillId="89" borderId="67" applyAlignment="1">
      <alignment vertical="center"/>
    </xf>
    <xf numFmtId="0" fontId="188" fillId="89" borderId="67" applyAlignment="1">
      <alignment vertical="center"/>
    </xf>
    <xf numFmtId="0" fontId="186" fillId="89" borderId="67" applyAlignment="1">
      <alignment vertical="center"/>
    </xf>
    <xf numFmtId="0" fontId="188" fillId="89" borderId="67" applyAlignment="1">
      <alignment vertical="center"/>
    </xf>
    <xf numFmtId="0" fontId="186" fillId="89" borderId="67" applyAlignment="1">
      <alignment vertical="center"/>
    </xf>
    <xf numFmtId="170" fontId="187" fillId="90" borderId="67"/>
    <xf numFmtId="0" fontId="186" fillId="89" borderId="67" applyAlignment="1">
      <alignment vertical="center"/>
    </xf>
    <xf numFmtId="0" fontId="186" fillId="89" borderId="67" applyAlignment="1">
      <alignment vertical="center"/>
    </xf>
    <xf numFmtId="0" fontId="188" fillId="89" borderId="67" applyAlignment="1">
      <alignment vertical="center"/>
    </xf>
    <xf numFmtId="0" fontId="186" fillId="89" borderId="67" applyAlignment="1">
      <alignment vertical="center"/>
    </xf>
    <xf numFmtId="0" fontId="186" fillId="89" borderId="67" applyAlignment="1">
      <alignment vertical="center"/>
    </xf>
    <xf numFmtId="0" fontId="186" fillId="89" borderId="67" applyAlignment="1">
      <alignment vertical="center"/>
    </xf>
    <xf numFmtId="0" fontId="186" fillId="89" borderId="67" applyAlignment="1">
      <alignment vertical="center"/>
    </xf>
    <xf numFmtId="170" fontId="187" fillId="90" borderId="67"/>
    <xf numFmtId="0" fontId="186" fillId="89" borderId="67" applyAlignment="1">
      <alignment vertical="center"/>
    </xf>
    <xf numFmtId="0" fontId="186" fillId="89" borderId="67" applyAlignment="1">
      <alignment vertical="center"/>
    </xf>
    <xf numFmtId="0" fontId="188" fillId="89" borderId="67" applyAlignment="1">
      <alignment vertical="center"/>
    </xf>
    <xf numFmtId="0" fontId="186" fillId="89" borderId="67" applyAlignment="1">
      <alignment vertical="center"/>
    </xf>
    <xf numFmtId="0" fontId="186" fillId="89" borderId="67" applyAlignment="1">
      <alignment vertical="center"/>
    </xf>
    <xf numFmtId="0" fontId="186" fillId="89" borderId="67" applyAlignment="1">
      <alignment vertical="center"/>
    </xf>
    <xf numFmtId="0" fontId="186" fillId="89" borderId="67" applyAlignment="1">
      <alignment vertical="center"/>
    </xf>
    <xf numFmtId="0" fontId="186" fillId="89" borderId="67" applyAlignment="1">
      <alignment vertical="center"/>
    </xf>
    <xf numFmtId="0" fontId="186" fillId="89" borderId="67" applyAlignment="1">
      <alignment vertical="center"/>
    </xf>
    <xf numFmtId="0" fontId="188" fillId="89" borderId="67" applyAlignment="1">
      <alignment vertical="center"/>
    </xf>
    <xf numFmtId="0" fontId="186" fillId="89" borderId="67" applyAlignment="1">
      <alignment vertical="center"/>
    </xf>
    <xf numFmtId="0" fontId="186" fillId="89" borderId="67" applyAlignment="1">
      <alignment vertical="center"/>
    </xf>
    <xf numFmtId="0" fontId="186" fillId="89" borderId="67" applyAlignment="1">
      <alignment vertical="center"/>
    </xf>
    <xf numFmtId="0" fontId="186" fillId="89" borderId="67" applyAlignment="1">
      <alignment vertical="center"/>
    </xf>
    <xf numFmtId="0" fontId="186" fillId="89" borderId="67" applyAlignment="1">
      <alignment vertical="center"/>
    </xf>
    <xf numFmtId="0" fontId="186" fillId="89" borderId="67" applyAlignment="1">
      <alignment vertical="center"/>
    </xf>
    <xf numFmtId="0" fontId="188" fillId="89" borderId="67" applyAlignment="1">
      <alignment vertical="center"/>
    </xf>
    <xf numFmtId="0" fontId="186" fillId="89" borderId="67" applyAlignment="1">
      <alignment vertical="center"/>
    </xf>
    <xf numFmtId="0" fontId="186" fillId="89" borderId="67" applyAlignment="1">
      <alignment vertical="center"/>
    </xf>
    <xf numFmtId="0" fontId="186" fillId="89" borderId="67" applyAlignment="1">
      <alignment vertical="center"/>
    </xf>
    <xf numFmtId="0" fontId="186" fillId="89" borderId="67" applyAlignment="1">
      <alignment vertical="center"/>
    </xf>
    <xf numFmtId="0" fontId="186" fillId="89" borderId="67" applyAlignment="1">
      <alignment vertical="center"/>
    </xf>
    <xf numFmtId="0" fontId="186" fillId="89" borderId="67" applyAlignment="1">
      <alignment vertical="center"/>
    </xf>
    <xf numFmtId="0" fontId="188" fillId="89" borderId="67" applyAlignment="1">
      <alignment vertical="center"/>
    </xf>
    <xf numFmtId="0" fontId="186" fillId="89" borderId="67" applyAlignment="1">
      <alignment vertical="center"/>
    </xf>
    <xf numFmtId="0" fontId="186" fillId="89" borderId="67" applyAlignment="1">
      <alignment vertical="center"/>
    </xf>
    <xf numFmtId="0" fontId="186" fillId="89" borderId="67" applyAlignment="1">
      <alignment vertical="center"/>
    </xf>
    <xf numFmtId="0" fontId="186" fillId="89" borderId="67" applyAlignment="1">
      <alignment vertical="center"/>
    </xf>
    <xf numFmtId="0" fontId="186" fillId="89" borderId="67" applyAlignment="1">
      <alignment vertical="center"/>
    </xf>
    <xf numFmtId="0" fontId="186" fillId="89" borderId="67" applyAlignment="1">
      <alignment vertical="center"/>
    </xf>
    <xf numFmtId="0" fontId="188" fillId="89" borderId="67" applyAlignment="1">
      <alignment vertical="center"/>
    </xf>
    <xf numFmtId="0" fontId="186" fillId="89" borderId="67" applyAlignment="1">
      <alignment vertical="center"/>
    </xf>
    <xf numFmtId="0" fontId="186" fillId="89" borderId="67" applyAlignment="1">
      <alignment vertical="center"/>
    </xf>
    <xf numFmtId="0" fontId="186" fillId="89" borderId="67" applyAlignment="1">
      <alignment vertical="center"/>
    </xf>
    <xf numFmtId="0" fontId="186" fillId="89" borderId="67" applyAlignment="1">
      <alignment vertical="center"/>
    </xf>
    <xf numFmtId="0" fontId="186" fillId="89" borderId="67" applyAlignment="1">
      <alignment vertical="center"/>
    </xf>
    <xf numFmtId="0" fontId="186" fillId="89" borderId="67" applyAlignment="1">
      <alignment vertical="center"/>
    </xf>
    <xf numFmtId="0" fontId="188" fillId="89" borderId="67" applyAlignment="1">
      <alignment vertical="center"/>
    </xf>
    <xf numFmtId="0" fontId="186" fillId="89" borderId="67" applyAlignment="1">
      <alignment vertical="center"/>
    </xf>
    <xf numFmtId="0" fontId="186" fillId="89" borderId="67" applyAlignment="1">
      <alignment vertical="center"/>
    </xf>
    <xf numFmtId="0" fontId="186" fillId="89" borderId="67" applyAlignment="1">
      <alignment vertical="center"/>
    </xf>
    <xf numFmtId="0" fontId="186" fillId="89" borderId="67" applyAlignment="1">
      <alignment vertical="center"/>
    </xf>
    <xf numFmtId="0" fontId="186" fillId="89" borderId="67" applyAlignment="1">
      <alignment vertical="center"/>
    </xf>
    <xf numFmtId="0" fontId="186" fillId="89" borderId="67" applyAlignment="1">
      <alignment vertical="center"/>
    </xf>
    <xf numFmtId="0" fontId="188" fillId="89" borderId="67" applyAlignment="1">
      <alignment vertical="center"/>
    </xf>
    <xf numFmtId="0" fontId="186" fillId="89" borderId="67" applyAlignment="1">
      <alignment vertical="center"/>
    </xf>
    <xf numFmtId="0" fontId="186" fillId="89" borderId="67" applyAlignment="1">
      <alignment vertical="center"/>
    </xf>
    <xf numFmtId="0" fontId="186" fillId="89" borderId="67" applyAlignment="1">
      <alignment vertical="center"/>
    </xf>
    <xf numFmtId="0" fontId="186" fillId="89" borderId="67" applyAlignment="1">
      <alignment vertical="center"/>
    </xf>
    <xf numFmtId="0" fontId="186" fillId="88" borderId="67" applyAlignment="1">
      <alignment vertical="center"/>
    </xf>
    <xf numFmtId="170" fontId="187" fillId="90" borderId="67"/>
    <xf numFmtId="170" fontId="187" fillId="90" borderId="67"/>
    <xf numFmtId="0" fontId="186" fillId="88" borderId="67" applyAlignment="1">
      <alignment vertical="center"/>
    </xf>
    <xf numFmtId="170" fontId="187" fillId="90" borderId="67"/>
    <xf numFmtId="170" fontId="187" fillId="90" borderId="67"/>
    <xf numFmtId="170" fontId="187" fillId="90" borderId="67"/>
    <xf numFmtId="0" fontId="186" fillId="88" borderId="67" applyAlignment="1">
      <alignment vertical="center"/>
    </xf>
    <xf numFmtId="170" fontId="187" fillId="90" borderId="67"/>
    <xf numFmtId="170" fontId="187" fillId="90" borderId="67"/>
    <xf numFmtId="0" fontId="186" fillId="88" borderId="67" applyAlignment="1">
      <alignment vertical="center"/>
    </xf>
    <xf numFmtId="170" fontId="187" fillId="90" borderId="67"/>
    <xf numFmtId="170" fontId="187" fillId="90" borderId="67"/>
    <xf numFmtId="0" fontId="186" fillId="88" borderId="67" applyAlignment="1">
      <alignment vertical="center"/>
    </xf>
    <xf numFmtId="170" fontId="187" fillId="90" borderId="67"/>
    <xf numFmtId="170" fontId="187" fillId="90" borderId="67"/>
    <xf numFmtId="170" fontId="51" fillId="0" borderId="0"/>
    <xf numFmtId="215" fontId="51" fillId="0" borderId="0"/>
    <xf numFmtId="10" fontId="51" fillId="0" borderId="0"/>
    <xf numFmtId="192" fontId="37" fillId="0" borderId="0" applyProtection="1">
      <protection locked="0" hidden="0"/>
    </xf>
    <xf numFmtId="9" fontId="71" fillId="0" borderId="44"/>
    <xf numFmtId="164" fontId="51" fillId="0" borderId="0"/>
    <xf numFmtId="198" fontId="128" fillId="0" borderId="0"/>
    <xf numFmtId="164" fontId="51" fillId="0" borderId="0"/>
    <xf numFmtId="200" fontId="51" fillId="0" borderId="0"/>
    <xf numFmtId="198" fontId="128" fillId="0" borderId="0"/>
    <xf numFmtId="170" fontId="50" fillId="0" borderId="0"/>
    <xf numFmtId="0" fontId="50" fillId="0" borderId="0"/>
    <xf numFmtId="170" fontId="50" fillId="0" borderId="0"/>
    <xf numFmtId="0" fontId="50" fillId="0" borderId="0"/>
    <xf numFmtId="170" fontId="50" fillId="0" borderId="0"/>
    <xf numFmtId="170" fontId="50" fillId="0" borderId="0"/>
    <xf numFmtId="170" fontId="190" fillId="99" borderId="68" applyAlignment="1">
      <alignment horizontal="left" vertical="center"/>
    </xf>
    <xf numFmtId="0" fontId="190" fillId="99" borderId="68" applyAlignment="1">
      <alignment horizontal="left" vertical="center"/>
    </xf>
    <xf numFmtId="4" fontId="191" fillId="100" borderId="69" applyAlignment="1">
      <alignment horizontal="left" vertical="center" indent="1"/>
    </xf>
    <xf numFmtId="4" fontId="140" fillId="101" borderId="70" applyAlignment="1">
      <alignment horizontal="right" vertical="center"/>
    </xf>
    <xf numFmtId="4" fontId="140" fillId="101" borderId="70" applyAlignment="1">
      <alignment horizontal="right" vertical="center"/>
    </xf>
    <xf numFmtId="4" fontId="192" fillId="35" borderId="69" applyAlignment="1">
      <alignment vertical="center"/>
    </xf>
    <xf numFmtId="4" fontId="140" fillId="102" borderId="70" applyAlignment="1">
      <alignment horizontal="left" vertical="center" indent="1"/>
    </xf>
    <xf numFmtId="0" fontId="140" fillId="103" borderId="70" applyAlignment="1">
      <alignment horizontal="left" vertical="top" indent="1"/>
    </xf>
    <xf numFmtId="0" fontId="140" fillId="103" borderId="70" applyAlignment="1">
      <alignment horizontal="left" vertical="top" indent="1"/>
    </xf>
    <xf numFmtId="170" fontId="59" fillId="0" borderId="0"/>
    <xf numFmtId="0" fontId="59" fillId="0" borderId="0"/>
    <xf numFmtId="170" fontId="193" fillId="0" borderId="0"/>
    <xf numFmtId="170" fontId="50" fillId="0" borderId="0"/>
    <xf numFmtId="0" fontId="177" fillId="0" borderId="0"/>
    <xf numFmtId="0" fontId="177" fillId="0" borderId="0"/>
    <xf numFmtId="49" fontId="140" fillId="0" borderId="0"/>
    <xf numFmtId="216" fontId="51" fillId="0" borderId="0"/>
    <xf numFmtId="217" fontId="51" fillId="0" borderId="0"/>
    <xf numFmtId="170" fontId="100" fillId="0" borderId="0"/>
    <xf numFmtId="0" fontId="100" fillId="0" borderId="0"/>
    <xf numFmtId="0" fontId="194" fillId="0" borderId="0" applyAlignment="1">
      <alignment vertical="center"/>
    </xf>
    <xf numFmtId="0" fontId="194" fillId="0" borderId="0" applyAlignment="1">
      <alignment vertical="center"/>
    </xf>
    <xf numFmtId="0" fontId="195" fillId="0" borderId="0" applyAlignment="1">
      <alignment vertical="center"/>
    </xf>
    <xf numFmtId="0" fontId="196" fillId="0" borderId="0" applyAlignment="1">
      <alignment vertical="center"/>
    </xf>
    <xf numFmtId="0" fontId="194" fillId="0" borderId="0" applyAlignment="1">
      <alignment vertical="center"/>
    </xf>
    <xf numFmtId="0" fontId="195" fillId="0" borderId="0" applyAlignment="1">
      <alignment vertical="center"/>
    </xf>
    <xf numFmtId="0" fontId="195" fillId="0" borderId="0"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8"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8"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8"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8"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8" fillId="0" borderId="71" applyAlignment="1">
      <alignment vertical="center"/>
    </xf>
    <xf numFmtId="0" fontId="197" fillId="0" borderId="71" applyAlignment="1">
      <alignment vertical="center"/>
    </xf>
    <xf numFmtId="0" fontId="198" fillId="0" borderId="71" applyAlignment="1">
      <alignment vertical="center"/>
    </xf>
    <xf numFmtId="0" fontId="197" fillId="0" borderId="71" applyAlignment="1">
      <alignment vertical="center"/>
    </xf>
    <xf numFmtId="203" fontId="37" fillId="0" borderId="72" applyProtection="1">
      <protection locked="0" hidden="0"/>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8" fillId="0" borderId="71" applyAlignment="1">
      <alignment vertical="center"/>
    </xf>
    <xf numFmtId="0" fontId="197" fillId="0" borderId="71" applyAlignment="1">
      <alignment vertical="center"/>
    </xf>
    <xf numFmtId="170" fontId="142" fillId="0" borderId="73"/>
    <xf numFmtId="0" fontId="197" fillId="0" borderId="71" applyAlignment="1">
      <alignment vertical="center"/>
    </xf>
    <xf numFmtId="0" fontId="197" fillId="0" borderId="71" applyAlignment="1">
      <alignment vertical="center"/>
    </xf>
    <xf numFmtId="170" fontId="142" fillId="0" borderId="73"/>
    <xf numFmtId="0" fontId="197" fillId="0" borderId="71" applyAlignment="1">
      <alignment vertical="center"/>
    </xf>
    <xf numFmtId="170" fontId="142" fillId="0" borderId="73"/>
    <xf numFmtId="0" fontId="197" fillId="0" borderId="71" applyAlignment="1">
      <alignment vertical="center"/>
    </xf>
    <xf numFmtId="0" fontId="197" fillId="0" borderId="71" applyAlignment="1">
      <alignment vertical="center"/>
    </xf>
    <xf numFmtId="0" fontId="198" fillId="0" borderId="71" applyAlignment="1">
      <alignment vertical="center"/>
    </xf>
    <xf numFmtId="0" fontId="197" fillId="0" borderId="71" applyAlignment="1">
      <alignment vertical="center"/>
    </xf>
    <xf numFmtId="170" fontId="142" fillId="0" borderId="73"/>
    <xf numFmtId="0" fontId="197" fillId="0" borderId="71" applyAlignment="1">
      <alignment vertical="center"/>
    </xf>
    <xf numFmtId="0" fontId="197" fillId="0" borderId="71" applyAlignment="1">
      <alignment vertical="center"/>
    </xf>
    <xf numFmtId="170" fontId="142" fillId="0" borderId="73"/>
    <xf numFmtId="0" fontId="197" fillId="0" borderId="71" applyAlignment="1">
      <alignment vertical="center"/>
    </xf>
    <xf numFmtId="170" fontId="142" fillId="0" borderId="73"/>
    <xf numFmtId="0" fontId="197" fillId="0" borderId="71" applyAlignment="1">
      <alignment vertical="center"/>
    </xf>
    <xf numFmtId="0" fontId="198" fillId="0" borderId="71" applyAlignment="1">
      <alignment vertical="center"/>
    </xf>
    <xf numFmtId="0" fontId="197" fillId="0" borderId="71" applyAlignment="1">
      <alignment vertical="center"/>
    </xf>
    <xf numFmtId="170" fontId="142" fillId="0" borderId="73"/>
    <xf numFmtId="0" fontId="198" fillId="0" borderId="71" applyAlignment="1">
      <alignment vertical="center"/>
    </xf>
    <xf numFmtId="170" fontId="142" fillId="0" borderId="73"/>
    <xf numFmtId="0" fontId="197" fillId="0" borderId="71" applyAlignment="1">
      <alignment vertical="center"/>
    </xf>
    <xf numFmtId="170" fontId="142" fillId="0" borderId="73"/>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8"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8" fillId="0" borderId="71" applyAlignment="1">
      <alignment vertical="center"/>
    </xf>
    <xf numFmtId="0" fontId="197" fillId="0" borderId="71" applyAlignment="1">
      <alignment vertical="center"/>
    </xf>
    <xf numFmtId="0" fontId="198" fillId="0" borderId="71" applyAlignment="1">
      <alignment vertical="center"/>
    </xf>
    <xf numFmtId="0" fontId="197" fillId="0" borderId="71" applyAlignment="1">
      <alignment vertical="center"/>
    </xf>
    <xf numFmtId="170" fontId="142" fillId="0" borderId="73"/>
    <xf numFmtId="0" fontId="197" fillId="0" borderId="71" applyAlignment="1">
      <alignment vertical="center"/>
    </xf>
    <xf numFmtId="0" fontId="197" fillId="0" borderId="71" applyAlignment="1">
      <alignment vertical="center"/>
    </xf>
    <xf numFmtId="0" fontId="198"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170" fontId="142" fillId="0" borderId="73"/>
    <xf numFmtId="0" fontId="197" fillId="0" borderId="71" applyAlignment="1">
      <alignment vertical="center"/>
    </xf>
    <xf numFmtId="0" fontId="197" fillId="0" borderId="71" applyAlignment="1">
      <alignment vertical="center"/>
    </xf>
    <xf numFmtId="0" fontId="198"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8"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8"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8"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8"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8"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8"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8" fillId="0" borderId="71" applyAlignment="1">
      <alignment vertical="center"/>
    </xf>
    <xf numFmtId="0" fontId="197" fillId="0" borderId="71" applyAlignment="1">
      <alignment vertical="center"/>
    </xf>
    <xf numFmtId="170" fontId="142" fillId="0" borderId="73"/>
    <xf numFmtId="0" fontId="197" fillId="0" borderId="71" applyAlignment="1">
      <alignment vertical="center"/>
    </xf>
    <xf numFmtId="0" fontId="197" fillId="0" borderId="71" applyAlignment="1">
      <alignment vertical="center"/>
    </xf>
    <xf numFmtId="0" fontId="197" fillId="0" borderId="71" applyAlignment="1">
      <alignment vertical="center"/>
    </xf>
    <xf numFmtId="170" fontId="142" fillId="0" borderId="73"/>
    <xf numFmtId="0" fontId="197" fillId="0" borderId="71" applyAlignment="1">
      <alignment vertical="center"/>
    </xf>
    <xf numFmtId="0" fontId="197" fillId="0" borderId="71" applyAlignment="1">
      <alignment vertical="center"/>
    </xf>
    <xf numFmtId="0" fontId="198" fillId="0" borderId="71" applyAlignment="1">
      <alignment vertical="center"/>
    </xf>
    <xf numFmtId="0" fontId="197" fillId="0" borderId="71" applyAlignment="1">
      <alignment vertical="center"/>
    </xf>
    <xf numFmtId="170" fontId="142" fillId="0" borderId="73"/>
    <xf numFmtId="0" fontId="197" fillId="0" borderId="71" applyAlignment="1">
      <alignment vertical="center"/>
    </xf>
    <xf numFmtId="0" fontId="197" fillId="0" borderId="71" applyAlignment="1">
      <alignment vertical="center"/>
    </xf>
    <xf numFmtId="0" fontId="197" fillId="0" borderId="71" applyAlignment="1">
      <alignment vertical="center"/>
    </xf>
    <xf numFmtId="170" fontId="142" fillId="0" borderId="73"/>
    <xf numFmtId="0" fontId="197" fillId="0" borderId="71" applyAlignment="1">
      <alignment vertical="center"/>
    </xf>
    <xf numFmtId="0" fontId="197" fillId="0" borderId="71" applyAlignment="1">
      <alignment vertical="center"/>
    </xf>
    <xf numFmtId="0" fontId="198" fillId="0" borderId="71" applyAlignment="1">
      <alignment vertical="center"/>
    </xf>
    <xf numFmtId="0" fontId="197" fillId="0" borderId="71" applyAlignment="1">
      <alignment vertical="center"/>
    </xf>
    <xf numFmtId="170" fontId="142" fillId="0" borderId="73"/>
    <xf numFmtId="0" fontId="197" fillId="0" borderId="71" applyAlignment="1">
      <alignment vertical="center"/>
    </xf>
    <xf numFmtId="0" fontId="197" fillId="0" borderId="71" applyAlignment="1">
      <alignment vertical="center"/>
    </xf>
    <xf numFmtId="0" fontId="197" fillId="0" borderId="71" applyAlignment="1">
      <alignment vertical="center"/>
    </xf>
    <xf numFmtId="170" fontId="142" fillId="0" borderId="73"/>
    <xf numFmtId="0" fontId="197" fillId="0" borderId="71" applyAlignment="1">
      <alignment vertical="center"/>
    </xf>
    <xf numFmtId="0" fontId="197" fillId="0" borderId="71" applyAlignment="1">
      <alignment vertical="center"/>
    </xf>
    <xf numFmtId="0" fontId="198" fillId="0" borderId="71" applyAlignment="1">
      <alignment vertical="center"/>
    </xf>
    <xf numFmtId="0" fontId="197" fillId="0" borderId="71" applyAlignment="1">
      <alignment vertical="center"/>
    </xf>
    <xf numFmtId="170" fontId="142" fillId="0" borderId="73"/>
    <xf numFmtId="0" fontId="197" fillId="0" borderId="71" applyAlignment="1">
      <alignment vertical="center"/>
    </xf>
    <xf numFmtId="0" fontId="197" fillId="0" borderId="71" applyAlignment="1">
      <alignment vertical="center"/>
    </xf>
    <xf numFmtId="0" fontId="197" fillId="0" borderId="71" applyAlignment="1">
      <alignment vertical="center"/>
    </xf>
    <xf numFmtId="170" fontId="142" fillId="0" borderId="73"/>
    <xf numFmtId="0" fontId="197" fillId="0" borderId="71" applyAlignment="1">
      <alignment vertical="center"/>
    </xf>
    <xf numFmtId="0" fontId="197" fillId="0" borderId="71" applyAlignment="1">
      <alignment vertical="center"/>
    </xf>
    <xf numFmtId="0" fontId="198" fillId="0" borderId="71" applyAlignment="1">
      <alignment vertical="center"/>
    </xf>
    <xf numFmtId="0" fontId="197" fillId="0" borderId="71" applyAlignment="1">
      <alignment vertical="center"/>
    </xf>
    <xf numFmtId="170" fontId="142" fillId="0" borderId="73"/>
    <xf numFmtId="0" fontId="197" fillId="0" borderId="71" applyAlignment="1">
      <alignment vertical="center"/>
    </xf>
    <xf numFmtId="0" fontId="197" fillId="0" borderId="71" applyAlignment="1">
      <alignment vertical="center"/>
    </xf>
    <xf numFmtId="0" fontId="197" fillId="0" borderId="71" applyAlignment="1">
      <alignment vertical="center"/>
    </xf>
    <xf numFmtId="170" fontId="142" fillId="0" borderId="73"/>
    <xf numFmtId="0" fontId="197" fillId="0" borderId="71" applyAlignment="1">
      <alignment vertical="center"/>
    </xf>
    <xf numFmtId="0" fontId="197" fillId="0" borderId="71" applyAlignment="1">
      <alignment vertical="center"/>
    </xf>
    <xf numFmtId="0" fontId="198" fillId="0" borderId="71" applyAlignment="1">
      <alignment vertical="center"/>
    </xf>
    <xf numFmtId="0" fontId="197" fillId="0" borderId="71" applyAlignment="1">
      <alignment vertical="center"/>
    </xf>
    <xf numFmtId="170" fontId="142" fillId="0" borderId="73"/>
    <xf numFmtId="0" fontId="197" fillId="0" borderId="71" applyAlignment="1">
      <alignment vertical="center"/>
    </xf>
    <xf numFmtId="0" fontId="197" fillId="0" borderId="71" applyAlignment="1">
      <alignment vertical="center"/>
    </xf>
    <xf numFmtId="170" fontId="142" fillId="0" borderId="73"/>
    <xf numFmtId="0" fontId="197" fillId="0" borderId="71" applyAlignment="1">
      <alignment vertical="center"/>
    </xf>
    <xf numFmtId="170" fontId="142" fillId="0" borderId="73"/>
    <xf numFmtId="0" fontId="197" fillId="0" borderId="71" applyAlignment="1">
      <alignment vertical="center"/>
    </xf>
    <xf numFmtId="0" fontId="197" fillId="0" borderId="71" applyAlignment="1">
      <alignment vertical="center"/>
    </xf>
    <xf numFmtId="0" fontId="198" fillId="0" borderId="71" applyAlignment="1">
      <alignment vertical="center"/>
    </xf>
    <xf numFmtId="0" fontId="197" fillId="0" borderId="71" applyAlignment="1">
      <alignment vertical="center"/>
    </xf>
    <xf numFmtId="170" fontId="142" fillId="0" borderId="73"/>
    <xf numFmtId="0" fontId="197" fillId="0" borderId="71" applyAlignment="1">
      <alignment vertical="center"/>
    </xf>
    <xf numFmtId="0" fontId="197" fillId="0" borderId="71" applyAlignment="1">
      <alignment vertical="center"/>
    </xf>
    <xf numFmtId="170" fontId="142" fillId="0" borderId="73"/>
    <xf numFmtId="0" fontId="197" fillId="0" borderId="71" applyAlignment="1">
      <alignment vertical="center"/>
    </xf>
    <xf numFmtId="170" fontId="142" fillId="0" borderId="73"/>
    <xf numFmtId="0" fontId="197" fillId="0" borderId="71" applyAlignment="1">
      <alignment vertical="center"/>
    </xf>
    <xf numFmtId="0" fontId="199" fillId="0" borderId="71" applyAlignment="1">
      <alignment vertical="center"/>
    </xf>
    <xf numFmtId="0" fontId="199" fillId="0" borderId="71" applyAlignment="1">
      <alignment vertical="center"/>
    </xf>
    <xf numFmtId="0" fontId="198" fillId="0" borderId="71" applyAlignment="1">
      <alignment vertical="center"/>
    </xf>
    <xf numFmtId="0" fontId="199" fillId="0" borderId="71" applyAlignment="1">
      <alignment vertical="center"/>
    </xf>
    <xf numFmtId="0" fontId="199" fillId="0" borderId="71" applyAlignment="1">
      <alignment vertical="center"/>
    </xf>
    <xf numFmtId="0" fontId="199" fillId="0" borderId="71" applyAlignment="1">
      <alignment vertical="center"/>
    </xf>
    <xf numFmtId="0" fontId="197" fillId="0" borderId="71" applyAlignment="1">
      <alignment vertical="center"/>
    </xf>
    <xf numFmtId="0" fontId="199" fillId="0" borderId="71" applyAlignment="1">
      <alignment vertical="center"/>
    </xf>
    <xf numFmtId="0" fontId="197" fillId="0" borderId="71" applyAlignment="1">
      <alignment vertical="center"/>
    </xf>
    <xf numFmtId="0" fontId="199" fillId="0" borderId="71" applyAlignment="1">
      <alignment vertical="center"/>
    </xf>
    <xf numFmtId="0" fontId="199" fillId="0" borderId="71" applyAlignment="1">
      <alignment vertical="center"/>
    </xf>
    <xf numFmtId="0" fontId="198" fillId="0" borderId="71" applyAlignment="1">
      <alignment vertical="center"/>
    </xf>
    <xf numFmtId="0" fontId="199" fillId="0" borderId="71" applyAlignment="1">
      <alignment vertical="center"/>
    </xf>
    <xf numFmtId="0" fontId="199" fillId="0" borderId="71" applyAlignment="1">
      <alignment vertical="center"/>
    </xf>
    <xf numFmtId="0" fontId="199" fillId="0" borderId="71" applyAlignment="1">
      <alignment vertical="center"/>
    </xf>
    <xf numFmtId="0" fontId="197" fillId="0" borderId="71" applyAlignment="1">
      <alignment vertical="center"/>
    </xf>
    <xf numFmtId="0" fontId="199" fillId="0" borderId="71" applyAlignment="1">
      <alignment vertical="center"/>
    </xf>
    <xf numFmtId="0" fontId="197" fillId="0" borderId="71" applyAlignment="1">
      <alignment vertical="center"/>
    </xf>
    <xf numFmtId="0" fontId="199" fillId="0" borderId="71" applyAlignment="1">
      <alignment vertical="center"/>
    </xf>
    <xf numFmtId="0" fontId="197" fillId="0" borderId="71" applyAlignment="1">
      <alignment vertical="center"/>
    </xf>
    <xf numFmtId="0" fontId="198" fillId="0" borderId="71" applyAlignment="1">
      <alignment vertical="center"/>
    </xf>
    <xf numFmtId="0" fontId="199" fillId="0" borderId="71" applyAlignment="1">
      <alignment vertical="center"/>
    </xf>
    <xf numFmtId="0" fontId="197" fillId="0" borderId="71" applyAlignment="1">
      <alignment vertical="center"/>
    </xf>
    <xf numFmtId="0" fontId="197" fillId="0" borderId="71" applyAlignment="1">
      <alignment vertical="center"/>
    </xf>
    <xf numFmtId="0" fontId="198" fillId="0" borderId="71" applyAlignment="1">
      <alignment vertical="center"/>
    </xf>
    <xf numFmtId="0" fontId="199" fillId="0" borderId="71" applyAlignment="1">
      <alignment vertical="center"/>
    </xf>
    <xf numFmtId="0" fontId="197" fillId="0" borderId="71" applyAlignment="1">
      <alignment vertical="center"/>
    </xf>
    <xf numFmtId="0" fontId="197" fillId="0" borderId="71" applyAlignment="1">
      <alignment vertical="center"/>
    </xf>
    <xf numFmtId="0" fontId="199" fillId="0" borderId="71" applyAlignment="1">
      <alignment vertical="center"/>
    </xf>
    <xf numFmtId="0" fontId="199" fillId="0" borderId="71" applyAlignment="1">
      <alignment vertical="center"/>
    </xf>
    <xf numFmtId="0" fontId="198" fillId="0" borderId="71" applyAlignment="1">
      <alignment vertical="center"/>
    </xf>
    <xf numFmtId="0" fontId="199" fillId="0" borderId="71" applyAlignment="1">
      <alignment vertical="center"/>
    </xf>
    <xf numFmtId="0" fontId="199" fillId="0" borderId="71" applyAlignment="1">
      <alignment vertical="center"/>
    </xf>
    <xf numFmtId="0" fontId="199" fillId="0" borderId="71" applyAlignment="1">
      <alignment vertical="center"/>
    </xf>
    <xf numFmtId="0" fontId="197" fillId="0" borderId="71" applyAlignment="1">
      <alignment vertical="center"/>
    </xf>
    <xf numFmtId="0" fontId="199" fillId="0" borderId="71" applyAlignment="1">
      <alignment vertical="center"/>
    </xf>
    <xf numFmtId="0" fontId="197" fillId="0" borderId="71" applyAlignment="1">
      <alignment vertical="center"/>
    </xf>
    <xf numFmtId="0" fontId="199" fillId="0" borderId="71" applyAlignment="1">
      <alignment vertical="center"/>
    </xf>
    <xf numFmtId="0" fontId="197" fillId="0" borderId="71" applyAlignment="1">
      <alignment vertical="center"/>
    </xf>
    <xf numFmtId="0" fontId="198" fillId="0" borderId="71" applyAlignment="1">
      <alignment vertical="center"/>
    </xf>
    <xf numFmtId="0" fontId="199" fillId="0" borderId="71" applyAlignment="1">
      <alignment vertical="center"/>
    </xf>
    <xf numFmtId="0" fontId="197" fillId="0" borderId="71" applyAlignment="1">
      <alignment vertical="center"/>
    </xf>
    <xf numFmtId="0" fontId="197" fillId="0" borderId="71" applyAlignment="1">
      <alignment vertical="center"/>
    </xf>
    <xf numFmtId="0" fontId="198" fillId="0" borderId="71" applyAlignment="1">
      <alignment vertical="center"/>
    </xf>
    <xf numFmtId="0" fontId="199" fillId="0" borderId="71" applyAlignment="1">
      <alignment vertical="center"/>
    </xf>
    <xf numFmtId="0" fontId="197" fillId="0" borderId="71" applyAlignment="1">
      <alignment vertical="center"/>
    </xf>
    <xf numFmtId="0" fontId="199" fillId="0" borderId="71" applyAlignment="1">
      <alignment vertical="center"/>
    </xf>
    <xf numFmtId="0" fontId="199" fillId="0" borderId="71" applyAlignment="1">
      <alignment vertical="center"/>
    </xf>
    <xf numFmtId="0" fontId="198" fillId="0" borderId="71" applyAlignment="1">
      <alignment vertical="center"/>
    </xf>
    <xf numFmtId="0" fontId="199" fillId="0" borderId="71" applyAlignment="1">
      <alignment vertical="center"/>
    </xf>
    <xf numFmtId="0" fontId="199" fillId="0" borderId="71" applyAlignment="1">
      <alignment vertical="center"/>
    </xf>
    <xf numFmtId="0" fontId="199" fillId="0" borderId="71" applyAlignment="1">
      <alignment vertical="center"/>
    </xf>
    <xf numFmtId="0" fontId="197" fillId="0" borderId="71" applyAlignment="1">
      <alignment vertical="center"/>
    </xf>
    <xf numFmtId="0" fontId="199" fillId="0" borderId="71" applyAlignment="1">
      <alignment vertical="center"/>
    </xf>
    <xf numFmtId="0" fontId="197" fillId="0" borderId="71" applyAlignment="1">
      <alignment vertical="center"/>
    </xf>
    <xf numFmtId="0" fontId="199" fillId="0" borderId="71" applyAlignment="1">
      <alignment vertical="center"/>
    </xf>
    <xf numFmtId="0" fontId="199" fillId="0" borderId="71" applyAlignment="1">
      <alignment vertical="center"/>
    </xf>
    <xf numFmtId="0" fontId="198" fillId="0" borderId="71" applyAlignment="1">
      <alignment vertical="center"/>
    </xf>
    <xf numFmtId="0" fontId="199" fillId="0" borderId="71" applyAlignment="1">
      <alignment vertical="center"/>
    </xf>
    <xf numFmtId="0" fontId="199" fillId="0" borderId="71" applyAlignment="1">
      <alignment vertical="center"/>
    </xf>
    <xf numFmtId="0" fontId="199" fillId="0" borderId="71" applyAlignment="1">
      <alignment vertical="center"/>
    </xf>
    <xf numFmtId="0" fontId="197" fillId="0" borderId="71" applyAlignment="1">
      <alignment vertical="center"/>
    </xf>
    <xf numFmtId="0" fontId="199" fillId="0" borderId="71" applyAlignment="1">
      <alignment vertical="center"/>
    </xf>
    <xf numFmtId="0" fontId="197" fillId="0" borderId="71" applyAlignment="1">
      <alignment vertical="center"/>
    </xf>
    <xf numFmtId="0" fontId="199" fillId="0" borderId="71" applyAlignment="1">
      <alignment vertical="center"/>
    </xf>
    <xf numFmtId="0" fontId="199" fillId="0" borderId="71" applyAlignment="1">
      <alignment vertical="center"/>
    </xf>
    <xf numFmtId="0" fontId="198" fillId="0" borderId="71" applyAlignment="1">
      <alignment vertical="center"/>
    </xf>
    <xf numFmtId="0" fontId="199" fillId="0" borderId="71" applyAlignment="1">
      <alignment vertical="center"/>
    </xf>
    <xf numFmtId="0" fontId="199" fillId="0" borderId="71" applyAlignment="1">
      <alignment vertical="center"/>
    </xf>
    <xf numFmtId="0" fontId="199" fillId="0" borderId="71" applyAlignment="1">
      <alignment vertical="center"/>
    </xf>
    <xf numFmtId="0" fontId="197" fillId="0" borderId="71" applyAlignment="1">
      <alignment vertical="center"/>
    </xf>
    <xf numFmtId="0" fontId="199" fillId="0" borderId="71" applyAlignment="1">
      <alignment vertical="center"/>
    </xf>
    <xf numFmtId="0" fontId="197" fillId="0" borderId="71" applyAlignment="1">
      <alignment vertical="center"/>
    </xf>
    <xf numFmtId="0" fontId="199" fillId="0" borderId="71" applyAlignment="1">
      <alignment vertical="center"/>
    </xf>
    <xf numFmtId="0" fontId="199" fillId="0" borderId="71" applyAlignment="1">
      <alignment vertical="center"/>
    </xf>
    <xf numFmtId="0" fontId="198" fillId="0" borderId="71" applyAlignment="1">
      <alignment vertical="center"/>
    </xf>
    <xf numFmtId="0" fontId="199" fillId="0" borderId="71" applyAlignment="1">
      <alignment vertical="center"/>
    </xf>
    <xf numFmtId="0" fontId="199" fillId="0" borderId="71" applyAlignment="1">
      <alignment vertical="center"/>
    </xf>
    <xf numFmtId="0" fontId="199" fillId="0" borderId="71" applyAlignment="1">
      <alignment vertical="center"/>
    </xf>
    <xf numFmtId="0" fontId="197" fillId="0" borderId="71" applyAlignment="1">
      <alignment vertical="center"/>
    </xf>
    <xf numFmtId="0" fontId="199" fillId="0" borderId="71" applyAlignment="1">
      <alignment vertical="center"/>
    </xf>
    <xf numFmtId="0" fontId="197" fillId="0" borderId="71" applyAlignment="1">
      <alignment vertical="center"/>
    </xf>
    <xf numFmtId="0" fontId="199" fillId="0" borderId="71" applyAlignment="1">
      <alignment vertical="center"/>
    </xf>
    <xf numFmtId="0" fontId="199" fillId="0" borderId="71" applyAlignment="1">
      <alignment vertical="center"/>
    </xf>
    <xf numFmtId="0" fontId="198" fillId="0" borderId="71" applyAlignment="1">
      <alignment vertical="center"/>
    </xf>
    <xf numFmtId="0" fontId="199" fillId="0" borderId="71" applyAlignment="1">
      <alignment vertical="center"/>
    </xf>
    <xf numFmtId="0" fontId="199" fillId="0" borderId="71" applyAlignment="1">
      <alignment vertical="center"/>
    </xf>
    <xf numFmtId="0" fontId="199" fillId="0" borderId="71" applyAlignment="1">
      <alignment vertical="center"/>
    </xf>
    <xf numFmtId="0" fontId="197" fillId="0" borderId="71" applyAlignment="1">
      <alignment vertical="center"/>
    </xf>
    <xf numFmtId="0" fontId="199" fillId="0" borderId="71" applyAlignment="1">
      <alignment vertical="center"/>
    </xf>
    <xf numFmtId="0" fontId="197" fillId="0" borderId="71" applyAlignment="1">
      <alignment vertical="center"/>
    </xf>
    <xf numFmtId="0" fontId="199" fillId="0" borderId="71" applyAlignment="1">
      <alignment vertical="center"/>
    </xf>
    <xf numFmtId="0" fontId="199" fillId="0" borderId="71" applyAlignment="1">
      <alignment vertical="center"/>
    </xf>
    <xf numFmtId="0" fontId="198" fillId="0" borderId="71" applyAlignment="1">
      <alignment vertical="center"/>
    </xf>
    <xf numFmtId="0" fontId="199" fillId="0" borderId="71" applyAlignment="1">
      <alignment vertical="center"/>
    </xf>
    <xf numFmtId="0" fontId="199" fillId="0" borderId="71" applyAlignment="1">
      <alignment vertical="center"/>
    </xf>
    <xf numFmtId="0" fontId="199" fillId="0" borderId="71" applyAlignment="1">
      <alignment vertical="center"/>
    </xf>
    <xf numFmtId="0" fontId="197" fillId="0" borderId="71" applyAlignment="1">
      <alignment vertical="center"/>
    </xf>
    <xf numFmtId="0" fontId="199" fillId="0" borderId="71" applyAlignment="1">
      <alignment vertical="center"/>
    </xf>
    <xf numFmtId="0" fontId="197" fillId="0" borderId="71" applyAlignment="1">
      <alignment vertical="center"/>
    </xf>
    <xf numFmtId="0" fontId="199" fillId="0" borderId="71" applyAlignment="1">
      <alignment vertical="center"/>
    </xf>
    <xf numFmtId="0" fontId="199" fillId="0" borderId="71" applyAlignment="1">
      <alignment vertical="center"/>
    </xf>
    <xf numFmtId="0" fontId="198" fillId="0" borderId="71" applyAlignment="1">
      <alignment vertical="center"/>
    </xf>
    <xf numFmtId="0" fontId="199" fillId="0" borderId="71" applyAlignment="1">
      <alignment vertical="center"/>
    </xf>
    <xf numFmtId="0" fontId="199" fillId="0" borderId="71" applyAlignment="1">
      <alignment vertical="center"/>
    </xf>
    <xf numFmtId="0" fontId="199" fillId="0" borderId="71" applyAlignment="1">
      <alignment vertical="center"/>
    </xf>
    <xf numFmtId="0" fontId="197" fillId="0" borderId="71" applyAlignment="1">
      <alignment vertical="center"/>
    </xf>
    <xf numFmtId="0" fontId="199" fillId="0" borderId="71" applyAlignment="1">
      <alignment vertical="center"/>
    </xf>
    <xf numFmtId="0" fontId="197" fillId="0" borderId="71" applyAlignment="1">
      <alignment vertical="center"/>
    </xf>
    <xf numFmtId="0" fontId="199" fillId="0" borderId="71" applyAlignment="1">
      <alignment vertical="center"/>
    </xf>
    <xf numFmtId="0" fontId="199" fillId="0" borderId="71" applyAlignment="1">
      <alignment vertical="center"/>
    </xf>
    <xf numFmtId="0" fontId="198" fillId="0" borderId="71" applyAlignment="1">
      <alignment vertical="center"/>
    </xf>
    <xf numFmtId="0" fontId="199" fillId="0" borderId="71" applyAlignment="1">
      <alignment vertical="center"/>
    </xf>
    <xf numFmtId="0" fontId="199" fillId="0" borderId="71" applyAlignment="1">
      <alignment vertical="center"/>
    </xf>
    <xf numFmtId="0" fontId="199" fillId="0" borderId="71" applyAlignment="1">
      <alignment vertical="center"/>
    </xf>
    <xf numFmtId="0" fontId="197" fillId="0" borderId="71" applyAlignment="1">
      <alignment vertical="center"/>
    </xf>
    <xf numFmtId="0" fontId="199" fillId="0" borderId="71" applyAlignment="1">
      <alignment vertical="center"/>
    </xf>
    <xf numFmtId="0" fontId="197" fillId="0" borderId="71" applyAlignment="1">
      <alignment vertical="center"/>
    </xf>
    <xf numFmtId="0" fontId="197" fillId="0" borderId="71" applyAlignment="1">
      <alignment vertical="center"/>
    </xf>
    <xf numFmtId="0" fontId="199" fillId="0" borderId="71" applyAlignment="1">
      <alignment vertical="center"/>
    </xf>
    <xf numFmtId="0" fontId="198" fillId="0" borderId="71" applyAlignment="1">
      <alignment vertical="center"/>
    </xf>
    <xf numFmtId="0" fontId="199" fillId="0" borderId="71" applyAlignment="1">
      <alignment vertical="center"/>
    </xf>
    <xf numFmtId="0" fontId="199" fillId="0" borderId="71" applyAlignment="1">
      <alignment vertical="center"/>
    </xf>
    <xf numFmtId="0" fontId="199" fillId="0" borderId="71" applyAlignment="1">
      <alignment vertical="center"/>
    </xf>
    <xf numFmtId="0" fontId="197" fillId="0" borderId="71" applyAlignment="1">
      <alignment vertical="center"/>
    </xf>
    <xf numFmtId="0" fontId="199" fillId="0" borderId="71" applyAlignment="1">
      <alignment vertical="center"/>
    </xf>
    <xf numFmtId="0" fontId="197" fillId="0" borderId="71" applyAlignment="1">
      <alignment vertical="center"/>
    </xf>
    <xf numFmtId="0" fontId="197" fillId="0" borderId="71" applyAlignment="1">
      <alignment vertical="center"/>
    </xf>
    <xf numFmtId="0" fontId="199" fillId="0" borderId="71" applyAlignment="1">
      <alignment vertical="center"/>
    </xf>
    <xf numFmtId="0" fontId="198" fillId="0" borderId="71" applyAlignment="1">
      <alignment vertical="center"/>
    </xf>
    <xf numFmtId="0" fontId="199" fillId="0" borderId="71" applyAlignment="1">
      <alignment vertical="center"/>
    </xf>
    <xf numFmtId="0" fontId="199" fillId="0" borderId="71" applyAlignment="1">
      <alignment vertical="center"/>
    </xf>
    <xf numFmtId="0" fontId="199" fillId="0" borderId="71" applyAlignment="1">
      <alignment vertical="center"/>
    </xf>
    <xf numFmtId="0" fontId="197" fillId="0" borderId="71" applyAlignment="1">
      <alignment vertical="center"/>
    </xf>
    <xf numFmtId="0" fontId="199" fillId="0" borderId="71" applyAlignment="1">
      <alignment vertical="center"/>
    </xf>
    <xf numFmtId="0" fontId="197" fillId="0" borderId="71" applyAlignment="1">
      <alignment vertical="center"/>
    </xf>
    <xf numFmtId="0" fontId="199" fillId="0" borderId="71" applyAlignment="1">
      <alignment vertical="center"/>
    </xf>
    <xf numFmtId="0" fontId="199" fillId="0" borderId="71" applyAlignment="1">
      <alignment vertical="center"/>
    </xf>
    <xf numFmtId="0" fontId="198" fillId="0" borderId="71" applyAlignment="1">
      <alignment vertical="center"/>
    </xf>
    <xf numFmtId="0" fontId="199" fillId="0" borderId="71" applyAlignment="1">
      <alignment vertical="center"/>
    </xf>
    <xf numFmtId="0" fontId="199" fillId="0" borderId="71" applyAlignment="1">
      <alignment vertical="center"/>
    </xf>
    <xf numFmtId="0" fontId="199" fillId="0" borderId="71" applyAlignment="1">
      <alignment vertical="center"/>
    </xf>
    <xf numFmtId="0" fontId="197" fillId="0" borderId="71" applyAlignment="1">
      <alignment vertical="center"/>
    </xf>
    <xf numFmtId="0" fontId="199" fillId="0" borderId="71" applyAlignment="1">
      <alignment vertical="center"/>
    </xf>
    <xf numFmtId="0" fontId="197" fillId="0" borderId="71" applyAlignment="1">
      <alignment vertical="center"/>
    </xf>
    <xf numFmtId="0" fontId="199" fillId="0" borderId="71" applyAlignment="1">
      <alignment vertical="center"/>
    </xf>
    <xf numFmtId="0" fontId="199" fillId="0" borderId="71" applyAlignment="1">
      <alignment vertical="center"/>
    </xf>
    <xf numFmtId="0" fontId="198" fillId="0" borderId="71" applyAlignment="1">
      <alignment vertical="center"/>
    </xf>
    <xf numFmtId="0" fontId="199" fillId="0" borderId="71" applyAlignment="1">
      <alignment vertical="center"/>
    </xf>
    <xf numFmtId="0" fontId="199" fillId="0" borderId="71" applyAlignment="1">
      <alignment vertical="center"/>
    </xf>
    <xf numFmtId="0" fontId="199" fillId="0" borderId="71" applyAlignment="1">
      <alignment vertical="center"/>
    </xf>
    <xf numFmtId="0" fontId="197" fillId="0" borderId="71" applyAlignment="1">
      <alignment vertical="center"/>
    </xf>
    <xf numFmtId="0" fontId="199" fillId="0" borderId="71" applyAlignment="1">
      <alignment vertical="center"/>
    </xf>
    <xf numFmtId="0" fontId="197" fillId="0" borderId="71" applyAlignment="1">
      <alignment vertical="center"/>
    </xf>
    <xf numFmtId="0" fontId="199" fillId="0" borderId="71" applyAlignment="1">
      <alignment vertical="center"/>
    </xf>
    <xf numFmtId="0" fontId="199" fillId="0" borderId="71" applyAlignment="1">
      <alignment vertical="center"/>
    </xf>
    <xf numFmtId="0" fontId="198" fillId="0" borderId="71" applyAlignment="1">
      <alignment vertical="center"/>
    </xf>
    <xf numFmtId="0" fontId="199" fillId="0" borderId="71" applyAlignment="1">
      <alignment vertical="center"/>
    </xf>
    <xf numFmtId="0" fontId="199" fillId="0" borderId="71" applyAlignment="1">
      <alignment vertical="center"/>
    </xf>
    <xf numFmtId="0" fontId="199" fillId="0" borderId="71" applyAlignment="1">
      <alignment vertical="center"/>
    </xf>
    <xf numFmtId="0" fontId="197" fillId="0" borderId="71" applyAlignment="1">
      <alignment vertical="center"/>
    </xf>
    <xf numFmtId="0" fontId="199" fillId="0" borderId="71" applyAlignment="1">
      <alignment vertical="center"/>
    </xf>
    <xf numFmtId="0" fontId="197" fillId="0" borderId="71" applyAlignment="1">
      <alignment vertical="center"/>
    </xf>
    <xf numFmtId="0" fontId="199" fillId="0" borderId="71" applyAlignment="1">
      <alignment vertical="center"/>
    </xf>
    <xf numFmtId="0" fontId="199" fillId="0" borderId="71" applyAlignment="1">
      <alignment vertical="center"/>
    </xf>
    <xf numFmtId="0" fontId="198" fillId="0" borderId="71" applyAlignment="1">
      <alignment vertical="center"/>
    </xf>
    <xf numFmtId="0" fontId="199" fillId="0" borderId="71" applyAlignment="1">
      <alignment vertical="center"/>
    </xf>
    <xf numFmtId="0" fontId="199" fillId="0" borderId="71" applyAlignment="1">
      <alignment vertical="center"/>
    </xf>
    <xf numFmtId="0" fontId="199" fillId="0" borderId="71" applyAlignment="1">
      <alignment vertical="center"/>
    </xf>
    <xf numFmtId="0" fontId="197" fillId="0" borderId="71" applyAlignment="1">
      <alignment vertical="center"/>
    </xf>
    <xf numFmtId="0" fontId="199" fillId="0" borderId="71" applyAlignment="1">
      <alignment vertical="center"/>
    </xf>
    <xf numFmtId="0" fontId="197" fillId="0" borderId="71" applyAlignment="1">
      <alignment vertical="center"/>
    </xf>
    <xf numFmtId="0" fontId="199" fillId="0" borderId="71" applyAlignment="1">
      <alignment vertical="center"/>
    </xf>
    <xf numFmtId="0" fontId="199" fillId="0" borderId="71" applyAlignment="1">
      <alignment vertical="center"/>
    </xf>
    <xf numFmtId="0" fontId="198" fillId="0" borderId="71" applyAlignment="1">
      <alignment vertical="center"/>
    </xf>
    <xf numFmtId="0" fontId="199" fillId="0" borderId="71" applyAlignment="1">
      <alignment vertical="center"/>
    </xf>
    <xf numFmtId="0" fontId="199" fillId="0" borderId="71" applyAlignment="1">
      <alignment vertical="center"/>
    </xf>
    <xf numFmtId="0" fontId="199" fillId="0" borderId="71" applyAlignment="1">
      <alignment vertical="center"/>
    </xf>
    <xf numFmtId="0" fontId="197" fillId="0" borderId="71" applyAlignment="1">
      <alignment vertical="center"/>
    </xf>
    <xf numFmtId="0" fontId="199"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8"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8" fillId="0" borderId="71" applyAlignment="1">
      <alignment vertical="center"/>
    </xf>
    <xf numFmtId="0" fontId="197" fillId="0" borderId="71" applyAlignment="1">
      <alignment vertical="center"/>
    </xf>
    <xf numFmtId="0" fontId="198"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8"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8"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8"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8"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8"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8"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8"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8"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8"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8"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8"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8"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8"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0" fontId="197" fillId="0" borderId="71" applyAlignment="1">
      <alignment vertical="center"/>
    </xf>
    <xf numFmtId="169" fontId="51" fillId="0" borderId="0"/>
    <xf numFmtId="211" fontId="51" fillId="0" borderId="0"/>
    <xf numFmtId="37" fontId="150" fillId="98" borderId="0"/>
    <xf numFmtId="37" fontId="150" fillId="0" borderId="0"/>
    <xf numFmtId="3" fontId="200" fillId="0" borderId="63"/>
    <xf numFmtId="218" fontId="107" fillId="0" borderId="0"/>
    <xf numFmtId="170" fontId="102" fillId="0" borderId="0"/>
    <xf numFmtId="170" fontId="51" fillId="0" borderId="0"/>
    <xf numFmtId="0" fontId="201" fillId="0" borderId="0" applyAlignment="1">
      <alignment vertical="center"/>
    </xf>
    <xf numFmtId="0" fontId="201" fillId="0" borderId="0" applyAlignment="1">
      <alignment vertical="center"/>
    </xf>
    <xf numFmtId="0" fontId="202" fillId="0" borderId="0" applyAlignment="1">
      <alignment vertical="center"/>
    </xf>
    <xf numFmtId="0" fontId="203" fillId="0" borderId="0" applyAlignment="1">
      <alignment vertical="center"/>
    </xf>
    <xf numFmtId="0" fontId="201" fillId="0" borderId="0" applyAlignment="1">
      <alignment vertical="center"/>
    </xf>
    <xf numFmtId="0" fontId="202" fillId="0" borderId="0" applyAlignment="1">
      <alignment vertical="center"/>
    </xf>
    <xf numFmtId="0" fontId="202" fillId="0" borderId="0" applyAlignment="1">
      <alignment vertical="center"/>
    </xf>
    <xf numFmtId="170" fontId="204" fillId="0" borderId="0"/>
    <xf numFmtId="209" fontId="205" fillId="0" borderId="64" applyAlignment="1">
      <alignment horizontal="left" vertical="top"/>
    </xf>
    <xf numFmtId="209" fontId="206" fillId="97" borderId="64" applyAlignment="1">
      <alignment horizontal="left" vertical="top"/>
    </xf>
    <xf numFmtId="170" fontId="50" fillId="0" borderId="0"/>
    <xf numFmtId="0" fontId="50" fillId="0" borderId="0"/>
    <xf numFmtId="170" fontId="50" fillId="0" borderId="0"/>
    <xf numFmtId="170" fontId="50" fillId="0" borderId="0"/>
    <xf numFmtId="170" fontId="207" fillId="0" borderId="0" applyAlignment="1" applyProtection="1">
      <alignment vertical="top"/>
      <protection locked="0" hidden="0"/>
    </xf>
    <xf numFmtId="170" fontId="208" fillId="0" borderId="0"/>
    <xf numFmtId="0" fontId="50" fillId="0" borderId="0"/>
    <xf numFmtId="0" fontId="50" fillId="0" borderId="0"/>
    <xf numFmtId="170" fontId="49" fillId="0" borderId="0"/>
    <xf numFmtId="0" fontId="84" fillId="9" borderId="0" applyAlignment="1">
      <alignment vertical="center"/>
    </xf>
    <xf numFmtId="0" fontId="84" fillId="9" borderId="0" applyAlignment="1">
      <alignment vertical="center"/>
    </xf>
    <xf numFmtId="0" fontId="84" fillId="9" borderId="0" applyAlignment="1">
      <alignment vertical="center"/>
    </xf>
    <xf numFmtId="0" fontId="84" fillId="9" borderId="0" applyAlignment="1">
      <alignment vertical="center"/>
    </xf>
    <xf numFmtId="0" fontId="84" fillId="9" borderId="0" applyAlignment="1">
      <alignment vertical="center"/>
    </xf>
    <xf numFmtId="0" fontId="84" fillId="9" borderId="0" applyAlignment="1">
      <alignment vertical="center"/>
    </xf>
    <xf numFmtId="0" fontId="84" fillId="9" borderId="0" applyAlignment="1">
      <alignment vertical="center"/>
    </xf>
    <xf numFmtId="170" fontId="81" fillId="104" borderId="0" applyAlignment="1">
      <alignment vertical="center"/>
    </xf>
    <xf numFmtId="0" fontId="84" fillId="9" borderId="0" applyAlignment="1">
      <alignment vertical="center"/>
    </xf>
    <xf numFmtId="0" fontId="85" fillId="69" borderId="0" applyAlignment="1">
      <alignment vertical="center"/>
    </xf>
    <xf numFmtId="0" fontId="84" fillId="9" borderId="0" applyAlignment="1">
      <alignment vertical="center"/>
    </xf>
    <xf numFmtId="170" fontId="81" fillId="69" borderId="0" applyAlignment="1">
      <alignment vertical="center"/>
    </xf>
    <xf numFmtId="0" fontId="20" fillId="9" borderId="0" applyAlignment="1">
      <alignment vertical="center"/>
    </xf>
    <xf numFmtId="0" fontId="84" fillId="9" borderId="0" applyAlignment="1">
      <alignment vertical="center"/>
    </xf>
    <xf numFmtId="0" fontId="84" fillId="9" borderId="0" applyAlignment="1">
      <alignment vertical="center"/>
    </xf>
    <xf numFmtId="0" fontId="84" fillId="9" borderId="0" applyAlignment="1">
      <alignment vertical="center"/>
    </xf>
    <xf numFmtId="0" fontId="84" fillId="9" borderId="0" applyAlignment="1">
      <alignment vertical="center"/>
    </xf>
    <xf numFmtId="0" fontId="84" fillId="9" borderId="0" applyAlignment="1">
      <alignment vertical="center"/>
    </xf>
    <xf numFmtId="0" fontId="84" fillId="9" borderId="0" applyAlignment="1">
      <alignment vertical="center"/>
    </xf>
    <xf numFmtId="0" fontId="84" fillId="9" borderId="0" applyAlignment="1">
      <alignment vertical="center"/>
    </xf>
    <xf numFmtId="0" fontId="84" fillId="13" borderId="0" applyAlignment="1">
      <alignment vertical="center"/>
    </xf>
    <xf numFmtId="0" fontId="84" fillId="13" borderId="0" applyAlignment="1">
      <alignment vertical="center"/>
    </xf>
    <xf numFmtId="0" fontId="84" fillId="13" borderId="0" applyAlignment="1">
      <alignment vertical="center"/>
    </xf>
    <xf numFmtId="0" fontId="84" fillId="13" borderId="0" applyAlignment="1">
      <alignment vertical="center"/>
    </xf>
    <xf numFmtId="0" fontId="84" fillId="13" borderId="0" applyAlignment="1">
      <alignment vertical="center"/>
    </xf>
    <xf numFmtId="0" fontId="84" fillId="13" borderId="0" applyAlignment="1">
      <alignment vertical="center"/>
    </xf>
    <xf numFmtId="0" fontId="84" fillId="13" borderId="0" applyAlignment="1">
      <alignment vertical="center"/>
    </xf>
    <xf numFmtId="170" fontId="81" fillId="68" borderId="0" applyAlignment="1">
      <alignment vertical="center"/>
    </xf>
    <xf numFmtId="0" fontId="84" fillId="13" borderId="0" applyAlignment="1">
      <alignment vertical="center"/>
    </xf>
    <xf numFmtId="0" fontId="85" fillId="75" borderId="0" applyAlignment="1">
      <alignment vertical="center"/>
    </xf>
    <xf numFmtId="0" fontId="84" fillId="13" borderId="0" applyAlignment="1">
      <alignment vertical="center"/>
    </xf>
    <xf numFmtId="170" fontId="81" fillId="75" borderId="0" applyAlignment="1">
      <alignment vertical="center"/>
    </xf>
    <xf numFmtId="0" fontId="20" fillId="13" borderId="0" applyAlignment="1">
      <alignment vertical="center"/>
    </xf>
    <xf numFmtId="0" fontId="84" fillId="13" borderId="0" applyAlignment="1">
      <alignment vertical="center"/>
    </xf>
    <xf numFmtId="0" fontId="84" fillId="13" borderId="0" applyAlignment="1">
      <alignment vertical="center"/>
    </xf>
    <xf numFmtId="0" fontId="84" fillId="13" borderId="0" applyAlignment="1">
      <alignment vertical="center"/>
    </xf>
    <xf numFmtId="0" fontId="84" fillId="13" borderId="0" applyAlignment="1">
      <alignment vertical="center"/>
    </xf>
    <xf numFmtId="0" fontId="84" fillId="13" borderId="0" applyAlignment="1">
      <alignment vertical="center"/>
    </xf>
    <xf numFmtId="0" fontId="84" fillId="13" borderId="0" applyAlignment="1">
      <alignment vertical="center"/>
    </xf>
    <xf numFmtId="0" fontId="84" fillId="13" borderId="0" applyAlignment="1">
      <alignment vertical="center"/>
    </xf>
    <xf numFmtId="0" fontId="84" fillId="17" borderId="0" applyAlignment="1">
      <alignment vertical="center"/>
    </xf>
    <xf numFmtId="0" fontId="84" fillId="17" borderId="0" applyAlignment="1">
      <alignment vertical="center"/>
    </xf>
    <xf numFmtId="0" fontId="84" fillId="17" borderId="0" applyAlignment="1">
      <alignment vertical="center"/>
    </xf>
    <xf numFmtId="0" fontId="84" fillId="17" borderId="0" applyAlignment="1">
      <alignment vertical="center"/>
    </xf>
    <xf numFmtId="0" fontId="84" fillId="17" borderId="0" applyAlignment="1">
      <alignment vertical="center"/>
    </xf>
    <xf numFmtId="0" fontId="84" fillId="17" borderId="0" applyAlignment="1">
      <alignment vertical="center"/>
    </xf>
    <xf numFmtId="0" fontId="84" fillId="17" borderId="0" applyAlignment="1">
      <alignment vertical="center"/>
    </xf>
    <xf numFmtId="170" fontId="81" fillId="57" borderId="0" applyAlignment="1">
      <alignment vertical="center"/>
    </xf>
    <xf numFmtId="0" fontId="84" fillId="17" borderId="0" applyAlignment="1">
      <alignment vertical="center"/>
    </xf>
    <xf numFmtId="0" fontId="85" fillId="80" borderId="0" applyAlignment="1">
      <alignment vertical="center"/>
    </xf>
    <xf numFmtId="0" fontId="84" fillId="17" borderId="0" applyAlignment="1">
      <alignment vertical="center"/>
    </xf>
    <xf numFmtId="170" fontId="81" fillId="80" borderId="0" applyAlignment="1">
      <alignment vertical="center"/>
    </xf>
    <xf numFmtId="0" fontId="20" fillId="17" borderId="0" applyAlignment="1">
      <alignment vertical="center"/>
    </xf>
    <xf numFmtId="0" fontId="84" fillId="17" borderId="0" applyAlignment="1">
      <alignment vertical="center"/>
    </xf>
    <xf numFmtId="0" fontId="84" fillId="17" borderId="0" applyAlignment="1">
      <alignment vertical="center"/>
    </xf>
    <xf numFmtId="0" fontId="84" fillId="17" borderId="0" applyAlignment="1">
      <alignment vertical="center"/>
    </xf>
    <xf numFmtId="0" fontId="84" fillId="17" borderId="0" applyAlignment="1">
      <alignment vertical="center"/>
    </xf>
    <xf numFmtId="0" fontId="84" fillId="17" borderId="0" applyAlignment="1">
      <alignment vertical="center"/>
    </xf>
    <xf numFmtId="0" fontId="84" fillId="17" borderId="0" applyAlignment="1">
      <alignment vertical="center"/>
    </xf>
    <xf numFmtId="0" fontId="84" fillId="17" borderId="0" applyAlignment="1">
      <alignment vertical="center"/>
    </xf>
    <xf numFmtId="0" fontId="84" fillId="21" borderId="0" applyAlignment="1">
      <alignment vertical="center"/>
    </xf>
    <xf numFmtId="0" fontId="84" fillId="21" borderId="0" applyAlignment="1">
      <alignment vertical="center"/>
    </xf>
    <xf numFmtId="0" fontId="84" fillId="21" borderId="0" applyAlignment="1">
      <alignment vertical="center"/>
    </xf>
    <xf numFmtId="0" fontId="84" fillId="21" borderId="0" applyAlignment="1">
      <alignment vertical="center"/>
    </xf>
    <xf numFmtId="0" fontId="84" fillId="21" borderId="0" applyAlignment="1">
      <alignment vertical="center"/>
    </xf>
    <xf numFmtId="0" fontId="84" fillId="21" borderId="0" applyAlignment="1">
      <alignment vertical="center"/>
    </xf>
    <xf numFmtId="0" fontId="84" fillId="21" borderId="0" applyAlignment="1">
      <alignment vertical="center"/>
    </xf>
    <xf numFmtId="170" fontId="81" fillId="105" borderId="0" applyAlignment="1">
      <alignment vertical="center"/>
    </xf>
    <xf numFmtId="0" fontId="84" fillId="21" borderId="0" applyAlignment="1">
      <alignment vertical="center"/>
    </xf>
    <xf numFmtId="0" fontId="85" fillId="62" borderId="0" applyAlignment="1">
      <alignment vertical="center"/>
    </xf>
    <xf numFmtId="0" fontId="84" fillId="21" borderId="0" applyAlignment="1">
      <alignment vertical="center"/>
    </xf>
    <xf numFmtId="170" fontId="81" fillId="62" borderId="0" applyAlignment="1">
      <alignment vertical="center"/>
    </xf>
    <xf numFmtId="0" fontId="20" fillId="21" borderId="0" applyAlignment="1">
      <alignment vertical="center"/>
    </xf>
    <xf numFmtId="0" fontId="84" fillId="21" borderId="0" applyAlignment="1">
      <alignment vertical="center"/>
    </xf>
    <xf numFmtId="0" fontId="84" fillId="21" borderId="0" applyAlignment="1">
      <alignment vertical="center"/>
    </xf>
    <xf numFmtId="0" fontId="84" fillId="21" borderId="0" applyAlignment="1">
      <alignment vertical="center"/>
    </xf>
    <xf numFmtId="0" fontId="84" fillId="21" borderId="0" applyAlignment="1">
      <alignment vertical="center"/>
    </xf>
    <xf numFmtId="0" fontId="84" fillId="21" borderId="0" applyAlignment="1">
      <alignment vertical="center"/>
    </xf>
    <xf numFmtId="0" fontId="84" fillId="21" borderId="0" applyAlignment="1">
      <alignment vertical="center"/>
    </xf>
    <xf numFmtId="0" fontId="84" fillId="21" borderId="0" applyAlignment="1">
      <alignment vertical="center"/>
    </xf>
    <xf numFmtId="0" fontId="84" fillId="25" borderId="0" applyAlignment="1">
      <alignment vertical="center"/>
    </xf>
    <xf numFmtId="0" fontId="84" fillId="25" borderId="0" applyAlignment="1">
      <alignment vertical="center"/>
    </xf>
    <xf numFmtId="0" fontId="84" fillId="25" borderId="0" applyAlignment="1">
      <alignment vertical="center"/>
    </xf>
    <xf numFmtId="0" fontId="84" fillId="25" borderId="0" applyAlignment="1">
      <alignment vertical="center"/>
    </xf>
    <xf numFmtId="0" fontId="84" fillId="25" borderId="0" applyAlignment="1">
      <alignment vertical="center"/>
    </xf>
    <xf numFmtId="0" fontId="84" fillId="25" borderId="0" applyAlignment="1">
      <alignment vertical="center"/>
    </xf>
    <xf numFmtId="0" fontId="84" fillId="25" borderId="0" applyAlignment="1">
      <alignment vertical="center"/>
    </xf>
    <xf numFmtId="170" fontId="81" fillId="64" borderId="0" applyAlignment="1">
      <alignment vertical="center"/>
    </xf>
    <xf numFmtId="0" fontId="84" fillId="25" borderId="0" applyAlignment="1">
      <alignment vertical="center"/>
    </xf>
    <xf numFmtId="0" fontId="85" fillId="64" borderId="0" applyAlignment="1">
      <alignment vertical="center"/>
    </xf>
    <xf numFmtId="0" fontId="84" fillId="25" borderId="0" applyAlignment="1">
      <alignment vertical="center"/>
    </xf>
    <xf numFmtId="0" fontId="20" fillId="25" borderId="0" applyAlignment="1">
      <alignment vertical="center"/>
    </xf>
    <xf numFmtId="0" fontId="84" fillId="25" borderId="0" applyAlignment="1">
      <alignment vertical="center"/>
    </xf>
    <xf numFmtId="0" fontId="84" fillId="25" borderId="0" applyAlignment="1">
      <alignment vertical="center"/>
    </xf>
    <xf numFmtId="0" fontId="84" fillId="25" borderId="0" applyAlignment="1">
      <alignment vertical="center"/>
    </xf>
    <xf numFmtId="0" fontId="84" fillId="25" borderId="0" applyAlignment="1">
      <alignment vertical="center"/>
    </xf>
    <xf numFmtId="0" fontId="84" fillId="25" borderId="0" applyAlignment="1">
      <alignment vertical="center"/>
    </xf>
    <xf numFmtId="0" fontId="84" fillId="25" borderId="0" applyAlignment="1">
      <alignment vertical="center"/>
    </xf>
    <xf numFmtId="0" fontId="84" fillId="25" borderId="0" applyAlignment="1">
      <alignment vertical="center"/>
    </xf>
    <xf numFmtId="0" fontId="84" fillId="29" borderId="0" applyAlignment="1">
      <alignment vertical="center"/>
    </xf>
    <xf numFmtId="0" fontId="84" fillId="29" borderId="0" applyAlignment="1">
      <alignment vertical="center"/>
    </xf>
    <xf numFmtId="0" fontId="84" fillId="29" borderId="0" applyAlignment="1">
      <alignment vertical="center"/>
    </xf>
    <xf numFmtId="0" fontId="84" fillId="29" borderId="0" applyAlignment="1">
      <alignment vertical="center"/>
    </xf>
    <xf numFmtId="0" fontId="84" fillId="29" borderId="0" applyAlignment="1">
      <alignment vertical="center"/>
    </xf>
    <xf numFmtId="0" fontId="84" fillId="29" borderId="0" applyAlignment="1">
      <alignment vertical="center"/>
    </xf>
    <xf numFmtId="0" fontId="84" fillId="29" borderId="0" applyAlignment="1">
      <alignment vertical="center"/>
    </xf>
    <xf numFmtId="170" fontId="81" fillId="75" borderId="0" applyAlignment="1">
      <alignment vertical="center"/>
    </xf>
    <xf numFmtId="0" fontId="84" fillId="29" borderId="0" applyAlignment="1">
      <alignment vertical="center"/>
    </xf>
    <xf numFmtId="0" fontId="85" fillId="68" borderId="0" applyAlignment="1">
      <alignment vertical="center"/>
    </xf>
    <xf numFmtId="0" fontId="84" fillId="29" borderId="0" applyAlignment="1">
      <alignment vertical="center"/>
    </xf>
    <xf numFmtId="170" fontId="81" fillId="68" borderId="0" applyAlignment="1">
      <alignment vertical="center"/>
    </xf>
    <xf numFmtId="0" fontId="20" fillId="29" borderId="0" applyAlignment="1">
      <alignment vertical="center"/>
    </xf>
    <xf numFmtId="0" fontId="84" fillId="29" borderId="0" applyAlignment="1">
      <alignment vertical="center"/>
    </xf>
    <xf numFmtId="0" fontId="84" fillId="29" borderId="0" applyAlignment="1">
      <alignment vertical="center"/>
    </xf>
    <xf numFmtId="0" fontId="84" fillId="29" borderId="0" applyAlignment="1">
      <alignment vertical="center"/>
    </xf>
    <xf numFmtId="0" fontId="84" fillId="29" borderId="0" applyAlignment="1">
      <alignment vertical="center"/>
    </xf>
    <xf numFmtId="0" fontId="84" fillId="29" borderId="0" applyAlignment="1">
      <alignment vertical="center"/>
    </xf>
    <xf numFmtId="0" fontId="84" fillId="29" borderId="0" applyAlignment="1">
      <alignment vertical="center"/>
    </xf>
    <xf numFmtId="0" fontId="84" fillId="29" borderId="0" applyAlignment="1">
      <alignment vertical="center"/>
    </xf>
    <xf numFmtId="0" fontId="209" fillId="0" borderId="0" applyAlignment="1">
      <alignment vertical="center"/>
    </xf>
    <xf numFmtId="0" fontId="209" fillId="0" borderId="0" applyAlignment="1">
      <alignment vertical="center"/>
    </xf>
    <xf numFmtId="0" fontId="209" fillId="0" borderId="0" applyAlignment="1">
      <alignment vertical="center"/>
    </xf>
    <xf numFmtId="0" fontId="209" fillId="0" borderId="0" applyAlignment="1">
      <alignment vertical="center"/>
    </xf>
    <xf numFmtId="0" fontId="209" fillId="0" borderId="0" applyAlignment="1">
      <alignment vertical="center"/>
    </xf>
    <xf numFmtId="0" fontId="209" fillId="0" borderId="0" applyAlignment="1">
      <alignment vertical="center"/>
    </xf>
    <xf numFmtId="0" fontId="209" fillId="0" borderId="0" applyAlignment="1">
      <alignment vertical="center"/>
    </xf>
    <xf numFmtId="170" fontId="201" fillId="0" borderId="0" applyAlignment="1">
      <alignment vertical="center"/>
    </xf>
    <xf numFmtId="0" fontId="209" fillId="0" borderId="0" applyAlignment="1">
      <alignment vertical="center"/>
    </xf>
    <xf numFmtId="0" fontId="210" fillId="0" borderId="0" applyAlignment="1">
      <alignment vertical="center"/>
    </xf>
    <xf numFmtId="0" fontId="209" fillId="0" borderId="0" applyAlignment="1">
      <alignment vertical="center"/>
    </xf>
    <xf numFmtId="0" fontId="17" fillId="0" borderId="0" applyAlignment="1">
      <alignment vertical="center"/>
    </xf>
    <xf numFmtId="0" fontId="209" fillId="0" borderId="0" applyAlignment="1">
      <alignment vertical="center"/>
    </xf>
    <xf numFmtId="0" fontId="209" fillId="0" borderId="0" applyAlignment="1">
      <alignment vertical="center"/>
    </xf>
    <xf numFmtId="0" fontId="209" fillId="0" borderId="0" applyAlignment="1">
      <alignment vertical="center"/>
    </xf>
    <xf numFmtId="0" fontId="209" fillId="0" borderId="0" applyAlignment="1">
      <alignment vertical="center"/>
    </xf>
    <xf numFmtId="0" fontId="209" fillId="0" borderId="0" applyAlignment="1">
      <alignment vertical="center"/>
    </xf>
    <xf numFmtId="0" fontId="209" fillId="0" borderId="0" applyAlignment="1">
      <alignment vertical="center"/>
    </xf>
    <xf numFmtId="0" fontId="209" fillId="0" borderId="0" applyAlignment="1">
      <alignment vertical="center"/>
    </xf>
    <xf numFmtId="0" fontId="211" fillId="6" borderId="4" applyAlignment="1">
      <alignment vertical="center"/>
    </xf>
    <xf numFmtId="0" fontId="211" fillId="6" borderId="4" applyAlignment="1">
      <alignment vertical="center"/>
    </xf>
    <xf numFmtId="0" fontId="211" fillId="6" borderId="4" applyAlignment="1">
      <alignment vertical="center"/>
    </xf>
    <xf numFmtId="0" fontId="211" fillId="6" borderId="4" applyAlignment="1">
      <alignment vertical="center"/>
    </xf>
    <xf numFmtId="0" fontId="211" fillId="6" borderId="4" applyAlignment="1">
      <alignment vertical="center"/>
    </xf>
    <xf numFmtId="0" fontId="211" fillId="6" borderId="4" applyAlignment="1">
      <alignment vertical="center"/>
    </xf>
    <xf numFmtId="0" fontId="211" fillId="6" borderId="4" applyAlignment="1">
      <alignment vertical="center"/>
    </xf>
    <xf numFmtId="170" fontId="212" fillId="106" borderId="54" applyAlignment="1">
      <alignment vertical="center"/>
    </xf>
    <xf numFmtId="170" fontId="212" fillId="106" borderId="54" applyAlignment="1">
      <alignment vertical="center"/>
    </xf>
    <xf numFmtId="170" fontId="212" fillId="106" borderId="54" applyAlignment="1">
      <alignment vertical="center"/>
    </xf>
    <xf numFmtId="170" fontId="212" fillId="106" borderId="54" applyAlignment="1">
      <alignment vertical="center"/>
    </xf>
    <xf numFmtId="170" fontId="212" fillId="106" borderId="54" applyAlignment="1">
      <alignment vertical="center"/>
    </xf>
    <xf numFmtId="170" fontId="212" fillId="106" borderId="54" applyAlignment="1">
      <alignment vertical="center"/>
    </xf>
    <xf numFmtId="170" fontId="212" fillId="106" borderId="54" applyAlignment="1">
      <alignment vertical="center"/>
    </xf>
    <xf numFmtId="170" fontId="212" fillId="106" borderId="54" applyAlignment="1">
      <alignment vertical="center"/>
    </xf>
    <xf numFmtId="170" fontId="212" fillId="106" borderId="54" applyAlignment="1">
      <alignment vertical="center"/>
    </xf>
    <xf numFmtId="0" fontId="213" fillId="88" borderId="54" applyAlignment="1">
      <alignment vertical="center"/>
    </xf>
    <xf numFmtId="170" fontId="212" fillId="106" borderId="54" applyAlignment="1">
      <alignment vertical="center"/>
    </xf>
    <xf numFmtId="170" fontId="212" fillId="106" borderId="54" applyAlignment="1">
      <alignment vertical="center"/>
    </xf>
    <xf numFmtId="170" fontId="212" fillId="106" borderId="54" applyAlignment="1">
      <alignment vertical="center"/>
    </xf>
    <xf numFmtId="170" fontId="212" fillId="106" borderId="54" applyAlignment="1">
      <alignment vertical="center"/>
    </xf>
    <xf numFmtId="170" fontId="212" fillId="106" borderId="54" applyAlignment="1">
      <alignment vertical="center"/>
    </xf>
    <xf numFmtId="170" fontId="212" fillId="106" borderId="54" applyAlignment="1">
      <alignment vertical="center"/>
    </xf>
    <xf numFmtId="170" fontId="212" fillId="106" borderId="54" applyAlignment="1">
      <alignment vertical="center"/>
    </xf>
    <xf numFmtId="170" fontId="212" fillId="106" borderId="54" applyAlignment="1">
      <alignment vertical="center"/>
    </xf>
    <xf numFmtId="170" fontId="212" fillId="106" borderId="54" applyAlignment="1">
      <alignment vertical="center"/>
    </xf>
    <xf numFmtId="170" fontId="212" fillId="106" borderId="54" applyAlignment="1">
      <alignment vertical="center"/>
    </xf>
    <xf numFmtId="170" fontId="212" fillId="106" borderId="54" applyAlignment="1">
      <alignment vertical="center"/>
    </xf>
    <xf numFmtId="170" fontId="212" fillId="106" borderId="54" applyAlignment="1">
      <alignment vertical="center"/>
    </xf>
    <xf numFmtId="170" fontId="212" fillId="106" borderId="54" applyAlignment="1">
      <alignment vertical="center"/>
    </xf>
    <xf numFmtId="170" fontId="212" fillId="106" borderId="54" applyAlignment="1">
      <alignment vertical="center"/>
    </xf>
    <xf numFmtId="170" fontId="212" fillId="106" borderId="54" applyAlignment="1">
      <alignment vertical="center"/>
    </xf>
    <xf numFmtId="170" fontId="212" fillId="106" borderId="54" applyAlignment="1">
      <alignment vertical="center"/>
    </xf>
    <xf numFmtId="170" fontId="212" fillId="106" borderId="54" applyAlignment="1">
      <alignment vertical="center"/>
    </xf>
    <xf numFmtId="170" fontId="212" fillId="106" borderId="54" applyAlignment="1">
      <alignment vertical="center"/>
    </xf>
    <xf numFmtId="0" fontId="211" fillId="6" borderId="4" applyAlignment="1">
      <alignment vertical="center"/>
    </xf>
    <xf numFmtId="0" fontId="213" fillId="88" borderId="54" applyAlignment="1">
      <alignment vertical="center"/>
    </xf>
    <xf numFmtId="0" fontId="211" fillId="6" borderId="4" applyAlignment="1">
      <alignment vertical="center"/>
    </xf>
    <xf numFmtId="170" fontId="129" fillId="88" borderId="54" applyAlignment="1">
      <alignment vertical="center"/>
    </xf>
    <xf numFmtId="170" fontId="129" fillId="88" borderId="54" applyAlignment="1">
      <alignment vertical="center"/>
    </xf>
    <xf numFmtId="170" fontId="129" fillId="88" borderId="54" applyAlignment="1">
      <alignment vertical="center"/>
    </xf>
    <xf numFmtId="170" fontId="129" fillId="88" borderId="54" applyAlignment="1">
      <alignment vertical="center"/>
    </xf>
    <xf numFmtId="170" fontId="129" fillId="88" borderId="54" applyAlignment="1">
      <alignment vertical="center"/>
    </xf>
    <xf numFmtId="170" fontId="129" fillId="88" borderId="54" applyAlignment="1">
      <alignment vertical="center"/>
    </xf>
    <xf numFmtId="170" fontId="129" fillId="88" borderId="54" applyAlignment="1">
      <alignment vertical="center"/>
    </xf>
    <xf numFmtId="170" fontId="129" fillId="88" borderId="54" applyAlignment="1">
      <alignment vertical="center"/>
    </xf>
    <xf numFmtId="170" fontId="129" fillId="88" borderId="54" applyAlignment="1">
      <alignment vertical="center"/>
    </xf>
    <xf numFmtId="170" fontId="129" fillId="88" borderId="54" applyAlignment="1">
      <alignment vertical="center"/>
    </xf>
    <xf numFmtId="170" fontId="129" fillId="88" borderId="54" applyAlignment="1">
      <alignment vertical="center"/>
    </xf>
    <xf numFmtId="170" fontId="129" fillId="88" borderId="54" applyAlignment="1">
      <alignment vertical="center"/>
    </xf>
    <xf numFmtId="170" fontId="129" fillId="88" borderId="54" applyAlignment="1">
      <alignment vertical="center"/>
    </xf>
    <xf numFmtId="170" fontId="129" fillId="88" borderId="54" applyAlignment="1">
      <alignment vertical="center"/>
    </xf>
    <xf numFmtId="170" fontId="129" fillId="88" borderId="54" applyAlignment="1">
      <alignment vertical="center"/>
    </xf>
    <xf numFmtId="170" fontId="129" fillId="88" borderId="54" applyAlignment="1">
      <alignment vertical="center"/>
    </xf>
    <xf numFmtId="170" fontId="129" fillId="88" borderId="54" applyAlignment="1">
      <alignment vertical="center"/>
    </xf>
    <xf numFmtId="170" fontId="129" fillId="88" borderId="54" applyAlignment="1">
      <alignment vertical="center"/>
    </xf>
    <xf numFmtId="170" fontId="129" fillId="88" borderId="54" applyAlignment="1">
      <alignment vertical="center"/>
    </xf>
    <xf numFmtId="170" fontId="129" fillId="88" borderId="54" applyAlignment="1">
      <alignment vertical="center"/>
    </xf>
    <xf numFmtId="170" fontId="129" fillId="88" borderId="54" applyAlignment="1">
      <alignment vertical="center"/>
    </xf>
    <xf numFmtId="170" fontId="129" fillId="88" borderId="54" applyAlignment="1">
      <alignment vertical="center"/>
    </xf>
    <xf numFmtId="170" fontId="129" fillId="88" borderId="54" applyAlignment="1">
      <alignment vertical="center"/>
    </xf>
    <xf numFmtId="170" fontId="129" fillId="88" borderId="54" applyAlignment="1">
      <alignment vertical="center"/>
    </xf>
    <xf numFmtId="170" fontId="129" fillId="88" borderId="54" applyAlignment="1">
      <alignment vertical="center"/>
    </xf>
    <xf numFmtId="170" fontId="129" fillId="88" borderId="54" applyAlignment="1">
      <alignment vertical="center"/>
    </xf>
    <xf numFmtId="170" fontId="129" fillId="88" borderId="54" applyAlignment="1">
      <alignment vertical="center"/>
    </xf>
    <xf numFmtId="0" fontId="14" fillId="6" borderId="4" applyAlignment="1">
      <alignment vertical="center"/>
    </xf>
    <xf numFmtId="0" fontId="211" fillId="6" borderId="4" applyAlignment="1">
      <alignment vertical="center"/>
    </xf>
    <xf numFmtId="0" fontId="211" fillId="6" borderId="4" applyAlignment="1">
      <alignment vertical="center"/>
    </xf>
    <xf numFmtId="0" fontId="211" fillId="6" borderId="4" applyAlignment="1">
      <alignment vertical="center"/>
    </xf>
    <xf numFmtId="0" fontId="211" fillId="6" borderId="4" applyAlignment="1">
      <alignment vertical="center"/>
    </xf>
    <xf numFmtId="0" fontId="211" fillId="6" borderId="4" applyAlignment="1">
      <alignment vertical="center"/>
    </xf>
    <xf numFmtId="0" fontId="211" fillId="6" borderId="4" applyAlignment="1">
      <alignment vertical="center"/>
    </xf>
    <xf numFmtId="0" fontId="211" fillId="6" borderId="4" applyAlignment="1">
      <alignment vertical="center"/>
    </xf>
    <xf numFmtId="170" fontId="50" fillId="0" borderId="0"/>
    <xf numFmtId="2" fontId="214" fillId="0" borderId="0"/>
    <xf numFmtId="170" fontId="50" fillId="0" borderId="0" applyProtection="1">
      <protection locked="0" hidden="0"/>
    </xf>
    <xf numFmtId="2" fontId="214" fillId="0" borderId="0"/>
    <xf numFmtId="0" fontId="50" fillId="0" borderId="0" applyProtection="1">
      <protection locked="0" hidden="0"/>
    </xf>
    <xf numFmtId="170" fontId="215" fillId="0" borderId="0"/>
    <xf numFmtId="170" fontId="216" fillId="0" borderId="0" applyProtection="1">
      <protection locked="0" hidden="0"/>
    </xf>
    <xf numFmtId="0" fontId="215" fillId="0" borderId="0"/>
    <xf numFmtId="0" fontId="216" fillId="0" borderId="0" applyProtection="1">
      <protection locked="0" hidden="0"/>
    </xf>
    <xf numFmtId="170" fontId="217" fillId="0" borderId="0"/>
    <xf numFmtId="170" fontId="216" fillId="0" borderId="0" applyProtection="1">
      <protection locked="0" hidden="0"/>
    </xf>
    <xf numFmtId="0" fontId="217" fillId="0" borderId="0"/>
    <xf numFmtId="0" fontId="216" fillId="0" borderId="0" applyProtection="1">
      <protection locked="0" hidden="0"/>
    </xf>
    <xf numFmtId="198" fontId="218" fillId="0" borderId="0"/>
    <xf numFmtId="198" fontId="218" fillId="0" borderId="0"/>
    <xf numFmtId="198" fontId="218" fillId="0" borderId="0"/>
    <xf numFmtId="198" fontId="218" fillId="0" borderId="0"/>
    <xf numFmtId="198" fontId="218" fillId="0" borderId="0"/>
    <xf numFmtId="198" fontId="218" fillId="0" borderId="0"/>
    <xf numFmtId="198" fontId="218" fillId="0" borderId="0"/>
    <xf numFmtId="198" fontId="218" fillId="0" borderId="0"/>
    <xf numFmtId="198" fontId="218" fillId="0" borderId="0"/>
    <xf numFmtId="198" fontId="218" fillId="0" borderId="0"/>
    <xf numFmtId="198" fontId="218" fillId="0" borderId="0"/>
    <xf numFmtId="170" fontId="49" fillId="0" borderId="0"/>
    <xf numFmtId="10" fontId="219" fillId="0" borderId="0"/>
    <xf numFmtId="170" fontId="49" fillId="0" borderId="0"/>
    <xf numFmtId="0" fontId="220" fillId="3" borderId="0" applyAlignment="1">
      <alignment vertical="center"/>
    </xf>
    <xf numFmtId="0" fontId="220" fillId="3" borderId="0" applyAlignment="1">
      <alignment vertical="center"/>
    </xf>
    <xf numFmtId="0" fontId="220" fillId="3" borderId="0" applyAlignment="1">
      <alignment vertical="center"/>
    </xf>
    <xf numFmtId="0" fontId="220" fillId="3" borderId="0" applyAlignment="1">
      <alignment vertical="center"/>
    </xf>
    <xf numFmtId="0" fontId="220" fillId="3" borderId="0" applyAlignment="1">
      <alignment vertical="center"/>
    </xf>
    <xf numFmtId="0" fontId="220" fillId="3" borderId="0" applyAlignment="1">
      <alignment vertical="center"/>
    </xf>
    <xf numFmtId="0" fontId="220" fillId="3" borderId="0" applyAlignment="1">
      <alignment vertical="center"/>
    </xf>
    <xf numFmtId="170" fontId="112" fillId="45" borderId="0" applyAlignment="1">
      <alignment vertical="center"/>
    </xf>
    <xf numFmtId="0" fontId="220" fillId="3" borderId="0" applyAlignment="1">
      <alignment vertical="center"/>
    </xf>
    <xf numFmtId="0" fontId="221" fillId="41" borderId="0" applyAlignment="1">
      <alignment vertical="center"/>
    </xf>
    <xf numFmtId="0" fontId="220" fillId="3" borderId="0" applyAlignment="1">
      <alignment vertical="center"/>
    </xf>
    <xf numFmtId="170" fontId="112" fillId="41" borderId="0" applyAlignment="1">
      <alignment vertical="center"/>
    </xf>
    <xf numFmtId="0" fontId="10" fillId="3" borderId="0" applyAlignment="1">
      <alignment vertical="center"/>
    </xf>
    <xf numFmtId="0" fontId="220" fillId="3" borderId="0" applyAlignment="1">
      <alignment vertical="center"/>
    </xf>
    <xf numFmtId="0" fontId="220" fillId="3" borderId="0" applyAlignment="1">
      <alignment vertical="center"/>
    </xf>
    <xf numFmtId="0" fontId="220" fillId="3" borderId="0" applyAlignment="1">
      <alignment vertical="center"/>
    </xf>
    <xf numFmtId="0" fontId="220" fillId="3" borderId="0" applyAlignment="1">
      <alignment vertical="center"/>
    </xf>
    <xf numFmtId="0" fontId="220" fillId="3" borderId="0" applyAlignment="1">
      <alignment vertical="center"/>
    </xf>
    <xf numFmtId="0" fontId="220" fillId="3" borderId="0" applyAlignment="1">
      <alignment vertical="center"/>
    </xf>
    <xf numFmtId="0" fontId="220" fillId="3" borderId="0" applyAlignment="1">
      <alignment vertical="center"/>
    </xf>
    <xf numFmtId="170" fontId="214" fillId="0" borderId="0"/>
    <xf numFmtId="170" fontId="138" fillId="0" borderId="0" applyProtection="1">
      <protection locked="0" hidden="0"/>
    </xf>
    <xf numFmtId="0" fontId="214" fillId="0" borderId="0"/>
    <xf numFmtId="0" fontId="138" fillId="0" borderId="0" applyProtection="1">
      <protection locked="0" hidden="0"/>
    </xf>
    <xf numFmtId="0" fontId="222" fillId="0" borderId="74" applyAlignment="1">
      <alignment horizontal="right" vertical="center"/>
    </xf>
    <xf numFmtId="0" fontId="222" fillId="0" borderId="74" applyAlignment="1">
      <alignment horizontal="right" vertical="center"/>
    </xf>
    <xf numFmtId="170" fontId="214" fillId="0" borderId="0"/>
    <xf numFmtId="170" fontId="138" fillId="0" borderId="0" applyProtection="1">
      <protection locked="0" hidden="0"/>
    </xf>
    <xf numFmtId="0" fontId="214" fillId="0" borderId="0"/>
    <xf numFmtId="0" fontId="138" fillId="0" borderId="0" applyProtection="1">
      <protection locked="0" hidden="0"/>
    </xf>
    <xf numFmtId="0" fontId="63" fillId="0" borderId="0" applyAlignment="1" applyProtection="1">
      <alignment vertical="top"/>
      <protection locked="0" hidden="0"/>
    </xf>
    <xf numFmtId="170" fontId="63" fillId="0" borderId="0" applyAlignment="1" applyProtection="1">
      <alignment vertical="top"/>
      <protection locked="0" hidden="0"/>
    </xf>
    <xf numFmtId="0" fontId="63" fillId="0" borderId="0" applyAlignment="1" applyProtection="1">
      <alignment vertical="top"/>
      <protection locked="0" hidden="0"/>
    </xf>
    <xf numFmtId="0" fontId="223" fillId="0" borderId="0" applyAlignment="1" applyProtection="1">
      <alignment vertical="top"/>
      <protection locked="0" hidden="0"/>
    </xf>
    <xf numFmtId="0" fontId="63" fillId="0" borderId="0" applyAlignment="1" applyProtection="1">
      <alignment vertical="top"/>
      <protection locked="0" hidden="0"/>
    </xf>
    <xf numFmtId="40" fontId="224" fillId="0" borderId="0"/>
    <xf numFmtId="38" fontId="224" fillId="0" borderId="0"/>
    <xf numFmtId="170" fontId="51" fillId="0" borderId="0"/>
    <xf numFmtId="170" fontId="51" fillId="0" borderId="0"/>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75" fillId="8" borderId="8" applyAlignment="1">
      <alignment vertical="center"/>
    </xf>
    <xf numFmtId="0" fontId="75" fillId="8" borderId="8" applyAlignment="1">
      <alignment vertical="center"/>
    </xf>
    <xf numFmtId="0" fontId="75" fillId="8" borderId="8" applyAlignment="1">
      <alignment vertical="center"/>
    </xf>
    <xf numFmtId="0" fontId="75" fillId="8" borderId="8" applyAlignment="1">
      <alignment vertical="center"/>
    </xf>
    <xf numFmtId="0" fontId="75" fillId="8" borderId="8" applyAlignment="1">
      <alignment vertical="center"/>
    </xf>
    <xf numFmtId="0" fontId="75"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170" fontId="37" fillId="52" borderId="66" applyAlignment="1">
      <alignment vertical="center"/>
    </xf>
    <xf numFmtId="170" fontId="37" fillId="52" borderId="66" applyAlignment="1">
      <alignment vertical="center"/>
    </xf>
    <xf numFmtId="170" fontId="37" fillId="52" borderId="66" applyAlignment="1">
      <alignment vertical="center"/>
    </xf>
    <xf numFmtId="170" fontId="37" fillId="52" borderId="66" applyAlignment="1">
      <alignment vertical="center"/>
    </xf>
    <xf numFmtId="170" fontId="37" fillId="52" borderId="66" applyAlignment="1">
      <alignment vertical="center"/>
    </xf>
    <xf numFmtId="170" fontId="37" fillId="52" borderId="66" applyAlignment="1">
      <alignment vertical="center"/>
    </xf>
    <xf numFmtId="170" fontId="37" fillId="52" borderId="66" applyAlignment="1">
      <alignment vertical="center"/>
    </xf>
    <xf numFmtId="170" fontId="37" fillId="52" borderId="66" applyAlignment="1">
      <alignment vertical="center"/>
    </xf>
    <xf numFmtId="0" fontId="59" fillId="52" borderId="66" applyAlignment="1">
      <alignment vertical="center"/>
    </xf>
    <xf numFmtId="0" fontId="4" fillId="8" borderId="8" applyAlignment="1">
      <alignment vertical="center"/>
    </xf>
    <xf numFmtId="0" fontId="4" fillId="8" borderId="8" applyAlignment="1">
      <alignment vertical="center"/>
    </xf>
    <xf numFmtId="170" fontId="37" fillId="52" borderId="66" applyAlignment="1">
      <alignment vertical="center"/>
    </xf>
    <xf numFmtId="0" fontId="4" fillId="8" borderId="8" applyAlignment="1">
      <alignment vertical="center"/>
    </xf>
    <xf numFmtId="0" fontId="4" fillId="8" borderId="8" applyAlignment="1">
      <alignment vertical="center"/>
    </xf>
    <xf numFmtId="0" fontId="75" fillId="8" borderId="8" applyAlignment="1">
      <alignment vertical="center"/>
    </xf>
    <xf numFmtId="0" fontId="4" fillId="8" borderId="8" applyAlignment="1">
      <alignment vertical="center"/>
    </xf>
    <xf numFmtId="0" fontId="4" fillId="8" borderId="8" applyAlignment="1">
      <alignment vertical="center"/>
    </xf>
    <xf numFmtId="170" fontId="37" fillId="52" borderId="66" applyAlignment="1">
      <alignment vertical="center"/>
    </xf>
    <xf numFmtId="170" fontId="37" fillId="52" borderId="66" applyAlignment="1">
      <alignment vertical="center"/>
    </xf>
    <xf numFmtId="0" fontId="4" fillId="8" borderId="8" applyAlignment="1">
      <alignment vertical="center"/>
    </xf>
    <xf numFmtId="170" fontId="37" fillId="52" borderId="66" applyAlignment="1">
      <alignment vertical="center"/>
    </xf>
    <xf numFmtId="170" fontId="37" fillId="52" borderId="66" applyAlignment="1">
      <alignment vertical="center"/>
    </xf>
    <xf numFmtId="170" fontId="37" fillId="52" borderId="66" applyAlignment="1">
      <alignment vertical="center"/>
    </xf>
    <xf numFmtId="170" fontId="37" fillId="52" borderId="66" applyAlignment="1">
      <alignment vertical="center"/>
    </xf>
    <xf numFmtId="170" fontId="37" fillId="52" borderId="66" applyAlignment="1">
      <alignment vertical="center"/>
    </xf>
    <xf numFmtId="170" fontId="37" fillId="52" borderId="66" applyAlignment="1">
      <alignment vertical="center"/>
    </xf>
    <xf numFmtId="170" fontId="37" fillId="52" borderId="66" applyAlignment="1">
      <alignment vertical="center"/>
    </xf>
    <xf numFmtId="170" fontId="37" fillId="52" borderId="66" applyAlignment="1">
      <alignment vertical="center"/>
    </xf>
    <xf numFmtId="170" fontId="37" fillId="52" borderId="66" applyAlignment="1">
      <alignment vertical="center"/>
    </xf>
    <xf numFmtId="170" fontId="37" fillId="52" borderId="66" applyAlignment="1">
      <alignment vertical="center"/>
    </xf>
    <xf numFmtId="170" fontId="37" fillId="52" borderId="66" applyAlignment="1">
      <alignment vertical="center"/>
    </xf>
    <xf numFmtId="170" fontId="37" fillId="52" borderId="66" applyAlignment="1">
      <alignment vertical="center"/>
    </xf>
    <xf numFmtId="170" fontId="37" fillId="52" borderId="66" applyAlignment="1">
      <alignment vertical="center"/>
    </xf>
    <xf numFmtId="170" fontId="37" fillId="52" borderId="66"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75"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75" fillId="8" borderId="8" applyAlignment="1">
      <alignment vertical="center"/>
    </xf>
    <xf numFmtId="0" fontId="75" fillId="8" borderId="8" applyAlignment="1">
      <alignment vertical="center"/>
    </xf>
    <xf numFmtId="0" fontId="75" fillId="8" borderId="8" applyAlignment="1">
      <alignment vertical="center"/>
    </xf>
    <xf numFmtId="0" fontId="75" fillId="8" borderId="8" applyAlignment="1">
      <alignment vertical="center"/>
    </xf>
    <xf numFmtId="0" fontId="75" fillId="8" borderId="8" applyAlignment="1">
      <alignment vertical="center"/>
    </xf>
    <xf numFmtId="0" fontId="75"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170" fontId="75"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75" fillId="8" borderId="8" applyAlignment="1">
      <alignment vertical="center"/>
    </xf>
    <xf numFmtId="0" fontId="4" fillId="8" borderId="8" applyAlignment="1">
      <alignment vertical="center"/>
    </xf>
    <xf numFmtId="170" fontId="75"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75" fillId="8" borderId="8" applyAlignment="1">
      <alignment vertical="center"/>
    </xf>
    <xf numFmtId="0" fontId="4" fillId="8" borderId="8" applyAlignment="1">
      <alignment vertical="center"/>
    </xf>
    <xf numFmtId="170" fontId="75" fillId="8" borderId="8" applyAlignment="1">
      <alignment vertical="center"/>
    </xf>
    <xf numFmtId="0" fontId="4" fillId="8" borderId="8" applyAlignment="1">
      <alignment vertical="center"/>
    </xf>
    <xf numFmtId="0" fontId="75"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170" fontId="75" fillId="8" borderId="8" applyAlignment="1">
      <alignment vertical="center"/>
    </xf>
    <xf numFmtId="0" fontId="4" fillId="8" borderId="8" applyAlignment="1">
      <alignment vertical="center"/>
    </xf>
    <xf numFmtId="0" fontId="75" fillId="8" borderId="8" applyAlignment="1">
      <alignment vertical="center"/>
    </xf>
    <xf numFmtId="0" fontId="4" fillId="8" borderId="8" applyAlignment="1">
      <alignment vertical="center"/>
    </xf>
    <xf numFmtId="170" fontId="75"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75"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170" fontId="75" fillId="8" borderId="8" applyAlignment="1">
      <alignment vertical="center"/>
    </xf>
    <xf numFmtId="0" fontId="4" fillId="8" borderId="8" applyAlignment="1">
      <alignment vertical="center"/>
    </xf>
    <xf numFmtId="0" fontId="75"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170" fontId="75" fillId="52" borderId="66" applyAlignment="1">
      <alignment vertical="center"/>
    </xf>
    <xf numFmtId="170" fontId="75" fillId="52" borderId="66" applyAlignment="1">
      <alignment vertical="center"/>
    </xf>
    <xf numFmtId="170" fontId="75" fillId="52" borderId="66" applyAlignment="1">
      <alignment vertical="center"/>
    </xf>
    <xf numFmtId="170" fontId="75" fillId="52" borderId="66" applyAlignment="1">
      <alignment vertical="center"/>
    </xf>
    <xf numFmtId="0" fontId="4" fillId="8" borderId="8" applyAlignment="1">
      <alignment vertical="center"/>
    </xf>
    <xf numFmtId="170" fontId="75" fillId="52" borderId="66" applyAlignment="1">
      <alignment vertical="center"/>
    </xf>
    <xf numFmtId="170" fontId="75" fillId="52" borderId="66" applyAlignment="1">
      <alignment vertical="center"/>
    </xf>
    <xf numFmtId="170" fontId="75" fillId="52" borderId="66" applyAlignment="1">
      <alignment vertical="center"/>
    </xf>
    <xf numFmtId="170" fontId="75" fillId="52" borderId="66" applyAlignment="1">
      <alignment vertical="center"/>
    </xf>
    <xf numFmtId="170" fontId="75" fillId="52" borderId="66" applyAlignment="1">
      <alignment vertical="center"/>
    </xf>
    <xf numFmtId="0" fontId="4" fillId="8" borderId="8" applyAlignment="1">
      <alignment vertical="center"/>
    </xf>
    <xf numFmtId="170" fontId="75" fillId="52" borderId="66" applyAlignment="1">
      <alignment vertical="center"/>
    </xf>
    <xf numFmtId="170" fontId="75" fillId="52" borderId="66"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170" fontId="75" fillId="52" borderId="66" applyAlignment="1">
      <alignment vertical="center"/>
    </xf>
    <xf numFmtId="170" fontId="75" fillId="52" borderId="66"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170" fontId="75" fillId="52" borderId="66" applyAlignment="1">
      <alignment vertical="center"/>
    </xf>
    <xf numFmtId="170" fontId="75" fillId="52" borderId="66"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170" fontId="75" fillId="52" borderId="66" applyAlignment="1">
      <alignment vertical="center"/>
    </xf>
    <xf numFmtId="170" fontId="75" fillId="52" borderId="66"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170" fontId="75" fillId="52" borderId="66" applyAlignment="1">
      <alignment vertical="center"/>
    </xf>
    <xf numFmtId="170" fontId="75" fillId="52" borderId="66"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170" fontId="75" fillId="52" borderId="66" applyAlignment="1">
      <alignment vertical="center"/>
    </xf>
    <xf numFmtId="170" fontId="75" fillId="52" borderId="66"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170" fontId="75" fillId="52" borderId="66" applyAlignment="1">
      <alignment vertical="center"/>
    </xf>
    <xf numFmtId="170" fontId="75" fillId="52" borderId="66" applyAlignment="1">
      <alignment vertical="center"/>
    </xf>
    <xf numFmtId="0" fontId="4" fillId="8" borderId="8" applyAlignment="1">
      <alignment vertical="center"/>
    </xf>
    <xf numFmtId="170" fontId="75" fillId="52" borderId="66" applyAlignment="1">
      <alignment vertical="center"/>
    </xf>
    <xf numFmtId="0" fontId="4" fillId="8" borderId="8" applyAlignment="1">
      <alignment vertical="center"/>
    </xf>
    <xf numFmtId="0" fontId="4" fillId="8" borderId="8" applyAlignment="1">
      <alignment vertical="center"/>
    </xf>
    <xf numFmtId="170" fontId="75" fillId="52" borderId="66" applyAlignment="1">
      <alignment vertical="center"/>
    </xf>
    <xf numFmtId="170" fontId="75" fillId="52" borderId="66" applyAlignment="1">
      <alignment vertical="center"/>
    </xf>
    <xf numFmtId="170" fontId="75" fillId="52" borderId="66"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170" fontId="75"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75" fillId="8" borderId="8" applyAlignment="1">
      <alignment vertical="center"/>
    </xf>
    <xf numFmtId="0" fontId="4" fillId="8" borderId="8" applyAlignment="1">
      <alignment vertical="center"/>
    </xf>
    <xf numFmtId="170" fontId="75" fillId="8" borderId="8" applyAlignment="1">
      <alignment vertical="center"/>
    </xf>
    <xf numFmtId="0" fontId="4" fillId="8" borderId="8" applyAlignment="1">
      <alignment vertical="center"/>
    </xf>
    <xf numFmtId="0" fontId="75" fillId="8" borderId="8" applyAlignment="1">
      <alignment vertical="center"/>
    </xf>
    <xf numFmtId="0" fontId="4" fillId="8" borderId="8" applyAlignment="1">
      <alignment vertical="center"/>
    </xf>
    <xf numFmtId="170" fontId="75"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75"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170" fontId="75" fillId="8" borderId="8" applyAlignment="1">
      <alignment vertical="center"/>
    </xf>
    <xf numFmtId="0" fontId="4" fillId="8" borderId="8" applyAlignment="1">
      <alignment vertical="center"/>
    </xf>
    <xf numFmtId="0" fontId="75" fillId="8" borderId="8" applyAlignment="1">
      <alignment vertical="center"/>
    </xf>
    <xf numFmtId="0" fontId="4" fillId="8" borderId="8" applyAlignment="1">
      <alignment vertical="center"/>
    </xf>
    <xf numFmtId="170" fontId="75"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75"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170" fontId="75" fillId="8" borderId="8" applyAlignment="1">
      <alignment vertical="center"/>
    </xf>
    <xf numFmtId="0" fontId="4" fillId="8" borderId="8" applyAlignment="1">
      <alignment vertical="center"/>
    </xf>
    <xf numFmtId="0" fontId="75"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17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0" fontId="4" fillId="8" borderId="8" applyAlignment="1">
      <alignment vertical="center"/>
    </xf>
    <xf numFmtId="170" fontId="224" fillId="0" borderId="0"/>
    <xf numFmtId="170" fontId="224" fillId="0" borderId="0"/>
    <xf numFmtId="170" fontId="50" fillId="0" borderId="0"/>
    <xf numFmtId="170" fontId="50" fillId="0" borderId="0"/>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9" fontId="176" fillId="0" borderId="0"/>
    <xf numFmtId="9" fontId="28" fillId="0" borderId="0"/>
    <xf numFmtId="9" fontId="79" fillId="0" borderId="0" applyAlignment="1">
      <alignment vertical="center"/>
    </xf>
    <xf numFmtId="9" fontId="75" fillId="0" borderId="0" applyAlignment="1">
      <alignment vertical="center"/>
    </xf>
    <xf numFmtId="9" fontId="75" fillId="0" borderId="0" applyAlignment="1">
      <alignment vertical="center"/>
    </xf>
    <xf numFmtId="9" fontId="225" fillId="0" borderId="0" applyAlignment="1">
      <alignment vertical="center"/>
    </xf>
    <xf numFmtId="9" fontId="79" fillId="0" borderId="0" applyAlignment="1">
      <alignment vertical="center"/>
    </xf>
    <xf numFmtId="9" fontId="28" fillId="0" borderId="0"/>
    <xf numFmtId="9" fontId="75" fillId="0" borderId="0" applyAlignment="1">
      <alignment vertical="center"/>
    </xf>
    <xf numFmtId="9" fontId="60" fillId="0" borderId="0"/>
    <xf numFmtId="9" fontId="37" fillId="0" borderId="0" applyAlignment="1">
      <alignment vertical="center"/>
    </xf>
    <xf numFmtId="9" fontId="75" fillId="0" borderId="0" applyAlignment="1">
      <alignment vertical="center"/>
    </xf>
    <xf numFmtId="9" fontId="60" fillId="0" borderId="0"/>
    <xf numFmtId="9" fontId="37" fillId="0" borderId="0"/>
    <xf numFmtId="9" fontId="226" fillId="0" borderId="0" applyAlignment="1">
      <alignment vertical="center"/>
    </xf>
    <xf numFmtId="9" fontId="79" fillId="0" borderId="0" applyAlignment="1">
      <alignment vertical="center"/>
    </xf>
    <xf numFmtId="9" fontId="79" fillId="0" borderId="0" applyAlignment="1">
      <alignment vertical="center"/>
    </xf>
    <xf numFmtId="9" fontId="37" fillId="0" borderId="0" applyAlignment="1">
      <alignment vertical="center"/>
    </xf>
    <xf numFmtId="9" fontId="227" fillId="0" borderId="0"/>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4" fillId="0" borderId="0" applyAlignment="1">
      <alignment vertical="center"/>
    </xf>
    <xf numFmtId="9" fontId="37" fillId="0" borderId="0" applyAlignment="1">
      <alignment vertical="center"/>
    </xf>
    <xf numFmtId="9" fontId="37" fillId="0" borderId="0" applyAlignment="1">
      <alignment vertical="center"/>
    </xf>
    <xf numFmtId="9" fontId="4" fillId="0" borderId="0" applyAlignment="1">
      <alignment vertical="center"/>
    </xf>
    <xf numFmtId="0" fontId="228" fillId="4" borderId="0" applyAlignment="1">
      <alignment vertical="center"/>
    </xf>
    <xf numFmtId="0" fontId="228" fillId="4" borderId="0" applyAlignment="1">
      <alignment vertical="center"/>
    </xf>
    <xf numFmtId="0" fontId="228" fillId="4" borderId="0" applyAlignment="1">
      <alignment vertical="center"/>
    </xf>
    <xf numFmtId="0" fontId="228" fillId="4" borderId="0" applyAlignment="1">
      <alignment vertical="center"/>
    </xf>
    <xf numFmtId="0" fontId="228" fillId="4" borderId="0" applyAlignment="1">
      <alignment vertical="center"/>
    </xf>
    <xf numFmtId="0" fontId="228" fillId="4" borderId="0" applyAlignment="1">
      <alignment vertical="center"/>
    </xf>
    <xf numFmtId="0" fontId="228" fillId="4" borderId="0" applyAlignment="1">
      <alignment vertical="center"/>
    </xf>
    <xf numFmtId="170" fontId="229" fillId="59" borderId="0" applyAlignment="1">
      <alignment vertical="center"/>
    </xf>
    <xf numFmtId="0" fontId="228" fillId="4" borderId="0" applyAlignment="1">
      <alignment vertical="center"/>
    </xf>
    <xf numFmtId="0" fontId="230" fillId="59" borderId="0" applyAlignment="1">
      <alignment vertical="center"/>
    </xf>
    <xf numFmtId="0" fontId="228" fillId="4" borderId="0" applyAlignment="1">
      <alignment vertical="center"/>
    </xf>
    <xf numFmtId="170" fontId="179" fillId="59" borderId="0" applyAlignment="1">
      <alignment vertical="center"/>
    </xf>
    <xf numFmtId="0" fontId="11" fillId="4" borderId="0" applyAlignment="1">
      <alignment vertical="center"/>
    </xf>
    <xf numFmtId="0" fontId="228" fillId="4" borderId="0" applyAlignment="1">
      <alignment vertical="center"/>
    </xf>
    <xf numFmtId="0" fontId="228" fillId="4" borderId="0" applyAlignment="1">
      <alignment vertical="center"/>
    </xf>
    <xf numFmtId="0" fontId="228" fillId="4" borderId="0" applyAlignment="1">
      <alignment vertical="center"/>
    </xf>
    <xf numFmtId="0" fontId="228" fillId="4" borderId="0" applyAlignment="1">
      <alignment vertical="center"/>
    </xf>
    <xf numFmtId="0" fontId="228" fillId="4" borderId="0" applyAlignment="1">
      <alignment vertical="center"/>
    </xf>
    <xf numFmtId="0" fontId="228" fillId="4" borderId="0" applyAlignment="1">
      <alignment vertical="center"/>
    </xf>
    <xf numFmtId="0" fontId="228" fillId="4" borderId="0" applyAlignment="1">
      <alignment vertical="center"/>
    </xf>
    <xf numFmtId="0" fontId="55" fillId="0" borderId="0"/>
    <xf numFmtId="170" fontId="231" fillId="0" borderId="0"/>
    <xf numFmtId="170" fontId="37" fillId="0" borderId="0"/>
    <xf numFmtId="199" fontId="232" fillId="0" borderId="0"/>
    <xf numFmtId="221" fontId="232" fillId="0" borderId="0"/>
    <xf numFmtId="192" fontId="208" fillId="0" borderId="0"/>
    <xf numFmtId="184" fontId="208" fillId="0" borderId="0"/>
    <xf numFmtId="0" fontId="233" fillId="0" borderId="0" applyAlignment="1">
      <alignment vertical="center"/>
    </xf>
    <xf numFmtId="0" fontId="233" fillId="0" borderId="0" applyAlignment="1">
      <alignment vertical="center"/>
    </xf>
    <xf numFmtId="0" fontId="233" fillId="0" borderId="0" applyAlignment="1">
      <alignment vertical="center"/>
    </xf>
    <xf numFmtId="0" fontId="233" fillId="0" borderId="0" applyAlignment="1">
      <alignment vertical="center"/>
    </xf>
    <xf numFmtId="0" fontId="233" fillId="0" borderId="0" applyAlignment="1">
      <alignment vertical="center"/>
    </xf>
    <xf numFmtId="0" fontId="233" fillId="0" borderId="0" applyAlignment="1">
      <alignment vertical="center"/>
    </xf>
    <xf numFmtId="0" fontId="233" fillId="0" borderId="0" applyAlignment="1">
      <alignment vertical="center"/>
    </xf>
    <xf numFmtId="170" fontId="143" fillId="0" borderId="0" applyAlignment="1">
      <alignment vertical="center"/>
    </xf>
    <xf numFmtId="0" fontId="233" fillId="0" borderId="0" applyAlignment="1">
      <alignment vertical="center"/>
    </xf>
    <xf numFmtId="0" fontId="234" fillId="0" borderId="0" applyAlignment="1">
      <alignment vertical="center"/>
    </xf>
    <xf numFmtId="0" fontId="233" fillId="0" borderId="0" applyAlignment="1">
      <alignment vertical="center"/>
    </xf>
    <xf numFmtId="0" fontId="18" fillId="0" borderId="0" applyAlignment="1">
      <alignment vertical="center"/>
    </xf>
    <xf numFmtId="0" fontId="233" fillId="0" borderId="0" applyAlignment="1">
      <alignment vertical="center"/>
    </xf>
    <xf numFmtId="0" fontId="233" fillId="0" borderId="0" applyAlignment="1">
      <alignment vertical="center"/>
    </xf>
    <xf numFmtId="0" fontId="233" fillId="0" borderId="0" applyAlignment="1">
      <alignment vertical="center"/>
    </xf>
    <xf numFmtId="0" fontId="233" fillId="0" borderId="0" applyAlignment="1">
      <alignment vertical="center"/>
    </xf>
    <xf numFmtId="0" fontId="233" fillId="0" borderId="0" applyAlignment="1">
      <alignment vertical="center"/>
    </xf>
    <xf numFmtId="0" fontId="233" fillId="0" borderId="0" applyAlignment="1">
      <alignment vertical="center"/>
    </xf>
    <xf numFmtId="0" fontId="233" fillId="0" borderId="0" applyAlignment="1">
      <alignment vertical="center"/>
    </xf>
    <xf numFmtId="0" fontId="235" fillId="7" borderId="7" applyAlignment="1">
      <alignment vertical="center"/>
    </xf>
    <xf numFmtId="0" fontId="235" fillId="7" borderId="7" applyAlignment="1">
      <alignment vertical="center"/>
    </xf>
    <xf numFmtId="0" fontId="235" fillId="7" borderId="7" applyAlignment="1">
      <alignment vertical="center"/>
    </xf>
    <xf numFmtId="0" fontId="235" fillId="7" borderId="7" applyAlignment="1">
      <alignment vertical="center"/>
    </xf>
    <xf numFmtId="0" fontId="235" fillId="7" borderId="7" applyAlignment="1">
      <alignment vertical="center"/>
    </xf>
    <xf numFmtId="0" fontId="235" fillId="7" borderId="7" applyAlignment="1">
      <alignment vertical="center"/>
    </xf>
    <xf numFmtId="0" fontId="235" fillId="7" borderId="7" applyAlignment="1">
      <alignment vertical="center"/>
    </xf>
    <xf numFmtId="170" fontId="134" fillId="91" borderId="55" applyAlignment="1">
      <alignment vertical="center"/>
    </xf>
    <xf numFmtId="0" fontId="235" fillId="7" borderId="7" applyAlignment="1">
      <alignment vertical="center"/>
    </xf>
    <xf numFmtId="0" fontId="236" fillId="91" borderId="55" applyAlignment="1">
      <alignment vertical="center"/>
    </xf>
    <xf numFmtId="0" fontId="235" fillId="7" borderId="7" applyAlignment="1">
      <alignment vertical="center"/>
    </xf>
    <xf numFmtId="170" fontId="134" fillId="91" borderId="55" applyAlignment="1">
      <alignment vertical="center"/>
    </xf>
    <xf numFmtId="0" fontId="16" fillId="7" borderId="7" applyAlignment="1">
      <alignment vertical="center"/>
    </xf>
    <xf numFmtId="0" fontId="235" fillId="7" borderId="7" applyAlignment="1">
      <alignment vertical="center"/>
    </xf>
    <xf numFmtId="0" fontId="235" fillId="7" borderId="7" applyAlignment="1">
      <alignment vertical="center"/>
    </xf>
    <xf numFmtId="0" fontId="235" fillId="7" borderId="7" applyAlignment="1">
      <alignment vertical="center"/>
    </xf>
    <xf numFmtId="0" fontId="235" fillId="7" borderId="7" applyAlignment="1">
      <alignment vertical="center"/>
    </xf>
    <xf numFmtId="0" fontId="235" fillId="7" borderId="7" applyAlignment="1">
      <alignment vertical="center"/>
    </xf>
    <xf numFmtId="0" fontId="235" fillId="7" borderId="7" applyAlignment="1">
      <alignment vertical="center"/>
    </xf>
    <xf numFmtId="0" fontId="235" fillId="7" borderId="7" applyAlignment="1">
      <alignment vertical="center"/>
    </xf>
    <xf numFmtId="170" fontId="37" fillId="0" borderId="0"/>
    <xf numFmtId="170" fontId="237" fillId="0" borderId="0" applyAlignment="1">
      <alignment vertical="center"/>
    </xf>
    <xf numFmtId="0" fontId="237" fillId="0" borderId="0" applyAlignment="1">
      <alignment vertical="center"/>
    </xf>
    <xf numFmtId="170" fontId="238" fillId="0" borderId="0" applyAlignment="1">
      <alignment vertical="center"/>
    </xf>
    <xf numFmtId="0" fontId="238" fillId="0" borderId="0" applyAlignment="1">
      <alignment vertical="center"/>
    </xf>
    <xf numFmtId="169" fontId="4" fillId="0" borderId="0" applyAlignment="1">
      <alignment vertical="center"/>
    </xf>
    <xf numFmtId="169" fontId="4" fillId="0" borderId="0" applyAlignment="1">
      <alignment vertical="center"/>
    </xf>
    <xf numFmtId="169" fontId="4" fillId="0" borderId="0" applyAlignment="1">
      <alignment vertical="center"/>
    </xf>
    <xf numFmtId="169" fontId="4" fillId="0" borderId="0" applyAlignment="1">
      <alignment vertical="center"/>
    </xf>
    <xf numFmtId="169" fontId="4" fillId="0" borderId="0" applyAlignment="1">
      <alignment vertical="center"/>
    </xf>
    <xf numFmtId="169" fontId="4" fillId="0" borderId="0" applyAlignment="1">
      <alignment vertical="center"/>
    </xf>
    <xf numFmtId="169" fontId="4" fillId="0" borderId="0" applyAlignment="1">
      <alignment vertical="center"/>
    </xf>
    <xf numFmtId="169" fontId="4" fillId="0" borderId="0" applyAlignment="1">
      <alignment vertical="center"/>
    </xf>
    <xf numFmtId="169" fontId="4" fillId="0" borderId="0" applyAlignment="1">
      <alignment vertical="center"/>
    </xf>
    <xf numFmtId="169" fontId="37" fillId="0" borderId="0" applyAlignment="1">
      <alignment vertical="center"/>
    </xf>
    <xf numFmtId="169" fontId="60" fillId="0" borderId="0"/>
    <xf numFmtId="169" fontId="4" fillId="0" borderId="0" applyAlignment="1">
      <alignment vertical="center"/>
    </xf>
    <xf numFmtId="169" fontId="4" fillId="0" borderId="0" applyAlignment="1">
      <alignment vertical="center"/>
    </xf>
    <xf numFmtId="169" fontId="4" fillId="0" borderId="0" applyAlignment="1">
      <alignment vertical="center"/>
    </xf>
    <xf numFmtId="169" fontId="4" fillId="0" borderId="0" applyAlignment="1">
      <alignment vertical="center"/>
    </xf>
    <xf numFmtId="169" fontId="4" fillId="0" borderId="0" applyAlignment="1">
      <alignment vertical="center"/>
    </xf>
    <xf numFmtId="169" fontId="4" fillId="0" borderId="0" applyAlignment="1">
      <alignment vertical="center"/>
    </xf>
    <xf numFmtId="169" fontId="60" fillId="0" borderId="0"/>
    <xf numFmtId="169" fontId="37" fillId="0" borderId="0" applyAlignment="1">
      <alignment vertical="center"/>
    </xf>
    <xf numFmtId="169" fontId="60" fillId="0" borderId="0"/>
    <xf numFmtId="169" fontId="37" fillId="0" borderId="0" applyAlignment="1">
      <alignment vertical="center"/>
    </xf>
    <xf numFmtId="169" fontId="60" fillId="0" borderId="0"/>
    <xf numFmtId="169" fontId="37" fillId="0" borderId="0" applyAlignment="1">
      <alignment vertical="center"/>
    </xf>
    <xf numFmtId="169" fontId="60" fillId="0" borderId="0"/>
    <xf numFmtId="169" fontId="60" fillId="0" borderId="0"/>
    <xf numFmtId="169" fontId="79" fillId="0" borderId="0" applyAlignment="1">
      <alignment vertical="center"/>
    </xf>
    <xf numFmtId="169" fontId="37" fillId="0" borderId="0"/>
    <xf numFmtId="169" fontId="37" fillId="0" borderId="0"/>
    <xf numFmtId="169" fontId="37" fillId="0" borderId="0"/>
    <xf numFmtId="169" fontId="75" fillId="0" borderId="0" applyAlignment="1">
      <alignment vertical="center"/>
    </xf>
    <xf numFmtId="169" fontId="75" fillId="0" borderId="0" applyAlignment="1">
      <alignment vertical="center"/>
    </xf>
    <xf numFmtId="169" fontId="75" fillId="0" borderId="0" applyAlignment="1">
      <alignment vertical="center"/>
    </xf>
    <xf numFmtId="169" fontId="75" fillId="0" borderId="0" applyAlignment="1">
      <alignment vertical="center"/>
    </xf>
    <xf numFmtId="169" fontId="75" fillId="0" borderId="0" applyAlignment="1">
      <alignment vertical="center"/>
    </xf>
    <xf numFmtId="169" fontId="75" fillId="0" borderId="0" applyAlignment="1">
      <alignment vertical="center"/>
    </xf>
    <xf numFmtId="169" fontId="75" fillId="0" borderId="0" applyAlignment="1">
      <alignment vertical="center"/>
    </xf>
    <xf numFmtId="169" fontId="75" fillId="0" borderId="0" applyAlignment="1">
      <alignment vertical="center"/>
    </xf>
    <xf numFmtId="169" fontId="75" fillId="0" borderId="0" applyAlignment="1">
      <alignment vertical="center"/>
    </xf>
    <xf numFmtId="169" fontId="75" fillId="0" borderId="0" applyAlignment="1">
      <alignment vertical="center"/>
    </xf>
    <xf numFmtId="169" fontId="37" fillId="0" borderId="0"/>
    <xf numFmtId="169" fontId="75" fillId="0" borderId="0" applyAlignment="1">
      <alignment vertical="center"/>
    </xf>
    <xf numFmtId="169" fontId="37" fillId="0" borderId="0" applyAlignment="1">
      <alignment vertical="center"/>
    </xf>
    <xf numFmtId="169" fontId="37" fillId="0" borderId="0"/>
    <xf numFmtId="169" fontId="37" fillId="0" borderId="0" applyAlignment="1">
      <alignment vertical="center"/>
    </xf>
    <xf numFmtId="169" fontId="37" fillId="0" borderId="0" applyAlignment="1">
      <alignment vertical="center"/>
    </xf>
    <xf numFmtId="169" fontId="239" fillId="0" borderId="0" applyAlignment="1">
      <alignment vertical="center"/>
    </xf>
    <xf numFmtId="169" fontId="62" fillId="0" borderId="0" applyAlignment="1">
      <alignment vertical="center"/>
    </xf>
    <xf numFmtId="169" fontId="62" fillId="0" borderId="0" applyAlignment="1">
      <alignment vertical="center"/>
    </xf>
    <xf numFmtId="169" fontId="59" fillId="0" borderId="0"/>
    <xf numFmtId="169" fontId="227" fillId="0" borderId="0"/>
    <xf numFmtId="0" fontId="50" fillId="0" borderId="0"/>
    <xf numFmtId="170" fontId="51" fillId="0" borderId="0"/>
    <xf numFmtId="0" fontId="61" fillId="0" borderId="0"/>
    <xf numFmtId="222" fontId="50" fillId="0" borderId="0"/>
    <xf numFmtId="0" fontId="51" fillId="0" borderId="0"/>
    <xf numFmtId="0" fontId="61" fillId="0" borderId="0"/>
    <xf numFmtId="170" fontId="49" fillId="0" borderId="0"/>
    <xf numFmtId="170" fontId="49" fillId="0" borderId="0"/>
    <xf numFmtId="170" fontId="49" fillId="0" borderId="0"/>
    <xf numFmtId="223" fontId="50" fillId="0" borderId="0"/>
    <xf numFmtId="224" fontId="37" fillId="0" borderId="0"/>
    <xf numFmtId="170" fontId="49" fillId="0" borderId="0"/>
    <xf numFmtId="170" fontId="50" fillId="0" borderId="0"/>
    <xf numFmtId="170" fontId="50" fillId="0" borderId="0"/>
    <xf numFmtId="170" fontId="51" fillId="0" borderId="0"/>
    <xf numFmtId="170" fontId="51" fillId="0" borderId="0"/>
    <xf numFmtId="170" fontId="49" fillId="0" borderId="0"/>
    <xf numFmtId="170" fontId="51" fillId="0" borderId="0"/>
    <xf numFmtId="170" fontId="51" fillId="0" borderId="0"/>
    <xf numFmtId="170" fontId="51" fillId="0" borderId="0"/>
    <xf numFmtId="170" fontId="51" fillId="0" borderId="0"/>
    <xf numFmtId="170" fontId="51" fillId="0" borderId="0"/>
    <xf numFmtId="170" fontId="51" fillId="0" borderId="0"/>
    <xf numFmtId="170" fontId="51" fillId="0" borderId="0"/>
    <xf numFmtId="170" fontId="51" fillId="0" borderId="0"/>
    <xf numFmtId="170" fontId="51" fillId="0" borderId="0"/>
    <xf numFmtId="170" fontId="51" fillId="0" borderId="0"/>
    <xf numFmtId="170" fontId="49" fillId="0" borderId="0"/>
    <xf numFmtId="170" fontId="51" fillId="0" borderId="0"/>
    <xf numFmtId="170" fontId="51" fillId="0" borderId="0"/>
    <xf numFmtId="170" fontId="51" fillId="0" borderId="0"/>
    <xf numFmtId="170" fontId="51" fillId="0" borderId="0"/>
    <xf numFmtId="170" fontId="51" fillId="0" borderId="0"/>
    <xf numFmtId="170" fontId="51" fillId="0" borderId="0"/>
    <xf numFmtId="170" fontId="51" fillId="0" borderId="0"/>
    <xf numFmtId="170" fontId="51" fillId="0" borderId="0"/>
    <xf numFmtId="170" fontId="51" fillId="0" borderId="0"/>
    <xf numFmtId="170" fontId="51" fillId="0" borderId="0"/>
    <xf numFmtId="170" fontId="49" fillId="0" borderId="0"/>
    <xf numFmtId="170" fontId="51" fillId="0" borderId="0"/>
    <xf numFmtId="170" fontId="51" fillId="0" borderId="0"/>
    <xf numFmtId="170" fontId="51" fillId="0" borderId="0"/>
    <xf numFmtId="170" fontId="51" fillId="0" borderId="0"/>
    <xf numFmtId="170" fontId="51" fillId="0" borderId="0"/>
    <xf numFmtId="170" fontId="51" fillId="0" borderId="0"/>
    <xf numFmtId="170" fontId="51" fillId="0" borderId="0"/>
    <xf numFmtId="170" fontId="51" fillId="0" borderId="0"/>
    <xf numFmtId="170" fontId="51" fillId="0" borderId="0"/>
    <xf numFmtId="170" fontId="51" fillId="0" borderId="0"/>
    <xf numFmtId="170" fontId="49" fillId="0" borderId="0"/>
    <xf numFmtId="170" fontId="51" fillId="0" borderId="0"/>
    <xf numFmtId="170" fontId="51" fillId="0" borderId="0"/>
    <xf numFmtId="170" fontId="51" fillId="0" borderId="0"/>
    <xf numFmtId="170" fontId="51" fillId="0" borderId="0"/>
    <xf numFmtId="170" fontId="50" fillId="0" borderId="0"/>
    <xf numFmtId="170" fontId="49" fillId="0" borderId="0"/>
    <xf numFmtId="170" fontId="49" fillId="0" borderId="0"/>
    <xf numFmtId="170" fontId="49" fillId="0" borderId="0"/>
    <xf numFmtId="170" fontId="49" fillId="0" borderId="0"/>
    <xf numFmtId="0" fontId="240" fillId="0" borderId="6" applyAlignment="1">
      <alignment vertical="center"/>
    </xf>
    <xf numFmtId="0" fontId="240" fillId="0" borderId="6" applyAlignment="1">
      <alignment vertical="center"/>
    </xf>
    <xf numFmtId="0" fontId="240" fillId="0" borderId="6" applyAlignment="1">
      <alignment vertical="center"/>
    </xf>
    <xf numFmtId="0" fontId="240" fillId="0" borderId="6" applyAlignment="1">
      <alignment vertical="center"/>
    </xf>
    <xf numFmtId="0" fontId="240" fillId="0" borderId="6" applyAlignment="1">
      <alignment vertical="center"/>
    </xf>
    <xf numFmtId="0" fontId="240" fillId="0" borderId="6" applyAlignment="1">
      <alignment vertical="center"/>
    </xf>
    <xf numFmtId="0" fontId="240" fillId="0" borderId="6" applyAlignment="1">
      <alignment vertical="center"/>
    </xf>
    <xf numFmtId="170" fontId="201" fillId="0" borderId="75" applyAlignment="1">
      <alignment vertical="center"/>
    </xf>
    <xf numFmtId="0" fontId="240" fillId="0" borderId="6" applyAlignment="1">
      <alignment vertical="center"/>
    </xf>
    <xf numFmtId="0" fontId="241" fillId="0" borderId="65" applyAlignment="1">
      <alignment vertical="center"/>
    </xf>
    <xf numFmtId="0" fontId="240" fillId="0" borderId="6" applyAlignment="1">
      <alignment vertical="center"/>
    </xf>
    <xf numFmtId="170" fontId="172" fillId="0" borderId="65" applyAlignment="1">
      <alignment vertical="center"/>
    </xf>
    <xf numFmtId="0" fontId="15" fillId="0" borderId="6" applyAlignment="1">
      <alignment vertical="center"/>
    </xf>
    <xf numFmtId="0" fontId="240" fillId="0" borderId="6" applyAlignment="1">
      <alignment vertical="center"/>
    </xf>
    <xf numFmtId="0" fontId="240" fillId="0" borderId="6" applyAlignment="1">
      <alignment vertical="center"/>
    </xf>
    <xf numFmtId="0" fontId="240" fillId="0" borderId="6" applyAlignment="1">
      <alignment vertical="center"/>
    </xf>
    <xf numFmtId="0" fontId="240" fillId="0" borderId="6" applyAlignment="1">
      <alignment vertical="center"/>
    </xf>
    <xf numFmtId="0" fontId="240" fillId="0" borderId="6" applyAlignment="1">
      <alignment vertical="center"/>
    </xf>
    <xf numFmtId="0" fontId="240" fillId="0" borderId="6" applyAlignment="1">
      <alignment vertical="center"/>
    </xf>
    <xf numFmtId="0" fontId="240" fillId="0" borderId="6" applyAlignment="1">
      <alignment vertical="center"/>
    </xf>
    <xf numFmtId="170" fontId="223" fillId="0" borderId="0" applyAlignment="1" applyProtection="1">
      <alignment vertical="top"/>
      <protection locked="0" hidden="0"/>
    </xf>
    <xf numFmtId="0" fontId="242" fillId="0" borderId="0" applyAlignment="1" applyProtection="1">
      <alignment vertical="top"/>
      <protection locked="0" hidden="0"/>
    </xf>
    <xf numFmtId="188" fontId="243" fillId="0" borderId="0"/>
    <xf numFmtId="170" fontId="58" fillId="0" borderId="0"/>
    <xf numFmtId="196" fontId="208" fillId="0" borderId="0"/>
    <xf numFmtId="197" fontId="208" fillId="0" borderId="0"/>
    <xf numFmtId="0" fontId="244" fillId="0" borderId="9" applyAlignment="1">
      <alignment vertical="center"/>
    </xf>
    <xf numFmtId="0" fontId="244" fillId="0" borderId="9" applyAlignment="1">
      <alignment vertical="center"/>
    </xf>
    <xf numFmtId="0" fontId="244" fillId="0" borderId="9" applyAlignment="1">
      <alignment vertical="center"/>
    </xf>
    <xf numFmtId="0" fontId="244" fillId="0" borderId="9" applyAlignment="1">
      <alignment vertical="center"/>
    </xf>
    <xf numFmtId="0" fontId="244" fillId="0" borderId="9" applyAlignment="1">
      <alignment vertical="center"/>
    </xf>
    <xf numFmtId="0" fontId="244" fillId="0" borderId="9" applyAlignment="1">
      <alignment vertical="center"/>
    </xf>
    <xf numFmtId="0" fontId="244" fillId="0" borderId="9" applyAlignment="1">
      <alignment vertical="center"/>
    </xf>
    <xf numFmtId="170" fontId="197" fillId="0" borderId="76" applyAlignment="1">
      <alignment vertical="center"/>
    </xf>
    <xf numFmtId="170" fontId="197" fillId="0" borderId="76" applyAlignment="1">
      <alignment vertical="center"/>
    </xf>
    <xf numFmtId="170" fontId="197" fillId="0" borderId="76" applyAlignment="1">
      <alignment vertical="center"/>
    </xf>
    <xf numFmtId="170" fontId="197" fillId="0" borderId="76" applyAlignment="1">
      <alignment vertical="center"/>
    </xf>
    <xf numFmtId="170" fontId="197" fillId="0" borderId="76" applyAlignment="1">
      <alignment vertical="center"/>
    </xf>
    <xf numFmtId="170" fontId="197" fillId="0" borderId="76" applyAlignment="1">
      <alignment vertical="center"/>
    </xf>
    <xf numFmtId="170" fontId="197" fillId="0" borderId="76" applyAlignment="1">
      <alignment vertical="center"/>
    </xf>
    <xf numFmtId="170" fontId="197" fillId="0" borderId="76" applyAlignment="1">
      <alignment vertical="center"/>
    </xf>
    <xf numFmtId="170" fontId="197" fillId="0" borderId="76" applyAlignment="1">
      <alignment vertical="center"/>
    </xf>
    <xf numFmtId="0" fontId="245" fillId="0" borderId="71" applyAlignment="1">
      <alignment vertical="center"/>
    </xf>
    <xf numFmtId="170" fontId="197" fillId="0" borderId="76" applyAlignment="1">
      <alignment vertical="center"/>
    </xf>
    <xf numFmtId="170" fontId="197" fillId="0" borderId="76" applyAlignment="1">
      <alignment vertical="center"/>
    </xf>
    <xf numFmtId="170" fontId="197" fillId="0" borderId="76" applyAlignment="1">
      <alignment vertical="center"/>
    </xf>
    <xf numFmtId="170" fontId="197" fillId="0" borderId="76" applyAlignment="1">
      <alignment vertical="center"/>
    </xf>
    <xf numFmtId="170" fontId="197" fillId="0" borderId="76" applyAlignment="1">
      <alignment vertical="center"/>
    </xf>
    <xf numFmtId="170" fontId="197" fillId="0" borderId="76" applyAlignment="1">
      <alignment vertical="center"/>
    </xf>
    <xf numFmtId="170" fontId="197" fillId="0" borderId="76" applyAlignment="1">
      <alignment vertical="center"/>
    </xf>
    <xf numFmtId="170" fontId="197" fillId="0" borderId="76" applyAlignment="1">
      <alignment vertical="center"/>
    </xf>
    <xf numFmtId="170" fontId="197" fillId="0" borderId="76" applyAlignment="1">
      <alignment vertical="center"/>
    </xf>
    <xf numFmtId="170" fontId="197" fillId="0" borderId="76" applyAlignment="1">
      <alignment vertical="center"/>
    </xf>
    <xf numFmtId="170" fontId="197" fillId="0" borderId="76" applyAlignment="1">
      <alignment vertical="center"/>
    </xf>
    <xf numFmtId="170" fontId="197" fillId="0" borderId="76" applyAlignment="1">
      <alignment vertical="center"/>
    </xf>
    <xf numFmtId="170" fontId="197" fillId="0" borderId="76" applyAlignment="1">
      <alignment vertical="center"/>
    </xf>
    <xf numFmtId="170" fontId="197" fillId="0" borderId="76" applyAlignment="1">
      <alignment vertical="center"/>
    </xf>
    <xf numFmtId="170" fontId="197" fillId="0" borderId="76" applyAlignment="1">
      <alignment vertical="center"/>
    </xf>
    <xf numFmtId="170" fontId="197" fillId="0" borderId="76" applyAlignment="1">
      <alignment vertical="center"/>
    </xf>
    <xf numFmtId="170" fontId="197" fillId="0" borderId="76" applyAlignment="1">
      <alignment vertical="center"/>
    </xf>
    <xf numFmtId="170" fontId="197" fillId="0" borderId="76" applyAlignment="1">
      <alignment vertical="center"/>
    </xf>
    <xf numFmtId="0" fontId="244" fillId="0" borderId="9" applyAlignment="1">
      <alignment vertical="center"/>
    </xf>
    <xf numFmtId="0" fontId="245" fillId="0" borderId="71" applyAlignment="1">
      <alignment vertical="center"/>
    </xf>
    <xf numFmtId="0" fontId="244" fillId="0" borderId="9" applyAlignment="1">
      <alignment vertical="center"/>
    </xf>
    <xf numFmtId="170" fontId="197" fillId="0" borderId="71" applyAlignment="1">
      <alignment vertical="center"/>
    </xf>
    <xf numFmtId="170" fontId="197" fillId="0" borderId="71" applyAlignment="1">
      <alignment vertical="center"/>
    </xf>
    <xf numFmtId="170" fontId="197" fillId="0" borderId="71" applyAlignment="1">
      <alignment vertical="center"/>
    </xf>
    <xf numFmtId="170" fontId="197" fillId="0" borderId="71" applyAlignment="1">
      <alignment vertical="center"/>
    </xf>
    <xf numFmtId="170" fontId="197" fillId="0" borderId="71" applyAlignment="1">
      <alignment vertical="center"/>
    </xf>
    <xf numFmtId="170" fontId="197" fillId="0" borderId="71" applyAlignment="1">
      <alignment vertical="center"/>
    </xf>
    <xf numFmtId="170" fontId="197" fillId="0" borderId="71" applyAlignment="1">
      <alignment vertical="center"/>
    </xf>
    <xf numFmtId="170" fontId="197" fillId="0" borderId="71" applyAlignment="1">
      <alignment vertical="center"/>
    </xf>
    <xf numFmtId="170" fontId="197" fillId="0" borderId="71" applyAlignment="1">
      <alignment vertical="center"/>
    </xf>
    <xf numFmtId="170" fontId="197" fillId="0" borderId="71" applyAlignment="1">
      <alignment vertical="center"/>
    </xf>
    <xf numFmtId="170" fontId="197" fillId="0" borderId="71" applyAlignment="1">
      <alignment vertical="center"/>
    </xf>
    <xf numFmtId="170" fontId="197" fillId="0" borderId="71" applyAlignment="1">
      <alignment vertical="center"/>
    </xf>
    <xf numFmtId="170" fontId="197" fillId="0" borderId="71" applyAlignment="1">
      <alignment vertical="center"/>
    </xf>
    <xf numFmtId="170" fontId="197" fillId="0" borderId="71" applyAlignment="1">
      <alignment vertical="center"/>
    </xf>
    <xf numFmtId="170" fontId="197" fillId="0" borderId="71" applyAlignment="1">
      <alignment vertical="center"/>
    </xf>
    <xf numFmtId="170" fontId="197" fillId="0" borderId="71" applyAlignment="1">
      <alignment vertical="center"/>
    </xf>
    <xf numFmtId="170" fontId="197" fillId="0" borderId="71" applyAlignment="1">
      <alignment vertical="center"/>
    </xf>
    <xf numFmtId="170" fontId="197" fillId="0" borderId="71" applyAlignment="1">
      <alignment vertical="center"/>
    </xf>
    <xf numFmtId="170" fontId="197" fillId="0" borderId="71" applyAlignment="1">
      <alignment vertical="center"/>
    </xf>
    <xf numFmtId="170" fontId="197" fillId="0" borderId="71" applyAlignment="1">
      <alignment vertical="center"/>
    </xf>
    <xf numFmtId="170" fontId="197" fillId="0" borderId="71" applyAlignment="1">
      <alignment vertical="center"/>
    </xf>
    <xf numFmtId="170" fontId="197" fillId="0" borderId="71" applyAlignment="1">
      <alignment vertical="center"/>
    </xf>
    <xf numFmtId="170" fontId="197" fillId="0" borderId="71" applyAlignment="1">
      <alignment vertical="center"/>
    </xf>
    <xf numFmtId="170" fontId="197" fillId="0" borderId="71" applyAlignment="1">
      <alignment vertical="center"/>
    </xf>
    <xf numFmtId="170" fontId="197" fillId="0" borderId="71" applyAlignment="1">
      <alignment vertical="center"/>
    </xf>
    <xf numFmtId="170" fontId="197" fillId="0" borderId="71" applyAlignment="1">
      <alignment vertical="center"/>
    </xf>
    <xf numFmtId="170" fontId="197" fillId="0" borderId="71" applyAlignment="1">
      <alignment vertical="center"/>
    </xf>
    <xf numFmtId="0" fontId="19" fillId="0" borderId="9" applyAlignment="1">
      <alignment vertical="center"/>
    </xf>
    <xf numFmtId="0" fontId="244" fillId="0" borderId="9" applyAlignment="1">
      <alignment vertical="center"/>
    </xf>
    <xf numFmtId="0" fontId="244" fillId="0" borderId="9" applyAlignment="1">
      <alignment vertical="center"/>
    </xf>
    <xf numFmtId="0" fontId="244" fillId="0" borderId="9" applyAlignment="1">
      <alignment vertical="center"/>
    </xf>
    <xf numFmtId="0" fontId="244" fillId="0" borderId="9" applyAlignment="1">
      <alignment vertical="center"/>
    </xf>
    <xf numFmtId="0" fontId="244" fillId="0" borderId="9" applyAlignment="1">
      <alignment vertical="center"/>
    </xf>
    <xf numFmtId="0" fontId="244" fillId="0" borderId="9" applyAlignment="1">
      <alignment vertical="center"/>
    </xf>
    <xf numFmtId="0" fontId="244" fillId="0" borderId="9" applyAlignment="1">
      <alignment vertical="center"/>
    </xf>
    <xf numFmtId="170" fontId="246" fillId="0" borderId="0"/>
    <xf numFmtId="0" fontId="247" fillId="5" borderId="4" applyAlignment="1">
      <alignment vertical="center"/>
    </xf>
    <xf numFmtId="0" fontId="247" fillId="5" borderId="4" applyAlignment="1">
      <alignment vertical="center"/>
    </xf>
    <xf numFmtId="0" fontId="247" fillId="5" borderId="4" applyAlignment="1">
      <alignment vertical="center"/>
    </xf>
    <xf numFmtId="0" fontId="247" fillId="5" borderId="4" applyAlignment="1">
      <alignment vertical="center"/>
    </xf>
    <xf numFmtId="0" fontId="247" fillId="5" borderId="4" applyAlignment="1">
      <alignment vertical="center"/>
    </xf>
    <xf numFmtId="0" fontId="247" fillId="5" borderId="4" applyAlignment="1">
      <alignment vertical="center"/>
    </xf>
    <xf numFmtId="0" fontId="247" fillId="5" borderId="4" applyAlignment="1">
      <alignment vertical="center"/>
    </xf>
    <xf numFmtId="170" fontId="168" fillId="59" borderId="54" applyAlignment="1">
      <alignment vertical="center"/>
    </xf>
    <xf numFmtId="170" fontId="168" fillId="59" borderId="54" applyAlignment="1">
      <alignment vertical="center"/>
    </xf>
    <xf numFmtId="170" fontId="168" fillId="59" borderId="54" applyAlignment="1">
      <alignment vertical="center"/>
    </xf>
    <xf numFmtId="170" fontId="168" fillId="59" borderId="54" applyAlignment="1">
      <alignment vertical="center"/>
    </xf>
    <xf numFmtId="170" fontId="168" fillId="59" borderId="54" applyAlignment="1">
      <alignment vertical="center"/>
    </xf>
    <xf numFmtId="170" fontId="168" fillId="59" borderId="54" applyAlignment="1">
      <alignment vertical="center"/>
    </xf>
    <xf numFmtId="170" fontId="168" fillId="59" borderId="54" applyAlignment="1">
      <alignment vertical="center"/>
    </xf>
    <xf numFmtId="170" fontId="168" fillId="59" borderId="54" applyAlignment="1">
      <alignment vertical="center"/>
    </xf>
    <xf numFmtId="170" fontId="168" fillId="59" borderId="54" applyAlignment="1">
      <alignment vertical="center"/>
    </xf>
    <xf numFmtId="0" fontId="248" fillId="49" borderId="54" applyAlignment="1">
      <alignment vertical="center"/>
    </xf>
    <xf numFmtId="170" fontId="168" fillId="59" borderId="54" applyAlignment="1">
      <alignment vertical="center"/>
    </xf>
    <xf numFmtId="170" fontId="168" fillId="59" borderId="54" applyAlignment="1">
      <alignment vertical="center"/>
    </xf>
    <xf numFmtId="170" fontId="168" fillId="59" borderId="54" applyAlignment="1">
      <alignment vertical="center"/>
    </xf>
    <xf numFmtId="170" fontId="168" fillId="59" borderId="54" applyAlignment="1">
      <alignment vertical="center"/>
    </xf>
    <xf numFmtId="170" fontId="168" fillId="59" borderId="54" applyAlignment="1">
      <alignment vertical="center"/>
    </xf>
    <xf numFmtId="170" fontId="168" fillId="59" borderId="54" applyAlignment="1">
      <alignment vertical="center"/>
    </xf>
    <xf numFmtId="170" fontId="168" fillId="59" borderId="54" applyAlignment="1">
      <alignment vertical="center"/>
    </xf>
    <xf numFmtId="170" fontId="168" fillId="59" borderId="54" applyAlignment="1">
      <alignment vertical="center"/>
    </xf>
    <xf numFmtId="170" fontId="168" fillId="59" borderId="54" applyAlignment="1">
      <alignment vertical="center"/>
    </xf>
    <xf numFmtId="170" fontId="168" fillId="59" borderId="54" applyAlignment="1">
      <alignment vertical="center"/>
    </xf>
    <xf numFmtId="170" fontId="168" fillId="59" borderId="54" applyAlignment="1">
      <alignment vertical="center"/>
    </xf>
    <xf numFmtId="170" fontId="168" fillId="59" borderId="54" applyAlignment="1">
      <alignment vertical="center"/>
    </xf>
    <xf numFmtId="170" fontId="168" fillId="59" borderId="54" applyAlignment="1">
      <alignment vertical="center"/>
    </xf>
    <xf numFmtId="170" fontId="168" fillId="59" borderId="54" applyAlignment="1">
      <alignment vertical="center"/>
    </xf>
    <xf numFmtId="170" fontId="168" fillId="59" borderId="54" applyAlignment="1">
      <alignment vertical="center"/>
    </xf>
    <xf numFmtId="170" fontId="168" fillId="59" borderId="54" applyAlignment="1">
      <alignment vertical="center"/>
    </xf>
    <xf numFmtId="170" fontId="168" fillId="59" borderId="54" applyAlignment="1">
      <alignment vertical="center"/>
    </xf>
    <xf numFmtId="170" fontId="168" fillId="59" borderId="54" applyAlignment="1">
      <alignment vertical="center"/>
    </xf>
    <xf numFmtId="0" fontId="247" fillId="5" borderId="4" applyAlignment="1">
      <alignment vertical="center"/>
    </xf>
    <xf numFmtId="0" fontId="248" fillId="49" borderId="54" applyAlignment="1">
      <alignment vertical="center"/>
    </xf>
    <xf numFmtId="0" fontId="247" fillId="5" borderId="4" applyAlignment="1">
      <alignment vertical="center"/>
    </xf>
    <xf numFmtId="170" fontId="168" fillId="49" borderId="54" applyAlignment="1">
      <alignment vertical="center"/>
    </xf>
    <xf numFmtId="170" fontId="168" fillId="49" borderId="54" applyAlignment="1">
      <alignment vertical="center"/>
    </xf>
    <xf numFmtId="170" fontId="168" fillId="49" borderId="54" applyAlignment="1">
      <alignment vertical="center"/>
    </xf>
    <xf numFmtId="170" fontId="168" fillId="49" borderId="54" applyAlignment="1">
      <alignment vertical="center"/>
    </xf>
    <xf numFmtId="170" fontId="168" fillId="49" borderId="54" applyAlignment="1">
      <alignment vertical="center"/>
    </xf>
    <xf numFmtId="170" fontId="168" fillId="49" borderId="54" applyAlignment="1">
      <alignment vertical="center"/>
    </xf>
    <xf numFmtId="170" fontId="168" fillId="49" borderId="54" applyAlignment="1">
      <alignment vertical="center"/>
    </xf>
    <xf numFmtId="170" fontId="168" fillId="49" borderId="54" applyAlignment="1">
      <alignment vertical="center"/>
    </xf>
    <xf numFmtId="170" fontId="168" fillId="49" borderId="54" applyAlignment="1">
      <alignment vertical="center"/>
    </xf>
    <xf numFmtId="170" fontId="168" fillId="49" borderId="54" applyAlignment="1">
      <alignment vertical="center"/>
    </xf>
    <xf numFmtId="170" fontId="168" fillId="49" borderId="54" applyAlignment="1">
      <alignment vertical="center"/>
    </xf>
    <xf numFmtId="170" fontId="168" fillId="49" borderId="54" applyAlignment="1">
      <alignment vertical="center"/>
    </xf>
    <xf numFmtId="170" fontId="168" fillId="49" borderId="54" applyAlignment="1">
      <alignment vertical="center"/>
    </xf>
    <xf numFmtId="170" fontId="168" fillId="49" borderId="54" applyAlignment="1">
      <alignment vertical="center"/>
    </xf>
    <xf numFmtId="170" fontId="168" fillId="49" borderId="54" applyAlignment="1">
      <alignment vertical="center"/>
    </xf>
    <xf numFmtId="170" fontId="168" fillId="49" borderId="54" applyAlignment="1">
      <alignment vertical="center"/>
    </xf>
    <xf numFmtId="170" fontId="168" fillId="49" borderId="54" applyAlignment="1">
      <alignment vertical="center"/>
    </xf>
    <xf numFmtId="170" fontId="168" fillId="49" borderId="54" applyAlignment="1">
      <alignment vertical="center"/>
    </xf>
    <xf numFmtId="170" fontId="168" fillId="49" borderId="54" applyAlignment="1">
      <alignment vertical="center"/>
    </xf>
    <xf numFmtId="170" fontId="168" fillId="49" borderId="54" applyAlignment="1">
      <alignment vertical="center"/>
    </xf>
    <xf numFmtId="170" fontId="168" fillId="49" borderId="54" applyAlignment="1">
      <alignment vertical="center"/>
    </xf>
    <xf numFmtId="170" fontId="168" fillId="49" borderId="54" applyAlignment="1">
      <alignment vertical="center"/>
    </xf>
    <xf numFmtId="170" fontId="168" fillId="49" borderId="54" applyAlignment="1">
      <alignment vertical="center"/>
    </xf>
    <xf numFmtId="170" fontId="168" fillId="49" borderId="54" applyAlignment="1">
      <alignment vertical="center"/>
    </xf>
    <xf numFmtId="170" fontId="168" fillId="49" borderId="54" applyAlignment="1">
      <alignment vertical="center"/>
    </xf>
    <xf numFmtId="170" fontId="168" fillId="49" borderId="54" applyAlignment="1">
      <alignment vertical="center"/>
    </xf>
    <xf numFmtId="170" fontId="168" fillId="49" borderId="54" applyAlignment="1">
      <alignment vertical="center"/>
    </xf>
    <xf numFmtId="0" fontId="12" fillId="5" borderId="4" applyAlignment="1">
      <alignment vertical="center"/>
    </xf>
    <xf numFmtId="0" fontId="247" fillId="5" borderId="4" applyAlignment="1">
      <alignment vertical="center"/>
    </xf>
    <xf numFmtId="0" fontId="247" fillId="5" borderId="4" applyAlignment="1">
      <alignment vertical="center"/>
    </xf>
    <xf numFmtId="0" fontId="247" fillId="5" borderId="4" applyAlignment="1">
      <alignment vertical="center"/>
    </xf>
    <xf numFmtId="0" fontId="247" fillId="5" borderId="4" applyAlignment="1">
      <alignment vertical="center"/>
    </xf>
    <xf numFmtId="0" fontId="247" fillId="5" borderId="4" applyAlignment="1">
      <alignment vertical="center"/>
    </xf>
    <xf numFmtId="0" fontId="247" fillId="5" borderId="4" applyAlignment="1">
      <alignment vertical="center"/>
    </xf>
    <xf numFmtId="0" fontId="247" fillId="5" borderId="4" applyAlignment="1">
      <alignment vertical="center"/>
    </xf>
    <xf numFmtId="4" fontId="214" fillId="0" borderId="0"/>
    <xf numFmtId="4" fontId="138" fillId="0" borderId="0" applyProtection="1">
      <protection locked="0" hidden="0"/>
    </xf>
    <xf numFmtId="4" fontId="214" fillId="0" borderId="0"/>
    <xf numFmtId="3" fontId="214" fillId="0" borderId="0"/>
    <xf numFmtId="170" fontId="50" fillId="0" borderId="0" applyProtection="1">
      <protection locked="0" hidden="0"/>
    </xf>
    <xf numFmtId="3" fontId="214" fillId="0" borderId="0"/>
    <xf numFmtId="0" fontId="50" fillId="0" borderId="0" applyProtection="1">
      <protection locked="0" hidden="0"/>
    </xf>
    <xf numFmtId="0" fontId="249" fillId="0" borderId="1" applyAlignment="1">
      <alignment vertical="center"/>
    </xf>
    <xf numFmtId="0" fontId="249" fillId="0" borderId="1" applyAlignment="1">
      <alignment vertical="center"/>
    </xf>
    <xf numFmtId="0" fontId="249" fillId="0" borderId="1" applyAlignment="1">
      <alignment vertical="center"/>
    </xf>
    <xf numFmtId="0" fontId="249" fillId="0" borderId="1" applyAlignment="1">
      <alignment vertical="center"/>
    </xf>
    <xf numFmtId="0" fontId="249" fillId="0" borderId="1" applyAlignment="1">
      <alignment vertical="center"/>
    </xf>
    <xf numFmtId="0" fontId="249" fillId="0" borderId="1" applyAlignment="1">
      <alignment vertical="center"/>
    </xf>
    <xf numFmtId="0" fontId="249" fillId="0" borderId="1" applyAlignment="1">
      <alignment vertical="center"/>
    </xf>
    <xf numFmtId="170" fontId="250" fillId="0" borderId="77" applyAlignment="1">
      <alignment vertical="center"/>
    </xf>
    <xf numFmtId="0" fontId="249" fillId="0" borderId="1" applyAlignment="1">
      <alignment vertical="center"/>
    </xf>
    <xf numFmtId="0" fontId="251" fillId="0" borderId="58" applyAlignment="1">
      <alignment vertical="center"/>
    </xf>
    <xf numFmtId="0" fontId="249" fillId="0" borderId="1" applyAlignment="1">
      <alignment vertical="center"/>
    </xf>
    <xf numFmtId="170" fontId="153" fillId="0" borderId="58" applyAlignment="1">
      <alignment vertical="center"/>
    </xf>
    <xf numFmtId="0" fontId="6" fillId="0" borderId="1" applyAlignment="1">
      <alignment vertical="center"/>
    </xf>
    <xf numFmtId="0" fontId="249" fillId="0" borderId="1" applyAlignment="1">
      <alignment vertical="center"/>
    </xf>
    <xf numFmtId="0" fontId="249" fillId="0" borderId="1" applyAlignment="1">
      <alignment vertical="center"/>
    </xf>
    <xf numFmtId="0" fontId="249" fillId="0" borderId="1" applyAlignment="1">
      <alignment vertical="center"/>
    </xf>
    <xf numFmtId="0" fontId="249" fillId="0" borderId="1" applyAlignment="1">
      <alignment vertical="center"/>
    </xf>
    <xf numFmtId="0" fontId="249" fillId="0" borderId="1" applyAlignment="1">
      <alignment vertical="center"/>
    </xf>
    <xf numFmtId="0" fontId="249" fillId="0" borderId="1" applyAlignment="1">
      <alignment vertical="center"/>
    </xf>
    <xf numFmtId="0" fontId="249" fillId="0" borderId="1" applyAlignment="1">
      <alignment vertical="center"/>
    </xf>
    <xf numFmtId="0" fontId="252" fillId="0" borderId="0" applyAlignment="1">
      <alignment vertical="center"/>
    </xf>
    <xf numFmtId="0" fontId="252" fillId="0" borderId="0" applyAlignment="1">
      <alignment vertical="center"/>
    </xf>
    <xf numFmtId="0" fontId="252" fillId="0" borderId="0" applyAlignment="1">
      <alignment vertical="center"/>
    </xf>
    <xf numFmtId="0" fontId="252" fillId="0" borderId="0" applyAlignment="1">
      <alignment vertical="center"/>
    </xf>
    <xf numFmtId="0" fontId="252" fillId="0" borderId="0" applyAlignment="1">
      <alignment vertical="center"/>
    </xf>
    <xf numFmtId="0" fontId="252" fillId="0" borderId="0" applyAlignment="1">
      <alignment vertical="center"/>
    </xf>
    <xf numFmtId="0" fontId="252" fillId="0" borderId="0" applyAlignment="1">
      <alignment vertical="center"/>
    </xf>
    <xf numFmtId="0" fontId="252" fillId="0" borderId="0" applyAlignment="1">
      <alignment vertical="center"/>
    </xf>
    <xf numFmtId="0" fontId="252" fillId="0" borderId="0" applyAlignment="1">
      <alignment vertical="center"/>
    </xf>
    <xf numFmtId="0" fontId="253" fillId="0" borderId="2" applyAlignment="1">
      <alignment vertical="center"/>
    </xf>
    <xf numFmtId="0" fontId="253" fillId="0" borderId="2" applyAlignment="1">
      <alignment vertical="center"/>
    </xf>
    <xf numFmtId="0" fontId="253" fillId="0" borderId="2" applyAlignment="1">
      <alignment vertical="center"/>
    </xf>
    <xf numFmtId="0" fontId="253" fillId="0" borderId="2" applyAlignment="1">
      <alignment vertical="center"/>
    </xf>
    <xf numFmtId="0" fontId="253" fillId="0" borderId="2" applyAlignment="1">
      <alignment vertical="center"/>
    </xf>
    <xf numFmtId="0" fontId="253" fillId="0" borderId="2" applyAlignment="1">
      <alignment vertical="center"/>
    </xf>
    <xf numFmtId="0" fontId="253" fillId="0" borderId="2" applyAlignment="1">
      <alignment vertical="center"/>
    </xf>
    <xf numFmtId="170" fontId="254" fillId="0" borderId="78" applyAlignment="1">
      <alignment vertical="center"/>
    </xf>
    <xf numFmtId="0" fontId="253" fillId="0" borderId="2" applyAlignment="1">
      <alignment vertical="center"/>
    </xf>
    <xf numFmtId="0" fontId="255" fillId="0" borderId="60" applyAlignment="1">
      <alignment vertical="center"/>
    </xf>
    <xf numFmtId="0" fontId="253" fillId="0" borderId="2" applyAlignment="1">
      <alignment vertical="center"/>
    </xf>
    <xf numFmtId="170" fontId="157" fillId="0" borderId="60" applyAlignment="1">
      <alignment vertical="center"/>
    </xf>
    <xf numFmtId="0" fontId="7" fillId="0" borderId="2" applyAlignment="1">
      <alignment vertical="center"/>
    </xf>
    <xf numFmtId="0" fontId="253" fillId="0" borderId="2" applyAlignment="1">
      <alignment vertical="center"/>
    </xf>
    <xf numFmtId="0" fontId="253" fillId="0" borderId="2" applyAlignment="1">
      <alignment vertical="center"/>
    </xf>
    <xf numFmtId="0" fontId="253" fillId="0" borderId="2" applyAlignment="1">
      <alignment vertical="center"/>
    </xf>
    <xf numFmtId="0" fontId="253" fillId="0" borderId="2" applyAlignment="1">
      <alignment vertical="center"/>
    </xf>
    <xf numFmtId="0" fontId="253" fillId="0" borderId="2" applyAlignment="1">
      <alignment vertical="center"/>
    </xf>
    <xf numFmtId="0" fontId="253" fillId="0" borderId="2" applyAlignment="1">
      <alignment vertical="center"/>
    </xf>
    <xf numFmtId="0" fontId="253" fillId="0" borderId="2" applyAlignment="1">
      <alignment vertical="center"/>
    </xf>
    <xf numFmtId="0" fontId="256" fillId="0" borderId="3" applyAlignment="1">
      <alignment vertical="center"/>
    </xf>
    <xf numFmtId="0" fontId="256" fillId="0" borderId="3" applyAlignment="1">
      <alignment vertical="center"/>
    </xf>
    <xf numFmtId="0" fontId="256" fillId="0" borderId="3" applyAlignment="1">
      <alignment vertical="center"/>
    </xf>
    <xf numFmtId="0" fontId="256" fillId="0" borderId="3" applyAlignment="1">
      <alignment vertical="center"/>
    </xf>
    <xf numFmtId="0" fontId="256" fillId="0" borderId="3" applyAlignment="1">
      <alignment vertical="center"/>
    </xf>
    <xf numFmtId="0" fontId="256" fillId="0" borderId="3" applyAlignment="1">
      <alignment vertical="center"/>
    </xf>
    <xf numFmtId="0" fontId="256" fillId="0" borderId="3" applyAlignment="1">
      <alignment vertical="center"/>
    </xf>
    <xf numFmtId="170" fontId="257" fillId="0" borderId="79" applyAlignment="1">
      <alignment vertical="center"/>
    </xf>
    <xf numFmtId="0" fontId="256" fillId="0" borderId="3" applyAlignment="1">
      <alignment vertical="center"/>
    </xf>
    <xf numFmtId="170" fontId="257" fillId="0" borderId="79" applyAlignment="1">
      <alignment vertical="center"/>
    </xf>
    <xf numFmtId="170" fontId="257" fillId="0" borderId="79" applyAlignment="1">
      <alignment vertical="center"/>
    </xf>
    <xf numFmtId="170" fontId="257" fillId="0" borderId="79" applyAlignment="1">
      <alignment vertical="center"/>
    </xf>
    <xf numFmtId="170" fontId="257" fillId="0" borderId="79" applyAlignment="1">
      <alignment vertical="center"/>
    </xf>
    <xf numFmtId="170" fontId="257" fillId="0" borderId="79" applyAlignment="1">
      <alignment vertical="center"/>
    </xf>
    <xf numFmtId="170" fontId="257" fillId="0" borderId="79" applyAlignment="1">
      <alignment vertical="center"/>
    </xf>
    <xf numFmtId="170" fontId="257" fillId="0" borderId="79" applyAlignment="1">
      <alignment vertical="center"/>
    </xf>
    <xf numFmtId="170" fontId="257" fillId="0" borderId="79" applyAlignment="1">
      <alignment vertical="center"/>
    </xf>
    <xf numFmtId="170" fontId="257" fillId="0" borderId="79" applyAlignment="1">
      <alignment vertical="center"/>
    </xf>
    <xf numFmtId="170" fontId="257" fillId="0" borderId="79" applyAlignment="1">
      <alignment vertical="center"/>
    </xf>
    <xf numFmtId="170" fontId="257" fillId="0" borderId="79" applyAlignment="1">
      <alignment vertical="center"/>
    </xf>
    <xf numFmtId="170" fontId="257" fillId="0" borderId="79" applyAlignment="1">
      <alignment vertical="center"/>
    </xf>
    <xf numFmtId="170" fontId="257" fillId="0" borderId="79" applyAlignment="1">
      <alignment vertical="center"/>
    </xf>
    <xf numFmtId="170" fontId="257" fillId="0" borderId="79" applyAlignment="1">
      <alignment vertical="center"/>
    </xf>
    <xf numFmtId="170" fontId="257" fillId="0" borderId="79" applyAlignment="1">
      <alignment vertical="center"/>
    </xf>
    <xf numFmtId="170" fontId="257" fillId="0" borderId="79" applyAlignment="1">
      <alignment vertical="center"/>
    </xf>
    <xf numFmtId="0" fontId="258" fillId="0" borderId="61" applyAlignment="1">
      <alignment vertical="center"/>
    </xf>
    <xf numFmtId="0" fontId="256" fillId="0" borderId="3" applyAlignment="1">
      <alignment vertical="center"/>
    </xf>
    <xf numFmtId="170" fontId="161" fillId="0" borderId="61" applyAlignment="1">
      <alignment vertical="center"/>
    </xf>
    <xf numFmtId="170" fontId="161" fillId="0" borderId="61" applyAlignment="1">
      <alignment vertical="center"/>
    </xf>
    <xf numFmtId="170" fontId="161" fillId="0" borderId="61" applyAlignment="1">
      <alignment vertical="center"/>
    </xf>
    <xf numFmtId="170" fontId="161" fillId="0" borderId="61" applyAlignment="1">
      <alignment vertical="center"/>
    </xf>
    <xf numFmtId="170" fontId="161" fillId="0" borderId="61" applyAlignment="1">
      <alignment vertical="center"/>
    </xf>
    <xf numFmtId="170" fontId="161" fillId="0" borderId="61" applyAlignment="1">
      <alignment vertical="center"/>
    </xf>
    <xf numFmtId="170" fontId="161" fillId="0" borderId="61" applyAlignment="1">
      <alignment vertical="center"/>
    </xf>
    <xf numFmtId="170" fontId="161" fillId="0" borderId="61" applyAlignment="1">
      <alignment vertical="center"/>
    </xf>
    <xf numFmtId="170" fontId="161" fillId="0" borderId="61" applyAlignment="1">
      <alignment vertical="center"/>
    </xf>
    <xf numFmtId="170" fontId="161" fillId="0" borderId="61" applyAlignment="1">
      <alignment vertical="center"/>
    </xf>
    <xf numFmtId="170" fontId="161" fillId="0" borderId="61" applyAlignment="1">
      <alignment vertical="center"/>
    </xf>
    <xf numFmtId="170" fontId="161" fillId="0" borderId="61" applyAlignment="1">
      <alignment vertical="center"/>
    </xf>
    <xf numFmtId="170" fontId="161" fillId="0" borderId="61" applyAlignment="1">
      <alignment vertical="center"/>
    </xf>
    <xf numFmtId="170" fontId="161" fillId="0" borderId="61" applyAlignment="1">
      <alignment vertical="center"/>
    </xf>
    <xf numFmtId="170" fontId="161" fillId="0" borderId="61" applyAlignment="1">
      <alignment vertical="center"/>
    </xf>
    <xf numFmtId="170" fontId="161" fillId="0" borderId="61" applyAlignment="1">
      <alignment vertical="center"/>
    </xf>
    <xf numFmtId="170" fontId="161" fillId="0" borderId="61" applyAlignment="1">
      <alignment vertical="center"/>
    </xf>
    <xf numFmtId="0" fontId="8" fillId="0" borderId="3" applyAlignment="1">
      <alignment vertical="center"/>
    </xf>
    <xf numFmtId="0" fontId="256" fillId="0" borderId="3" applyAlignment="1">
      <alignment vertical="center"/>
    </xf>
    <xf numFmtId="0" fontId="256" fillId="0" borderId="3" applyAlignment="1">
      <alignment vertical="center"/>
    </xf>
    <xf numFmtId="0" fontId="256" fillId="0" borderId="3" applyAlignment="1">
      <alignment vertical="center"/>
    </xf>
    <xf numFmtId="0" fontId="256" fillId="0" borderId="3" applyAlignment="1">
      <alignment vertical="center"/>
    </xf>
    <xf numFmtId="0" fontId="256" fillId="0" borderId="3" applyAlignment="1">
      <alignment vertical="center"/>
    </xf>
    <xf numFmtId="0" fontId="256" fillId="0" borderId="3" applyAlignment="1">
      <alignment vertical="center"/>
    </xf>
    <xf numFmtId="0" fontId="256" fillId="0" borderId="3" applyAlignment="1">
      <alignment vertical="center"/>
    </xf>
    <xf numFmtId="0" fontId="256" fillId="0" borderId="0" applyAlignment="1">
      <alignment vertical="center"/>
    </xf>
    <xf numFmtId="0" fontId="256" fillId="0" borderId="0" applyAlignment="1">
      <alignment vertical="center"/>
    </xf>
    <xf numFmtId="0" fontId="256" fillId="0" borderId="0" applyAlignment="1">
      <alignment vertical="center"/>
    </xf>
    <xf numFmtId="0" fontId="256" fillId="0" borderId="0" applyAlignment="1">
      <alignment vertical="center"/>
    </xf>
    <xf numFmtId="0" fontId="256" fillId="0" borderId="0" applyAlignment="1">
      <alignment vertical="center"/>
    </xf>
    <xf numFmtId="0" fontId="256" fillId="0" borderId="0" applyAlignment="1">
      <alignment vertical="center"/>
    </xf>
    <xf numFmtId="0" fontId="256" fillId="0" borderId="0" applyAlignment="1">
      <alignment vertical="center"/>
    </xf>
    <xf numFmtId="170" fontId="257" fillId="0" borderId="0" applyAlignment="1">
      <alignment vertical="center"/>
    </xf>
    <xf numFmtId="0" fontId="256" fillId="0" borderId="0" applyAlignment="1">
      <alignment vertical="center"/>
    </xf>
    <xf numFmtId="0" fontId="258" fillId="0" borderId="0" applyAlignment="1">
      <alignment vertical="center"/>
    </xf>
    <xf numFmtId="0" fontId="256" fillId="0" borderId="0" applyAlignment="1">
      <alignment vertical="center"/>
    </xf>
    <xf numFmtId="170" fontId="161" fillId="0" borderId="0" applyAlignment="1">
      <alignment vertical="center"/>
    </xf>
    <xf numFmtId="0" fontId="8" fillId="0" borderId="0" applyAlignment="1">
      <alignment vertical="center"/>
    </xf>
    <xf numFmtId="0" fontId="256" fillId="0" borderId="0" applyAlignment="1">
      <alignment vertical="center"/>
    </xf>
    <xf numFmtId="0" fontId="256" fillId="0" borderId="0" applyAlignment="1">
      <alignment vertical="center"/>
    </xf>
    <xf numFmtId="0" fontId="256" fillId="0" borderId="0" applyAlignment="1">
      <alignment vertical="center"/>
    </xf>
    <xf numFmtId="0" fontId="256" fillId="0" borderId="0" applyAlignment="1">
      <alignment vertical="center"/>
    </xf>
    <xf numFmtId="0" fontId="256" fillId="0" borderId="0" applyAlignment="1">
      <alignment vertical="center"/>
    </xf>
    <xf numFmtId="0" fontId="256" fillId="0" borderId="0" applyAlignment="1">
      <alignment vertical="center"/>
    </xf>
    <xf numFmtId="0" fontId="256" fillId="0" borderId="0" applyAlignment="1">
      <alignment vertical="center"/>
    </xf>
    <xf numFmtId="0" fontId="252" fillId="0" borderId="0" applyAlignment="1">
      <alignment vertical="center"/>
    </xf>
    <xf numFmtId="170" fontId="193" fillId="0" borderId="0" applyAlignment="1">
      <alignment vertical="center"/>
    </xf>
    <xf numFmtId="0" fontId="252" fillId="0" borderId="0" applyAlignment="1">
      <alignment vertical="center"/>
    </xf>
    <xf numFmtId="0" fontId="194" fillId="0" borderId="0" applyAlignment="1">
      <alignment vertical="center"/>
    </xf>
    <xf numFmtId="0" fontId="252" fillId="0" borderId="0" applyAlignment="1">
      <alignment vertical="center"/>
    </xf>
    <xf numFmtId="170" fontId="194" fillId="0" borderId="0" applyAlignment="1">
      <alignment vertical="center"/>
    </xf>
    <xf numFmtId="0" fontId="5" fillId="0" borderId="0" applyAlignment="1">
      <alignment vertical="center"/>
    </xf>
    <xf numFmtId="0" fontId="252" fillId="0" borderId="0" applyAlignment="1">
      <alignment vertical="center"/>
    </xf>
    <xf numFmtId="0" fontId="252" fillId="0" borderId="0" applyAlignment="1">
      <alignment vertical="center"/>
    </xf>
    <xf numFmtId="0" fontId="252" fillId="0" borderId="0" applyAlignment="1">
      <alignment vertical="center"/>
    </xf>
    <xf numFmtId="0" fontId="252" fillId="0" borderId="0" applyAlignment="1">
      <alignment vertical="center"/>
    </xf>
    <xf numFmtId="0" fontId="63" fillId="0" borderId="0" applyAlignment="1" applyProtection="1">
      <alignment vertical="top"/>
      <protection locked="0" hidden="0"/>
    </xf>
    <xf numFmtId="0" fontId="259" fillId="2" borderId="0" applyAlignment="1">
      <alignment vertical="center"/>
    </xf>
    <xf numFmtId="0" fontId="259" fillId="2" borderId="0" applyAlignment="1">
      <alignment vertical="center"/>
    </xf>
    <xf numFmtId="0" fontId="259" fillId="2" borderId="0" applyAlignment="1">
      <alignment vertical="center"/>
    </xf>
    <xf numFmtId="0" fontId="259" fillId="2" borderId="0" applyAlignment="1">
      <alignment vertical="center"/>
    </xf>
    <xf numFmtId="0" fontId="259" fillId="2" borderId="0" applyAlignment="1">
      <alignment vertical="center"/>
    </xf>
    <xf numFmtId="0" fontId="259" fillId="2" borderId="0" applyAlignment="1">
      <alignment vertical="center"/>
    </xf>
    <xf numFmtId="0" fontId="259" fillId="2" borderId="0" applyAlignment="1">
      <alignment vertical="center"/>
    </xf>
    <xf numFmtId="0" fontId="259" fillId="2" borderId="0" applyAlignment="1">
      <alignment vertical="center"/>
    </xf>
    <xf numFmtId="0" fontId="259" fillId="2" borderId="0" applyAlignment="1">
      <alignment vertical="center"/>
    </xf>
    <xf numFmtId="170" fontId="146" fillId="47" borderId="0" applyAlignment="1">
      <alignment vertical="center"/>
    </xf>
    <xf numFmtId="0" fontId="259" fillId="2" borderId="0" applyAlignment="1">
      <alignment vertical="center"/>
    </xf>
    <xf numFmtId="0" fontId="260" fillId="43" borderId="0" applyAlignment="1">
      <alignment vertical="center"/>
    </xf>
    <xf numFmtId="0" fontId="259" fillId="2" borderId="0" applyAlignment="1">
      <alignment vertical="center"/>
    </xf>
    <xf numFmtId="170" fontId="146" fillId="43" borderId="0" applyAlignment="1">
      <alignment vertical="center"/>
    </xf>
    <xf numFmtId="0" fontId="259" fillId="2" borderId="0" applyAlignment="1">
      <alignment vertical="center"/>
    </xf>
    <xf numFmtId="0" fontId="9" fillId="2" borderId="0" applyAlignment="1">
      <alignment vertical="center"/>
    </xf>
    <xf numFmtId="0" fontId="259" fillId="2" borderId="0" applyAlignment="1">
      <alignment vertical="center"/>
    </xf>
    <xf numFmtId="0" fontId="259" fillId="2" borderId="0" applyAlignment="1">
      <alignment vertical="center"/>
    </xf>
    <xf numFmtId="0" fontId="259" fillId="2" borderId="0" applyAlignment="1">
      <alignment vertical="center"/>
    </xf>
    <xf numFmtId="0" fontId="259" fillId="2" borderId="0" applyAlignment="1">
      <alignment vertical="center"/>
    </xf>
    <xf numFmtId="0" fontId="259" fillId="2" borderId="0" applyAlignment="1">
      <alignment vertical="center"/>
    </xf>
    <xf numFmtId="0" fontId="259" fillId="2" borderId="0" applyAlignment="1">
      <alignment vertical="center"/>
    </xf>
    <xf numFmtId="0" fontId="259" fillId="2" borderId="0" applyAlignment="1">
      <alignment vertical="center"/>
    </xf>
    <xf numFmtId="170" fontId="50" fillId="0" borderId="0"/>
    <xf numFmtId="170" fontId="219" fillId="0" borderId="0"/>
    <xf numFmtId="196" fontId="55" fillId="0" borderId="0"/>
    <xf numFmtId="197" fontId="55" fillId="0" borderId="0"/>
    <xf numFmtId="169" fontId="37" fillId="0" borderId="0"/>
    <xf numFmtId="211" fontId="37" fillId="0" borderId="0"/>
    <xf numFmtId="0" fontId="261" fillId="6" borderId="5" applyAlignment="1">
      <alignment vertical="center"/>
    </xf>
    <xf numFmtId="0" fontId="261" fillId="6" borderId="5" applyAlignment="1">
      <alignment vertical="center"/>
    </xf>
    <xf numFmtId="0" fontId="261" fillId="6" borderId="5" applyAlignment="1">
      <alignment vertical="center"/>
    </xf>
    <xf numFmtId="0" fontId="261" fillId="6" borderId="5" applyAlignment="1">
      <alignment vertical="center"/>
    </xf>
    <xf numFmtId="0" fontId="261" fillId="6" borderId="5" applyAlignment="1">
      <alignment vertical="center"/>
    </xf>
    <xf numFmtId="0" fontId="261" fillId="6" borderId="5" applyAlignment="1">
      <alignment vertical="center"/>
    </xf>
    <xf numFmtId="0" fontId="261" fillId="6" borderId="5" applyAlignment="1">
      <alignment vertical="center"/>
    </xf>
    <xf numFmtId="170" fontId="186" fillId="106" borderId="67" applyAlignment="1">
      <alignment vertical="center"/>
    </xf>
    <xf numFmtId="170" fontId="186" fillId="106" borderId="67" applyAlignment="1">
      <alignment vertical="center"/>
    </xf>
    <xf numFmtId="170" fontId="186" fillId="106" borderId="67" applyAlignment="1">
      <alignment vertical="center"/>
    </xf>
    <xf numFmtId="170" fontId="186" fillId="106" borderId="67" applyAlignment="1">
      <alignment vertical="center"/>
    </xf>
    <xf numFmtId="170" fontId="186" fillId="106" borderId="67" applyAlignment="1">
      <alignment vertical="center"/>
    </xf>
    <xf numFmtId="170" fontId="186" fillId="106" borderId="67" applyAlignment="1">
      <alignment vertical="center"/>
    </xf>
    <xf numFmtId="170" fontId="186" fillId="106" borderId="67" applyAlignment="1">
      <alignment vertical="center"/>
    </xf>
    <xf numFmtId="170" fontId="186" fillId="106" borderId="67" applyAlignment="1">
      <alignment vertical="center"/>
    </xf>
    <xf numFmtId="170" fontId="186" fillId="106" borderId="67" applyAlignment="1">
      <alignment vertical="center"/>
    </xf>
    <xf numFmtId="0" fontId="262" fillId="88" borderId="67" applyAlignment="1">
      <alignment vertical="center"/>
    </xf>
    <xf numFmtId="170" fontId="186" fillId="106" borderId="67" applyAlignment="1">
      <alignment vertical="center"/>
    </xf>
    <xf numFmtId="170" fontId="186" fillId="106" borderId="67" applyAlignment="1">
      <alignment vertical="center"/>
    </xf>
    <xf numFmtId="170" fontId="186" fillId="106" borderId="67" applyAlignment="1">
      <alignment vertical="center"/>
    </xf>
    <xf numFmtId="170" fontId="186" fillId="106" borderId="67" applyAlignment="1">
      <alignment vertical="center"/>
    </xf>
    <xf numFmtId="170" fontId="186" fillId="106" borderId="67" applyAlignment="1">
      <alignment vertical="center"/>
    </xf>
    <xf numFmtId="170" fontId="186" fillId="106" borderId="67" applyAlignment="1">
      <alignment vertical="center"/>
    </xf>
    <xf numFmtId="170" fontId="186" fillId="106" borderId="67" applyAlignment="1">
      <alignment vertical="center"/>
    </xf>
    <xf numFmtId="170" fontId="186" fillId="106" borderId="67" applyAlignment="1">
      <alignment vertical="center"/>
    </xf>
    <xf numFmtId="170" fontId="186" fillId="106" borderId="67" applyAlignment="1">
      <alignment vertical="center"/>
    </xf>
    <xf numFmtId="170" fontId="186" fillId="106" borderId="67" applyAlignment="1">
      <alignment vertical="center"/>
    </xf>
    <xf numFmtId="170" fontId="186" fillId="106" borderId="67" applyAlignment="1">
      <alignment vertical="center"/>
    </xf>
    <xf numFmtId="170" fontId="186" fillId="106" borderId="67" applyAlignment="1">
      <alignment vertical="center"/>
    </xf>
    <xf numFmtId="170" fontId="186" fillId="106" borderId="67" applyAlignment="1">
      <alignment vertical="center"/>
    </xf>
    <xf numFmtId="170" fontId="186" fillId="106" borderId="67" applyAlignment="1">
      <alignment vertical="center"/>
    </xf>
    <xf numFmtId="170" fontId="186" fillId="106" borderId="67" applyAlignment="1">
      <alignment vertical="center"/>
    </xf>
    <xf numFmtId="170" fontId="186" fillId="106" borderId="67" applyAlignment="1">
      <alignment vertical="center"/>
    </xf>
    <xf numFmtId="170" fontId="186" fillId="106" borderId="67" applyAlignment="1">
      <alignment vertical="center"/>
    </xf>
    <xf numFmtId="170" fontId="186" fillId="106" borderId="67" applyAlignment="1">
      <alignment vertical="center"/>
    </xf>
    <xf numFmtId="0" fontId="261" fillId="6" borderId="5" applyAlignment="1">
      <alignment vertical="center"/>
    </xf>
    <xf numFmtId="0" fontId="262" fillId="88" borderId="67" applyAlignment="1">
      <alignment vertical="center"/>
    </xf>
    <xf numFmtId="0" fontId="261" fillId="6" borderId="5" applyAlignment="1">
      <alignment vertical="center"/>
    </xf>
    <xf numFmtId="170" fontId="186" fillId="88" borderId="67" applyAlignment="1">
      <alignment vertical="center"/>
    </xf>
    <xf numFmtId="170" fontId="186" fillId="88" borderId="67" applyAlignment="1">
      <alignment vertical="center"/>
    </xf>
    <xf numFmtId="170" fontId="186" fillId="88" borderId="67" applyAlignment="1">
      <alignment vertical="center"/>
    </xf>
    <xf numFmtId="170" fontId="186" fillId="88" borderId="67" applyAlignment="1">
      <alignment vertical="center"/>
    </xf>
    <xf numFmtId="170" fontId="186" fillId="88" borderId="67" applyAlignment="1">
      <alignment vertical="center"/>
    </xf>
    <xf numFmtId="170" fontId="186" fillId="88" borderId="67" applyAlignment="1">
      <alignment vertical="center"/>
    </xf>
    <xf numFmtId="170" fontId="186" fillId="88" borderId="67" applyAlignment="1">
      <alignment vertical="center"/>
    </xf>
    <xf numFmtId="170" fontId="186" fillId="88" borderId="67" applyAlignment="1">
      <alignment vertical="center"/>
    </xf>
    <xf numFmtId="170" fontId="186" fillId="88" borderId="67" applyAlignment="1">
      <alignment vertical="center"/>
    </xf>
    <xf numFmtId="170" fontId="186" fillId="88" borderId="67" applyAlignment="1">
      <alignment vertical="center"/>
    </xf>
    <xf numFmtId="170" fontId="186" fillId="88" borderId="67" applyAlignment="1">
      <alignment vertical="center"/>
    </xf>
    <xf numFmtId="170" fontId="186" fillId="88" borderId="67" applyAlignment="1">
      <alignment vertical="center"/>
    </xf>
    <xf numFmtId="170" fontId="186" fillId="88" borderId="67" applyAlignment="1">
      <alignment vertical="center"/>
    </xf>
    <xf numFmtId="170" fontId="186" fillId="88" borderId="67" applyAlignment="1">
      <alignment vertical="center"/>
    </xf>
    <xf numFmtId="170" fontId="186" fillId="88" borderId="67" applyAlignment="1">
      <alignment vertical="center"/>
    </xf>
    <xf numFmtId="170" fontId="186" fillId="88" borderId="67" applyAlignment="1">
      <alignment vertical="center"/>
    </xf>
    <xf numFmtId="170" fontId="186" fillId="88" borderId="67" applyAlignment="1">
      <alignment vertical="center"/>
    </xf>
    <xf numFmtId="170" fontId="186" fillId="88" borderId="67" applyAlignment="1">
      <alignment vertical="center"/>
    </xf>
    <xf numFmtId="170" fontId="186" fillId="88" borderId="67" applyAlignment="1">
      <alignment vertical="center"/>
    </xf>
    <xf numFmtId="170" fontId="186" fillId="88" borderId="67" applyAlignment="1">
      <alignment vertical="center"/>
    </xf>
    <xf numFmtId="170" fontId="186" fillId="88" borderId="67" applyAlignment="1">
      <alignment vertical="center"/>
    </xf>
    <xf numFmtId="170" fontId="186" fillId="88" borderId="67" applyAlignment="1">
      <alignment vertical="center"/>
    </xf>
    <xf numFmtId="170" fontId="186" fillId="88" borderId="67" applyAlignment="1">
      <alignment vertical="center"/>
    </xf>
    <xf numFmtId="170" fontId="186" fillId="88" borderId="67" applyAlignment="1">
      <alignment vertical="center"/>
    </xf>
    <xf numFmtId="170" fontId="186" fillId="88" borderId="67" applyAlignment="1">
      <alignment vertical="center"/>
    </xf>
    <xf numFmtId="170" fontId="186" fillId="88" borderId="67" applyAlignment="1">
      <alignment vertical="center"/>
    </xf>
    <xf numFmtId="170" fontId="186" fillId="88" borderId="67" applyAlignment="1">
      <alignment vertical="center"/>
    </xf>
    <xf numFmtId="0" fontId="13" fillId="6" borderId="5" applyAlignment="1">
      <alignment vertical="center"/>
    </xf>
    <xf numFmtId="0" fontId="261" fillId="6" borderId="5" applyAlignment="1">
      <alignment vertical="center"/>
    </xf>
    <xf numFmtId="0" fontId="261" fillId="6" borderId="5" applyAlignment="1">
      <alignment vertical="center"/>
    </xf>
    <xf numFmtId="0" fontId="261" fillId="6" borderId="5" applyAlignment="1">
      <alignment vertical="center"/>
    </xf>
    <xf numFmtId="0" fontId="261" fillId="6" borderId="5" applyAlignment="1">
      <alignment vertical="center"/>
    </xf>
    <xf numFmtId="0" fontId="261" fillId="6" borderId="5" applyAlignment="1">
      <alignment vertical="center"/>
    </xf>
    <xf numFmtId="0" fontId="261" fillId="6" borderId="5" applyAlignment="1">
      <alignment vertical="center"/>
    </xf>
    <xf numFmtId="0" fontId="261" fillId="6" borderId="5" applyAlignment="1">
      <alignment vertical="center"/>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170" fontId="37" fillId="0" borderId="0"/>
    <xf numFmtId="170" fontId="59" fillId="0" borderId="0"/>
    <xf numFmtId="0" fontId="59" fillId="0" borderId="0"/>
    <xf numFmtId="170" fontId="37" fillId="0" borderId="0"/>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25" fontId="263" fillId="0" borderId="0"/>
    <xf numFmtId="226" fontId="60" fillId="0" borderId="0"/>
    <xf numFmtId="226" fontId="37" fillId="0" borderId="0" applyAlignment="1">
      <alignment vertical="center"/>
    </xf>
    <xf numFmtId="227" fontId="263" fillId="0" borderId="0"/>
    <xf numFmtId="170" fontId="50" fillId="0" borderId="0"/>
    <xf numFmtId="0" fontId="50" fillId="0" borderId="0"/>
    <xf numFmtId="170" fontId="65" fillId="0" borderId="0"/>
    <xf numFmtId="195" fontId="243" fillId="0" borderId="0"/>
    <xf numFmtId="170" fontId="58" fillId="0" borderId="0"/>
    <xf numFmtId="10" fontId="214" fillId="0" borderId="0"/>
    <xf numFmtId="170" fontId="50" fillId="0" borderId="0" applyProtection="1">
      <protection locked="0" hidden="0"/>
    </xf>
    <xf numFmtId="10" fontId="214" fillId="0" borderId="0"/>
    <xf numFmtId="0" fontId="50"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20"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219" fontId="37" fillId="0" borderId="0" applyProtection="1">
      <protection locked="0" hidden="0"/>
    </xf>
    <xf numFmtId="170" fontId="264" fillId="0" borderId="0" applyAlignment="1" applyProtection="1">
      <alignment vertical="top"/>
      <protection locked="0" hidden="0"/>
    </xf>
    <xf numFmtId="0" fontId="37" fillId="0" borderId="0"/>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23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23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37" fillId="0" borderId="0"/>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37" fillId="0" borderId="0"/>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37"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37"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185"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37"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37"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37"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37"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37"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37" fillId="0" borderId="0"/>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37" fillId="0" borderId="0"/>
    <xf numFmtId="0" fontId="37" fillId="0" borderId="0"/>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62" fillId="0" borderId="0"/>
    <xf numFmtId="0" fontId="37" fillId="0" borderId="0"/>
    <xf numFmtId="0" fontId="37" fillId="0" borderId="0"/>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62" fillId="0" borderId="0"/>
    <xf numFmtId="0" fontId="62" fillId="0" borderId="0"/>
    <xf numFmtId="0" fontId="62" fillId="0" borderId="0"/>
    <xf numFmtId="0" fontId="4" fillId="0" borderId="0" applyAlignment="1">
      <alignment vertical="center"/>
    </xf>
    <xf numFmtId="170" fontId="4" fillId="0" borderId="0" applyAlignment="1">
      <alignment vertical="center"/>
    </xf>
    <xf numFmtId="0" fontId="37" fillId="0" borderId="0"/>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265" fillId="0" borderId="0"/>
    <xf numFmtId="0" fontId="265" fillId="0" borderId="0"/>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265" fillId="0" borderId="0"/>
    <xf numFmtId="0" fontId="265" fillId="0" borderId="0"/>
    <xf numFmtId="0" fontId="37" fillId="0" borderId="0"/>
    <xf numFmtId="0" fontId="4" fillId="0" borderId="0" applyAlignment="1">
      <alignment vertical="center"/>
    </xf>
    <xf numFmtId="0" fontId="4" fillId="0" borderId="0" applyAlignment="1">
      <alignment vertical="center"/>
    </xf>
    <xf numFmtId="0" fontId="37" fillId="0" borderId="0"/>
    <xf numFmtId="0" fontId="37" fillId="0" borderId="0"/>
    <xf numFmtId="0" fontId="4" fillId="0" borderId="0" applyAlignment="1">
      <alignment vertical="center"/>
    </xf>
    <xf numFmtId="0" fontId="4" fillId="0" borderId="0" applyAlignment="1">
      <alignment vertical="center"/>
    </xf>
    <xf numFmtId="0" fontId="37" fillId="0" borderId="0"/>
    <xf numFmtId="0" fontId="4" fillId="0" borderId="0" applyAlignment="1">
      <alignment vertical="center"/>
    </xf>
    <xf numFmtId="0" fontId="4" fillId="0" borderId="0" applyAlignment="1">
      <alignment vertical="center"/>
    </xf>
    <xf numFmtId="0" fontId="37" fillId="0" borderId="0"/>
    <xf numFmtId="0" fontId="4" fillId="0" borderId="0" applyAlignment="1">
      <alignment vertical="center"/>
    </xf>
    <xf numFmtId="0" fontId="4" fillId="0" borderId="0" applyAlignment="1">
      <alignment vertical="center"/>
    </xf>
    <xf numFmtId="0" fontId="79" fillId="0" borderId="0" applyAlignment="1">
      <alignment vertical="center"/>
    </xf>
    <xf numFmtId="170" fontId="62" fillId="0" borderId="0"/>
    <xf numFmtId="170" fontId="79" fillId="0" borderId="0" applyAlignment="1">
      <alignment vertical="center"/>
    </xf>
    <xf numFmtId="0" fontId="62" fillId="0" borderId="0"/>
    <xf numFmtId="170" fontId="37" fillId="0" borderId="0" applyAlignment="1">
      <alignment vertical="center"/>
    </xf>
    <xf numFmtId="170" fontId="79" fillId="0" borderId="0" applyAlignment="1">
      <alignment vertical="center"/>
    </xf>
    <xf numFmtId="0" fontId="79" fillId="0" borderId="0" applyAlignment="1">
      <alignment vertical="center"/>
    </xf>
    <xf numFmtId="170" fontId="79" fillId="0" borderId="0" applyAlignment="1">
      <alignment vertical="center"/>
    </xf>
    <xf numFmtId="0" fontId="265" fillId="0" borderId="0"/>
    <xf numFmtId="170" fontId="79" fillId="0" borderId="0" applyAlignment="1">
      <alignment vertical="center"/>
    </xf>
    <xf numFmtId="0" fontId="265" fillId="0" borderId="0"/>
    <xf numFmtId="170" fontId="79" fillId="0" borderId="0" applyAlignment="1">
      <alignment vertical="center"/>
    </xf>
    <xf numFmtId="0" fontId="265" fillId="0" borderId="0"/>
    <xf numFmtId="170" fontId="79" fillId="0" borderId="0" applyAlignment="1">
      <alignment vertical="center"/>
    </xf>
    <xf numFmtId="0" fontId="265" fillId="0" borderId="0"/>
    <xf numFmtId="170" fontId="79" fillId="0" borderId="0" applyAlignment="1">
      <alignment vertical="center"/>
    </xf>
    <xf numFmtId="0" fontId="265" fillId="0" borderId="0"/>
    <xf numFmtId="170" fontId="79" fillId="0" borderId="0" applyAlignment="1">
      <alignment vertical="center"/>
    </xf>
    <xf numFmtId="0" fontId="265" fillId="0" borderId="0"/>
    <xf numFmtId="170" fontId="79" fillId="0" borderId="0" applyAlignment="1">
      <alignment vertical="center"/>
    </xf>
    <xf numFmtId="0" fontId="265" fillId="0" borderId="0"/>
    <xf numFmtId="170" fontId="79" fillId="0" borderId="0" applyAlignment="1">
      <alignment vertical="center"/>
    </xf>
    <xf numFmtId="0" fontId="265" fillId="0" borderId="0"/>
    <xf numFmtId="0" fontId="28" fillId="0" borderId="0"/>
    <xf numFmtId="170" fontId="37" fillId="0" borderId="0"/>
    <xf numFmtId="0" fontId="37" fillId="0" borderId="0"/>
    <xf numFmtId="170" fontId="62" fillId="0" borderId="0"/>
    <xf numFmtId="0" fontId="60" fillId="0" borderId="0"/>
    <xf numFmtId="17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170" fontId="62" fillId="0" borderId="0"/>
    <xf numFmtId="170" fontId="37" fillId="0" borderId="0"/>
    <xf numFmtId="0" fontId="37" fillId="0" borderId="0"/>
    <xf numFmtId="170" fontId="37" fillId="0" borderId="0"/>
    <xf numFmtId="0" fontId="37" fillId="0" borderId="0"/>
    <xf numFmtId="170" fontId="62" fillId="0" borderId="0"/>
    <xf numFmtId="0" fontId="62" fillId="0" borderId="0"/>
    <xf numFmtId="0" fontId="37" fillId="0" borderId="0"/>
    <xf numFmtId="170" fontId="62" fillId="0" borderId="0"/>
    <xf numFmtId="0" fontId="62" fillId="0" borderId="0"/>
    <xf numFmtId="0" fontId="62" fillId="0" borderId="0"/>
    <xf numFmtId="170" fontId="37" fillId="0" borderId="0"/>
    <xf numFmtId="0" fontId="37" fillId="0" borderId="0"/>
    <xf numFmtId="170" fontId="37" fillId="0" borderId="0"/>
    <xf numFmtId="0" fontId="37" fillId="0" borderId="0"/>
    <xf numFmtId="170" fontId="62" fillId="0" borderId="0"/>
    <xf numFmtId="0" fontId="225" fillId="0" borderId="0" applyAlignment="1">
      <alignment vertical="center"/>
    </xf>
    <xf numFmtId="0" fontId="37" fillId="0" borderId="0"/>
    <xf numFmtId="170" fontId="225" fillId="0" borderId="0" applyAlignment="1">
      <alignment vertical="center"/>
    </xf>
    <xf numFmtId="0" fontId="79" fillId="0" borderId="0" applyAlignment="1">
      <alignment vertical="center"/>
    </xf>
    <xf numFmtId="0" fontId="37" fillId="0" borderId="0"/>
    <xf numFmtId="170" fontId="62" fillId="0" borderId="0"/>
    <xf numFmtId="170" fontId="37" fillId="0" borderId="0"/>
    <xf numFmtId="0" fontId="37" fillId="0" borderId="0"/>
    <xf numFmtId="170" fontId="37" fillId="0" borderId="0"/>
    <xf numFmtId="0" fontId="37" fillId="0" borderId="0"/>
    <xf numFmtId="170" fontId="62" fillId="0" borderId="0"/>
    <xf numFmtId="0" fontId="62" fillId="0" borderId="0"/>
    <xf numFmtId="0" fontId="37" fillId="0" borderId="0"/>
    <xf numFmtId="170" fontId="62" fillId="0" borderId="0"/>
    <xf numFmtId="0" fontId="62" fillId="0" borderId="0"/>
    <xf numFmtId="170" fontId="37" fillId="0" borderId="0"/>
    <xf numFmtId="0" fontId="4" fillId="0" borderId="0" applyAlignment="1">
      <alignment vertical="center"/>
    </xf>
    <xf numFmtId="170" fontId="79" fillId="0" borderId="0" applyAlignment="1">
      <alignment vertical="center"/>
    </xf>
    <xf numFmtId="0" fontId="4" fillId="0" borderId="0" applyAlignment="1">
      <alignment vertical="center"/>
    </xf>
    <xf numFmtId="170" fontId="4"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28" fillId="0" borderId="0"/>
    <xf numFmtId="0" fontId="4"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37" fillId="0" borderId="0" applyAlignment="1">
      <alignment vertical="center"/>
    </xf>
    <xf numFmtId="0" fontId="265" fillId="0" borderId="0"/>
    <xf numFmtId="0" fontId="265" fillId="0" borderId="0"/>
    <xf numFmtId="170" fontId="37" fillId="0" borderId="0"/>
    <xf numFmtId="0" fontId="37" fillId="0" borderId="0"/>
    <xf numFmtId="0" fontId="265" fillId="0" borderId="0"/>
    <xf numFmtId="0" fontId="4" fillId="0" borderId="0" applyAlignment="1">
      <alignment vertical="center"/>
    </xf>
    <xf numFmtId="170" fontId="60" fillId="0" borderId="0"/>
    <xf numFmtId="170" fontId="37" fillId="0" borderId="0"/>
    <xf numFmtId="0" fontId="37" fillId="0" borderId="0"/>
    <xf numFmtId="170" fontId="37" fillId="0" borderId="0"/>
    <xf numFmtId="0" fontId="37" fillId="0" borderId="0"/>
    <xf numFmtId="170" fontId="37" fillId="0" borderId="0"/>
    <xf numFmtId="0" fontId="37" fillId="0" borderId="0"/>
    <xf numFmtId="170" fontId="37" fillId="0" borderId="0"/>
    <xf numFmtId="170" fontId="62" fillId="0" borderId="0"/>
    <xf numFmtId="170" fontId="37" fillId="0" borderId="0"/>
    <xf numFmtId="170" fontId="62" fillId="0" borderId="0"/>
    <xf numFmtId="0" fontId="62" fillId="0" borderId="0"/>
    <xf numFmtId="170" fontId="62" fillId="0" borderId="0"/>
    <xf numFmtId="0" fontId="62" fillId="0" borderId="0"/>
    <xf numFmtId="170" fontId="37" fillId="0" borderId="0"/>
    <xf numFmtId="0" fontId="37" fillId="0" borderId="0"/>
    <xf numFmtId="0" fontId="62" fillId="0" borderId="0"/>
    <xf numFmtId="170" fontId="37" fillId="0" borderId="0"/>
    <xf numFmtId="0" fontId="37" fillId="0" borderId="0"/>
    <xf numFmtId="0" fontId="37" fillId="0" borderId="0"/>
    <xf numFmtId="170" fontId="62" fillId="0" borderId="0"/>
    <xf numFmtId="0" fontId="62" fillId="0" borderId="0"/>
    <xf numFmtId="170" fontId="62" fillId="0" borderId="0"/>
    <xf numFmtId="0" fontId="62" fillId="0" borderId="0"/>
    <xf numFmtId="0" fontId="62" fillId="0" borderId="0"/>
    <xf numFmtId="170" fontId="37" fillId="0" borderId="0"/>
    <xf numFmtId="170" fontId="62" fillId="0" borderId="0"/>
    <xf numFmtId="0" fontId="62" fillId="0" borderId="0"/>
    <xf numFmtId="170" fontId="62" fillId="0" borderId="0"/>
    <xf numFmtId="0" fontId="62" fillId="0" borderId="0"/>
    <xf numFmtId="170" fontId="37" fillId="0" borderId="0"/>
    <xf numFmtId="0" fontId="37" fillId="0" borderId="0"/>
    <xf numFmtId="0" fontId="62" fillId="0" borderId="0"/>
    <xf numFmtId="170" fontId="79" fillId="0" borderId="0" applyAlignment="1">
      <alignment vertical="center"/>
    </xf>
    <xf numFmtId="0" fontId="265" fillId="0" borderId="0"/>
    <xf numFmtId="170" fontId="4" fillId="0" borderId="0" applyAlignment="1">
      <alignment vertical="center"/>
    </xf>
    <xf numFmtId="0" fontId="265" fillId="0" borderId="0"/>
    <xf numFmtId="0" fontId="265" fillId="0" borderId="0"/>
    <xf numFmtId="0" fontId="265" fillId="0" borderId="0"/>
    <xf numFmtId="0" fontId="265" fillId="0" borderId="0"/>
    <xf numFmtId="0" fontId="265" fillId="0" borderId="0"/>
    <xf numFmtId="0" fontId="265" fillId="0" borderId="0"/>
    <xf numFmtId="0" fontId="265" fillId="0" borderId="0"/>
    <xf numFmtId="0" fontId="265" fillId="0" borderId="0"/>
    <xf numFmtId="0" fontId="265" fillId="0" borderId="0"/>
    <xf numFmtId="0" fontId="79" fillId="0" borderId="0" applyAlignment="1">
      <alignment vertical="center"/>
    </xf>
    <xf numFmtId="0" fontId="37" fillId="0" borderId="0"/>
    <xf numFmtId="170" fontId="62" fillId="0" borderId="0"/>
    <xf numFmtId="170" fontId="37" fillId="0" borderId="0" applyAlignment="1">
      <alignment vertical="center"/>
    </xf>
    <xf numFmtId="170" fontId="62" fillId="0" borderId="0"/>
    <xf numFmtId="0" fontId="62" fillId="0" borderId="0"/>
    <xf numFmtId="170" fontId="62" fillId="0" borderId="0"/>
    <xf numFmtId="0" fontId="62" fillId="0" borderId="0"/>
    <xf numFmtId="170" fontId="37" fillId="0" borderId="0" applyAlignment="1">
      <alignment vertical="center"/>
    </xf>
    <xf numFmtId="0" fontId="37" fillId="0" borderId="0" applyAlignment="1">
      <alignment vertical="center"/>
    </xf>
    <xf numFmtId="0" fontId="62" fillId="0" borderId="0"/>
    <xf numFmtId="170" fontId="37" fillId="0" borderId="0" applyAlignment="1">
      <alignment vertical="center"/>
    </xf>
    <xf numFmtId="0" fontId="37" fillId="0" borderId="0" applyAlignment="1">
      <alignment vertical="center"/>
    </xf>
    <xf numFmtId="0" fontId="37" fillId="0" borderId="0" applyAlignment="1">
      <alignment vertical="center"/>
    </xf>
    <xf numFmtId="170" fontId="62" fillId="0" borderId="0"/>
    <xf numFmtId="0" fontId="62" fillId="0" borderId="0"/>
    <xf numFmtId="170" fontId="62" fillId="0" borderId="0"/>
    <xf numFmtId="0" fontId="62" fillId="0" borderId="0"/>
    <xf numFmtId="170" fontId="37" fillId="0" borderId="0" applyAlignment="1">
      <alignment vertical="center"/>
    </xf>
    <xf numFmtId="0" fontId="37" fillId="0" borderId="0"/>
    <xf numFmtId="0" fontId="4" fillId="0" borderId="0" applyAlignment="1">
      <alignment vertical="center"/>
    </xf>
    <xf numFmtId="0" fontId="79" fillId="0" borderId="0" applyAlignment="1">
      <alignment vertical="center"/>
    </xf>
    <xf numFmtId="0" fontId="4" fillId="0" borderId="0" applyAlignment="1">
      <alignment vertical="center"/>
    </xf>
    <xf numFmtId="170" fontId="37" fillId="0" borderId="0" applyAlignment="1">
      <alignment vertical="center"/>
    </xf>
    <xf numFmtId="170" fontId="62" fillId="0" borderId="0"/>
    <xf numFmtId="0" fontId="62" fillId="0" borderId="0"/>
    <xf numFmtId="170" fontId="62" fillId="0" borderId="0"/>
    <xf numFmtId="0" fontId="62" fillId="0" borderId="0"/>
    <xf numFmtId="170" fontId="37" fillId="0" borderId="0" applyAlignment="1">
      <alignment vertical="center"/>
    </xf>
    <xf numFmtId="0" fontId="37" fillId="0" borderId="0" applyAlignment="1">
      <alignment vertical="center"/>
    </xf>
    <xf numFmtId="0" fontId="62" fillId="0" borderId="0"/>
    <xf numFmtId="170" fontId="37" fillId="0" borderId="0" applyAlignment="1">
      <alignment vertical="center"/>
    </xf>
    <xf numFmtId="0" fontId="37" fillId="0" borderId="0" applyAlignment="1">
      <alignment vertical="center"/>
    </xf>
    <xf numFmtId="170" fontId="62" fillId="0" borderId="0"/>
    <xf numFmtId="0" fontId="225" fillId="0" borderId="0" applyAlignment="1">
      <alignment vertical="center"/>
    </xf>
    <xf numFmtId="170" fontId="79" fillId="0" borderId="0" applyAlignment="1">
      <alignment vertical="center"/>
    </xf>
    <xf numFmtId="0" fontId="4" fillId="0" borderId="0" applyAlignment="1">
      <alignment vertical="center"/>
    </xf>
    <xf numFmtId="170" fontId="225" fillId="0" borderId="0" applyAlignment="1">
      <alignment vertical="center"/>
    </xf>
    <xf numFmtId="0" fontId="265" fillId="0" borderId="0"/>
    <xf numFmtId="0" fontId="265" fillId="0" borderId="0"/>
    <xf numFmtId="0" fontId="265" fillId="0" borderId="0"/>
    <xf numFmtId="0" fontId="265" fillId="0" borderId="0"/>
    <xf numFmtId="0" fontId="265" fillId="0" borderId="0"/>
    <xf numFmtId="0" fontId="265" fillId="0" borderId="0"/>
    <xf numFmtId="0" fontId="265" fillId="0" borderId="0"/>
    <xf numFmtId="0" fontId="265" fillId="0" borderId="0"/>
    <xf numFmtId="0" fontId="265" fillId="0" borderId="0"/>
    <xf numFmtId="0" fontId="265" fillId="0" borderId="0"/>
    <xf numFmtId="0" fontId="37" fillId="0" borderId="0"/>
    <xf numFmtId="0" fontId="37" fillId="0" borderId="0"/>
    <xf numFmtId="170" fontId="62" fillId="0" borderId="0"/>
    <xf numFmtId="170" fontId="79" fillId="0" borderId="0" applyAlignment="1">
      <alignment vertical="center"/>
    </xf>
    <xf numFmtId="0" fontId="62" fillId="0" borderId="0"/>
    <xf numFmtId="170" fontId="37" fillId="0" borderId="0"/>
    <xf numFmtId="0" fontId="37" fillId="0" borderId="0"/>
    <xf numFmtId="0" fontId="37" fillId="0" borderId="0"/>
    <xf numFmtId="0" fontId="37" fillId="0" borderId="0"/>
    <xf numFmtId="0" fontId="37" fillId="0" borderId="0"/>
    <xf numFmtId="0" fontId="79" fillId="0" borderId="0" applyAlignment="1">
      <alignment vertical="center"/>
    </xf>
    <xf numFmtId="0" fontId="265" fillId="0" borderId="0"/>
    <xf numFmtId="0" fontId="37" fillId="0" borderId="0" applyAlignment="1">
      <alignment vertical="center"/>
    </xf>
    <xf numFmtId="170" fontId="79" fillId="0" borderId="0" applyAlignment="1">
      <alignment vertical="center"/>
    </xf>
    <xf numFmtId="0" fontId="37" fillId="0" borderId="0"/>
    <xf numFmtId="0" fontId="78" fillId="0" borderId="0" applyAlignment="1">
      <alignment vertical="center"/>
    </xf>
    <xf numFmtId="0" fontId="37" fillId="0" borderId="0"/>
    <xf numFmtId="170" fontId="62" fillId="0" borderId="0"/>
    <xf numFmtId="170" fontId="79" fillId="0" borderId="0" applyAlignment="1">
      <alignment vertical="center"/>
    </xf>
    <xf numFmtId="0" fontId="62" fillId="0" borderId="0"/>
    <xf numFmtId="170" fontId="37" fillId="0" borderId="0"/>
    <xf numFmtId="0" fontId="37" fillId="0" borderId="0"/>
    <xf numFmtId="170" fontId="62" fillId="0" borderId="0"/>
    <xf numFmtId="0" fontId="37" fillId="0" borderId="0"/>
    <xf numFmtId="170" fontId="79" fillId="0" borderId="0" applyAlignment="1">
      <alignment vertical="center"/>
    </xf>
    <xf numFmtId="0" fontId="62" fillId="0" borderId="0"/>
    <xf numFmtId="170" fontId="62" fillId="0" borderId="0"/>
    <xf numFmtId="170" fontId="79" fillId="0" borderId="0" applyAlignment="1">
      <alignment vertical="center"/>
    </xf>
    <xf numFmtId="0" fontId="62" fillId="0" borderId="0"/>
    <xf numFmtId="170" fontId="62" fillId="0" borderId="0"/>
    <xf numFmtId="170" fontId="37" fillId="0" borderId="0" applyAlignment="1">
      <alignment vertical="center"/>
    </xf>
    <xf numFmtId="170" fontId="62" fillId="0" borderId="0"/>
    <xf numFmtId="170" fontId="37" fillId="0" borderId="0" applyAlignment="1">
      <alignment vertical="center"/>
    </xf>
    <xf numFmtId="0" fontId="37" fillId="0" borderId="0" applyAlignment="1">
      <alignment vertical="center"/>
    </xf>
    <xf numFmtId="170" fontId="37" fillId="0" borderId="0" applyAlignment="1">
      <alignment vertical="center"/>
    </xf>
    <xf numFmtId="0" fontId="37" fillId="0" borderId="0" applyAlignment="1">
      <alignment vertical="center"/>
    </xf>
    <xf numFmtId="170" fontId="62" fillId="0" borderId="0"/>
    <xf numFmtId="0" fontId="62" fillId="0" borderId="0"/>
    <xf numFmtId="0" fontId="37" fillId="0" borderId="0" applyAlignment="1">
      <alignment vertical="center"/>
    </xf>
    <xf numFmtId="170" fontId="62" fillId="0" borderId="0"/>
    <xf numFmtId="0" fontId="62" fillId="0" borderId="0"/>
    <xf numFmtId="0" fontId="62" fillId="0" borderId="0"/>
    <xf numFmtId="170" fontId="37" fillId="0" borderId="0" applyAlignment="1">
      <alignment vertical="center"/>
    </xf>
    <xf numFmtId="0" fontId="37" fillId="0" borderId="0" applyAlignment="1">
      <alignment vertical="center"/>
    </xf>
    <xf numFmtId="170" fontId="37" fillId="0" borderId="0" applyAlignment="1">
      <alignment vertical="center"/>
    </xf>
    <xf numFmtId="0" fontId="37" fillId="0" borderId="0" applyAlignment="1">
      <alignment vertical="center"/>
    </xf>
    <xf numFmtId="170" fontId="79" fillId="0" borderId="0" applyAlignment="1">
      <alignment vertical="center"/>
    </xf>
    <xf numFmtId="0" fontId="37" fillId="0" borderId="0" applyAlignment="1">
      <alignment vertical="center"/>
    </xf>
    <xf numFmtId="170" fontId="62" fillId="0" borderId="0"/>
    <xf numFmtId="170" fontId="37" fillId="0" borderId="0" applyAlignment="1">
      <alignment vertical="center"/>
    </xf>
    <xf numFmtId="0" fontId="37" fillId="0" borderId="0" applyAlignment="1">
      <alignment vertical="center"/>
    </xf>
    <xf numFmtId="170" fontId="37" fillId="0" borderId="0" applyAlignment="1">
      <alignment vertical="center"/>
    </xf>
    <xf numFmtId="0" fontId="37" fillId="0" borderId="0" applyAlignment="1">
      <alignment vertical="center"/>
    </xf>
    <xf numFmtId="170" fontId="62" fillId="0" borderId="0"/>
    <xf numFmtId="0" fontId="62" fillId="0" borderId="0"/>
    <xf numFmtId="170" fontId="79" fillId="0" borderId="0" applyAlignment="1">
      <alignment vertical="center"/>
    </xf>
    <xf numFmtId="0" fontId="37" fillId="0" borderId="0" applyAlignment="1">
      <alignment vertical="center"/>
    </xf>
    <xf numFmtId="170" fontId="75" fillId="0" borderId="0" applyAlignment="1">
      <alignment vertical="center"/>
    </xf>
    <xf numFmtId="0" fontId="37" fillId="0" borderId="0"/>
    <xf numFmtId="0" fontId="4" fillId="0" borderId="0" applyAlignment="1">
      <alignment vertical="center"/>
    </xf>
    <xf numFmtId="0" fontId="4" fillId="0" borderId="0" applyAlignment="1">
      <alignment vertical="center"/>
    </xf>
    <xf numFmtId="0" fontId="37" fillId="0" borderId="0"/>
    <xf numFmtId="0" fontId="4" fillId="0" borderId="0" applyAlignment="1">
      <alignment vertical="center"/>
    </xf>
    <xf numFmtId="0" fontId="4" fillId="0" borderId="0" applyAlignment="1">
      <alignment vertical="center"/>
    </xf>
    <xf numFmtId="0" fontId="37" fillId="0" borderId="0"/>
    <xf numFmtId="0" fontId="4" fillId="0" borderId="0" applyAlignment="1">
      <alignment vertical="center"/>
    </xf>
    <xf numFmtId="0" fontId="4" fillId="0" borderId="0" applyAlignment="1">
      <alignment vertical="center"/>
    </xf>
    <xf numFmtId="0" fontId="37" fillId="0" borderId="0"/>
    <xf numFmtId="0" fontId="4" fillId="0" borderId="0" applyAlignment="1">
      <alignment vertical="center"/>
    </xf>
    <xf numFmtId="0" fontId="4" fillId="0" borderId="0" applyAlignment="1">
      <alignment vertical="center"/>
    </xf>
    <xf numFmtId="0" fontId="37" fillId="0" borderId="0"/>
    <xf numFmtId="0" fontId="4" fillId="0" borderId="0" applyAlignment="1">
      <alignment vertical="center"/>
    </xf>
    <xf numFmtId="0" fontId="4" fillId="0" borderId="0" applyAlignment="1">
      <alignment vertical="center"/>
    </xf>
    <xf numFmtId="0" fontId="37" fillId="0" borderId="0"/>
    <xf numFmtId="0" fontId="4" fillId="0" borderId="0" applyAlignment="1">
      <alignment vertical="center"/>
    </xf>
    <xf numFmtId="0" fontId="4" fillId="0" borderId="0" applyAlignment="1">
      <alignment vertical="center"/>
    </xf>
    <xf numFmtId="0" fontId="4" fillId="0" borderId="0" applyAlignment="1">
      <alignment vertical="center"/>
    </xf>
    <xf numFmtId="0" fontId="37" fillId="0" borderId="0"/>
    <xf numFmtId="0" fontId="4" fillId="0" borderId="0" applyAlignment="1">
      <alignment vertical="center"/>
    </xf>
    <xf numFmtId="0" fontId="4" fillId="0" borderId="0" applyAlignment="1">
      <alignment vertical="center"/>
    </xf>
    <xf numFmtId="0" fontId="37" fillId="0" borderId="0"/>
    <xf numFmtId="0" fontId="4" fillId="0" borderId="0" applyAlignment="1">
      <alignment vertical="center"/>
    </xf>
    <xf numFmtId="0" fontId="37" fillId="0" borderId="0"/>
    <xf numFmtId="0" fontId="4" fillId="0" borderId="0" applyAlignment="1">
      <alignment vertical="center"/>
    </xf>
    <xf numFmtId="0" fontId="37" fillId="0" borderId="0"/>
    <xf numFmtId="0" fontId="4" fillId="0" borderId="0" applyAlignment="1">
      <alignment vertical="center"/>
    </xf>
    <xf numFmtId="0" fontId="37"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37" fillId="0" borderId="0"/>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37" fillId="0" borderId="0"/>
    <xf numFmtId="0" fontId="37" fillId="0" borderId="0"/>
    <xf numFmtId="0" fontId="37" fillId="0" borderId="0"/>
    <xf numFmtId="170" fontId="37" fillId="0" borderId="0"/>
    <xf numFmtId="0" fontId="266" fillId="0" borderId="0" applyAlignment="1">
      <alignment vertical="center"/>
    </xf>
    <xf numFmtId="0" fontId="37" fillId="0" borderId="0"/>
    <xf numFmtId="0" fontId="4" fillId="0" borderId="0" applyAlignment="1">
      <alignment vertical="center"/>
    </xf>
    <xf numFmtId="0" fontId="79" fillId="0" borderId="0" applyAlignment="1">
      <alignment vertical="center"/>
    </xf>
    <xf numFmtId="0" fontId="4" fillId="0" borderId="0" applyAlignment="1">
      <alignment vertical="center"/>
    </xf>
    <xf numFmtId="170" fontId="267"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170" fontId="79" fillId="0" borderId="0" applyAlignment="1">
      <alignment vertical="center"/>
    </xf>
    <xf numFmtId="0" fontId="37" fillId="0" borderId="0"/>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170" fontId="37" fillId="0" borderId="0"/>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170" fontId="4" fillId="0" borderId="0" applyAlignment="1">
      <alignment vertical="center"/>
    </xf>
    <xf numFmtId="0" fontId="37" fillId="0" borderId="0"/>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170" fontId="37" fillId="0" borderId="0"/>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37" fillId="0" borderId="0"/>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37"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170" fontId="37"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37" fillId="0" borderId="0"/>
    <xf numFmtId="0" fontId="4" fillId="0" borderId="0" applyAlignment="1">
      <alignment vertical="center"/>
    </xf>
    <xf numFmtId="0" fontId="37" fillId="0" borderId="0"/>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37" fillId="0" borderId="0"/>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37" fillId="0" borderId="0"/>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37" fillId="0" borderId="0"/>
    <xf numFmtId="0" fontId="79" fillId="0" borderId="0" applyAlignment="1">
      <alignment vertical="center"/>
    </xf>
    <xf numFmtId="0" fontId="79" fillId="0" borderId="0" applyAlignment="1">
      <alignment vertical="center"/>
    </xf>
    <xf numFmtId="17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37" fillId="0" borderId="0"/>
    <xf numFmtId="0" fontId="4" fillId="0" borderId="0" applyAlignment="1">
      <alignment vertical="center"/>
    </xf>
    <xf numFmtId="170" fontId="62" fillId="0" borderId="0" applyAlignment="1">
      <alignment vertical="center"/>
    </xf>
    <xf numFmtId="0" fontId="37" fillId="0" borderId="0"/>
    <xf numFmtId="0" fontId="37" fillId="0" borderId="0" applyAlignment="1">
      <alignment vertical="center"/>
    </xf>
    <xf numFmtId="17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9" fillId="0" borderId="0" applyAlignment="1">
      <alignment vertical="center"/>
    </xf>
    <xf numFmtId="0" fontId="75" fillId="0" borderId="0" applyAlignment="1">
      <alignment vertical="center"/>
    </xf>
    <xf numFmtId="0" fontId="4" fillId="0" borderId="0" applyAlignment="1">
      <alignment vertical="center"/>
    </xf>
    <xf numFmtId="0" fontId="4" fillId="0" borderId="0" applyAlignment="1">
      <alignment vertical="center"/>
    </xf>
    <xf numFmtId="0" fontId="37"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37" fillId="0" borderId="0"/>
    <xf numFmtId="170" fontId="79" fillId="0" borderId="0" applyAlignment="1">
      <alignment vertical="center"/>
    </xf>
    <xf numFmtId="170" fontId="79" fillId="0" borderId="0" applyAlignment="1">
      <alignment vertical="center"/>
    </xf>
    <xf numFmtId="170" fontId="79" fillId="0" borderId="0" applyAlignment="1">
      <alignment vertical="center"/>
    </xf>
    <xf numFmtId="170" fontId="79" fillId="0" borderId="0" applyAlignment="1">
      <alignment vertical="center"/>
    </xf>
    <xf numFmtId="170" fontId="79" fillId="0" borderId="0" applyAlignment="1">
      <alignment vertical="center"/>
    </xf>
    <xf numFmtId="170" fontId="79" fillId="0" borderId="0" applyAlignment="1">
      <alignment vertical="center"/>
    </xf>
    <xf numFmtId="170" fontId="79" fillId="0" borderId="0" applyAlignment="1">
      <alignment vertical="center"/>
    </xf>
    <xf numFmtId="170" fontId="79" fillId="0" borderId="0" applyAlignment="1">
      <alignment vertical="center"/>
    </xf>
    <xf numFmtId="170" fontId="79" fillId="0" borderId="0" applyAlignment="1">
      <alignment vertical="center"/>
    </xf>
    <xf numFmtId="170" fontId="79" fillId="0" borderId="0" applyAlignment="1">
      <alignment vertical="center"/>
    </xf>
    <xf numFmtId="0" fontId="79" fillId="0" borderId="0" applyAlignment="1">
      <alignment vertical="center"/>
    </xf>
    <xf numFmtId="0" fontId="79" fillId="0" borderId="0" applyAlignment="1">
      <alignment vertical="center"/>
    </xf>
    <xf numFmtId="170" fontId="60" fillId="0" borderId="0" applyAlignment="1">
      <alignment vertical="center"/>
    </xf>
    <xf numFmtId="0" fontId="226" fillId="0" borderId="0"/>
    <xf numFmtId="170" fontId="37" fillId="0" borderId="0" applyAlignment="1">
      <alignment vertical="center"/>
    </xf>
    <xf numFmtId="0" fontId="37" fillId="0" borderId="0"/>
    <xf numFmtId="0" fontId="37" fillId="0" borderId="0" applyAlignment="1">
      <alignment vertical="center"/>
    </xf>
    <xf numFmtId="170" fontId="79" fillId="0" borderId="0" applyAlignment="1">
      <alignment vertical="center"/>
    </xf>
    <xf numFmtId="170" fontId="79" fillId="0" borderId="0" applyAlignment="1">
      <alignment vertical="center"/>
    </xf>
    <xf numFmtId="170" fontId="79" fillId="0" borderId="0" applyAlignment="1">
      <alignment vertical="center"/>
    </xf>
    <xf numFmtId="170" fontId="79" fillId="0" borderId="0" applyAlignment="1">
      <alignment vertical="center"/>
    </xf>
    <xf numFmtId="170" fontId="79" fillId="0" borderId="0" applyAlignment="1">
      <alignment vertical="center"/>
    </xf>
    <xf numFmtId="17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37" fillId="0" borderId="0"/>
    <xf numFmtId="0" fontId="37" fillId="0" borderId="0"/>
    <xf numFmtId="170" fontId="79"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170" fontId="79" fillId="0" borderId="0" applyAlignment="1">
      <alignment vertical="center"/>
    </xf>
    <xf numFmtId="170" fontId="79" fillId="0" borderId="0" applyAlignment="1">
      <alignment vertical="center"/>
    </xf>
    <xf numFmtId="0" fontId="79" fillId="0" borderId="0" applyAlignment="1">
      <alignment vertical="center"/>
    </xf>
    <xf numFmtId="0" fontId="79" fillId="0" borderId="0" applyAlignment="1">
      <alignment vertical="center"/>
    </xf>
    <xf numFmtId="170" fontId="79" fillId="0" borderId="0" applyAlignment="1">
      <alignment vertical="center"/>
    </xf>
    <xf numFmtId="0" fontId="79" fillId="0" borderId="0" applyAlignment="1">
      <alignment vertical="center"/>
    </xf>
    <xf numFmtId="170" fontId="37" fillId="0" borderId="0" applyAlignment="1">
      <alignment vertical="center"/>
    </xf>
    <xf numFmtId="0" fontId="265" fillId="0" borderId="0"/>
    <xf numFmtId="0" fontId="239" fillId="0" borderId="0" applyAlignment="1">
      <alignment vertical="center"/>
    </xf>
    <xf numFmtId="17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37" fillId="0" borderId="0"/>
    <xf numFmtId="0" fontId="79" fillId="0" borderId="0" applyAlignment="1">
      <alignment vertical="center"/>
    </xf>
    <xf numFmtId="170" fontId="79" fillId="0" borderId="0" applyAlignment="1">
      <alignment vertical="center"/>
    </xf>
    <xf numFmtId="0" fontId="79" fillId="0" borderId="0" applyAlignment="1">
      <alignment vertical="center"/>
    </xf>
    <xf numFmtId="0" fontId="268" fillId="0" borderId="0" applyAlignment="1">
      <alignment vertical="center"/>
    </xf>
    <xf numFmtId="0" fontId="79" fillId="0" borderId="0" applyAlignment="1">
      <alignment vertical="center"/>
    </xf>
    <xf numFmtId="0" fontId="37" fillId="0" borderId="0"/>
    <xf numFmtId="170" fontId="79" fillId="0" borderId="0" applyAlignment="1">
      <alignment vertical="center"/>
    </xf>
    <xf numFmtId="0" fontId="79" fillId="0" borderId="0" applyAlignment="1">
      <alignment vertical="center"/>
    </xf>
    <xf numFmtId="0" fontId="79" fillId="0" borderId="0" applyAlignment="1">
      <alignment vertical="center"/>
    </xf>
    <xf numFmtId="170" fontId="79" fillId="0" borderId="0" applyAlignment="1">
      <alignment vertical="center"/>
    </xf>
    <xf numFmtId="0" fontId="79" fillId="0" borderId="0" applyAlignment="1">
      <alignment vertical="center"/>
    </xf>
    <xf numFmtId="170" fontId="37" fillId="0" borderId="0" applyAlignment="1">
      <alignment vertical="center"/>
    </xf>
    <xf numFmtId="0" fontId="269" fillId="0" borderId="0" applyAlignment="1">
      <alignment vertical="center"/>
    </xf>
    <xf numFmtId="0" fontId="50" fillId="0" borderId="0"/>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140" fillId="107" borderId="0" applyAlignment="1">
      <alignment horizontal="center"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37" fillId="0" borderId="0"/>
    <xf numFmtId="0" fontId="37" fillId="0" borderId="0"/>
    <xf numFmtId="0" fontId="4" fillId="0" borderId="0" applyAlignment="1">
      <alignment vertical="center"/>
    </xf>
    <xf numFmtId="0" fontId="79" fillId="0" borderId="0" applyAlignment="1">
      <alignment vertical="center"/>
    </xf>
    <xf numFmtId="170" fontId="37"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265" fillId="0" borderId="0"/>
    <xf numFmtId="0" fontId="227" fillId="0" borderId="0"/>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37" fillId="0" borderId="0"/>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37" fillId="0" borderId="0"/>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170" fontId="37" fillId="0" borderId="0"/>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79"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4" fillId="0" borderId="0" applyAlignment="1">
      <alignment vertical="center"/>
    </xf>
    <xf numFmtId="0" fontId="37" fillId="0" borderId="0" applyAlignment="1">
      <alignment vertical="center"/>
    </xf>
    <xf numFmtId="0" fontId="62" fillId="0" borderId="0"/>
    <xf numFmtId="0" fontId="62" fillId="0" borderId="0"/>
    <xf numFmtId="0" fontId="62" fillId="0" borderId="0"/>
    <xf numFmtId="170" fontId="37" fillId="0" borderId="0"/>
    <xf numFmtId="170" fontId="270" fillId="0" borderId="0" applyAlignment="1">
      <alignment vertical="center"/>
    </xf>
    <xf numFmtId="170" fontId="60" fillId="0" borderId="0" applyAlignment="1">
      <alignment vertical="center"/>
    </xf>
    <xf numFmtId="170" fontId="37" fillId="0" borderId="0"/>
    <xf numFmtId="196" fontId="176" fillId="0" borderId="0"/>
    <xf numFmtId="197" fontId="176" fillId="0" borderId="0"/>
    <xf numFmtId="0" fontId="271" fillId="0" borderId="0" applyAlignment="1" applyProtection="1">
      <alignment vertical="top"/>
      <protection locked="0" hidden="0"/>
    </xf>
    <xf numFmtId="0" fontId="271" fillId="0" borderId="0" applyAlignment="1" applyProtection="1">
      <alignment vertical="top"/>
      <protection locked="0" hidden="0"/>
    </xf>
    <xf numFmtId="170" fontId="214" fillId="0" borderId="80"/>
    <xf numFmtId="170" fontId="138" fillId="0" borderId="80" applyProtection="1">
      <protection locked="0" hidden="0"/>
    </xf>
    <xf numFmtId="0" fontId="214" fillId="0" borderId="80"/>
    <xf numFmtId="0" fontId="138" fillId="0" borderId="80" applyProtection="1">
      <protection locked="0" hidden="0"/>
    </xf>
    <xf numFmtId="38" fontId="272" fillId="0" borderId="0"/>
    <xf numFmtId="226" fontId="37" fillId="0" borderId="0"/>
    <xf numFmtId="187" fontId="37" fillId="0" borderId="0"/>
    <xf numFmtId="6" fontId="218" fillId="0" borderId="0"/>
    <xf numFmtId="228" fontId="37" fillId="0" borderId="0"/>
    <xf numFmtId="170" fontId="50" fillId="0" borderId="0" applyProtection="1">
      <protection locked="0" hidden="0"/>
    </xf>
    <xf numFmtId="228" fontId="37" fillId="0" borderId="0"/>
    <xf numFmtId="0" fontId="50" fillId="0" borderId="0" applyProtection="1">
      <protection locked="0" hidden="0"/>
    </xf>
    <xf numFmtId="229" fontId="214" fillId="0" borderId="0"/>
    <xf numFmtId="170" fontId="50" fillId="0" borderId="0" applyProtection="1">
      <protection locked="0" hidden="0"/>
    </xf>
    <xf numFmtId="229" fontId="214" fillId="0" borderId="0"/>
    <xf numFmtId="0" fontId="50" fillId="0" borderId="0" applyProtection="1">
      <protection locked="0" hidden="0"/>
    </xf>
    <xf numFmtId="0" fontId="4" fillId="0" borderId="0" applyAlignment="1">
      <alignment vertical="center"/>
    </xf>
    <xf numFmtId="9" fontId="4" fillId="0" borderId="0" applyAlignment="1">
      <alignment vertical="center"/>
    </xf>
    <xf numFmtId="0" fontId="225" fillId="0" borderId="0"/>
    <xf numFmtId="0" fontId="290" fillId="0" borderId="0"/>
    <xf numFmtId="9" fontId="225" fillId="0" borderId="0"/>
    <xf numFmtId="169" fontId="37" fillId="0" borderId="0" applyAlignment="1">
      <alignment vertical="center"/>
    </xf>
    <xf numFmtId="0" fontId="51" fillId="0" borderId="0"/>
    <xf numFmtId="0" fontId="303" fillId="0" borderId="0"/>
    <xf numFmtId="0" fontId="305" fillId="0" borderId="0"/>
    <xf numFmtId="0" fontId="225" fillId="0" borderId="0"/>
  </cellStyleXfs>
  <cellXfs count="394">
    <xf numFmtId="0" fontId="0" fillId="0" borderId="0" applyAlignment="1" pivotButton="0" quotePrefix="0" xfId="0">
      <alignment vertical="center"/>
    </xf>
    <xf numFmtId="0" fontId="27" fillId="0" borderId="0" applyAlignment="1" pivotButton="0" quotePrefix="0" xfId="4">
      <alignment vertical="center"/>
    </xf>
    <xf numFmtId="0" fontId="31" fillId="0" borderId="0" applyAlignment="1" pivotButton="0" quotePrefix="0" xfId="4">
      <alignment vertical="center"/>
    </xf>
    <xf numFmtId="0" fontId="25" fillId="0" borderId="0" applyAlignment="1" pivotButton="0" quotePrefix="0" xfId="4">
      <alignment vertical="center"/>
    </xf>
    <xf numFmtId="0" fontId="22" fillId="0" borderId="0" applyAlignment="1" pivotButton="0" quotePrefix="0" xfId="4">
      <alignment vertical="center"/>
    </xf>
    <xf numFmtId="0" fontId="32" fillId="0" borderId="0" applyAlignment="1" pivotButton="0" quotePrefix="0" xfId="4">
      <alignment vertical="center"/>
    </xf>
    <xf numFmtId="0" fontId="36" fillId="0" borderId="0" applyAlignment="1" pivotButton="0" quotePrefix="0" xfId="4">
      <alignment vertical="center"/>
    </xf>
    <xf numFmtId="0" fontId="22" fillId="0" borderId="16" applyAlignment="1" pivotButton="0" quotePrefix="0" xfId="4">
      <alignment horizontal="center" vertical="center"/>
    </xf>
    <xf numFmtId="9" fontId="35" fillId="0" borderId="16" applyAlignment="1" pivotButton="0" quotePrefix="0" xfId="2">
      <alignment horizontal="center" vertical="center"/>
    </xf>
    <xf numFmtId="9" fontId="35" fillId="0" borderId="10" applyAlignment="1" pivotButton="0" quotePrefix="0" xfId="2">
      <alignment horizontal="center" vertical="center"/>
    </xf>
    <xf numFmtId="0" fontId="31" fillId="0" borderId="0" applyAlignment="1" pivotButton="0" quotePrefix="0" xfId="4">
      <alignment vertical="center"/>
    </xf>
    <xf numFmtId="0" fontId="41" fillId="0" borderId="0" applyAlignment="1" pivotButton="0" quotePrefix="0" xfId="0">
      <alignment vertical="top" wrapText="1"/>
    </xf>
    <xf numFmtId="0" fontId="31" fillId="0" borderId="0" applyAlignment="1" pivotButton="0" quotePrefix="0" xfId="4">
      <alignment horizontal="center" vertical="center"/>
    </xf>
    <xf numFmtId="0" fontId="36" fillId="0" borderId="0" applyAlignment="1" pivotButton="0" quotePrefix="0" xfId="4">
      <alignment vertical="center" wrapText="1"/>
    </xf>
    <xf numFmtId="0" fontId="31" fillId="0" borderId="0" applyAlignment="1" pivotButton="0" quotePrefix="0" xfId="4">
      <alignment horizontal="right" vertical="center"/>
    </xf>
    <xf numFmtId="0" fontId="31" fillId="0" borderId="0" applyAlignment="1" pivotButton="0" quotePrefix="0" xfId="4">
      <alignment horizontal="left" vertical="center"/>
    </xf>
    <xf numFmtId="0" fontId="43" fillId="0" borderId="0" applyAlignment="1" pivotButton="0" quotePrefix="0" xfId="5">
      <alignment horizontal="center" vertical="center"/>
    </xf>
    <xf numFmtId="0" fontId="43" fillId="0" borderId="0" applyAlignment="1" pivotButton="0" quotePrefix="0" xfId="5">
      <alignment horizontal="left" vertical="center"/>
    </xf>
    <xf numFmtId="0" fontId="44" fillId="0" borderId="0" applyAlignment="1" pivotButton="0" quotePrefix="0" xfId="4">
      <alignment vertical="center"/>
    </xf>
    <xf numFmtId="0" fontId="45" fillId="0" borderId="0" applyAlignment="1" pivotButton="0" quotePrefix="0" xfId="5">
      <alignment horizontal="center" vertical="center"/>
    </xf>
    <xf numFmtId="0" fontId="46" fillId="0" borderId="26" applyAlignment="1" pivotButton="0" quotePrefix="0" xfId="5">
      <alignment horizontal="center" vertical="center" wrapText="1"/>
    </xf>
    <xf numFmtId="0" fontId="43" fillId="0" borderId="26" applyAlignment="1" pivotButton="0" quotePrefix="0" xfId="8">
      <alignment horizontal="left" vertical="center" wrapText="1"/>
    </xf>
    <xf numFmtId="0" fontId="43" fillId="0" borderId="27" applyAlignment="1" pivotButton="0" quotePrefix="0" xfId="5">
      <alignment horizontal="left" vertical="center" wrapText="1"/>
    </xf>
    <xf numFmtId="0" fontId="43" fillId="0" borderId="28" applyAlignment="1" pivotButton="0" quotePrefix="0" xfId="5">
      <alignment horizontal="left" vertical="center" wrapText="1"/>
    </xf>
    <xf numFmtId="49" fontId="43" fillId="0" borderId="28" applyAlignment="1" pivotButton="0" quotePrefix="0" xfId="5">
      <alignment horizontal="center" vertical="center"/>
    </xf>
    <xf numFmtId="0" fontId="43" fillId="0" borderId="29" applyAlignment="1" pivotButton="0" quotePrefix="0" xfId="9">
      <alignment horizontal="left" vertical="center" wrapText="1"/>
    </xf>
    <xf numFmtId="49" fontId="43" fillId="0" borderId="26" applyAlignment="1" pivotButton="0" quotePrefix="0" xfId="5">
      <alignment horizontal="center" vertical="center"/>
    </xf>
    <xf numFmtId="0" fontId="43" fillId="0" borderId="30" applyAlignment="1" pivotButton="0" quotePrefix="0" xfId="5">
      <alignment horizontal="center" vertical="center"/>
    </xf>
    <xf numFmtId="0" fontId="46" fillId="0" borderId="31" applyAlignment="1" pivotButton="0" quotePrefix="0" xfId="5">
      <alignment horizontal="center" vertical="top" wrapText="1"/>
    </xf>
    <xf numFmtId="0" fontId="46" fillId="0" borderId="32" applyAlignment="1" pivotButton="0" quotePrefix="0" xfId="5">
      <alignment horizontal="center" vertical="center" wrapText="1"/>
    </xf>
    <xf numFmtId="0" fontId="43" fillId="0" borderId="32" applyAlignment="1" pivotButton="0" quotePrefix="0" xfId="8">
      <alignment horizontal="left" vertical="center" wrapText="1"/>
    </xf>
    <xf numFmtId="0" fontId="43" fillId="0" borderId="33" applyAlignment="1" pivotButton="0" quotePrefix="0" xfId="5">
      <alignment horizontal="left" vertical="center" wrapText="1"/>
    </xf>
    <xf numFmtId="0" fontId="43" fillId="0" borderId="34" applyAlignment="1" pivotButton="0" quotePrefix="0" xfId="5">
      <alignment horizontal="left" vertical="center" wrapText="1"/>
    </xf>
    <xf numFmtId="0" fontId="43" fillId="0" borderId="32" applyAlignment="1" pivotButton="0" quotePrefix="0" xfId="5">
      <alignment horizontal="center" vertical="center" wrapText="1"/>
    </xf>
    <xf numFmtId="49" fontId="43" fillId="0" borderId="34" applyAlignment="1" pivotButton="0" quotePrefix="0" xfId="5">
      <alignment horizontal="center" vertical="center"/>
    </xf>
    <xf numFmtId="0" fontId="43" fillId="0" borderId="35" applyAlignment="1" pivotButton="0" quotePrefix="0" xfId="9">
      <alignment horizontal="left" vertical="center" wrapText="1"/>
    </xf>
    <xf numFmtId="49" fontId="43" fillId="0" borderId="32" applyAlignment="1" pivotButton="0" quotePrefix="0" xfId="5">
      <alignment horizontal="center" vertical="center"/>
    </xf>
    <xf numFmtId="14" fontId="43" fillId="0" borderId="34" applyAlignment="1" pivotButton="0" quotePrefix="0" xfId="5">
      <alignment horizontal="center" vertical="center" wrapText="1"/>
    </xf>
    <xf numFmtId="0" fontId="43" fillId="0" borderId="36" applyAlignment="1" pivotButton="0" quotePrefix="0" xfId="5">
      <alignment horizontal="center" vertical="center"/>
    </xf>
    <xf numFmtId="0" fontId="43" fillId="38" borderId="34" applyAlignment="1" pivotButton="0" quotePrefix="0" xfId="5">
      <alignment horizontal="left" vertical="center" wrapText="1"/>
    </xf>
    <xf numFmtId="0" fontId="43" fillId="38" borderId="32" applyAlignment="1" pivotButton="0" quotePrefix="0" xfId="5">
      <alignment horizontal="center" vertical="center" wrapText="1"/>
    </xf>
    <xf numFmtId="49" fontId="43" fillId="38" borderId="34" applyAlignment="1" pivotButton="0" quotePrefix="0" xfId="5">
      <alignment horizontal="center" vertical="center"/>
    </xf>
    <xf numFmtId="0" fontId="43" fillId="38" borderId="35" applyAlignment="1" pivotButton="0" quotePrefix="0" xfId="9">
      <alignment horizontal="left" vertical="center" wrapText="1"/>
    </xf>
    <xf numFmtId="0" fontId="43" fillId="0" borderId="31" applyAlignment="1" pivotButton="0" quotePrefix="0" xfId="5">
      <alignment horizontal="center" vertical="top" wrapText="1"/>
    </xf>
    <xf numFmtId="0" fontId="43" fillId="0" borderId="37" applyAlignment="1" pivotButton="0" quotePrefix="0" xfId="5">
      <alignment horizontal="center" vertical="top" wrapText="1"/>
    </xf>
    <xf numFmtId="0" fontId="46" fillId="0" borderId="38" applyAlignment="1" pivotButton="0" quotePrefix="0" xfId="5">
      <alignment horizontal="center" vertical="center" wrapText="1"/>
    </xf>
    <xf numFmtId="0" fontId="43" fillId="0" borderId="38" applyAlignment="1" pivotButton="0" quotePrefix="0" xfId="8">
      <alignment horizontal="left" vertical="center" wrapText="1"/>
    </xf>
    <xf numFmtId="0" fontId="43" fillId="0" borderId="39" applyAlignment="1" pivotButton="0" quotePrefix="0" xfId="5">
      <alignment horizontal="left" vertical="center" wrapText="1"/>
    </xf>
    <xf numFmtId="0" fontId="43" fillId="0" borderId="40" applyAlignment="1" pivotButton="0" quotePrefix="0" xfId="5">
      <alignment horizontal="left" vertical="center" wrapText="1"/>
    </xf>
    <xf numFmtId="0" fontId="43" fillId="0" borderId="38" applyAlignment="1" pivotButton="0" quotePrefix="0" xfId="5">
      <alignment horizontal="center" vertical="center" wrapText="1"/>
    </xf>
    <xf numFmtId="49" fontId="43" fillId="0" borderId="40" applyAlignment="1" pivotButton="0" quotePrefix="0" xfId="5">
      <alignment horizontal="center" vertical="center"/>
    </xf>
    <xf numFmtId="0" fontId="43" fillId="0" borderId="41" applyAlignment="1" pivotButton="0" quotePrefix="0" xfId="9">
      <alignment horizontal="left" vertical="center" wrapText="1"/>
    </xf>
    <xf numFmtId="49" fontId="43" fillId="0" borderId="38" applyAlignment="1" pivotButton="0" quotePrefix="0" xfId="5">
      <alignment horizontal="center" vertical="center"/>
    </xf>
    <xf numFmtId="14" fontId="43" fillId="0" borderId="40" applyAlignment="1" pivotButton="0" quotePrefix="0" xfId="5">
      <alignment horizontal="center" vertical="center" wrapText="1"/>
    </xf>
    <xf numFmtId="0" fontId="43" fillId="0" borderId="42" applyAlignment="1" pivotButton="0" quotePrefix="0" xfId="5">
      <alignment horizontal="center" vertical="center"/>
    </xf>
    <xf numFmtId="0" fontId="22" fillId="0" borderId="10" applyAlignment="1" pivotButton="0" quotePrefix="0" xfId="4">
      <alignment horizontal="center" vertical="center"/>
    </xf>
    <xf numFmtId="0" fontId="273" fillId="0" borderId="16" applyAlignment="1" pivotButton="0" quotePrefix="0" xfId="0">
      <alignment horizontal="center" vertical="top" wrapText="1"/>
    </xf>
    <xf numFmtId="0" fontId="273" fillId="0" borderId="10" applyAlignment="1" pivotButton="0" quotePrefix="0" xfId="0">
      <alignment horizontal="center" vertical="top" wrapText="1"/>
    </xf>
    <xf numFmtId="9" fontId="45" fillId="0" borderId="0" applyAlignment="1" pivotButton="0" quotePrefix="0" xfId="51102">
      <alignment horizontal="center" vertical="center"/>
    </xf>
    <xf numFmtId="0" fontId="278" fillId="37" borderId="18" applyAlignment="1" pivotButton="0" quotePrefix="0" xfId="5">
      <alignment horizontal="center" vertical="center"/>
    </xf>
    <xf numFmtId="0" fontId="278" fillId="37" borderId="19" applyAlignment="1" pivotButton="0" quotePrefix="0" xfId="5">
      <alignment horizontal="center" vertical="center"/>
    </xf>
    <xf numFmtId="0" fontId="278" fillId="37" borderId="20" applyAlignment="1" pivotButton="0" quotePrefix="0" xfId="5">
      <alignment horizontal="center" vertical="center"/>
    </xf>
    <xf numFmtId="0" fontId="278" fillId="37" borderId="22" applyAlignment="1" pivotButton="0" quotePrefix="0" xfId="5">
      <alignment horizontal="center" vertical="center"/>
    </xf>
    <xf numFmtId="0" fontId="278" fillId="37" borderId="23" applyAlignment="1" pivotButton="0" quotePrefix="0" xfId="5">
      <alignment horizontal="center" vertical="center"/>
    </xf>
    <xf numFmtId="0" fontId="278" fillId="37" borderId="24" applyAlignment="1" pivotButton="0" quotePrefix="0" xfId="5">
      <alignment horizontal="center" vertical="center"/>
    </xf>
    <xf numFmtId="0" fontId="278" fillId="37" borderId="25" applyAlignment="1" pivotButton="0" quotePrefix="0" xfId="5">
      <alignment horizontal="center" vertical="center"/>
    </xf>
    <xf numFmtId="0" fontId="282" fillId="0" borderId="13" applyAlignment="1" pivotButton="0" quotePrefix="0" xfId="51103">
      <alignment horizontal="center" vertical="center"/>
    </xf>
    <xf numFmtId="0" fontId="65" fillId="0" borderId="0" applyAlignment="1" pivotButton="0" quotePrefix="0" xfId="51103">
      <alignment vertical="center"/>
    </xf>
    <xf numFmtId="14" fontId="281" fillId="0" borderId="10" applyAlignment="1" pivotButton="0" quotePrefix="0" xfId="51103">
      <alignment horizontal="center" vertical="center" wrapText="1"/>
    </xf>
    <xf numFmtId="0" fontId="281" fillId="0" borderId="10" applyAlignment="1" pivotButton="0" quotePrefix="1" xfId="51103">
      <alignment horizontal="center" vertical="center" wrapText="1"/>
    </xf>
    <xf numFmtId="0" fontId="285" fillId="0" borderId="10" applyAlignment="1" pivotButton="0" quotePrefix="0" xfId="51103">
      <alignment horizontal="center" vertical="center"/>
    </xf>
    <xf numFmtId="0" fontId="284" fillId="0" borderId="10" applyAlignment="1" pivotButton="0" quotePrefix="0" xfId="51103">
      <alignment vertical="center" wrapText="1"/>
    </xf>
    <xf numFmtId="0" fontId="284" fillId="0" borderId="13" applyAlignment="1" pivotButton="0" quotePrefix="0" xfId="51103">
      <alignment horizontal="center" vertical="center" wrapText="1"/>
    </xf>
    <xf numFmtId="0" fontId="284" fillId="0" borderId="10" applyAlignment="1" pivotButton="0" quotePrefix="0" xfId="51103">
      <alignment horizontal="center" vertical="center"/>
    </xf>
    <xf numFmtId="0" fontId="65" fillId="0" borderId="0" applyAlignment="1" pivotButton="0" quotePrefix="0" xfId="51103">
      <alignment vertical="center"/>
    </xf>
    <xf numFmtId="0" fontId="292" fillId="0" borderId="0" applyAlignment="1" pivotButton="0" quotePrefix="0" xfId="51103">
      <alignment horizontal="left" vertical="center"/>
    </xf>
    <xf numFmtId="0" fontId="292" fillId="108" borderId="10" applyAlignment="1" pivotButton="0" quotePrefix="0" xfId="51103">
      <alignment horizontal="left" vertical="center"/>
    </xf>
    <xf numFmtId="0" fontId="293" fillId="108" borderId="10" applyAlignment="1" pivotButton="0" quotePrefix="0" xfId="51103">
      <alignment horizontal="center" vertical="center" wrapText="1"/>
    </xf>
    <xf numFmtId="9" fontId="293" fillId="108" borderId="10" applyAlignment="1" pivotButton="0" quotePrefix="0" xfId="51105">
      <alignment horizontal="center" vertical="center" wrapText="1"/>
    </xf>
    <xf numFmtId="0" fontId="65" fillId="108" borderId="16" applyAlignment="1" pivotButton="0" quotePrefix="0" xfId="51103">
      <alignment horizontal="center" vertical="center" wrapText="1"/>
    </xf>
    <xf numFmtId="0" fontId="65" fillId="108" borderId="16" applyAlignment="1" pivotButton="0" quotePrefix="0" xfId="51103">
      <alignment horizontal="center" vertical="center"/>
    </xf>
    <xf numFmtId="0" fontId="294" fillId="108" borderId="16" applyAlignment="1" pivotButton="0" quotePrefix="0" xfId="51103">
      <alignment horizontal="center" vertical="center"/>
    </xf>
    <xf numFmtId="0" fontId="282" fillId="108" borderId="16" applyAlignment="1" pivotButton="0" quotePrefix="0" xfId="51103">
      <alignment horizontal="center" vertical="center" wrapText="1"/>
    </xf>
    <xf numFmtId="0" fontId="65" fillId="0" borderId="10" applyAlignment="1" pivotButton="0" quotePrefix="0" xfId="51103">
      <alignment horizontal="center" vertical="center"/>
    </xf>
    <xf numFmtId="0" fontId="65" fillId="0" borderId="10" applyAlignment="1" pivotButton="0" quotePrefix="0" xfId="51103">
      <alignment horizontal="center" vertical="center" wrapText="1"/>
    </xf>
    <xf numFmtId="0" fontId="65" fillId="0" borderId="10" applyAlignment="1" pivotButton="0" quotePrefix="0" xfId="51103">
      <alignment horizontal="left" vertical="center" wrapText="1"/>
    </xf>
    <xf numFmtId="0" fontId="282" fillId="0" borderId="10" applyAlignment="1" pivotButton="0" quotePrefix="0" xfId="51103">
      <alignment horizontal="center" vertical="center" wrapText="1"/>
    </xf>
    <xf numFmtId="0" fontId="292" fillId="0" borderId="10" applyAlignment="1" pivotButton="0" quotePrefix="0" xfId="51103">
      <alignment horizontal="left" vertical="center"/>
    </xf>
    <xf numFmtId="0" fontId="65" fillId="108" borderId="16" applyAlignment="1" pivotButton="0" quotePrefix="0" xfId="51103">
      <alignment horizontal="left" vertical="center" wrapText="1"/>
    </xf>
    <xf numFmtId="0" fontId="65" fillId="108" borderId="16" applyAlignment="1" pivotButton="0" quotePrefix="0" xfId="51103">
      <alignment horizontal="left" vertical="center"/>
    </xf>
    <xf numFmtId="0" fontId="65" fillId="0" borderId="0" applyAlignment="1" pivotButton="0" quotePrefix="0" xfId="51103">
      <alignment vertical="center"/>
    </xf>
    <xf numFmtId="0" fontId="65" fillId="38" borderId="10" applyAlignment="1" pivotButton="0" quotePrefix="0" xfId="51103">
      <alignment horizontal="left" vertical="center" wrapText="1"/>
    </xf>
    <xf numFmtId="0" fontId="65" fillId="0" borderId="10" applyAlignment="1" pivotButton="0" quotePrefix="0" xfId="51103">
      <alignment vertical="center"/>
    </xf>
    <xf numFmtId="0" fontId="65" fillId="38" borderId="10" applyAlignment="1" pivotButton="0" quotePrefix="0" xfId="51103">
      <alignment horizontal="left" vertical="top" wrapText="1"/>
    </xf>
    <xf numFmtId="0" fontId="295" fillId="0" borderId="10" applyAlignment="1" pivotButton="0" quotePrefix="0" xfId="51103">
      <alignment vertical="center"/>
    </xf>
    <xf numFmtId="0" fontId="295" fillId="0" borderId="0" applyAlignment="1" pivotButton="0" quotePrefix="0" xfId="51103">
      <alignment vertical="center"/>
    </xf>
    <xf numFmtId="0" fontId="65" fillId="0" borderId="10" applyAlignment="1" pivotButton="0" quotePrefix="1" xfId="51103">
      <alignment horizontal="left" vertical="center" wrapText="1"/>
    </xf>
    <xf numFmtId="0" fontId="292" fillId="108" borderId="16" applyAlignment="1" pivotButton="0" quotePrefix="0" xfId="51103">
      <alignment horizontal="left" vertical="center" wrapText="1"/>
    </xf>
    <xf numFmtId="0" fontId="292" fillId="108" borderId="16" applyAlignment="1" pivotButton="0" quotePrefix="0" xfId="51103">
      <alignment horizontal="left" vertical="center"/>
    </xf>
    <xf numFmtId="0" fontId="292" fillId="108" borderId="88" applyAlignment="1" pivotButton="0" quotePrefix="0" xfId="51103">
      <alignment vertical="center"/>
    </xf>
    <xf numFmtId="0" fontId="292" fillId="108" borderId="89" applyAlignment="1" pivotButton="0" quotePrefix="0" xfId="51103">
      <alignment vertical="center"/>
    </xf>
    <xf numFmtId="0" fontId="292" fillId="108" borderId="74" applyAlignment="1" pivotButton="0" quotePrefix="0" xfId="51103">
      <alignment vertical="center"/>
    </xf>
    <xf numFmtId="0" fontId="292" fillId="108" borderId="10" applyAlignment="1" pivotButton="0" quotePrefix="0" xfId="51103">
      <alignment horizontal="left" vertical="center" wrapText="1"/>
    </xf>
    <xf numFmtId="0" fontId="292" fillId="108" borderId="10" applyAlignment="1" pivotButton="0" quotePrefix="0" xfId="51103">
      <alignment vertical="center"/>
    </xf>
    <xf numFmtId="0" fontId="296" fillId="108" borderId="10" applyAlignment="1" pivotButton="0" quotePrefix="0" xfId="51103">
      <alignment vertical="center"/>
    </xf>
    <xf numFmtId="0" fontId="65" fillId="0" borderId="10" applyAlignment="1" pivotButton="0" quotePrefix="0" xfId="51103">
      <alignment horizontal="center" vertical="center"/>
    </xf>
    <xf numFmtId="0" fontId="65" fillId="0" borderId="10" applyAlignment="1" pivotButton="0" quotePrefix="0" xfId="51103">
      <alignment horizontal="center" vertical="center" wrapText="1"/>
    </xf>
    <xf numFmtId="0" fontId="65" fillId="0" borderId="10" applyAlignment="1" pivotButton="0" quotePrefix="0" xfId="51103">
      <alignment vertical="center" wrapText="1"/>
    </xf>
    <xf numFmtId="0" fontId="282" fillId="0" borderId="10" applyAlignment="1" pivotButton="0" quotePrefix="0" xfId="51103">
      <alignment horizontal="center" vertical="center" wrapText="1"/>
    </xf>
    <xf numFmtId="0" fontId="292" fillId="0" borderId="10" applyAlignment="1" pivotButton="0" quotePrefix="0" xfId="51103">
      <alignment vertical="center"/>
    </xf>
    <xf numFmtId="0" fontId="65" fillId="0" borderId="10" applyAlignment="1" pivotButton="0" quotePrefix="0" xfId="51103">
      <alignment vertical="center"/>
    </xf>
    <xf numFmtId="0" fontId="65" fillId="0" borderId="10" applyAlignment="1" pivotButton="0" quotePrefix="0" xfId="51103">
      <alignment vertical="center" wrapText="1"/>
    </xf>
    <xf numFmtId="0" fontId="65" fillId="0" borderId="10" applyAlignment="1" pivotButton="0" quotePrefix="0" xfId="51103">
      <alignment vertical="center" wrapText="1"/>
    </xf>
    <xf numFmtId="0" fontId="65" fillId="0" borderId="10" applyAlignment="1" pivotButton="0" quotePrefix="0" xfId="10">
      <alignment vertical="center" wrapText="1"/>
    </xf>
    <xf numFmtId="0" fontId="297" fillId="108" borderId="10" applyAlignment="1" pivotButton="0" quotePrefix="0" xfId="51103">
      <alignment horizontal="center" vertical="center" wrapText="1"/>
    </xf>
    <xf numFmtId="0" fontId="298" fillId="107" borderId="92" applyAlignment="1" pivotButton="0" quotePrefix="0" xfId="51103">
      <alignment horizontal="center" vertical="center" wrapText="1"/>
    </xf>
    <xf numFmtId="0" fontId="298" fillId="107" borderId="95" applyAlignment="1" pivotButton="0" quotePrefix="0" xfId="51103">
      <alignment horizontal="center" vertical="center" wrapText="1"/>
    </xf>
    <xf numFmtId="0" fontId="297" fillId="107" borderId="10" applyAlignment="1" pivotButton="0" quotePrefix="0" xfId="51103">
      <alignment horizontal="center" vertical="center" wrapText="1"/>
    </xf>
    <xf numFmtId="9" fontId="65" fillId="0" borderId="10" applyAlignment="1" pivotButton="0" quotePrefix="0" xfId="51103">
      <alignment horizontal="center" vertical="center"/>
    </xf>
    <xf numFmtId="0" fontId="297" fillId="108" borderId="13" applyAlignment="1" pivotButton="0" quotePrefix="0" xfId="51103">
      <alignment horizontal="center" vertical="center" wrapText="1"/>
    </xf>
    <xf numFmtId="9" fontId="297" fillId="108" borderId="10" applyAlignment="1" pivotButton="0" quotePrefix="0" xfId="51103">
      <alignment horizontal="center" vertical="center" wrapText="1"/>
    </xf>
    <xf numFmtId="0" fontId="65" fillId="0" borderId="13" applyAlignment="1" pivotButton="0" quotePrefix="0" xfId="51103">
      <alignment vertical="center" wrapText="1"/>
    </xf>
    <xf numFmtId="0" fontId="292" fillId="0" borderId="10" applyAlignment="1" pivotButton="0" quotePrefix="0" xfId="51103">
      <alignment horizontal="center" vertical="center"/>
    </xf>
    <xf numFmtId="0" fontId="65" fillId="0" borderId="99" applyAlignment="1" pivotButton="0" quotePrefix="0" xfId="51103">
      <alignment vertical="center"/>
    </xf>
    <xf numFmtId="0" fontId="65" fillId="0" borderId="103" applyAlignment="1" pivotButton="0" quotePrefix="0" xfId="51103">
      <alignment vertical="center"/>
    </xf>
    <xf numFmtId="0" fontId="65" fillId="0" borderId="107" applyAlignment="1" pivotButton="0" quotePrefix="0" xfId="51103">
      <alignment vertical="center"/>
    </xf>
    <xf numFmtId="0" fontId="65" fillId="0" borderId="0" applyAlignment="1" pivotButton="0" quotePrefix="0" xfId="51103">
      <alignment horizontal="left" vertical="center"/>
    </xf>
    <xf numFmtId="0" fontId="282" fillId="0" borderId="0" applyAlignment="1" pivotButton="0" quotePrefix="0" xfId="51103">
      <alignment horizontal="center" vertical="center" wrapText="1"/>
    </xf>
    <xf numFmtId="0" fontId="65" fillId="0" borderId="0" applyAlignment="1" pivotButton="0" quotePrefix="0" xfId="51103">
      <alignment horizontal="center" vertical="center"/>
    </xf>
    <xf numFmtId="0" fontId="65" fillId="0" borderId="0" applyAlignment="1" pivotButton="0" quotePrefix="0" xfId="51103">
      <alignment vertical="center" wrapText="1"/>
    </xf>
    <xf numFmtId="0" fontId="294" fillId="0" borderId="0" applyAlignment="1" pivotButton="0" quotePrefix="0" xfId="51103">
      <alignment vertical="center"/>
    </xf>
    <xf numFmtId="0" fontId="42" fillId="0" borderId="0" applyAlignment="1" pivotButton="0" quotePrefix="0" xfId="0">
      <alignment horizontal="center" vertical="center" wrapText="1"/>
    </xf>
    <xf numFmtId="0" fontId="304" fillId="38" borderId="0" applyAlignment="1" pivotButton="0" quotePrefix="0" xfId="51108">
      <alignment vertical="center"/>
    </xf>
    <xf numFmtId="0" fontId="306" fillId="38" borderId="0" pivotButton="0" quotePrefix="0" xfId="51109"/>
    <xf numFmtId="0" fontId="306" fillId="38" borderId="43" pivotButton="0" quotePrefix="0" xfId="51109"/>
    <xf numFmtId="0" fontId="306" fillId="38" borderId="44" pivotButton="0" quotePrefix="0" xfId="51109"/>
    <xf numFmtId="0" fontId="306" fillId="38" borderId="111" pivotButton="0" quotePrefix="0" xfId="51109"/>
    <xf numFmtId="0" fontId="306" fillId="38" borderId="45" pivotButton="0" quotePrefix="0" xfId="51109"/>
    <xf numFmtId="0" fontId="306" fillId="38" borderId="112" pivotButton="0" quotePrefix="0" xfId="51109"/>
    <xf numFmtId="0" fontId="304" fillId="38" borderId="45" applyAlignment="1" pivotButton="0" quotePrefix="0" xfId="51108">
      <alignment vertical="center"/>
    </xf>
    <xf numFmtId="0" fontId="304" fillId="38" borderId="0" applyAlignment="1" pivotButton="0" quotePrefix="0" xfId="51108">
      <alignment vertical="center"/>
    </xf>
    <xf numFmtId="0" fontId="309" fillId="38" borderId="45" applyAlignment="1" pivotButton="0" quotePrefix="0" xfId="51109">
      <alignment horizontal="center"/>
    </xf>
    <xf numFmtId="0" fontId="308" fillId="38" borderId="0" applyAlignment="1" pivotButton="0" quotePrefix="0" xfId="51108">
      <alignment horizontal="right" vertical="center"/>
    </xf>
    <xf numFmtId="0" fontId="304" fillId="38" borderId="112" applyAlignment="1" pivotButton="0" quotePrefix="0" xfId="51108">
      <alignment vertical="center"/>
    </xf>
    <xf numFmtId="0" fontId="310" fillId="38" borderId="0" pivotButton="0" quotePrefix="0" xfId="51109"/>
    <xf numFmtId="0" fontId="306" fillId="38" borderId="46" pivotButton="0" quotePrefix="0" xfId="51109"/>
    <xf numFmtId="0" fontId="306" fillId="38" borderId="47" pivotButton="0" quotePrefix="0" xfId="51109"/>
    <xf numFmtId="0" fontId="306" fillId="38" borderId="113" pivotButton="0" quotePrefix="0" xfId="51109"/>
    <xf numFmtId="0" fontId="276" fillId="38" borderId="0" applyAlignment="1" pivotButton="0" quotePrefix="0" xfId="51101">
      <alignment horizontal="center" vertical="center"/>
    </xf>
    <xf numFmtId="0" fontId="277" fillId="38" borderId="0" applyAlignment="1" pivotButton="0" quotePrefix="0" xfId="51101">
      <alignment horizontal="center" vertical="center"/>
    </xf>
    <xf numFmtId="0" fontId="45" fillId="38" borderId="0" applyAlignment="1" pivotButton="0" quotePrefix="0" xfId="5">
      <alignment horizontal="center" vertical="center"/>
    </xf>
    <xf numFmtId="9" fontId="45" fillId="38" borderId="0" applyAlignment="1" pivotButton="0" quotePrefix="0" xfId="51102">
      <alignment horizontal="center" vertical="center"/>
    </xf>
    <xf numFmtId="0" fontId="281" fillId="0" borderId="10" applyAlignment="1" pivotButton="0" quotePrefix="0" xfId="51103">
      <alignment vertical="center"/>
    </xf>
    <xf numFmtId="0" fontId="65" fillId="0" borderId="91" applyAlignment="1" pivotButton="0" quotePrefix="0" xfId="51103">
      <alignment horizontal="center" vertical="center" wrapText="1"/>
    </xf>
    <xf numFmtId="0" fontId="284" fillId="0" borderId="91" applyAlignment="1" pivotButton="0" quotePrefix="0" xfId="51103">
      <alignment horizontal="center" vertical="center" wrapText="1"/>
    </xf>
    <xf numFmtId="0" fontId="293" fillId="0" borderId="10" applyAlignment="1" pivotButton="0" quotePrefix="0" xfId="51103">
      <alignment horizontal="center" vertical="center"/>
    </xf>
    <xf numFmtId="0" fontId="283" fillId="0" borderId="13" applyAlignment="1" pivotButton="0" quotePrefix="0" xfId="51103">
      <alignment vertical="center" wrapText="1"/>
    </xf>
    <xf numFmtId="0" fontId="293" fillId="0" borderId="13" applyAlignment="1" pivotButton="0" quotePrefix="0" xfId="51103">
      <alignment horizontal="center" vertical="center"/>
    </xf>
    <xf numFmtId="0" fontId="283" fillId="0" borderId="10" applyAlignment="1" pivotButton="0" quotePrefix="0" xfId="51103">
      <alignment vertical="center" wrapText="1"/>
    </xf>
    <xf numFmtId="0" fontId="282" fillId="0" borderId="13" applyAlignment="1" pivotButton="0" quotePrefix="0" xfId="51103">
      <alignment vertical="center" wrapText="1"/>
    </xf>
    <xf numFmtId="0" fontId="282" fillId="0" borderId="10" applyAlignment="1" pivotButton="0" quotePrefix="0" xfId="51103">
      <alignment vertical="center" wrapText="1"/>
    </xf>
    <xf numFmtId="0" fontId="46" fillId="0" borderId="31" applyAlignment="1" pivotButton="0" quotePrefix="0" xfId="5">
      <alignment horizontal="center" vertical="center" wrapText="1"/>
    </xf>
    <xf numFmtId="0" fontId="43" fillId="0" borderId="27" applyAlignment="1" pivotButton="0" quotePrefix="0" xfId="5">
      <alignment horizontal="center" vertical="center" wrapText="1"/>
    </xf>
    <xf numFmtId="0" fontId="278" fillId="37" borderId="114" applyAlignment="1" pivotButton="0" quotePrefix="0" xfId="5">
      <alignment horizontal="center" vertical="center"/>
    </xf>
    <xf numFmtId="0" fontId="284" fillId="0" borderId="10" applyAlignment="1" pivotButton="0" quotePrefix="0" xfId="51103">
      <alignment horizontal="center" vertical="center"/>
    </xf>
    <xf numFmtId="0" fontId="65" fillId="0" borderId="10" applyAlignment="1" pivotButton="0" quotePrefix="1" xfId="51103">
      <alignment vertical="center" wrapText="1"/>
    </xf>
    <xf numFmtId="0" fontId="283" fillId="109" borderId="0" applyAlignment="1" pivotButton="0" quotePrefix="0" xfId="51103">
      <alignment vertical="center"/>
    </xf>
    <xf numFmtId="0" fontId="65" fillId="38" borderId="10" applyAlignment="1" pivotButton="0" quotePrefix="0" xfId="51103">
      <alignment horizontal="center" vertical="center"/>
    </xf>
    <xf numFmtId="0" fontId="65" fillId="38" borderId="10" applyAlignment="1" pivotButton="0" quotePrefix="0" xfId="51103">
      <alignment horizontal="center" vertical="center" wrapText="1"/>
    </xf>
    <xf numFmtId="0" fontId="65" fillId="38" borderId="10" applyAlignment="1" pivotButton="0" quotePrefix="1" xfId="51103">
      <alignment vertical="center" wrapText="1"/>
    </xf>
    <xf numFmtId="0" fontId="282" fillId="38" borderId="10" applyAlignment="1" pivotButton="0" quotePrefix="0" xfId="51103">
      <alignment horizontal="center" vertical="center" wrapText="1"/>
    </xf>
    <xf numFmtId="0" fontId="65" fillId="38" borderId="10" applyAlignment="1" pivotButton="0" quotePrefix="0" xfId="51103">
      <alignment vertical="center"/>
    </xf>
    <xf numFmtId="0" fontId="292" fillId="38" borderId="0" applyAlignment="1" pivotButton="0" quotePrefix="0" xfId="51103">
      <alignment horizontal="left" vertical="center"/>
    </xf>
    <xf numFmtId="0" fontId="65" fillId="0" borderId="10" applyAlignment="1" pivotButton="0" quotePrefix="0" xfId="0">
      <alignment vertical="center" wrapText="1"/>
    </xf>
    <xf numFmtId="0" fontId="290" fillId="0" borderId="10" applyAlignment="1" pivotButton="0" quotePrefix="0" xfId="51104">
      <alignment horizontal="center" vertical="center"/>
    </xf>
    <xf numFmtId="0" fontId="65" fillId="38" borderId="10" applyAlignment="1" pivotButton="0" quotePrefix="1" xfId="51103">
      <alignment horizontal="left" vertical="center" wrapText="1"/>
    </xf>
    <xf numFmtId="0" fontId="65" fillId="38" borderId="10" applyAlignment="1" pivotButton="0" quotePrefix="1" xfId="51103">
      <alignment horizontal="center" vertical="center" wrapText="1"/>
    </xf>
    <xf numFmtId="0" fontId="283" fillId="0" borderId="10" applyAlignment="1" pivotButton="0" quotePrefix="0" xfId="51103">
      <alignment horizontal="center" vertical="center" wrapText="1"/>
    </xf>
    <xf numFmtId="0" fontId="283" fillId="38" borderId="10" applyAlignment="1" pivotButton="0" quotePrefix="0" xfId="51103">
      <alignment horizontal="center" vertical="center" wrapText="1"/>
    </xf>
    <xf numFmtId="0" fontId="283" fillId="0" borderId="10" applyAlignment="1" pivotButton="0" quotePrefix="0" xfId="51103">
      <alignment horizontal="center" vertical="center" wrapText="1"/>
    </xf>
    <xf numFmtId="0" fontId="283" fillId="38" borderId="10" applyAlignment="1" pivotButton="0" quotePrefix="0" xfId="51103">
      <alignment vertical="center" wrapText="1"/>
    </xf>
    <xf numFmtId="0" fontId="43" fillId="0" borderId="115" applyAlignment="1" pivotButton="0" quotePrefix="0" xfId="8">
      <alignment horizontal="left" vertical="center" wrapText="1"/>
    </xf>
    <xf numFmtId="0" fontId="43" fillId="0" borderId="10" applyAlignment="1" pivotButton="0" quotePrefix="0" xfId="5">
      <alignment horizontal="left" vertical="center" wrapText="1"/>
    </xf>
    <xf numFmtId="0" fontId="43" fillId="0" borderId="116" applyAlignment="1" pivotButton="0" quotePrefix="0" xfId="5">
      <alignment horizontal="left" vertical="center" wrapText="1"/>
    </xf>
    <xf numFmtId="0" fontId="46" fillId="0" borderId="117" applyAlignment="1" pivotButton="0" quotePrefix="0" xfId="5">
      <alignment horizontal="center" vertical="center" wrapText="1"/>
    </xf>
    <xf numFmtId="0" fontId="46" fillId="0" borderId="115" applyAlignment="1" pivotButton="0" quotePrefix="0" xfId="5">
      <alignment horizontal="center" vertical="center" wrapText="1"/>
    </xf>
    <xf numFmtId="0" fontId="46" fillId="0" borderId="118" applyAlignment="1" pivotButton="0" quotePrefix="0" xfId="5">
      <alignment horizontal="center" vertical="top" wrapText="1"/>
    </xf>
    <xf numFmtId="0" fontId="46" fillId="0" borderId="10" applyAlignment="1" pivotButton="0" quotePrefix="0" xfId="5">
      <alignment horizontal="center" vertical="center" wrapText="1"/>
    </xf>
    <xf numFmtId="0" fontId="43" fillId="0" borderId="10" applyAlignment="1" pivotButton="0" quotePrefix="0" xfId="8">
      <alignment horizontal="left" vertical="center" wrapText="1"/>
    </xf>
    <xf numFmtId="0" fontId="43" fillId="0" borderId="119" applyAlignment="1" pivotButton="0" quotePrefix="0" xfId="5">
      <alignment horizontal="center" vertical="center" wrapText="1"/>
    </xf>
    <xf numFmtId="49" fontId="43" fillId="0" borderId="0" applyAlignment="1" pivotButton="0" quotePrefix="0" xfId="5">
      <alignment horizontal="center" vertical="center"/>
    </xf>
    <xf numFmtId="0" fontId="43" fillId="0" borderId="120" applyAlignment="1" pivotButton="0" quotePrefix="0" xfId="9">
      <alignment horizontal="left" vertical="center" wrapText="1"/>
    </xf>
    <xf numFmtId="49" fontId="43" fillId="0" borderId="121" applyAlignment="1" pivotButton="0" quotePrefix="0" xfId="5">
      <alignment horizontal="center" vertical="center"/>
    </xf>
    <xf numFmtId="0" fontId="43" fillId="0" borderId="122" applyAlignment="1" pivotButton="0" quotePrefix="0" xfId="5">
      <alignment horizontal="center" vertical="center"/>
    </xf>
    <xf numFmtId="0" fontId="43" fillId="0" borderId="26" applyAlignment="1" pivotButton="0" quotePrefix="0" xfId="5">
      <alignment horizontal="center" vertical="center" wrapText="1"/>
    </xf>
    <xf numFmtId="14" fontId="43" fillId="0" borderId="28" applyAlignment="1" pivotButton="0" quotePrefix="0" xfId="5">
      <alignment horizontal="center" vertical="center" wrapText="1"/>
    </xf>
    <xf numFmtId="0" fontId="43" fillId="0" borderId="10" applyAlignment="1" pivotButton="0" quotePrefix="0" xfId="5">
      <alignment horizontal="center" vertical="center" wrapText="1"/>
    </xf>
    <xf numFmtId="49" fontId="43" fillId="0" borderId="10" applyAlignment="1" pivotButton="0" quotePrefix="0" xfId="5">
      <alignment horizontal="center" vertical="center"/>
    </xf>
    <xf numFmtId="0" fontId="43" fillId="0" borderId="10" applyAlignment="1" pivotButton="0" quotePrefix="0" xfId="9">
      <alignment horizontal="left" vertical="center" wrapText="1"/>
    </xf>
    <xf numFmtId="14" fontId="43" fillId="0" borderId="10" applyAlignment="1" pivotButton="0" quotePrefix="0" xfId="5">
      <alignment horizontal="center" vertical="center" wrapText="1"/>
    </xf>
    <xf numFmtId="0" fontId="43" fillId="0" borderId="10" applyAlignment="1" pivotButton="0" quotePrefix="0" xfId="5">
      <alignment horizontal="center" vertical="center"/>
    </xf>
    <xf numFmtId="0" fontId="65" fillId="0" borderId="103" applyAlignment="1" pivotButton="0" quotePrefix="0" xfId="51103">
      <alignment horizontal="center" vertical="center"/>
    </xf>
    <xf numFmtId="0" fontId="65" fillId="0" borderId="99" applyAlignment="1" pivotButton="0" quotePrefix="0" xfId="51103">
      <alignment horizontal="center" vertical="center"/>
    </xf>
    <xf numFmtId="14" fontId="65" fillId="0" borderId="107" applyAlignment="1" pivotButton="0" quotePrefix="0" xfId="51103">
      <alignment horizontal="center" vertical="center"/>
    </xf>
    <xf numFmtId="0" fontId="307" fillId="38" borderId="10" applyAlignment="1" pivotButton="0" quotePrefix="0" xfId="51108">
      <alignment horizontal="center" vertical="center" wrapText="1"/>
    </xf>
    <xf numFmtId="0" fontId="308" fillId="38" borderId="10" applyAlignment="1" pivotButton="0" quotePrefix="0" xfId="51108">
      <alignment horizontal="center" vertical="center" wrapText="1"/>
    </xf>
    <xf numFmtId="0" fontId="311" fillId="38" borderId="45" applyAlignment="1" pivotButton="0" quotePrefix="0" xfId="51109">
      <alignment horizontal="center"/>
    </xf>
    <xf numFmtId="0" fontId="311" fillId="38" borderId="0" applyAlignment="1" pivotButton="0" quotePrefix="0" xfId="51109">
      <alignment horizontal="center"/>
    </xf>
    <xf numFmtId="0" fontId="311" fillId="38" borderId="112" applyAlignment="1" pivotButton="0" quotePrefix="0" xfId="51109">
      <alignment horizontal="center"/>
    </xf>
    <xf numFmtId="0" fontId="307" fillId="38" borderId="45" applyAlignment="1" pivotButton="0" quotePrefix="0" xfId="51109">
      <alignment horizontal="center"/>
    </xf>
    <xf numFmtId="0" fontId="307" fillId="38" borderId="0" applyAlignment="1" pivotButton="0" quotePrefix="0" xfId="51109">
      <alignment horizontal="center"/>
    </xf>
    <xf numFmtId="0" fontId="307" fillId="38" borderId="112" applyAlignment="1" pivotButton="0" quotePrefix="0" xfId="51109">
      <alignment horizontal="center"/>
    </xf>
    <xf numFmtId="0" fontId="301" fillId="0" borderId="10" applyAlignment="1" pivotButton="0" quotePrefix="0" xfId="0">
      <alignment horizontal="center" vertical="top" wrapText="1"/>
    </xf>
    <xf numFmtId="0" fontId="274" fillId="0" borderId="13" applyAlignment="1" pivotButton="0" quotePrefix="0" xfId="0">
      <alignment horizontal="center" vertical="center" wrapText="1"/>
    </xf>
    <xf numFmtId="0" fontId="274" fillId="0" borderId="14" applyAlignment="1" pivotButton="0" quotePrefix="0" xfId="0">
      <alignment horizontal="center" vertical="center" wrapText="1"/>
    </xf>
    <xf numFmtId="0" fontId="274" fillId="0" borderId="15" applyAlignment="1" pivotButton="0" quotePrefix="0" xfId="0">
      <alignment horizontal="center" vertical="center" wrapText="1"/>
    </xf>
    <xf numFmtId="0" fontId="38" fillId="0" borderId="13" applyAlignment="1" pivotButton="0" quotePrefix="0" xfId="0">
      <alignment horizontal="center" vertical="center" wrapText="1"/>
    </xf>
    <xf numFmtId="0" fontId="38" fillId="0" borderId="14" applyAlignment="1" pivotButton="0" quotePrefix="0" xfId="0">
      <alignment horizontal="center" vertical="center" wrapText="1"/>
    </xf>
    <xf numFmtId="0" fontId="38" fillId="0" borderId="15" applyAlignment="1" pivotButton="0" quotePrefix="0" xfId="0">
      <alignment horizontal="center" vertical="center" wrapText="1"/>
    </xf>
    <xf numFmtId="0" fontId="302" fillId="0" borderId="13" applyAlignment="1" pivotButton="0" quotePrefix="0" xfId="0">
      <alignment horizontal="center" vertical="center" wrapText="1"/>
    </xf>
    <xf numFmtId="0" fontId="302" fillId="0" borderId="14" applyAlignment="1" pivotButton="0" quotePrefix="0" xfId="0">
      <alignment horizontal="center" vertical="center" wrapText="1"/>
    </xf>
    <xf numFmtId="0" fontId="302" fillId="0" borderId="15" applyAlignment="1" pivotButton="0" quotePrefix="0" xfId="0">
      <alignment horizontal="center" vertical="center" wrapText="1"/>
    </xf>
    <xf numFmtId="0" fontId="26" fillId="34" borderId="10" applyAlignment="1" pivotButton="0" quotePrefix="0" xfId="4">
      <alignment horizontal="center" vertical="center"/>
    </xf>
    <xf numFmtId="0" fontId="25" fillId="0" borderId="0" applyAlignment="1" pivotButton="0" quotePrefix="0" xfId="4">
      <alignment horizontal="center" vertical="center"/>
    </xf>
    <xf numFmtId="0" fontId="273" fillId="0" borderId="13" applyAlignment="1" pivotButton="0" quotePrefix="0" xfId="0">
      <alignment horizontal="center" vertical="top" wrapText="1"/>
    </xf>
    <xf numFmtId="0" fontId="273" fillId="0" borderId="15" applyAlignment="1" pivotButton="0" quotePrefix="0" xfId="0">
      <alignment horizontal="center" vertical="top" wrapText="1"/>
    </xf>
    <xf numFmtId="0" fontId="273" fillId="0" borderId="10" applyAlignment="1" pivotButton="0" quotePrefix="0" xfId="4">
      <alignment horizontal="center" vertical="center"/>
    </xf>
    <xf numFmtId="0" fontId="22" fillId="0" borderId="10" applyAlignment="1" pivotButton="0" quotePrefix="0" xfId="4">
      <alignment horizontal="center" vertical="center"/>
    </xf>
    <xf numFmtId="164" fontId="38" fillId="0" borderId="13" applyAlignment="1" pivotButton="0" quotePrefix="0" xfId="0">
      <alignment horizontal="center" vertical="top" wrapText="1"/>
    </xf>
    <xf numFmtId="164" fontId="38" fillId="0" borderId="14" applyAlignment="1" pivotButton="0" quotePrefix="0" xfId="0">
      <alignment horizontal="center" vertical="top" wrapText="1"/>
    </xf>
    <xf numFmtId="164" fontId="38" fillId="0" borderId="15" applyAlignment="1" pivotButton="0" quotePrefix="0" xfId="0">
      <alignment horizontal="center" vertical="top" wrapText="1"/>
    </xf>
    <xf numFmtId="0" fontId="273" fillId="35" borderId="13" applyAlignment="1" pivotButton="0" quotePrefix="0" xfId="4">
      <alignment horizontal="center" vertical="center"/>
    </xf>
    <xf numFmtId="0" fontId="273" fillId="35" borderId="14" applyAlignment="1" pivotButton="0" quotePrefix="0" xfId="4">
      <alignment horizontal="center" vertical="center"/>
    </xf>
    <xf numFmtId="0" fontId="273" fillId="35" borderId="15" applyAlignment="1" pivotButton="0" quotePrefix="0" xfId="4">
      <alignment horizontal="center" vertical="center"/>
    </xf>
    <xf numFmtId="0" fontId="38" fillId="0" borderId="13" applyAlignment="1" pivotButton="0" quotePrefix="0" xfId="2">
      <alignment horizontal="center" vertical="top" wrapText="1"/>
    </xf>
    <xf numFmtId="0" fontId="38" fillId="0" borderId="14" applyAlignment="1" pivotButton="0" quotePrefix="0" xfId="2">
      <alignment horizontal="center" vertical="top" wrapText="1"/>
    </xf>
    <xf numFmtId="0" fontId="38" fillId="0" borderId="15" applyAlignment="1" pivotButton="0" quotePrefix="0" xfId="2">
      <alignment horizontal="center" vertical="top" wrapText="1"/>
    </xf>
    <xf numFmtId="0" fontId="39" fillId="36" borderId="10" applyAlignment="1" pivotButton="0" quotePrefix="0" xfId="4">
      <alignment horizontal="center" vertical="center"/>
    </xf>
    <xf numFmtId="0" fontId="35" fillId="36" borderId="13" applyAlignment="1" pivotButton="0" quotePrefix="0" xfId="4">
      <alignment horizontal="center" vertical="center"/>
    </xf>
    <xf numFmtId="0" fontId="35" fillId="36" borderId="15" applyAlignment="1" pivotButton="0" quotePrefix="0" xfId="4">
      <alignment horizontal="center" vertical="center"/>
    </xf>
    <xf numFmtId="165" fontId="40" fillId="36" borderId="10" applyAlignment="1" pivotButton="0" quotePrefix="0" xfId="2">
      <alignment horizontal="center" vertical="center"/>
    </xf>
    <xf numFmtId="0" fontId="273" fillId="35" borderId="10" applyAlignment="1" pivotButton="0" quotePrefix="0" xfId="4">
      <alignment horizontal="center" vertical="center"/>
    </xf>
    <xf numFmtId="49" fontId="273" fillId="35" borderId="10" applyAlignment="1" pivotButton="0" quotePrefix="0" xfId="4">
      <alignment horizontal="center" vertical="center" wrapText="1"/>
    </xf>
    <xf numFmtId="166" fontId="35" fillId="36" borderId="10" applyAlignment="1" pivotButton="0" quotePrefix="0" xfId="4">
      <alignment horizontal="center" vertical="center"/>
    </xf>
    <xf numFmtId="0" fontId="33" fillId="0" borderId="13" applyAlignment="1" pivotButton="0" quotePrefix="0" xfId="4">
      <alignment horizontal="center" vertical="center"/>
    </xf>
    <xf numFmtId="0" fontId="33" fillId="0" borderId="15" applyAlignment="1" pivotButton="0" quotePrefix="0" xfId="4">
      <alignment horizontal="center" vertical="center"/>
    </xf>
    <xf numFmtId="49" fontId="273" fillId="35" borderId="13" applyAlignment="1" pivotButton="0" quotePrefix="0" xfId="4">
      <alignment horizontal="center" vertical="center" wrapText="1"/>
    </xf>
    <xf numFmtId="49" fontId="273" fillId="35" borderId="14" applyAlignment="1" pivotButton="0" quotePrefix="0" xfId="4">
      <alignment horizontal="center" vertical="center" wrapText="1"/>
    </xf>
    <xf numFmtId="49" fontId="273" fillId="35" borderId="15" applyAlignment="1" pivotButton="0" quotePrefix="0" xfId="4">
      <alignment horizontal="center" vertical="center" wrapText="1"/>
    </xf>
    <xf numFmtId="167" fontId="35" fillId="0" borderId="16" applyAlignment="1" pivotButton="0" quotePrefix="0" xfId="1">
      <alignment horizontal="center" vertical="center"/>
    </xf>
    <xf numFmtId="0" fontId="34" fillId="0" borderId="13" applyAlignment="1" pivotButton="0" quotePrefix="0" xfId="4">
      <alignment horizontal="center" vertical="center"/>
    </xf>
    <xf numFmtId="0" fontId="34" fillId="0" borderId="14" applyAlignment="1" pivotButton="0" quotePrefix="0" xfId="4">
      <alignment horizontal="center" vertical="center"/>
    </xf>
    <xf numFmtId="0" fontId="34" fillId="0" borderId="15" applyAlignment="1" pivotButton="0" quotePrefix="0" xfId="4">
      <alignment horizontal="center" vertical="center"/>
    </xf>
    <xf numFmtId="0" fontId="26" fillId="34" borderId="11" applyAlignment="1" pivotButton="0" quotePrefix="0" xfId="4">
      <alignment horizontal="center" vertical="center"/>
    </xf>
    <xf numFmtId="0" fontId="26" fillId="34" borderId="12" applyAlignment="1" pivotButton="0" quotePrefix="0" xfId="4">
      <alignment horizontal="center" vertical="center"/>
    </xf>
    <xf numFmtId="0" fontId="34" fillId="0" borderId="10" applyAlignment="1" pivotButton="0" quotePrefix="0" xfId="4">
      <alignment horizontal="center" vertical="center"/>
    </xf>
    <xf numFmtId="168" fontId="33" fillId="0" borderId="10" applyAlignment="1" pivotButton="0" quotePrefix="1" xfId="4">
      <alignment horizontal="center" vertical="center"/>
    </xf>
    <xf numFmtId="168" fontId="33" fillId="0" borderId="10" applyAlignment="1" pivotButton="0" quotePrefix="0" xfId="4">
      <alignment horizontal="center" vertical="center"/>
    </xf>
    <xf numFmtId="0" fontId="33" fillId="0" borderId="14" applyAlignment="1" pivotButton="0" quotePrefix="0" xfId="4">
      <alignment horizontal="center" vertical="center"/>
    </xf>
    <xf numFmtId="0" fontId="278" fillId="37" borderId="17" applyAlignment="1" pivotButton="0" quotePrefix="0" xfId="5">
      <alignment horizontal="center" vertical="center" wrapText="1"/>
    </xf>
    <xf numFmtId="0" fontId="278" fillId="37" borderId="21" applyAlignment="1" pivotButton="0" quotePrefix="0" xfId="5">
      <alignment horizontal="center" vertical="center" wrapText="1"/>
    </xf>
    <xf numFmtId="0" fontId="278" fillId="37" borderId="85" applyAlignment="1" pivotButton="0" quotePrefix="0" xfId="5">
      <alignment horizontal="center" vertical="center" wrapText="1"/>
    </xf>
    <xf numFmtId="0" fontId="278" fillId="37" borderId="87" applyAlignment="1" pivotButton="0" quotePrefix="0" xfId="5">
      <alignment horizontal="center" vertical="center" wrapText="1"/>
    </xf>
    <xf numFmtId="0" fontId="278" fillId="37" borderId="82" applyAlignment="1" pivotButton="0" quotePrefix="0" xfId="5">
      <alignment horizontal="center" vertical="center"/>
    </xf>
    <xf numFmtId="0" fontId="278" fillId="37" borderId="83" applyAlignment="1" pivotButton="0" quotePrefix="0" xfId="5">
      <alignment horizontal="center" vertical="center"/>
    </xf>
    <xf numFmtId="0" fontId="278" fillId="37" borderId="84" applyAlignment="1" pivotButton="0" quotePrefix="0" xfId="5">
      <alignment horizontal="center" vertical="center"/>
    </xf>
    <xf numFmtId="0" fontId="278" fillId="37" borderId="17" applyAlignment="1" pivotButton="0" quotePrefix="0" xfId="5">
      <alignment horizontal="center" vertical="center"/>
    </xf>
    <xf numFmtId="0" fontId="278" fillId="37" borderId="21" applyAlignment="1" pivotButton="0" quotePrefix="0" xfId="5">
      <alignment horizontal="center" vertical="center"/>
    </xf>
    <xf numFmtId="0" fontId="278" fillId="37" borderId="81" applyAlignment="1" pivotButton="0" quotePrefix="0" xfId="5">
      <alignment horizontal="center" vertical="center"/>
    </xf>
    <xf numFmtId="0" fontId="278" fillId="37" borderId="86" applyAlignment="1" pivotButton="0" quotePrefix="0" xfId="5">
      <alignment horizontal="center" vertical="center"/>
    </xf>
    <xf numFmtId="0" fontId="65" fillId="0" borderId="107" applyAlignment="1" pivotButton="0" quotePrefix="0" xfId="51103">
      <alignment horizontal="center" vertical="center"/>
    </xf>
    <xf numFmtId="14" fontId="282" fillId="0" borderId="108" applyAlignment="1" pivotButton="0" quotePrefix="0" xfId="51103">
      <alignment horizontal="center" vertical="center" wrapText="1"/>
    </xf>
    <xf numFmtId="0" fontId="282" fillId="0" borderId="109" applyAlignment="1" pivotButton="0" quotePrefix="0" xfId="51103">
      <alignment horizontal="center" vertical="center" wrapText="1"/>
    </xf>
    <xf numFmtId="0" fontId="282" fillId="0" borderId="110" applyAlignment="1" pivotButton="0" quotePrefix="0" xfId="51103">
      <alignment horizontal="center" vertical="center" wrapText="1"/>
    </xf>
    <xf numFmtId="0" fontId="65" fillId="0" borderId="89" applyAlignment="1" pivotButton="0" quotePrefix="0" xfId="51103">
      <alignment horizontal="left" vertical="center" wrapText="1"/>
    </xf>
    <xf numFmtId="0" fontId="65" fillId="0" borderId="103" applyAlignment="1" pivotButton="0" quotePrefix="0" xfId="51103">
      <alignment horizontal="center" vertical="center"/>
    </xf>
    <xf numFmtId="0" fontId="282" fillId="0" borderId="104" applyAlignment="1" pivotButton="0" quotePrefix="0" xfId="51103">
      <alignment horizontal="center" vertical="center" wrapText="1"/>
    </xf>
    <xf numFmtId="0" fontId="282" fillId="0" borderId="105" applyAlignment="1" pivotButton="0" quotePrefix="0" xfId="51103">
      <alignment horizontal="center" vertical="center" wrapText="1"/>
    </xf>
    <xf numFmtId="0" fontId="282" fillId="0" borderId="106" applyAlignment="1" pivotButton="0" quotePrefix="0" xfId="51103">
      <alignment horizontal="center" vertical="center" wrapText="1"/>
    </xf>
    <xf numFmtId="0" fontId="297" fillId="108" borderId="13" applyAlignment="1" pivotButton="0" quotePrefix="0" xfId="51103">
      <alignment horizontal="center" vertical="center" wrapText="1"/>
    </xf>
    <xf numFmtId="0" fontId="297" fillId="108" borderId="14" applyAlignment="1" pivotButton="0" quotePrefix="0" xfId="51103">
      <alignment horizontal="center" vertical="center" wrapText="1"/>
    </xf>
    <xf numFmtId="0" fontId="297" fillId="108" borderId="15" applyAlignment="1" pivotButton="0" quotePrefix="0" xfId="51103">
      <alignment horizontal="center" vertical="center" wrapText="1"/>
    </xf>
    <xf numFmtId="0" fontId="293" fillId="0" borderId="10" applyAlignment="1" pivotButton="0" quotePrefix="0" xfId="51103">
      <alignment horizontal="center" vertical="center"/>
    </xf>
    <xf numFmtId="0" fontId="282" fillId="0" borderId="10" applyAlignment="1" pivotButton="0" quotePrefix="0" xfId="51103">
      <alignment horizontal="center" vertical="center" wrapText="1"/>
    </xf>
    <xf numFmtId="0" fontId="292" fillId="0" borderId="88" applyAlignment="1" pivotButton="0" quotePrefix="0" xfId="51103">
      <alignment horizontal="center" vertical="center"/>
    </xf>
    <xf numFmtId="0" fontId="292" fillId="0" borderId="89" applyAlignment="1" pivotButton="0" quotePrefix="0" xfId="51103">
      <alignment horizontal="center" vertical="center"/>
    </xf>
    <xf numFmtId="0" fontId="292" fillId="0" borderId="74" applyAlignment="1" pivotButton="0" quotePrefix="0" xfId="51103">
      <alignment horizontal="center" vertical="center"/>
    </xf>
    <xf numFmtId="0" fontId="292" fillId="0" borderId="51" applyAlignment="1" pivotButton="0" quotePrefix="0" xfId="51103">
      <alignment horizontal="center" vertical="center"/>
    </xf>
    <xf numFmtId="0" fontId="292" fillId="0" borderId="90" applyAlignment="1" pivotButton="0" quotePrefix="0" xfId="51103">
      <alignment horizontal="center" vertical="center"/>
    </xf>
    <xf numFmtId="0" fontId="292" fillId="0" borderId="50" applyAlignment="1" pivotButton="0" quotePrefix="0" xfId="51103">
      <alignment horizontal="center" vertical="center"/>
    </xf>
    <xf numFmtId="0" fontId="293" fillId="0" borderId="88" applyAlignment="1" pivotButton="0" quotePrefix="0" xfId="51103">
      <alignment horizontal="center" vertical="center" wrapText="1"/>
    </xf>
    <xf numFmtId="0" fontId="293" fillId="0" borderId="89" applyAlignment="1" pivotButton="0" quotePrefix="0" xfId="51103">
      <alignment horizontal="center" vertical="center" wrapText="1"/>
    </xf>
    <xf numFmtId="0" fontId="293" fillId="0" borderId="74" applyAlignment="1" pivotButton="0" quotePrefix="0" xfId="51103">
      <alignment horizontal="center" vertical="center" wrapText="1"/>
    </xf>
    <xf numFmtId="0" fontId="293" fillId="0" borderId="51" applyAlignment="1" pivotButton="0" quotePrefix="0" xfId="51103">
      <alignment horizontal="center" vertical="center" wrapText="1"/>
    </xf>
    <xf numFmtId="0" fontId="293" fillId="0" borderId="90" applyAlignment="1" pivotButton="0" quotePrefix="0" xfId="51103">
      <alignment horizontal="center" vertical="center" wrapText="1"/>
    </xf>
    <xf numFmtId="0" fontId="293" fillId="0" borderId="50" applyAlignment="1" pivotButton="0" quotePrefix="0" xfId="51103">
      <alignment horizontal="center" vertical="center" wrapText="1"/>
    </xf>
    <xf numFmtId="0" fontId="292" fillId="0" borderId="10" applyAlignment="1" pivotButton="0" quotePrefix="0" xfId="51103">
      <alignment horizontal="center" vertical="center"/>
    </xf>
    <xf numFmtId="0" fontId="65" fillId="0" borderId="98" applyAlignment="1" pivotButton="0" quotePrefix="0" xfId="51103">
      <alignment horizontal="center" vertical="center"/>
    </xf>
    <xf numFmtId="0" fontId="282" fillId="0" borderId="100" applyAlignment="1" pivotButton="0" quotePrefix="0" xfId="51103">
      <alignment horizontal="center" vertical="center" wrapText="1"/>
    </xf>
    <xf numFmtId="0" fontId="282" fillId="0" borderId="101" applyAlignment="1" pivotButton="0" quotePrefix="0" xfId="51103">
      <alignment horizontal="center" vertical="center" wrapText="1"/>
    </xf>
    <xf numFmtId="0" fontId="282" fillId="0" borderId="102" applyAlignment="1" pivotButton="0" quotePrefix="0" xfId="51103">
      <alignment horizontal="center" vertical="center" wrapText="1"/>
    </xf>
    <xf numFmtId="0" fontId="298" fillId="107" borderId="96" applyAlignment="1" pivotButton="0" quotePrefix="0" xfId="51103">
      <alignment horizontal="center" vertical="center" wrapText="1"/>
    </xf>
    <xf numFmtId="0" fontId="298" fillId="107" borderId="97" applyAlignment="1" pivotButton="0" quotePrefix="0" xfId="51103">
      <alignment horizontal="center" vertical="center" wrapText="1"/>
    </xf>
    <xf numFmtId="0" fontId="297" fillId="107" borderId="13" applyAlignment="1" pivotButton="0" quotePrefix="0" xfId="51103">
      <alignment horizontal="center" vertical="center" wrapText="1"/>
    </xf>
    <xf numFmtId="0" fontId="297" fillId="107" borderId="15" applyAlignment="1" pivotButton="0" quotePrefix="0" xfId="51103">
      <alignment horizontal="center" vertical="center" wrapText="1"/>
    </xf>
    <xf numFmtId="0" fontId="298" fillId="107" borderId="93" applyAlignment="1" pivotButton="0" quotePrefix="0" xfId="51103">
      <alignment horizontal="center" vertical="center" wrapText="1"/>
    </xf>
    <xf numFmtId="0" fontId="298" fillId="107" borderId="94" applyAlignment="1" pivotButton="0" quotePrefix="0" xfId="51103">
      <alignment horizontal="center" vertical="center" wrapText="1"/>
    </xf>
    <xf numFmtId="0" fontId="292" fillId="108" borderId="10" applyAlignment="1" pivotButton="0" quotePrefix="0" xfId="51103">
      <alignment horizontal="center" vertical="center"/>
    </xf>
    <xf numFmtId="0" fontId="292" fillId="108" borderId="13" applyAlignment="1" pivotButton="0" quotePrefix="0" xfId="51103">
      <alignment horizontal="left" vertical="center"/>
    </xf>
    <xf numFmtId="0" fontId="292" fillId="108" borderId="14" applyAlignment="1" pivotButton="0" quotePrefix="0" xfId="51103">
      <alignment horizontal="left" vertical="center"/>
    </xf>
    <xf numFmtId="0" fontId="292" fillId="108" borderId="15" applyAlignment="1" pivotButton="0" quotePrefix="0" xfId="51103">
      <alignment horizontal="left" vertical="center"/>
    </xf>
    <xf numFmtId="0" fontId="291" fillId="0" borderId="89" applyAlignment="1" pivotButton="0" quotePrefix="0" xfId="51103">
      <alignment horizontal="center" vertical="center"/>
    </xf>
    <xf numFmtId="0" fontId="297" fillId="108" borderId="10" applyAlignment="1" pivotButton="0" quotePrefix="0" xfId="51103">
      <alignment horizontal="center" vertical="center" wrapText="1"/>
    </xf>
    <xf numFmtId="0" fontId="297" fillId="108" borderId="88" applyAlignment="1" pivotButton="0" quotePrefix="0" xfId="51103">
      <alignment horizontal="center" vertical="center" wrapText="1"/>
    </xf>
    <xf numFmtId="0" fontId="297" fillId="108" borderId="74" applyAlignment="1" pivotButton="0" quotePrefix="0" xfId="51103">
      <alignment horizontal="center" vertical="center" wrapText="1"/>
    </xf>
    <xf numFmtId="0" fontId="297" fillId="108" borderId="51" applyAlignment="1" pivotButton="0" quotePrefix="0" xfId="51103">
      <alignment horizontal="center" vertical="center" wrapText="1"/>
    </xf>
    <xf numFmtId="0" fontId="297" fillId="108" borderId="50" applyAlignment="1" pivotButton="0" quotePrefix="0" xfId="51103">
      <alignment horizontal="center" vertical="center" wrapText="1"/>
    </xf>
    <xf numFmtId="0" fontId="292" fillId="108" borderId="88" applyAlignment="1" pivotButton="0" quotePrefix="0" xfId="51103">
      <alignment horizontal="left" vertical="center"/>
    </xf>
    <xf numFmtId="0" fontId="292" fillId="108" borderId="89" applyAlignment="1" pivotButton="0" quotePrefix="0" xfId="51103">
      <alignment horizontal="left" vertical="center"/>
    </xf>
    <xf numFmtId="0" fontId="292" fillId="108" borderId="74" applyAlignment="1" pivotButton="0" quotePrefix="0" xfId="51103">
      <alignment horizontal="left" vertical="center"/>
    </xf>
    <xf numFmtId="0" fontId="292" fillId="108" borderId="51" applyAlignment="1" pivotButton="0" quotePrefix="0" xfId="51103">
      <alignment horizontal="left" vertical="center"/>
    </xf>
    <xf numFmtId="0" fontId="292" fillId="108" borderId="90" applyAlignment="1" pivotButton="0" quotePrefix="0" xfId="51103">
      <alignment horizontal="left" vertical="center"/>
    </xf>
    <xf numFmtId="0" fontId="292" fillId="108" borderId="50" applyAlignment="1" pivotButton="0" quotePrefix="0" xfId="51103">
      <alignment horizontal="left" vertical="center"/>
    </xf>
    <xf numFmtId="0" fontId="292" fillId="108" borderId="10" applyAlignment="1" pivotButton="0" quotePrefix="0" xfId="51103">
      <alignment horizontal="left" vertical="center"/>
    </xf>
    <xf numFmtId="0" fontId="292" fillId="108" borderId="91" applyAlignment="1" pivotButton="0" quotePrefix="0" xfId="51103">
      <alignment horizontal="center" vertical="center"/>
    </xf>
    <xf numFmtId="0" fontId="292" fillId="108" borderId="48" applyAlignment="1" pivotButton="0" quotePrefix="0" xfId="51103">
      <alignment horizontal="center" vertical="center"/>
    </xf>
    <xf numFmtId="0" fontId="292" fillId="108" borderId="16" applyAlignment="1" pivotButton="0" quotePrefix="0" xfId="51103">
      <alignment horizontal="center" vertical="center"/>
    </xf>
    <xf numFmtId="0" fontId="284" fillId="0" borderId="10" applyAlignment="1" pivotButton="0" quotePrefix="0" xfId="51103">
      <alignment horizontal="center" vertical="center"/>
    </xf>
    <xf numFmtId="0" fontId="284" fillId="0" borderId="13" applyAlignment="1" pivotButton="0" quotePrefix="0" xfId="51103">
      <alignment horizontal="center" vertical="center"/>
    </xf>
    <xf numFmtId="0" fontId="284" fillId="0" borderId="15" applyAlignment="1" pivotButton="0" quotePrefix="0" xfId="51103">
      <alignment horizontal="center" vertical="center"/>
    </xf>
    <xf numFmtId="0" fontId="284" fillId="0" borderId="10" applyAlignment="1" pivotButton="0" quotePrefix="1" xfId="51103">
      <alignment horizontal="center" vertical="center"/>
    </xf>
    <xf numFmtId="0" fontId="315" fillId="0" borderId="13" applyAlignment="1" pivotButton="0" quotePrefix="0" xfId="51103">
      <alignment horizontal="center" vertical="center"/>
    </xf>
    <xf numFmtId="0" fontId="315" fillId="0" borderId="14" applyAlignment="1" pivotButton="0" quotePrefix="0" xfId="51103">
      <alignment horizontal="center" vertical="center"/>
    </xf>
    <xf numFmtId="0" fontId="315" fillId="0" borderId="15" applyAlignment="1" pivotButton="0" quotePrefix="0" xfId="51103">
      <alignment horizontal="center" vertical="center"/>
    </xf>
    <xf numFmtId="0" fontId="284" fillId="0" borderId="13" applyAlignment="1" pivotButton="0" quotePrefix="0" xfId="51103">
      <alignment horizontal="center" vertical="center" wrapText="1"/>
    </xf>
    <xf numFmtId="0" fontId="284" fillId="0" borderId="14" applyAlignment="1" pivotButton="0" quotePrefix="0" xfId="51103">
      <alignment horizontal="center" vertical="center"/>
    </xf>
    <xf numFmtId="0" fontId="279" fillId="0" borderId="10" applyAlignment="1" pivotButton="0" quotePrefix="0" xfId="51103">
      <alignment horizontal="center" vertical="center"/>
    </xf>
    <xf numFmtId="0" fontId="280" fillId="0" borderId="10" applyAlignment="1" pivotButton="0" quotePrefix="0" xfId="51103">
      <alignment horizontal="center" vertical="center"/>
    </xf>
    <xf numFmtId="0" fontId="281" fillId="0" borderId="13" applyAlignment="1" pivotButton="0" quotePrefix="0" xfId="51103">
      <alignment horizontal="center" vertical="center" wrapText="1"/>
    </xf>
    <xf numFmtId="0" fontId="281" fillId="0" borderId="15" applyAlignment="1" pivotButton="0" quotePrefix="0" xfId="51103">
      <alignment horizontal="center" vertical="center" wrapText="1"/>
    </xf>
    <xf numFmtId="0" fontId="0" fillId="0" borderId="0" pivotButton="0" quotePrefix="0" xfId="0"/>
    <xf numFmtId="0" fontId="0" fillId="0" borderId="15" pivotButton="0" quotePrefix="0" xfId="0"/>
    <xf numFmtId="0" fontId="0" fillId="0" borderId="14" pivotButton="0" quotePrefix="0" xfId="0"/>
    <xf numFmtId="0" fontId="311" fillId="38" borderId="123" applyAlignment="1" pivotButton="0" quotePrefix="0" xfId="51109">
      <alignment horizontal="center"/>
    </xf>
    <xf numFmtId="0" fontId="0" fillId="0" borderId="112" pivotButton="0" quotePrefix="0" xfId="0"/>
    <xf numFmtId="0" fontId="307" fillId="38" borderId="123" applyAlignment="1" pivotButton="0" quotePrefix="0" xfId="51109">
      <alignment horizontal="center"/>
    </xf>
    <xf numFmtId="0" fontId="0" fillId="0" borderId="125" pivotButton="0" quotePrefix="0" xfId="0"/>
    <xf numFmtId="0" fontId="0" fillId="0" borderId="126" pivotButton="0" quotePrefix="0" xfId="0"/>
    <xf numFmtId="0" fontId="33" fillId="0" borderId="10" applyAlignment="1" pivotButton="0" quotePrefix="0" xfId="4">
      <alignment horizontal="center" vertical="center"/>
    </xf>
    <xf numFmtId="0" fontId="0" fillId="0" borderId="16" pivotButton="0" quotePrefix="0" xfId="0"/>
    <xf numFmtId="0" fontId="38" fillId="0" borderId="10" applyAlignment="1" pivotButton="0" quotePrefix="0" xfId="2">
      <alignment horizontal="center" vertical="top" wrapText="1"/>
    </xf>
    <xf numFmtId="164" fontId="38" fillId="0" borderId="10" applyAlignment="1" pivotButton="0" quotePrefix="0" xfId="0">
      <alignment horizontal="center" vertical="top" wrapText="1"/>
    </xf>
    <xf numFmtId="167" fontId="35" fillId="0" borderId="16" applyAlignment="1" pivotButton="0" quotePrefix="0" xfId="1">
      <alignment horizontal="center" vertical="center"/>
    </xf>
    <xf numFmtId="0" fontId="0" fillId="0" borderId="50" pivotButton="0" quotePrefix="0" xfId="0"/>
    <xf numFmtId="166" fontId="35" fillId="36" borderId="10" applyAlignment="1" pivotButton="0" quotePrefix="0" xfId="4">
      <alignment horizontal="center" vertical="center"/>
    </xf>
    <xf numFmtId="0" fontId="35" fillId="36" borderId="10" applyAlignment="1" pivotButton="0" quotePrefix="0" xfId="4">
      <alignment horizontal="center" vertical="center"/>
    </xf>
    <xf numFmtId="165" fontId="40" fillId="36" borderId="10" applyAlignment="1" pivotButton="0" quotePrefix="0" xfId="2">
      <alignment horizontal="center" vertical="center"/>
    </xf>
    <xf numFmtId="0" fontId="274" fillId="0" borderId="10" applyAlignment="1" pivotButton="0" quotePrefix="0" xfId="0">
      <alignment horizontal="center" vertical="center" wrapText="1"/>
    </xf>
    <xf numFmtId="0" fontId="38" fillId="0" borderId="10" applyAlignment="1" pivotButton="0" quotePrefix="0" xfId="0">
      <alignment horizontal="center" vertical="center" wrapText="1"/>
    </xf>
    <xf numFmtId="0" fontId="302" fillId="0" borderId="10" applyAlignment="1" pivotButton="0" quotePrefix="0" xfId="0">
      <alignment horizontal="center" vertical="center" wrapText="1"/>
    </xf>
    <xf numFmtId="0" fontId="278" fillId="37" borderId="132" applyAlignment="1" pivotButton="0" quotePrefix="0" xfId="5">
      <alignment horizontal="center" vertical="center"/>
    </xf>
    <xf numFmtId="0" fontId="278" fillId="37" borderId="128" applyAlignment="1" pivotButton="0" quotePrefix="0" xfId="5">
      <alignment horizontal="center" vertical="center"/>
    </xf>
    <xf numFmtId="0" fontId="0" fillId="0" borderId="83" pivotButton="0" quotePrefix="0" xfId="0"/>
    <xf numFmtId="0" fontId="278" fillId="37" borderId="131" applyAlignment="1" pivotButton="0" quotePrefix="0" xfId="5">
      <alignment horizontal="center" vertical="center"/>
    </xf>
    <xf numFmtId="0" fontId="0" fillId="0" borderId="84" pivotButton="0" quotePrefix="0" xfId="0"/>
    <xf numFmtId="0" fontId="278" fillId="37" borderId="128" applyAlignment="1" pivotButton="0" quotePrefix="0" xfId="5">
      <alignment horizontal="center" vertical="center" wrapText="1"/>
    </xf>
    <xf numFmtId="0" fontId="278" fillId="37" borderId="129" applyAlignment="1" pivotButton="0" quotePrefix="0" xfId="5">
      <alignment horizontal="center" vertical="center" wrapText="1"/>
    </xf>
    <xf numFmtId="0" fontId="0" fillId="0" borderId="86" pivotButton="0" quotePrefix="0" xfId="0"/>
    <xf numFmtId="0" fontId="0" fillId="0" borderId="21" pivotButton="0" quotePrefix="0" xfId="0"/>
    <xf numFmtId="0" fontId="0" fillId="0" borderId="87" pivotButton="0" quotePrefix="0" xfId="0"/>
    <xf numFmtId="0" fontId="0" fillId="0" borderId="74" pivotButton="0" quotePrefix="0" xfId="0"/>
    <xf numFmtId="0" fontId="0" fillId="0" borderId="89" pivotButton="0" quotePrefix="0" xfId="0"/>
    <xf numFmtId="0" fontId="281" fillId="0" borderId="10" applyAlignment="1" pivotButton="0" quotePrefix="0" xfId="51103">
      <alignment horizontal="center" vertical="center" wrapText="1"/>
    </xf>
    <xf numFmtId="0" fontId="0" fillId="0" borderId="49" pivotButton="0" quotePrefix="0" xfId="0"/>
    <xf numFmtId="0" fontId="0" fillId="0" borderId="127" pivotButton="0" quotePrefix="0" xfId="0"/>
    <xf numFmtId="0" fontId="0" fillId="0" borderId="51" pivotButton="0" quotePrefix="0" xfId="0"/>
    <xf numFmtId="0" fontId="0" fillId="0" borderId="90" pivotButton="0" quotePrefix="0" xfId="0"/>
    <xf numFmtId="0" fontId="315" fillId="0" borderId="10" applyAlignment="1" pivotButton="0" quotePrefix="0" xfId="51103">
      <alignment horizontal="center" vertical="center"/>
    </xf>
    <xf numFmtId="0" fontId="0" fillId="0" borderId="48" pivotButton="0" quotePrefix="0" xfId="0"/>
    <xf numFmtId="0" fontId="298" fillId="107" borderId="138" applyAlignment="1" pivotButton="0" quotePrefix="0" xfId="51103">
      <alignment horizontal="center" vertical="center" wrapText="1"/>
    </xf>
    <xf numFmtId="0" fontId="0" fillId="0" borderId="94" pivotButton="0" quotePrefix="0" xfId="0"/>
    <xf numFmtId="0" fontId="298" fillId="107" borderId="135" applyAlignment="1" pivotButton="0" quotePrefix="0" xfId="51103">
      <alignment horizontal="center" vertical="center" wrapText="1"/>
    </xf>
    <xf numFmtId="0" fontId="0" fillId="0" borderId="97" pivotButton="0" quotePrefix="0" xfId="0"/>
    <xf numFmtId="0" fontId="293" fillId="0" borderId="10" applyAlignment="1" pivotButton="0" quotePrefix="0" xfId="51103">
      <alignment horizontal="center" vertical="center" wrapText="1"/>
    </xf>
    <xf numFmtId="0" fontId="0" fillId="0" borderId="142" pivotButton="0" quotePrefix="0" xfId="0"/>
    <xf numFmtId="0" fontId="282" fillId="0" borderId="99" applyAlignment="1" pivotButton="0" quotePrefix="0" xfId="51103">
      <alignment horizontal="center" vertical="center" wrapText="1"/>
    </xf>
    <xf numFmtId="0" fontId="0" fillId="0" borderId="101" pivotButton="0" quotePrefix="0" xfId="0"/>
    <xf numFmtId="0" fontId="0" fillId="0" borderId="102" pivotButton="0" quotePrefix="0" xfId="0"/>
    <xf numFmtId="0" fontId="0" fillId="0" borderId="106" pivotButton="0" quotePrefix="0" xfId="0"/>
    <xf numFmtId="0" fontId="282" fillId="0" borderId="103" applyAlignment="1" pivotButton="0" quotePrefix="0" xfId="51103">
      <alignment horizontal="center" vertical="center" wrapText="1"/>
    </xf>
    <xf numFmtId="0" fontId="0" fillId="0" borderId="105" pivotButton="0" quotePrefix="0" xfId="0"/>
    <xf numFmtId="0" fontId="0" fillId="0" borderId="110" pivotButton="0" quotePrefix="0" xfId="0"/>
    <xf numFmtId="14" fontId="282" fillId="0" borderId="107" applyAlignment="1" pivotButton="0" quotePrefix="0" xfId="51103">
      <alignment horizontal="center" vertical="center" wrapText="1"/>
    </xf>
    <xf numFmtId="0" fontId="0" fillId="0" borderId="109" pivotButton="0" quotePrefix="0" xfId="0"/>
  </cellXfs>
  <cellStyles count="51111">
    <cellStyle name="Normal" xfId="0" builtinId="0"/>
    <cellStyle name="Comma [0]" xfId="1"/>
    <cellStyle name="Percent" xfId="2"/>
    <cellStyle name="표준_AUDIT SELF CHECK(Sony)" xfId="3"/>
    <cellStyle name="표준_QSA_Check-Sheet" xfId="4"/>
    <cellStyle name="표준_NDI社 SMT공정 진단_0716" xfId="5"/>
    <cellStyle name="표준 36 3" xfId="6"/>
    <cellStyle name="백분율 6 18" xfId="7"/>
    <cellStyle name="표준 2 4 2" xfId="8"/>
    <cellStyle name="하이퍼링크_NDI社 SMT공정 진단_0716" xfId="9"/>
    <cellStyle name="표준_COR(1).40.WWP.SQ.0270_QPA_PWB_Rev2.0_Audit form (송부)_Process check list(영문) 취합" xfId="10"/>
    <cellStyle name="_x0002_" xfId="11"/>
    <cellStyle name="_x0006__x0012_" xfId="12"/>
    <cellStyle name="_x0006__x0012_ 2" xfId="13"/>
    <cellStyle name=" 䰀愀猀攀爀䨀攀琀 㠀　　　 䐀一 倀䌀䰀 㘀" xfId="14"/>
    <cellStyle name="_x0002_._x0011__x0002_._x001b__x0002_ _x0015_%_x0018__x0001_" xfId="15"/>
    <cellStyle name=";" xfId="16"/>
    <cellStyle name="?" xfId="17"/>
    <cellStyle name="_x0003_?#_x0004_" xfId="18"/>
    <cellStyle name="??&amp;O?&amp;H?_x0008__x000f__x0007_?_x0007__x0001__x0001_" xfId="19"/>
    <cellStyle name="??&amp;O?&amp;H?_x0008__x000f__x0007_?_x0007__x0001__x0001_ 2" xfId="20"/>
    <cellStyle name="??&amp;O?&amp;H?_x0008_??_x0007__x0001__x0001_" xfId="21"/>
    <cellStyle name="??&amp;O?&amp;H?_x0008_??_x0007__x0001__x0001_ 2" xfId="22"/>
    <cellStyle name="??&amp;O?&amp;H?_x0008_x_x000b_P_x000c__x0007__x0001__x0001_" xfId="23"/>
    <cellStyle name="???­ [0]_±??¸_¼????? (³?°? 83¾?) " xfId="24"/>
    <cellStyle name="_x0003_???_x0015__x0004_???&quot;_x0004_!_x0004_?_x000c__x0004_??_x000f__x000b__x0004__x001d__x0004__x001e__x0004_?_x0005__x0004__x000f_?_x0011__x0004__x000f_??_x0010__x0004_?????#_x0004_" xfId="25"/>
    <cellStyle name="_x0003_?_x0010__x0004_?????#_x0004_" xfId="26"/>
    <cellStyle name="_x0001_???????????L" xfId="27"/>
    <cellStyle name="???­_±??¸_¼????? (³?°? 83¾?) " xfId="28"/>
    <cellStyle name="???Ø_±¹Æ?_`96.9¿?Ø? " xfId="29"/>
    <cellStyle name="??[0]_H4DPG7RfezGCKgvTcNxjaUm2G" xfId="30"/>
    <cellStyle name="??_?.????" xfId="31"/>
    <cellStyle name="??欺傅?" xfId="32"/>
    <cellStyle name="?Ⅱ_x001b__x0005_@?" xfId="33"/>
    <cellStyle name="?Ⅱ_x001b__x0005_@? 2" xfId="34"/>
    <cellStyle name="?Þ¸¶ [0]_¼???°??¹(SMD) " xfId="35"/>
    <cellStyle name="?Þ¸¶_±??¸_¼????? (³?°? 83¾?) " xfId="36"/>
    <cellStyle name="?W?_laroux" xfId="37"/>
    <cellStyle name="?霖_   " xfId="38"/>
    <cellStyle name="?盒?_老老前??? " xfId="39"/>
    <cellStyle name="@" xfId="40"/>
    <cellStyle name="@_9월-12월" xfId="41"/>
    <cellStyle name="@_9월-12월_ PULL  LIST-1 (2007년)" xfId="42"/>
    <cellStyle name="@_9월-12월_1월-4월" xfId="43"/>
    <cellStyle name="@_9월-12월_1월-4월_ PULL  LIST-1 (2007년)" xfId="44"/>
    <cellStyle name="@_9월-12월_1월-4월_PULL  LIST-1 (2004년)" xfId="45"/>
    <cellStyle name="@_9월-12월_1월-4월_PULL  LIST-1 (2004년)_Book1" xfId="46"/>
    <cellStyle name="@_9월-12월_1월-4월_PULL  LIST-1 (2004년)_Book1_ PULL  LIST-1 (2007년)" xfId="47"/>
    <cellStyle name="@_9월-12월_1월-4월_PULL  LIST-1 (2004년)_Book1_PULL  LIST-1 (2005년)" xfId="48"/>
    <cellStyle name="@_9월-12월_1월-4월_PULL  LIST-1 (2004년)_Book1_PULL  LIST-1 (2005년)_PULL  LIST-1 (2005년)" xfId="49"/>
    <cellStyle name="@_9월-12월_1월-4월_PULL  LIST-1 (2004년)_Book1_PULL  LIST-1 (2005년)_PULL  LIST-1 (2005년)_ PULL  LIST-1 (2007년)" xfId="50"/>
    <cellStyle name="@_9월-12월_1월-4월_PULL  LIST-1 (2004년)_Book1_PULL  LIST-1 (2005년)_PULL  LIST-1 (2005년)_PULL  LIST-1 (2006년)" xfId="51"/>
    <cellStyle name="@_9월-12월_1월-4월_PULL  LIST-1 (2004년)_Book1_PULL  LIST-1 (2005년)_PULL  LIST-1 (2005년)_PULL  LIST-1 (2006년)_PULL  LIST-1 (2006년)" xfId="52"/>
    <cellStyle name="@_9월-12월_1월-4월_PULL  LIST-1 (2004년)_Book1_PULL  LIST-1 (2005년)_PULL  LIST-1 (2005년)_PULL  LIST-1 (2006년)_PULL  LIST-1 (2006년)_ PULL  LIST-1 (2007년)" xfId="53"/>
    <cellStyle name="@_9월-12월_1월-4월_PULL  LIST-1 (2004년)_Book1_PULL  LIST-1 (2005년)_PULL  LIST-1 (2006년)" xfId="54"/>
    <cellStyle name="@_9월-12월_1월-4월_PULL  LIST-1 (2004년)_Book1_PULL  LIST-1 (2005년)_PULL  LIST-1 (2006년)_ PULL  LIST-1 (2007년)" xfId="55"/>
    <cellStyle name="@_9월-12월_1월-4월_PULL  LIST-1 (2004년)_Book1_PULL  LIST-1 (2005년)_PULL  LIST-1 (2006년)_PULL  LIST-1 (2006년)" xfId="56"/>
    <cellStyle name="@_9월-12월_1월-4월_PULL  LIST-1 (2004년)_Book1_PULL  LIST-1 (2005년)_PULL  LIST-1 (2006년)_PULL  LIST-1 (2006년)_PULL  LIST-1 (2006년)" xfId="57"/>
    <cellStyle name="@_9월-12월_1월-4월_PULL  LIST-1 (2004년)_Book1_PULL  LIST-1 (2005년)_PULL  LIST-1 (2006년)_PULL  LIST-1 (2006년)_PULL  LIST-1 (2006년)_ PULL  LIST-1 (2007년)" xfId="58"/>
    <cellStyle name="@_9월-12월_1월-4월_PULL  LIST-1 (2004년)_Book1_PULL  LIST-1 (2005년)_원가인하9월30일" xfId="59"/>
    <cellStyle name="@_9월-12월_1월-4월_PULL  LIST-1 (2004년)_Book1_PULL  LIST-1 (2005년)_원가인하9월30일_ PULL  LIST-1 (2007년)" xfId="60"/>
    <cellStyle name="@_9월-12월_1월-4월_PULL  LIST-1 (2004년)_Book1_PULL  LIST-1 (2005년)_원가인하9월30일_PULL  LIST-1 (2006년)" xfId="61"/>
    <cellStyle name="@_9월-12월_1월-4월_PULL  LIST-1 (2004년)_Book1_PULL  LIST-1 (2005년)_원가인하9월30일_PULL  LIST-1 (2006년)_PULL  LIST-1 (2006년)" xfId="62"/>
    <cellStyle name="@_9월-12월_1월-4월_PULL  LIST-1 (2004년)_Book1_PULL  LIST-1 (2005년)_원가인하9월30일_PULL  LIST-1 (2006년)_PULL  LIST-1 (2006년)_ PULL  LIST-1 (2007년)" xfId="63"/>
    <cellStyle name="@_9월-12월_1월-4월_PULL  LIST-1 (2004년)_Book1_PULL  LIST-1 (2006년)" xfId="64"/>
    <cellStyle name="@_9월-12월_1월-4월_PULL  LIST-1 (2004년)_Book1_PULL  LIST-1 (2006년)_PULL  LIST-1 (2006년)" xfId="65"/>
    <cellStyle name="@_9월-12월_1월-4월_PULL  LIST-1 (2004년)_Book1_PULL  LIST-1 (2006년)_PULL  LIST-1 (2006년)_ PULL  LIST-1 (2007년)" xfId="66"/>
    <cellStyle name="@_9월-12월_1월-4월_PULL  LIST-1 (2004년)_PULL  LIST-1 (2004년)" xfId="67"/>
    <cellStyle name="@_9월-12월_1월-4월_PULL  LIST-1 (2004년)_PULL  LIST-1 (2004년)_ PULL  LIST-1 (2007년)" xfId="68"/>
    <cellStyle name="@_9월-12월_1월-4월_PULL  LIST-1 (2004년)_PULL  LIST-1 (2004년)_PULL  LIST-1 (2004년)" xfId="69"/>
    <cellStyle name="@_9월-12월_1월-4월_PULL  LIST-1 (2004년)_PULL  LIST-1 (2004년)_PULL  LIST-1 (2004년)_Book1" xfId="70"/>
    <cellStyle name="@_9월-12월_1월-4월_PULL  LIST-1 (2004년)_PULL  LIST-1 (2004년)_PULL  LIST-1 (2004년)_Book1_ PULL  LIST-1 (2007년)" xfId="71"/>
    <cellStyle name="@_9월-12월_1월-4월_PULL  LIST-1 (2004년)_PULL  LIST-1 (2004년)_PULL  LIST-1 (2004년)_Book1_PULL  LIST-1 (2005년)" xfId="72"/>
    <cellStyle name="@_9월-12월_1월-4월_PULL  LIST-1 (2004년)_PULL  LIST-1 (2004년)_PULL  LIST-1 (2004년)_Book1_PULL  LIST-1 (2005년)_PULL  LIST-1 (2005년)" xfId="73"/>
    <cellStyle name="@_9월-12월_1월-4월_PULL  LIST-1 (2004년)_PULL  LIST-1 (2004년)_PULL  LIST-1 (2004년)_Book1_PULL  LIST-1 (2005년)_PULL  LIST-1 (2005년)_ PULL  LIST-1 (2007년)" xfId="74"/>
    <cellStyle name="@_9월-12월_1월-4월_PULL  LIST-1 (2004년)_PULL  LIST-1 (2004년)_PULL  LIST-1 (2004년)_Book1_PULL  LIST-1 (2005년)_PULL  LIST-1 (2005년)_PULL  LIST-1 (2006년)" xfId="75"/>
    <cellStyle name="@_9월-12월_1월-4월_PULL  LIST-1 (2004년)_PULL  LIST-1 (2004년)_PULL  LIST-1 (2004년)_Book1_PULL  LIST-1 (2005년)_PULL  LIST-1 (2005년)_PULL  LIST-1 (2006년)_PULL  LIST-1 (2006년)" xfId="76"/>
    <cellStyle name="@_9월-12월_1월-4월_PULL  LIST-1 (2004년)_PULL  LIST-1 (2004년)_PULL  LIST-1 (2004년)_Book1_PULL  LIST-1 (2005년)_PULL  LIST-1 (2005년)_PULL  LIST-1 (2006년)_PULL  LIST-1 (2006년)_ PULL  LIST-1 (2007년)" xfId="77"/>
    <cellStyle name="@_9월-12월_1월-4월_PULL  LIST-1 (2004년)_PULL  LIST-1 (2004년)_PULL  LIST-1 (2004년)_Book1_PULL  LIST-1 (2005년)_PULL  LIST-1 (2006년)" xfId="78"/>
    <cellStyle name="@_9월-12월_1월-4월_PULL  LIST-1 (2004년)_PULL  LIST-1 (2004년)_PULL  LIST-1 (2004년)_Book1_PULL  LIST-1 (2005년)_PULL  LIST-1 (2006년)_ PULL  LIST-1 (2007년)" xfId="79"/>
    <cellStyle name="@_9월-12월_1월-4월_PULL  LIST-1 (2004년)_PULL  LIST-1 (2004년)_PULL  LIST-1 (2004년)_Book1_PULL  LIST-1 (2005년)_PULL  LIST-1 (2006년)_PULL  LIST-1 (2006년)" xfId="80"/>
    <cellStyle name="@_9월-12월_1월-4월_PULL  LIST-1 (2004년)_PULL  LIST-1 (2004년)_PULL  LIST-1 (2004년)_Book1_PULL  LIST-1 (2005년)_PULL  LIST-1 (2006년)_PULL  LIST-1 (2006년)_PULL  LIST-1 (2006년)" xfId="81"/>
    <cellStyle name="@_9월-12월_1월-4월_PULL  LIST-1 (2004년)_PULL  LIST-1 (2004년)_PULL  LIST-1 (2004년)_Book1_PULL  LIST-1 (2005년)_PULL  LIST-1 (2006년)_PULL  LIST-1 (2006년)_PULL  LIST-1 (2006년)_ PULL  LIST-1 (2007년)" xfId="82"/>
    <cellStyle name="@_9월-12월_1월-4월_PULL  LIST-1 (2004년)_PULL  LIST-1 (2004년)_PULL  LIST-1 (2004년)_Book1_PULL  LIST-1 (2005년)_원가인하9월30일" xfId="83"/>
    <cellStyle name="@_9월-12월_1월-4월_PULL  LIST-1 (2004년)_PULL  LIST-1 (2004년)_PULL  LIST-1 (2004년)_Book1_PULL  LIST-1 (2005년)_원가인하9월30일_ PULL  LIST-1 (2007년)" xfId="84"/>
    <cellStyle name="@_9월-12월_1월-4월_PULL  LIST-1 (2004년)_PULL  LIST-1 (2004년)_PULL  LIST-1 (2004년)_Book1_PULL  LIST-1 (2005년)_원가인하9월30일_PULL  LIST-1 (2006년)" xfId="85"/>
    <cellStyle name="@_9월-12월_1월-4월_PULL  LIST-1 (2004년)_PULL  LIST-1 (2004년)_PULL  LIST-1 (2004년)_Book1_PULL  LIST-1 (2005년)_원가인하9월30일_PULL  LIST-1 (2006년)_PULL  LIST-1 (2006년)" xfId="86"/>
    <cellStyle name="@_9월-12월_1월-4월_PULL  LIST-1 (2004년)_PULL  LIST-1 (2004년)_PULL  LIST-1 (2004년)_Book1_PULL  LIST-1 (2005년)_원가인하9월30일_PULL  LIST-1 (2006년)_PULL  LIST-1 (2006년)_ PULL  LIST-1 (2007년)" xfId="87"/>
    <cellStyle name="@_9월-12월_1월-4월_PULL  LIST-1 (2004년)_PULL  LIST-1 (2004년)_PULL  LIST-1 (2004년)_Book1_PULL  LIST-1 (2006년)" xfId="88"/>
    <cellStyle name="@_9월-12월_1월-4월_PULL  LIST-1 (2004년)_PULL  LIST-1 (2004년)_PULL  LIST-1 (2004년)_Book1_PULL  LIST-1 (2006년)_PULL  LIST-1 (2006년)" xfId="89"/>
    <cellStyle name="@_9월-12월_1월-4월_PULL  LIST-1 (2004년)_PULL  LIST-1 (2004년)_PULL  LIST-1 (2004년)_Book1_PULL  LIST-1 (2006년)_PULL  LIST-1 (2006년)_ PULL  LIST-1 (2007년)" xfId="90"/>
    <cellStyle name="@_9월-12월_1월-4월_PULL  LIST-1 (2004년)_PULL  LIST-1 (2004년)_PULL  LIST-1 (2004년)_PULL  LIST-1 (2005년)" xfId="91"/>
    <cellStyle name="@_9월-12월_1월-4월_PULL  LIST-1 (2004년)_PULL  LIST-1 (2004년)_PULL  LIST-1 (2004년)_PULL  LIST-1 (2005년)_ PULL  LIST-1 (2007년)" xfId="92"/>
    <cellStyle name="@_9월-12월_1월-4월_PULL  LIST-1 (2004년)_PULL  LIST-1 (2004년)_PULL  LIST-1 (2004년)_PULL  LIST-1 (2005년)_PULL  LIST-1 (2006년)" xfId="93"/>
    <cellStyle name="@_9월-12월_1월-4월_PULL  LIST-1 (2004년)_PULL  LIST-1 (2004년)_PULL  LIST-1 (2004년)_PULL  LIST-1 (2005년)_PULL  LIST-1 (2006년)_PULL  LIST-1 (2006년)" xfId="94"/>
    <cellStyle name="@_9월-12월_1월-4월_PULL  LIST-1 (2004년)_PULL  LIST-1 (2004년)_PULL  LIST-1 (2004년)_PULL  LIST-1 (2005년)_PULL  LIST-1 (2006년)_PULL  LIST-1 (2006년)_ PULL  LIST-1 (2007년)" xfId="95"/>
    <cellStyle name="@_9월-12월_1월-4월_PULL  LIST-1 (2004년)_PULL  LIST-1 (2004년)_PULL  LIST-1 (2004년)_PULL  LIST-1 (2006년)" xfId="96"/>
    <cellStyle name="@_9월-12월_1월-4월_PULL  LIST-1 (2004년)_PULL  LIST-1 (2004년)_PULL  LIST-1 (2004년)_PULL  LIST-1 (2006년)_ PULL  LIST-1 (2007년)" xfId="97"/>
    <cellStyle name="@_9월-12월_1월-4월_PULL  LIST-1 (2004년)_PULL  LIST-1 (2004년)_PULL  LIST-1 (2004년)_PULL  LIST-1 (2006년)_PULL  LIST-1 (2006년)" xfId="98"/>
    <cellStyle name="@_9월-12월_1월-4월_PULL  LIST-1 (2004년)_PULL  LIST-1 (2004년)_PULL  LIST-1 (2004년)_PULL  LIST-1 (2006년)_PULL  LIST-1 (2006년)_PULL  LIST-1 (2006년)" xfId="99"/>
    <cellStyle name="@_9월-12월_1월-4월_PULL  LIST-1 (2004년)_PULL  LIST-1 (2004년)_PULL  LIST-1 (2004년)_PULL  LIST-1 (2006년)_PULL  LIST-1 (2006년)_PULL  LIST-1 (2006년)_ PULL  LIST-1 (2007년)" xfId="100"/>
    <cellStyle name="@_9월-12월_1월-4월_PULL  LIST-1 (2004년)_PULL  LIST-1 (2004년)_PULL  LIST-1 (2004년)_원가인하9월30일" xfId="101"/>
    <cellStyle name="@_9월-12월_1월-4월_PULL  LIST-1 (2004년)_PULL  LIST-1 (2004년)_PULL  LIST-1 (2004년)_원가인하9월30일_ PULL  LIST-1 (2007년)" xfId="102"/>
    <cellStyle name="@_9월-12월_1월-4월_PULL  LIST-1 (2004년)_PULL  LIST-1 (2004년)_PULL  LIST-1 (2004년)_원가인하9월30일_PULL  LIST-1 (2006년)" xfId="103"/>
    <cellStyle name="@_9월-12월_1월-4월_PULL  LIST-1 (2004년)_PULL  LIST-1 (2004년)_PULL  LIST-1 (2004년)_원가인하9월30일_PULL  LIST-1 (2006년)_PULL  LIST-1 (2006년)" xfId="104"/>
    <cellStyle name="@_9월-12월_1월-4월_PULL  LIST-1 (2004년)_PULL  LIST-1 (2004년)_PULL  LIST-1 (2004년)_원가인하9월30일_PULL  LIST-1 (2006년)_PULL  LIST-1 (2006년)_ PULL  LIST-1 (2007년)" xfId="105"/>
    <cellStyle name="@_9월-12월_1월-4월_PULL  LIST-1 (2004년)_PULL  LIST-1 (2004년)_PULL  LIST-1 (2005년)" xfId="106"/>
    <cellStyle name="@_9월-12월_1월-4월_PULL  LIST-1 (2004년)_PULL  LIST-1 (2004년)_PULL  LIST-1 (2005년)_PULL  LIST-1 (2005년)" xfId="107"/>
    <cellStyle name="@_9월-12월_1월-4월_PULL  LIST-1 (2004년)_PULL  LIST-1 (2004년)_PULL  LIST-1 (2005년)_PULL  LIST-1 (2005년)_ PULL  LIST-1 (2007년)" xfId="108"/>
    <cellStyle name="@_9월-12월_1월-4월_PULL  LIST-1 (2004년)_PULL  LIST-1 (2004년)_PULL  LIST-1 (2005년)_PULL  LIST-1 (2005년)_PULL  LIST-1 (2006년)" xfId="109"/>
    <cellStyle name="@_9월-12월_1월-4월_PULL  LIST-1 (2004년)_PULL  LIST-1 (2004년)_PULL  LIST-1 (2005년)_PULL  LIST-1 (2005년)_PULL  LIST-1 (2006년)_PULL  LIST-1 (2006년)" xfId="110"/>
    <cellStyle name="@_9월-12월_1월-4월_PULL  LIST-1 (2004년)_PULL  LIST-1 (2004년)_PULL  LIST-1 (2005년)_PULL  LIST-1 (2005년)_PULL  LIST-1 (2006년)_PULL  LIST-1 (2006년)_ PULL  LIST-1 (2007년)" xfId="111"/>
    <cellStyle name="@_9월-12월_1월-4월_PULL  LIST-1 (2004년)_PULL  LIST-1 (2004년)_PULL  LIST-1 (2005년)_PULL  LIST-1 (2006년)" xfId="112"/>
    <cellStyle name="@_9월-12월_1월-4월_PULL  LIST-1 (2004년)_PULL  LIST-1 (2004년)_PULL  LIST-1 (2005년)_PULL  LIST-1 (2006년)_ PULL  LIST-1 (2007년)" xfId="113"/>
    <cellStyle name="@_9월-12월_1월-4월_PULL  LIST-1 (2004년)_PULL  LIST-1 (2004년)_PULL  LIST-1 (2005년)_PULL  LIST-1 (2006년)_PULL  LIST-1 (2006년)" xfId="114"/>
    <cellStyle name="@_9월-12월_1월-4월_PULL  LIST-1 (2004년)_PULL  LIST-1 (2004년)_PULL  LIST-1 (2005년)_PULL  LIST-1 (2006년)_PULL  LIST-1 (2006년)_PULL  LIST-1 (2006년)" xfId="115"/>
    <cellStyle name="@_9월-12월_1월-4월_PULL  LIST-1 (2004년)_PULL  LIST-1 (2004년)_PULL  LIST-1 (2005년)_PULL  LIST-1 (2006년)_PULL  LIST-1 (2006년)_PULL  LIST-1 (2006년)_ PULL  LIST-1 (2007년)" xfId="116"/>
    <cellStyle name="@_9월-12월_1월-4월_PULL  LIST-1 (2004년)_PULL  LIST-1 (2004년)_PULL  LIST-1 (2005년)_원가인하9월30일" xfId="117"/>
    <cellStyle name="@_9월-12월_1월-4월_PULL  LIST-1 (2004년)_PULL  LIST-1 (2004년)_PULL  LIST-1 (2005년)_원가인하9월30일_ PULL  LIST-1 (2007년)" xfId="118"/>
    <cellStyle name="@_9월-12월_1월-4월_PULL  LIST-1 (2004년)_PULL  LIST-1 (2004년)_PULL  LIST-1 (2005년)_원가인하9월30일_PULL  LIST-1 (2006년)" xfId="119"/>
    <cellStyle name="@_9월-12월_1월-4월_PULL  LIST-1 (2004년)_PULL  LIST-1 (2004년)_PULL  LIST-1 (2005년)_원가인하9월30일_PULL  LIST-1 (2006년)_PULL  LIST-1 (2006년)" xfId="120"/>
    <cellStyle name="@_9월-12월_1월-4월_PULL  LIST-1 (2004년)_PULL  LIST-1 (2004년)_PULL  LIST-1 (2005년)_원가인하9월30일_PULL  LIST-1 (2006년)_PULL  LIST-1 (2006년)_ PULL  LIST-1 (2007년)" xfId="121"/>
    <cellStyle name="@_9월-12월_1월-4월_PULL  LIST-1 (2004년)_PULL  LIST-1 (2004년)_PULL  LIST-1 (2006년)" xfId="122"/>
    <cellStyle name="@_9월-12월_1월-4월_PULL  LIST-1 (2004년)_PULL  LIST-1 (2004년)_PULL  LIST-1 (2006년)_PULL  LIST-1 (2006년)" xfId="123"/>
    <cellStyle name="@_9월-12월_1월-4월_PULL  LIST-1 (2004년)_PULL  LIST-1 (2004년)_PULL  LIST-1 (2006년)_PULL  LIST-1 (2006년)_ PULL  LIST-1 (2007년)" xfId="124"/>
    <cellStyle name="@_9월-12월_1월-4월_PULL  LIST-1 (2004년)_PULL  LIST-1 (2005년)" xfId="125"/>
    <cellStyle name="@_9월-12월_1월-4월_PULL  LIST-1 (2004년)_PULL  LIST-1 (2005년)_ PULL  LIST-1 (2007년)" xfId="126"/>
    <cellStyle name="@_9월-12월_1월-4월_PULL  LIST-1 (2004년)_PULL  LIST-1 (2005년)_PULL  LIST-1 (2006년)" xfId="127"/>
    <cellStyle name="@_9월-12월_1월-4월_PULL  LIST-1 (2004년)_PULL  LIST-1 (2005년)_PULL  LIST-1 (2006년)_PULL  LIST-1 (2006년)" xfId="128"/>
    <cellStyle name="@_9월-12월_1월-4월_PULL  LIST-1 (2004년)_PULL  LIST-1 (2005년)_PULL  LIST-1 (2006년)_PULL  LIST-1 (2006년)_ PULL  LIST-1 (2007년)" xfId="129"/>
    <cellStyle name="@_9월-12월_1월-4월_PULL  LIST-1 (2004년)_PULL  LIST-1 (2006년)" xfId="130"/>
    <cellStyle name="@_9월-12월_1월-4월_PULL  LIST-1 (2004년)_PULL  LIST-1 (2006년)_ PULL  LIST-1 (2007년)" xfId="131"/>
    <cellStyle name="@_9월-12월_1월-4월_PULL  LIST-1 (2004년)_PULL  LIST-1 (2006년)_PULL  LIST-1 (2006년)" xfId="132"/>
    <cellStyle name="@_9월-12월_1월-4월_PULL  LIST-1 (2004년)_PULL  LIST-1 (2006년)_PULL  LIST-1 (2006년)_PULL  LIST-1 (2006년)" xfId="133"/>
    <cellStyle name="@_9월-12월_1월-4월_PULL  LIST-1 (2004년)_PULL  LIST-1 (2006년)_PULL  LIST-1 (2006년)_PULL  LIST-1 (2006년)_ PULL  LIST-1 (2007년)" xfId="134"/>
    <cellStyle name="@_9월-12월_1월-4월_PULL  LIST-1 (2004년)_원가인하9월30일" xfId="135"/>
    <cellStyle name="@_9월-12월_1월-4월_PULL  LIST-1 (2004년)_원가인하9월30일_ PULL  LIST-1 (2007년)" xfId="136"/>
    <cellStyle name="@_9월-12월_1월-4월_PULL  LIST-1 (2004년)_원가인하9월30일_PULL  LIST-1 (2006년)" xfId="137"/>
    <cellStyle name="@_9월-12월_1월-4월_PULL  LIST-1 (2004년)_원가인하9월30일_PULL  LIST-1 (2006년)_PULL  LIST-1 (2006년)" xfId="138"/>
    <cellStyle name="@_9월-12월_1월-4월_PULL  LIST-1 (2004년)_원가인하9월30일_PULL  LIST-1 (2006년)_PULL  LIST-1 (2006년)_ PULL  LIST-1 (2007년)" xfId="139"/>
    <cellStyle name="@_9월-12월_1월-4월_PULL  LIST-1 (2005년)" xfId="140"/>
    <cellStyle name="@_9월-12월_1월-4월_PULL  LIST-1 (2005년)_PULL  LIST-1 (2005년)" xfId="141"/>
    <cellStyle name="@_9월-12월_1월-4월_PULL  LIST-1 (2005년)_PULL  LIST-1 (2005년)_ PULL  LIST-1 (2007년)" xfId="142"/>
    <cellStyle name="@_9월-12월_1월-4월_PULL  LIST-1 (2005년)_PULL  LIST-1 (2005년)_PULL  LIST-1 (2006년)" xfId="143"/>
    <cellStyle name="@_9월-12월_1월-4월_PULL  LIST-1 (2005년)_PULL  LIST-1 (2005년)_PULL  LIST-1 (2006년)_PULL  LIST-1 (2006년)" xfId="144"/>
    <cellStyle name="@_9월-12월_1월-4월_PULL  LIST-1 (2005년)_PULL  LIST-1 (2005년)_PULL  LIST-1 (2006년)_PULL  LIST-1 (2006년)_ PULL  LIST-1 (2007년)" xfId="145"/>
    <cellStyle name="@_9월-12월_1월-4월_PULL  LIST-1 (2005년)_PULL  LIST-1 (2006년)" xfId="146"/>
    <cellStyle name="@_9월-12월_1월-4월_PULL  LIST-1 (2005년)_PULL  LIST-1 (2006년)_ PULL  LIST-1 (2007년)" xfId="147"/>
    <cellStyle name="@_9월-12월_1월-4월_PULL  LIST-1 (2005년)_PULL  LIST-1 (2006년)_PULL  LIST-1 (2006년)" xfId="148"/>
    <cellStyle name="@_9월-12월_1월-4월_PULL  LIST-1 (2005년)_PULL  LIST-1 (2006년)_PULL  LIST-1 (2006년)_PULL  LIST-1 (2006년)" xfId="149"/>
    <cellStyle name="@_9월-12월_1월-4월_PULL  LIST-1 (2005년)_PULL  LIST-1 (2006년)_PULL  LIST-1 (2006년)_PULL  LIST-1 (2006년)_ PULL  LIST-1 (2007년)" xfId="150"/>
    <cellStyle name="@_9월-12월_1월-4월_PULL  LIST-1 (2005년)_원가인하9월30일" xfId="151"/>
    <cellStyle name="@_9월-12월_1월-4월_PULL  LIST-1 (2005년)_원가인하9월30일_ PULL  LIST-1 (2007년)" xfId="152"/>
    <cellStyle name="@_9월-12월_1월-4월_PULL  LIST-1 (2005년)_원가인하9월30일_PULL  LIST-1 (2006년)" xfId="153"/>
    <cellStyle name="@_9월-12월_1월-4월_PULL  LIST-1 (2005년)_원가인하9월30일_PULL  LIST-1 (2006년)_PULL  LIST-1 (2006년)" xfId="154"/>
    <cellStyle name="@_9월-12월_1월-4월_PULL  LIST-1 (2005년)_원가인하9월30일_PULL  LIST-1 (2006년)_PULL  LIST-1 (2006년)_ PULL  LIST-1 (2007년)" xfId="155"/>
    <cellStyle name="@_9월-12월_1월-4월_PULL  LIST-1 (2006년)" xfId="156"/>
    <cellStyle name="@_9월-12월_1월-4월_PULL  LIST-1 (2006년)_PULL  LIST-1 (2006년)" xfId="157"/>
    <cellStyle name="@_9월-12월_1월-4월_PULL  LIST-1 (2006년)_PULL  LIST-1 (2006년)_ PULL  LIST-1 (2007년)" xfId="158"/>
    <cellStyle name="@_9월-12월_9월-12월" xfId="159"/>
    <cellStyle name="@_9월-12월_9월-12월_ PULL  LIST-1 (2007년)" xfId="160"/>
    <cellStyle name="@_9월-12월_9월-12월_9월-12월" xfId="161"/>
    <cellStyle name="@_9월-12월_9월-12월_9월-12월_ PULL  LIST-1 (2007년)" xfId="162"/>
    <cellStyle name="@_9월-12월_9월-12월_9월-12월_1월-4월" xfId="163"/>
    <cellStyle name="@_9월-12월_9월-12월_9월-12월_1월-4월_ PULL  LIST-1 (2007년)" xfId="164"/>
    <cellStyle name="@_9월-12월_9월-12월_9월-12월_1월-4월_PULL  LIST-1 (2004년)" xfId="165"/>
    <cellStyle name="@_9월-12월_9월-12월_9월-12월_1월-4월_PULL  LIST-1 (2004년)_Book1" xfId="166"/>
    <cellStyle name="@_9월-12월_9월-12월_9월-12월_1월-4월_PULL  LIST-1 (2004년)_Book1_ PULL  LIST-1 (2007년)" xfId="167"/>
    <cellStyle name="@_9월-12월_9월-12월_9월-12월_1월-4월_PULL  LIST-1 (2004년)_Book1_PULL  LIST-1 (2005년)" xfId="168"/>
    <cellStyle name="@_9월-12월_9월-12월_9월-12월_1월-4월_PULL  LIST-1 (2004년)_Book1_PULL  LIST-1 (2005년)_PULL  LIST-1 (2005년)" xfId="169"/>
    <cellStyle name="@_9월-12월_9월-12월_9월-12월_1월-4월_PULL  LIST-1 (2004년)_Book1_PULL  LIST-1 (2005년)_PULL  LIST-1 (2005년)_ PULL  LIST-1 (2007년)" xfId="170"/>
    <cellStyle name="@_9월-12월_9월-12월_9월-12월_1월-4월_PULL  LIST-1 (2004년)_Book1_PULL  LIST-1 (2005년)_PULL  LIST-1 (2005년)_PULL  LIST-1 (2006년)" xfId="171"/>
    <cellStyle name="@_9월-12월_9월-12월_9월-12월_1월-4월_PULL  LIST-1 (2004년)_Book1_PULL  LIST-1 (2005년)_PULL  LIST-1 (2005년)_PULL  LIST-1 (2006년)_PULL  LIST-1 (2006년)" xfId="172"/>
    <cellStyle name="@_9월-12월_9월-12월_9월-12월_1월-4월_PULL  LIST-1 (2004년)_Book1_PULL  LIST-1 (2005년)_PULL  LIST-1 (2005년)_PULL  LIST-1 (2006년)_PULL  LIST-1 (2006년)_ PULL  LIST-1 (2007년)" xfId="173"/>
    <cellStyle name="@_9월-12월_9월-12월_9월-12월_1월-4월_PULL  LIST-1 (2004년)_Book1_PULL  LIST-1 (2005년)_PULL  LIST-1 (2006년)" xfId="174"/>
    <cellStyle name="@_9월-12월_9월-12월_9월-12월_1월-4월_PULL  LIST-1 (2004년)_Book1_PULL  LIST-1 (2005년)_PULL  LIST-1 (2006년)_ PULL  LIST-1 (2007년)" xfId="175"/>
    <cellStyle name="@_9월-12월_9월-12월_9월-12월_1월-4월_PULL  LIST-1 (2004년)_Book1_PULL  LIST-1 (2005년)_PULL  LIST-1 (2006년)_PULL  LIST-1 (2006년)" xfId="176"/>
    <cellStyle name="@_9월-12월_9월-12월_9월-12월_1월-4월_PULL  LIST-1 (2004년)_Book1_PULL  LIST-1 (2005년)_PULL  LIST-1 (2006년)_PULL  LIST-1 (2006년)_PULL  LIST-1 (2006년)" xfId="177"/>
    <cellStyle name="@_9월-12월_9월-12월_9월-12월_1월-4월_PULL  LIST-1 (2004년)_Book1_PULL  LIST-1 (2005년)_PULL  LIST-1 (2006년)_PULL  LIST-1 (2006년)_PULL  LIST-1 (2006년)_ PULL  LIST-1 (2007년)" xfId="178"/>
    <cellStyle name="@_9월-12월_9월-12월_9월-12월_1월-4월_PULL  LIST-1 (2004년)_Book1_PULL  LIST-1 (2005년)_원가인하9월30일" xfId="179"/>
    <cellStyle name="@_9월-12월_9월-12월_9월-12월_1월-4월_PULL  LIST-1 (2004년)_Book1_PULL  LIST-1 (2005년)_원가인하9월30일_ PULL  LIST-1 (2007년)" xfId="180"/>
    <cellStyle name="@_9월-12월_9월-12월_9월-12월_1월-4월_PULL  LIST-1 (2004년)_Book1_PULL  LIST-1 (2005년)_원가인하9월30일_PULL  LIST-1 (2006년)" xfId="181"/>
    <cellStyle name="@_9월-12월_9월-12월_9월-12월_1월-4월_PULL  LIST-1 (2004년)_Book1_PULL  LIST-1 (2005년)_원가인하9월30일_PULL  LIST-1 (2006년)_PULL  LIST-1 (2006년)" xfId="182"/>
    <cellStyle name="@_9월-12월_9월-12월_9월-12월_1월-4월_PULL  LIST-1 (2004년)_Book1_PULL  LIST-1 (2005년)_원가인하9월30일_PULL  LIST-1 (2006년)_PULL  LIST-1 (2006년)_ PULL  LIST-1 (2007년)" xfId="183"/>
    <cellStyle name="@_9월-12월_9월-12월_9월-12월_1월-4월_PULL  LIST-1 (2004년)_Book1_PULL  LIST-1 (2006년)" xfId="184"/>
    <cellStyle name="@_9월-12월_9월-12월_9월-12월_1월-4월_PULL  LIST-1 (2004년)_Book1_PULL  LIST-1 (2006년)_PULL  LIST-1 (2006년)" xfId="185"/>
    <cellStyle name="@_9월-12월_9월-12월_9월-12월_1월-4월_PULL  LIST-1 (2004년)_Book1_PULL  LIST-1 (2006년)_PULL  LIST-1 (2006년)_ PULL  LIST-1 (2007년)" xfId="186"/>
    <cellStyle name="@_9월-12월_9월-12월_9월-12월_1월-4월_PULL  LIST-1 (2004년)_PULL  LIST-1 (2004년)" xfId="187"/>
    <cellStyle name="@_9월-12월_9월-12월_9월-12월_1월-4월_PULL  LIST-1 (2004년)_PULL  LIST-1 (2004년)_ PULL  LIST-1 (2007년)" xfId="188"/>
    <cellStyle name="@_9월-12월_9월-12월_9월-12월_1월-4월_PULL  LIST-1 (2004년)_PULL  LIST-1 (2004년)_PULL  LIST-1 (2004년)" xfId="189"/>
    <cellStyle name="@_9월-12월_9월-12월_9월-12월_1월-4월_PULL  LIST-1 (2004년)_PULL  LIST-1 (2004년)_PULL  LIST-1 (2004년)_Book1" xfId="190"/>
    <cellStyle name="@_9월-12월_9월-12월_9월-12월_1월-4월_PULL  LIST-1 (2004년)_PULL  LIST-1 (2004년)_PULL  LIST-1 (2004년)_Book1_ PULL  LIST-1 (2007년)" xfId="191"/>
    <cellStyle name="@_9월-12월_9월-12월_9월-12월_1월-4월_PULL  LIST-1 (2004년)_PULL  LIST-1 (2004년)_PULL  LIST-1 (2004년)_Book1_PULL  LIST-1 (2005년)" xfId="192"/>
    <cellStyle name="@_9월-12월_9월-12월_9월-12월_1월-4월_PULL  LIST-1 (2004년)_PULL  LIST-1 (2004년)_PULL  LIST-1 (2004년)_Book1_PULL  LIST-1 (2005년)_PULL  LIST-1 (2005년)" xfId="193"/>
    <cellStyle name="@_9월-12월_9월-12월_9월-12월_1월-4월_PULL  LIST-1 (2004년)_PULL  LIST-1 (2004년)_PULL  LIST-1 (2004년)_Book1_PULL  LIST-1 (2005년)_PULL  LIST-1 (2005년)_ PULL  LIST-1 (2007년)" xfId="194"/>
    <cellStyle name="@_9월-12월_9월-12월_9월-12월_1월-4월_PULL  LIST-1 (2004년)_PULL  LIST-1 (2004년)_PULL  LIST-1 (2004년)_Book1_PULL  LIST-1 (2005년)_PULL  LIST-1 (2005년)_PULL  LIST-1 (2006년)" xfId="195"/>
    <cellStyle name="@_9월-12월_9월-12월_9월-12월_1월-4월_PULL  LIST-1 (2004년)_PULL  LIST-1 (2004년)_PULL  LIST-1 (2004년)_Book1_PULL  LIST-1 (2005년)_PULL  LIST-1 (2005년)_PULL  LIST-1 (2006년)_PULL  LIST-1 (2006년)" xfId="196"/>
    <cellStyle name="@_9월-12월_9월-12월_9월-12월_1월-4월_PULL  LIST-1 (2004년)_PULL  LIST-1 (2004년)_PULL  LIST-1 (2004년)_Book1_PULL  LIST-1 (2005년)_PULL  LIST-1 (2005년)_PULL  LIST-1 (2006년)_PULL  LIST-1 (2006년)_ PULL  LIST-1 (2007년)" xfId="197"/>
    <cellStyle name="@_9월-12월_9월-12월_9월-12월_1월-4월_PULL  LIST-1 (2004년)_PULL  LIST-1 (2004년)_PULL  LIST-1 (2004년)_Book1_PULL  LIST-1 (2005년)_PULL  LIST-1 (2006년)" xfId="198"/>
    <cellStyle name="@_9월-12월_9월-12월_9월-12월_1월-4월_PULL  LIST-1 (2004년)_PULL  LIST-1 (2004년)_PULL  LIST-1 (2004년)_Book1_PULL  LIST-1 (2005년)_PULL  LIST-1 (2006년)_ PULL  LIST-1 (2007년)" xfId="199"/>
    <cellStyle name="@_9월-12월_9월-12월_9월-12월_1월-4월_PULL  LIST-1 (2004년)_PULL  LIST-1 (2004년)_PULL  LIST-1 (2004년)_Book1_PULL  LIST-1 (2005년)_PULL  LIST-1 (2006년)_PULL  LIST-1 (2006년)" xfId="200"/>
    <cellStyle name="@_9월-12월_9월-12월_9월-12월_1월-4월_PULL  LIST-1 (2004년)_PULL  LIST-1 (2004년)_PULL  LIST-1 (2004년)_Book1_PULL  LIST-1 (2005년)_PULL  LIST-1 (2006년)_PULL  LIST-1 (2006년)_PULL  LIST-1 (2006년)" xfId="201"/>
    <cellStyle name="@_9월-12월_9월-12월_9월-12월_1월-4월_PULL  LIST-1 (2004년)_PULL  LIST-1 (2004년)_PULL  LIST-1 (2004년)_Book1_PULL  LIST-1 (2005년)_PULL  LIST-1 (2006년)_PULL  LIST-1 (2006년)_PULL  LIST-1 (2006년)_ PULL  LIST-1 (2007년)" xfId="202"/>
    <cellStyle name="@_9월-12월_9월-12월_9월-12월_1월-4월_PULL  LIST-1 (2004년)_PULL  LIST-1 (2004년)_PULL  LIST-1 (2004년)_Book1_PULL  LIST-1 (2005년)_원가인하9월30일" xfId="203"/>
    <cellStyle name="@_9월-12월_9월-12월_9월-12월_1월-4월_PULL  LIST-1 (2004년)_PULL  LIST-1 (2004년)_PULL  LIST-1 (2004년)_Book1_PULL  LIST-1 (2005년)_원가인하9월30일_ PULL  LIST-1 (2007년)" xfId="204"/>
    <cellStyle name="@_9월-12월_9월-12월_9월-12월_1월-4월_PULL  LIST-1 (2004년)_PULL  LIST-1 (2004년)_PULL  LIST-1 (2004년)_Book1_PULL  LIST-1 (2005년)_원가인하9월30일_PULL  LIST-1 (2006년)" xfId="205"/>
    <cellStyle name="@_9월-12월_9월-12월_9월-12월_1월-4월_PULL  LIST-1 (2004년)_PULL  LIST-1 (2004년)_PULL  LIST-1 (2004년)_Book1_PULL  LIST-1 (2005년)_원가인하9월30일_PULL  LIST-1 (2006년)_PULL  LIST-1 (2006년)" xfId="206"/>
    <cellStyle name="@_9월-12월_9월-12월_9월-12월_1월-4월_PULL  LIST-1 (2004년)_PULL  LIST-1 (2004년)_PULL  LIST-1 (2004년)_Book1_PULL  LIST-1 (2005년)_원가인하9월30일_PULL  LIST-1 (2006년)_PULL  LIST-1 (2006년)_ PULL  LIST-1 (2007년)" xfId="207"/>
    <cellStyle name="@_9월-12월_9월-12월_9월-12월_1월-4월_PULL  LIST-1 (2004년)_PULL  LIST-1 (2004년)_PULL  LIST-1 (2004년)_Book1_PULL  LIST-1 (2006년)" xfId="208"/>
    <cellStyle name="@_9월-12월_9월-12월_9월-12월_1월-4월_PULL  LIST-1 (2004년)_PULL  LIST-1 (2004년)_PULL  LIST-1 (2004년)_Book1_PULL  LIST-1 (2006년)_PULL  LIST-1 (2006년)" xfId="209"/>
    <cellStyle name="@_9월-12월_9월-12월_9월-12월_1월-4월_PULL  LIST-1 (2004년)_PULL  LIST-1 (2004년)_PULL  LIST-1 (2004년)_Book1_PULL  LIST-1 (2006년)_PULL  LIST-1 (2006년)_ PULL  LIST-1 (2007년)" xfId="210"/>
    <cellStyle name="@_9월-12월_9월-12월_9월-12월_1월-4월_PULL  LIST-1 (2004년)_PULL  LIST-1 (2004년)_PULL  LIST-1 (2004년)_PULL  LIST-1 (2005년)" xfId="211"/>
    <cellStyle name="@_9월-12월_9월-12월_9월-12월_1월-4월_PULL  LIST-1 (2004년)_PULL  LIST-1 (2004년)_PULL  LIST-1 (2004년)_PULL  LIST-1 (2005년)_ PULL  LIST-1 (2007년)" xfId="212"/>
    <cellStyle name="@_9월-12월_9월-12월_9월-12월_1월-4월_PULL  LIST-1 (2004년)_PULL  LIST-1 (2004년)_PULL  LIST-1 (2004년)_PULL  LIST-1 (2005년)_PULL  LIST-1 (2006년)" xfId="213"/>
    <cellStyle name="@_9월-12월_9월-12월_9월-12월_1월-4월_PULL  LIST-1 (2004년)_PULL  LIST-1 (2004년)_PULL  LIST-1 (2004년)_PULL  LIST-1 (2005년)_PULL  LIST-1 (2006년)_PULL  LIST-1 (2006년)" xfId="214"/>
    <cellStyle name="@_9월-12월_9월-12월_9월-12월_1월-4월_PULL  LIST-1 (2004년)_PULL  LIST-1 (2004년)_PULL  LIST-1 (2004년)_PULL  LIST-1 (2005년)_PULL  LIST-1 (2006년)_PULL  LIST-1 (2006년)_ PULL  LIST-1 (2007년)" xfId="215"/>
    <cellStyle name="@_9월-12월_9월-12월_9월-12월_1월-4월_PULL  LIST-1 (2004년)_PULL  LIST-1 (2004년)_PULL  LIST-1 (2004년)_PULL  LIST-1 (2006년)" xfId="216"/>
    <cellStyle name="@_9월-12월_9월-12월_9월-12월_1월-4월_PULL  LIST-1 (2004년)_PULL  LIST-1 (2004년)_PULL  LIST-1 (2004년)_PULL  LIST-1 (2006년)_ PULL  LIST-1 (2007년)" xfId="217"/>
    <cellStyle name="@_9월-12월_9월-12월_9월-12월_1월-4월_PULL  LIST-1 (2004년)_PULL  LIST-1 (2004년)_PULL  LIST-1 (2004년)_PULL  LIST-1 (2006년)_PULL  LIST-1 (2006년)" xfId="218"/>
    <cellStyle name="@_9월-12월_9월-12월_9월-12월_1월-4월_PULL  LIST-1 (2004년)_PULL  LIST-1 (2004년)_PULL  LIST-1 (2004년)_PULL  LIST-1 (2006년)_PULL  LIST-1 (2006년)_PULL  LIST-1 (2006년)" xfId="219"/>
    <cellStyle name="@_9월-12월_9월-12월_9월-12월_1월-4월_PULL  LIST-1 (2004년)_PULL  LIST-1 (2004년)_PULL  LIST-1 (2004년)_PULL  LIST-1 (2006년)_PULL  LIST-1 (2006년)_PULL  LIST-1 (2006년)_ PULL  LIST-1 (2007년)" xfId="220"/>
    <cellStyle name="@_9월-12월_9월-12월_9월-12월_1월-4월_PULL  LIST-1 (2004년)_PULL  LIST-1 (2004년)_PULL  LIST-1 (2004년)_원가인하9월30일" xfId="221"/>
    <cellStyle name="@_9월-12월_9월-12월_9월-12월_1월-4월_PULL  LIST-1 (2004년)_PULL  LIST-1 (2004년)_PULL  LIST-1 (2004년)_원가인하9월30일_ PULL  LIST-1 (2007년)" xfId="222"/>
    <cellStyle name="@_9월-12월_9월-12월_9월-12월_1월-4월_PULL  LIST-1 (2004년)_PULL  LIST-1 (2004년)_PULL  LIST-1 (2004년)_원가인하9월30일_PULL  LIST-1 (2006년)" xfId="223"/>
    <cellStyle name="@_9월-12월_9월-12월_9월-12월_1월-4월_PULL  LIST-1 (2004년)_PULL  LIST-1 (2004년)_PULL  LIST-1 (2004년)_원가인하9월30일_PULL  LIST-1 (2006년)_PULL  LIST-1 (2006년)" xfId="224"/>
    <cellStyle name="@_9월-12월_9월-12월_9월-12월_1월-4월_PULL  LIST-1 (2004년)_PULL  LIST-1 (2004년)_PULL  LIST-1 (2004년)_원가인하9월30일_PULL  LIST-1 (2006년)_PULL  LIST-1 (2006년)_ PULL  LIST-1 (2007년)" xfId="225"/>
    <cellStyle name="@_9월-12월_9월-12월_9월-12월_1월-4월_PULL  LIST-1 (2004년)_PULL  LIST-1 (2004년)_PULL  LIST-1 (2005년)" xfId="226"/>
    <cellStyle name="@_9월-12월_9월-12월_9월-12월_1월-4월_PULL  LIST-1 (2004년)_PULL  LIST-1 (2004년)_PULL  LIST-1 (2005년)_PULL  LIST-1 (2005년)" xfId="227"/>
    <cellStyle name="@_9월-12월_9월-12월_9월-12월_1월-4월_PULL  LIST-1 (2004년)_PULL  LIST-1 (2004년)_PULL  LIST-1 (2005년)_PULL  LIST-1 (2005년)_ PULL  LIST-1 (2007년)" xfId="228"/>
    <cellStyle name="@_9월-12월_9월-12월_9월-12월_1월-4월_PULL  LIST-1 (2004년)_PULL  LIST-1 (2004년)_PULL  LIST-1 (2005년)_PULL  LIST-1 (2005년)_PULL  LIST-1 (2006년)" xfId="229"/>
    <cellStyle name="@_9월-12월_9월-12월_9월-12월_1월-4월_PULL  LIST-1 (2004년)_PULL  LIST-1 (2004년)_PULL  LIST-1 (2005년)_PULL  LIST-1 (2005년)_PULL  LIST-1 (2006년)_PULL  LIST-1 (2006년)" xfId="230"/>
    <cellStyle name="@_9월-12월_9월-12월_9월-12월_1월-4월_PULL  LIST-1 (2004년)_PULL  LIST-1 (2004년)_PULL  LIST-1 (2005년)_PULL  LIST-1 (2005년)_PULL  LIST-1 (2006년)_PULL  LIST-1 (2006년)_ PULL  LIST-1 (2007년)" xfId="231"/>
    <cellStyle name="@_9월-12월_9월-12월_9월-12월_1월-4월_PULL  LIST-1 (2004년)_PULL  LIST-1 (2004년)_PULL  LIST-1 (2005년)_PULL  LIST-1 (2006년)" xfId="232"/>
    <cellStyle name="@_9월-12월_9월-12월_9월-12월_1월-4월_PULL  LIST-1 (2004년)_PULL  LIST-1 (2004년)_PULL  LIST-1 (2005년)_PULL  LIST-1 (2006년)_ PULL  LIST-1 (2007년)" xfId="233"/>
    <cellStyle name="@_9월-12월_9월-12월_9월-12월_1월-4월_PULL  LIST-1 (2004년)_PULL  LIST-1 (2004년)_PULL  LIST-1 (2005년)_PULL  LIST-1 (2006년)_PULL  LIST-1 (2006년)" xfId="234"/>
    <cellStyle name="@_9월-12월_9월-12월_9월-12월_1월-4월_PULL  LIST-1 (2004년)_PULL  LIST-1 (2004년)_PULL  LIST-1 (2005년)_PULL  LIST-1 (2006년)_PULL  LIST-1 (2006년)_PULL  LIST-1 (2006년)" xfId="235"/>
    <cellStyle name="@_9월-12월_9월-12월_9월-12월_1월-4월_PULL  LIST-1 (2004년)_PULL  LIST-1 (2004년)_PULL  LIST-1 (2005년)_PULL  LIST-1 (2006년)_PULL  LIST-1 (2006년)_PULL  LIST-1 (2006년)_ PULL  LIST-1 (2007년)" xfId="236"/>
    <cellStyle name="@_9월-12월_9월-12월_9월-12월_1월-4월_PULL  LIST-1 (2004년)_PULL  LIST-1 (2004년)_PULL  LIST-1 (2005년)_원가인하9월30일" xfId="237"/>
    <cellStyle name="@_9월-12월_9월-12월_9월-12월_1월-4월_PULL  LIST-1 (2004년)_PULL  LIST-1 (2004년)_PULL  LIST-1 (2005년)_원가인하9월30일_ PULL  LIST-1 (2007년)" xfId="238"/>
    <cellStyle name="@_9월-12월_9월-12월_9월-12월_1월-4월_PULL  LIST-1 (2004년)_PULL  LIST-1 (2004년)_PULL  LIST-1 (2005년)_원가인하9월30일_PULL  LIST-1 (2006년)" xfId="239"/>
    <cellStyle name="@_9월-12월_9월-12월_9월-12월_1월-4월_PULL  LIST-1 (2004년)_PULL  LIST-1 (2004년)_PULL  LIST-1 (2005년)_원가인하9월30일_PULL  LIST-1 (2006년)_PULL  LIST-1 (2006년)" xfId="240"/>
    <cellStyle name="@_9월-12월_9월-12월_9월-12월_1월-4월_PULL  LIST-1 (2004년)_PULL  LIST-1 (2004년)_PULL  LIST-1 (2005년)_원가인하9월30일_PULL  LIST-1 (2006년)_PULL  LIST-1 (2006년)_ PULL  LIST-1 (2007년)" xfId="241"/>
    <cellStyle name="@_9월-12월_9월-12월_9월-12월_1월-4월_PULL  LIST-1 (2004년)_PULL  LIST-1 (2004년)_PULL  LIST-1 (2006년)" xfId="242"/>
    <cellStyle name="@_9월-12월_9월-12월_9월-12월_1월-4월_PULL  LIST-1 (2004년)_PULL  LIST-1 (2004년)_PULL  LIST-1 (2006년)_PULL  LIST-1 (2006년)" xfId="243"/>
    <cellStyle name="@_9월-12월_9월-12월_9월-12월_1월-4월_PULL  LIST-1 (2004년)_PULL  LIST-1 (2004년)_PULL  LIST-1 (2006년)_PULL  LIST-1 (2006년)_ PULL  LIST-1 (2007년)" xfId="244"/>
    <cellStyle name="@_9월-12월_9월-12월_9월-12월_1월-4월_PULL  LIST-1 (2004년)_PULL  LIST-1 (2005년)" xfId="245"/>
    <cellStyle name="@_9월-12월_9월-12월_9월-12월_1월-4월_PULL  LIST-1 (2004년)_PULL  LIST-1 (2005년)_ PULL  LIST-1 (2007년)" xfId="246"/>
    <cellStyle name="@_9월-12월_9월-12월_9월-12월_1월-4월_PULL  LIST-1 (2004년)_PULL  LIST-1 (2005년)_PULL  LIST-1 (2006년)" xfId="247"/>
    <cellStyle name="@_9월-12월_9월-12월_9월-12월_1월-4월_PULL  LIST-1 (2004년)_PULL  LIST-1 (2005년)_PULL  LIST-1 (2006년)_PULL  LIST-1 (2006년)" xfId="248"/>
    <cellStyle name="@_9월-12월_9월-12월_9월-12월_1월-4월_PULL  LIST-1 (2004년)_PULL  LIST-1 (2005년)_PULL  LIST-1 (2006년)_PULL  LIST-1 (2006년)_ PULL  LIST-1 (2007년)" xfId="249"/>
    <cellStyle name="@_9월-12월_9월-12월_9월-12월_1월-4월_PULL  LIST-1 (2004년)_PULL  LIST-1 (2006년)" xfId="250"/>
    <cellStyle name="@_9월-12월_9월-12월_9월-12월_1월-4월_PULL  LIST-1 (2004년)_PULL  LIST-1 (2006년)_ PULL  LIST-1 (2007년)" xfId="251"/>
    <cellStyle name="@_9월-12월_9월-12월_9월-12월_1월-4월_PULL  LIST-1 (2004년)_PULL  LIST-1 (2006년)_PULL  LIST-1 (2006년)" xfId="252"/>
    <cellStyle name="@_9월-12월_9월-12월_9월-12월_1월-4월_PULL  LIST-1 (2004년)_PULL  LIST-1 (2006년)_PULL  LIST-1 (2006년)_PULL  LIST-1 (2006년)" xfId="253"/>
    <cellStyle name="@_9월-12월_9월-12월_9월-12월_1월-4월_PULL  LIST-1 (2004년)_PULL  LIST-1 (2006년)_PULL  LIST-1 (2006년)_PULL  LIST-1 (2006년)_ PULL  LIST-1 (2007년)" xfId="254"/>
    <cellStyle name="@_9월-12월_9월-12월_9월-12월_1월-4월_PULL  LIST-1 (2004년)_원가인하9월30일" xfId="255"/>
    <cellStyle name="@_9월-12월_9월-12월_9월-12월_1월-4월_PULL  LIST-1 (2004년)_원가인하9월30일_ PULL  LIST-1 (2007년)" xfId="256"/>
    <cellStyle name="@_9월-12월_9월-12월_9월-12월_1월-4월_PULL  LIST-1 (2004년)_원가인하9월30일_PULL  LIST-1 (2006년)" xfId="257"/>
    <cellStyle name="@_9월-12월_9월-12월_9월-12월_1월-4월_PULL  LIST-1 (2004년)_원가인하9월30일_PULL  LIST-1 (2006년)_PULL  LIST-1 (2006년)" xfId="258"/>
    <cellStyle name="@_9월-12월_9월-12월_9월-12월_1월-4월_PULL  LIST-1 (2004년)_원가인하9월30일_PULL  LIST-1 (2006년)_PULL  LIST-1 (2006년)_ PULL  LIST-1 (2007년)" xfId="259"/>
    <cellStyle name="@_9월-12월_9월-12월_9월-12월_1월-4월_PULL  LIST-1 (2005년)" xfId="260"/>
    <cellStyle name="@_9월-12월_9월-12월_9월-12월_1월-4월_PULL  LIST-1 (2005년)_PULL  LIST-1 (2005년)" xfId="261"/>
    <cellStyle name="@_9월-12월_9월-12월_9월-12월_1월-4월_PULL  LIST-1 (2005년)_PULL  LIST-1 (2005년)_ PULL  LIST-1 (2007년)" xfId="262"/>
    <cellStyle name="@_9월-12월_9월-12월_9월-12월_1월-4월_PULL  LIST-1 (2005년)_PULL  LIST-1 (2005년)_PULL  LIST-1 (2006년)" xfId="263"/>
    <cellStyle name="@_9월-12월_9월-12월_9월-12월_1월-4월_PULL  LIST-1 (2005년)_PULL  LIST-1 (2005년)_PULL  LIST-1 (2006년)_PULL  LIST-1 (2006년)" xfId="264"/>
    <cellStyle name="@_9월-12월_9월-12월_9월-12월_1월-4월_PULL  LIST-1 (2005년)_PULL  LIST-1 (2005년)_PULL  LIST-1 (2006년)_PULL  LIST-1 (2006년)_ PULL  LIST-1 (2007년)" xfId="265"/>
    <cellStyle name="@_9월-12월_9월-12월_9월-12월_1월-4월_PULL  LIST-1 (2005년)_PULL  LIST-1 (2006년)" xfId="266"/>
    <cellStyle name="@_9월-12월_9월-12월_9월-12월_1월-4월_PULL  LIST-1 (2005년)_PULL  LIST-1 (2006년)_ PULL  LIST-1 (2007년)" xfId="267"/>
    <cellStyle name="@_9월-12월_9월-12월_9월-12월_1월-4월_PULL  LIST-1 (2005년)_PULL  LIST-1 (2006년)_PULL  LIST-1 (2006년)" xfId="268"/>
    <cellStyle name="@_9월-12월_9월-12월_9월-12월_1월-4월_PULL  LIST-1 (2005년)_PULL  LIST-1 (2006년)_PULL  LIST-1 (2006년)_PULL  LIST-1 (2006년)" xfId="269"/>
    <cellStyle name="@_9월-12월_9월-12월_9월-12월_1월-4월_PULL  LIST-1 (2005년)_PULL  LIST-1 (2006년)_PULL  LIST-1 (2006년)_PULL  LIST-1 (2006년)_ PULL  LIST-1 (2007년)" xfId="270"/>
    <cellStyle name="@_9월-12월_9월-12월_9월-12월_1월-4월_PULL  LIST-1 (2005년)_원가인하9월30일" xfId="271"/>
    <cellStyle name="@_9월-12월_9월-12월_9월-12월_1월-4월_PULL  LIST-1 (2005년)_원가인하9월30일_ PULL  LIST-1 (2007년)" xfId="272"/>
    <cellStyle name="@_9월-12월_9월-12월_9월-12월_1월-4월_PULL  LIST-1 (2005년)_원가인하9월30일_PULL  LIST-1 (2006년)" xfId="273"/>
    <cellStyle name="@_9월-12월_9월-12월_9월-12월_1월-4월_PULL  LIST-1 (2005년)_원가인하9월30일_PULL  LIST-1 (2006년)_PULL  LIST-1 (2006년)" xfId="274"/>
    <cellStyle name="@_9월-12월_9월-12월_9월-12월_1월-4월_PULL  LIST-1 (2005년)_원가인하9월30일_PULL  LIST-1 (2006년)_PULL  LIST-1 (2006년)_ PULL  LIST-1 (2007년)" xfId="275"/>
    <cellStyle name="@_9월-12월_9월-12월_9월-12월_1월-4월_PULL  LIST-1 (2006년)" xfId="276"/>
    <cellStyle name="@_9월-12월_9월-12월_9월-12월_1월-4월_PULL  LIST-1 (2006년)_PULL  LIST-1 (2006년)" xfId="277"/>
    <cellStyle name="@_9월-12월_9월-12월_9월-12월_1월-4월_PULL  LIST-1 (2006년)_PULL  LIST-1 (2006년)_ PULL  LIST-1 (2007년)" xfId="278"/>
    <cellStyle name="@_9월-12월_9월-12월_9월-12월_9월-12월" xfId="279"/>
    <cellStyle name="@_9월-12월_9월-12월_9월-12월_9월-12월_ PULL  LIST-1 (2007년)" xfId="280"/>
    <cellStyle name="@_9월-12월_9월-12월_9월-12월_9월-12월_PULL  LIST-1 (2004년)" xfId="281"/>
    <cellStyle name="@_9월-12월_9월-12월_9월-12월_9월-12월_PULL  LIST-1 (2004년)_Book1" xfId="282"/>
    <cellStyle name="@_9월-12월_9월-12월_9월-12월_9월-12월_PULL  LIST-1 (2004년)_Book1_ PULL  LIST-1 (2007년)" xfId="283"/>
    <cellStyle name="@_9월-12월_9월-12월_9월-12월_9월-12월_PULL  LIST-1 (2004년)_Book1_PULL  LIST-1 (2005년)" xfId="284"/>
    <cellStyle name="@_9월-12월_9월-12월_9월-12월_9월-12월_PULL  LIST-1 (2004년)_Book1_PULL  LIST-1 (2005년)_PULL  LIST-1 (2005년)" xfId="285"/>
    <cellStyle name="@_9월-12월_9월-12월_9월-12월_9월-12월_PULL  LIST-1 (2004년)_Book1_PULL  LIST-1 (2005년)_PULL  LIST-1 (2005년)_ PULL  LIST-1 (2007년)" xfId="286"/>
    <cellStyle name="@_9월-12월_9월-12월_9월-12월_9월-12월_PULL  LIST-1 (2004년)_Book1_PULL  LIST-1 (2005년)_PULL  LIST-1 (2005년)_PULL  LIST-1 (2006년)" xfId="287"/>
    <cellStyle name="@_9월-12월_9월-12월_9월-12월_9월-12월_PULL  LIST-1 (2004년)_Book1_PULL  LIST-1 (2005년)_PULL  LIST-1 (2005년)_PULL  LIST-1 (2006년)_PULL  LIST-1 (2006년)" xfId="288"/>
    <cellStyle name="@_9월-12월_9월-12월_9월-12월_9월-12월_PULL  LIST-1 (2004년)_Book1_PULL  LIST-1 (2005년)_PULL  LIST-1 (2005년)_PULL  LIST-1 (2006년)_PULL  LIST-1 (2006년)_ PULL  LIST-1 (2007년)" xfId="289"/>
    <cellStyle name="@_9월-12월_9월-12월_9월-12월_9월-12월_PULL  LIST-1 (2004년)_Book1_PULL  LIST-1 (2005년)_PULL  LIST-1 (2006년)" xfId="290"/>
    <cellStyle name="@_9월-12월_9월-12월_9월-12월_9월-12월_PULL  LIST-1 (2004년)_Book1_PULL  LIST-1 (2005년)_PULL  LIST-1 (2006년)_ PULL  LIST-1 (2007년)" xfId="291"/>
    <cellStyle name="@_9월-12월_9월-12월_9월-12월_9월-12월_PULL  LIST-1 (2004년)_Book1_PULL  LIST-1 (2005년)_PULL  LIST-1 (2006년)_PULL  LIST-1 (2006년)" xfId="292"/>
    <cellStyle name="@_9월-12월_9월-12월_9월-12월_9월-12월_PULL  LIST-1 (2004년)_Book1_PULL  LIST-1 (2005년)_PULL  LIST-1 (2006년)_PULL  LIST-1 (2006년)_PULL  LIST-1 (2006년)" xfId="293"/>
    <cellStyle name="@_9월-12월_9월-12월_9월-12월_9월-12월_PULL  LIST-1 (2004년)_Book1_PULL  LIST-1 (2005년)_PULL  LIST-1 (2006년)_PULL  LIST-1 (2006년)_PULL  LIST-1 (2006년)_ PULL  LIST-1 (2007년)" xfId="294"/>
    <cellStyle name="@_9월-12월_9월-12월_9월-12월_9월-12월_PULL  LIST-1 (2004년)_Book1_PULL  LIST-1 (2005년)_원가인하9월30일" xfId="295"/>
    <cellStyle name="@_9월-12월_9월-12월_9월-12월_9월-12월_PULL  LIST-1 (2004년)_Book1_PULL  LIST-1 (2005년)_원가인하9월30일_ PULL  LIST-1 (2007년)" xfId="296"/>
    <cellStyle name="@_9월-12월_9월-12월_9월-12월_9월-12월_PULL  LIST-1 (2004년)_Book1_PULL  LIST-1 (2005년)_원가인하9월30일_PULL  LIST-1 (2006년)" xfId="297"/>
    <cellStyle name="@_9월-12월_9월-12월_9월-12월_9월-12월_PULL  LIST-1 (2004년)_Book1_PULL  LIST-1 (2005년)_원가인하9월30일_PULL  LIST-1 (2006년)_PULL  LIST-1 (2006년)" xfId="298"/>
    <cellStyle name="@_9월-12월_9월-12월_9월-12월_9월-12월_PULL  LIST-1 (2004년)_Book1_PULL  LIST-1 (2005년)_원가인하9월30일_PULL  LIST-1 (2006년)_PULL  LIST-1 (2006년)_ PULL  LIST-1 (2007년)" xfId="299"/>
    <cellStyle name="@_9월-12월_9월-12월_9월-12월_9월-12월_PULL  LIST-1 (2004년)_Book1_PULL  LIST-1 (2006년)" xfId="300"/>
    <cellStyle name="@_9월-12월_9월-12월_9월-12월_9월-12월_PULL  LIST-1 (2004년)_Book1_PULL  LIST-1 (2006년)_PULL  LIST-1 (2006년)" xfId="301"/>
    <cellStyle name="@_9월-12월_9월-12월_9월-12월_9월-12월_PULL  LIST-1 (2004년)_Book1_PULL  LIST-1 (2006년)_PULL  LIST-1 (2006년)_ PULL  LIST-1 (2007년)" xfId="302"/>
    <cellStyle name="@_9월-12월_9월-12월_9월-12월_9월-12월_PULL  LIST-1 (2004년)_PULL  LIST-1 (2004년)" xfId="303"/>
    <cellStyle name="@_9월-12월_9월-12월_9월-12월_9월-12월_PULL  LIST-1 (2004년)_PULL  LIST-1 (2004년)_ PULL  LIST-1 (2007년)" xfId="304"/>
    <cellStyle name="@_9월-12월_9월-12월_9월-12월_9월-12월_PULL  LIST-1 (2004년)_PULL  LIST-1 (2004년)_PULL  LIST-1 (2004년)" xfId="305"/>
    <cellStyle name="@_9월-12월_9월-12월_9월-12월_9월-12월_PULL  LIST-1 (2004년)_PULL  LIST-1 (2004년)_PULL  LIST-1 (2004년)_Book1" xfId="306"/>
    <cellStyle name="@_9월-12월_9월-12월_9월-12월_9월-12월_PULL  LIST-1 (2004년)_PULL  LIST-1 (2004년)_PULL  LIST-1 (2004년)_Book1_ PULL  LIST-1 (2007년)" xfId="307"/>
    <cellStyle name="@_9월-12월_9월-12월_9월-12월_9월-12월_PULL  LIST-1 (2004년)_PULL  LIST-1 (2004년)_PULL  LIST-1 (2004년)_Book1_PULL  LIST-1 (2005년)" xfId="308"/>
    <cellStyle name="@_9월-12월_9월-12월_9월-12월_9월-12월_PULL  LIST-1 (2004년)_PULL  LIST-1 (2004년)_PULL  LIST-1 (2004년)_Book1_PULL  LIST-1 (2005년)_PULL  LIST-1 (2005년)" xfId="309"/>
    <cellStyle name="@_9월-12월_9월-12월_9월-12월_9월-12월_PULL  LIST-1 (2004년)_PULL  LIST-1 (2004년)_PULL  LIST-1 (2004년)_Book1_PULL  LIST-1 (2005년)_PULL  LIST-1 (2005년)_ PULL  LIST-1 (2007년)" xfId="310"/>
    <cellStyle name="@_9월-12월_9월-12월_9월-12월_9월-12월_PULL  LIST-1 (2004년)_PULL  LIST-1 (2004년)_PULL  LIST-1 (2004년)_Book1_PULL  LIST-1 (2005년)_PULL  LIST-1 (2005년)_PULL  LIST-1 (2006년)" xfId="311"/>
    <cellStyle name="@_9월-12월_9월-12월_9월-12월_9월-12월_PULL  LIST-1 (2004년)_PULL  LIST-1 (2004년)_PULL  LIST-1 (2004년)_Book1_PULL  LIST-1 (2005년)_PULL  LIST-1 (2005년)_PULL  LIST-1 (2006년)_PULL  LIST-1 (2006년)" xfId="312"/>
    <cellStyle name="@_9월-12월_9월-12월_9월-12월_9월-12월_PULL  LIST-1 (2004년)_PULL  LIST-1 (2004년)_PULL  LIST-1 (2004년)_Book1_PULL  LIST-1 (2005년)_PULL  LIST-1 (2005년)_PULL  LIST-1 (2006년)_PULL  LIST-1 (2006년)_ PULL  LIST-1 (2007년)" xfId="313"/>
    <cellStyle name="@_9월-12월_9월-12월_9월-12월_9월-12월_PULL  LIST-1 (2004년)_PULL  LIST-1 (2004년)_PULL  LIST-1 (2004년)_Book1_PULL  LIST-1 (2005년)_PULL  LIST-1 (2006년)" xfId="314"/>
    <cellStyle name="@_9월-12월_9월-12월_9월-12월_9월-12월_PULL  LIST-1 (2004년)_PULL  LIST-1 (2004년)_PULL  LIST-1 (2004년)_Book1_PULL  LIST-1 (2005년)_PULL  LIST-1 (2006년)_ PULL  LIST-1 (2007년)" xfId="315"/>
    <cellStyle name="@_9월-12월_9월-12월_9월-12월_9월-12월_PULL  LIST-1 (2004년)_PULL  LIST-1 (2004년)_PULL  LIST-1 (2004년)_Book1_PULL  LIST-1 (2005년)_PULL  LIST-1 (2006년)_PULL  LIST-1 (2006년)" xfId="316"/>
    <cellStyle name="@_9월-12월_9월-12월_9월-12월_9월-12월_PULL  LIST-1 (2004년)_PULL  LIST-1 (2004년)_PULL  LIST-1 (2004년)_Book1_PULL  LIST-1 (2005년)_PULL  LIST-1 (2006년)_PULL  LIST-1 (2006년)_PULL  LIST-1 (2006년)" xfId="317"/>
    <cellStyle name="@_9월-12월_9월-12월_9월-12월_9월-12월_PULL  LIST-1 (2004년)_PULL  LIST-1 (2004년)_PULL  LIST-1 (2004년)_Book1_PULL  LIST-1 (2005년)_PULL  LIST-1 (2006년)_PULL  LIST-1 (2006년)_PULL  LIST-1 (2006년)_ PULL  LIST-1 (2007년)" xfId="318"/>
    <cellStyle name="@_9월-12월_9월-12월_9월-12월_9월-12월_PULL  LIST-1 (2004년)_PULL  LIST-1 (2004년)_PULL  LIST-1 (2004년)_Book1_PULL  LIST-1 (2005년)_원가인하9월30일" xfId="319"/>
    <cellStyle name="@_9월-12월_9월-12월_9월-12월_9월-12월_PULL  LIST-1 (2004년)_PULL  LIST-1 (2004년)_PULL  LIST-1 (2004년)_Book1_PULL  LIST-1 (2005년)_원가인하9월30일_ PULL  LIST-1 (2007년)" xfId="320"/>
    <cellStyle name="@_9월-12월_9월-12월_9월-12월_9월-12월_PULL  LIST-1 (2004년)_PULL  LIST-1 (2004년)_PULL  LIST-1 (2004년)_Book1_PULL  LIST-1 (2005년)_원가인하9월30일_PULL  LIST-1 (2006년)" xfId="321"/>
    <cellStyle name="@_9월-12월_9월-12월_9월-12월_9월-12월_PULL  LIST-1 (2004년)_PULL  LIST-1 (2004년)_PULL  LIST-1 (2004년)_Book1_PULL  LIST-1 (2005년)_원가인하9월30일_PULL  LIST-1 (2006년)_PULL  LIST-1 (2006년)" xfId="322"/>
    <cellStyle name="@_9월-12월_9월-12월_9월-12월_9월-12월_PULL  LIST-1 (2004년)_PULL  LIST-1 (2004년)_PULL  LIST-1 (2004년)_Book1_PULL  LIST-1 (2005년)_원가인하9월30일_PULL  LIST-1 (2006년)_PULL  LIST-1 (2006년)_ PULL  LIST-1 (2007년)" xfId="323"/>
    <cellStyle name="@_9월-12월_9월-12월_9월-12월_9월-12월_PULL  LIST-1 (2004년)_PULL  LIST-1 (2004년)_PULL  LIST-1 (2004년)_Book1_PULL  LIST-1 (2006년)" xfId="324"/>
    <cellStyle name="@_9월-12월_9월-12월_9월-12월_9월-12월_PULL  LIST-1 (2004년)_PULL  LIST-1 (2004년)_PULL  LIST-1 (2004년)_Book1_PULL  LIST-1 (2006년)_PULL  LIST-1 (2006년)" xfId="325"/>
    <cellStyle name="@_9월-12월_9월-12월_9월-12월_9월-12월_PULL  LIST-1 (2004년)_PULL  LIST-1 (2004년)_PULL  LIST-1 (2004년)_Book1_PULL  LIST-1 (2006년)_PULL  LIST-1 (2006년)_ PULL  LIST-1 (2007년)" xfId="326"/>
    <cellStyle name="@_9월-12월_9월-12월_9월-12월_9월-12월_PULL  LIST-1 (2004년)_PULL  LIST-1 (2004년)_PULL  LIST-1 (2004년)_PULL  LIST-1 (2005년)" xfId="327"/>
    <cellStyle name="@_9월-12월_9월-12월_9월-12월_9월-12월_PULL  LIST-1 (2004년)_PULL  LIST-1 (2004년)_PULL  LIST-1 (2004년)_PULL  LIST-1 (2005년)_ PULL  LIST-1 (2007년)" xfId="328"/>
    <cellStyle name="@_9월-12월_9월-12월_9월-12월_9월-12월_PULL  LIST-1 (2004년)_PULL  LIST-1 (2004년)_PULL  LIST-1 (2004년)_PULL  LIST-1 (2005년)_PULL  LIST-1 (2006년)" xfId="329"/>
    <cellStyle name="@_9월-12월_9월-12월_9월-12월_9월-12월_PULL  LIST-1 (2004년)_PULL  LIST-1 (2004년)_PULL  LIST-1 (2004년)_PULL  LIST-1 (2005년)_PULL  LIST-1 (2006년)_PULL  LIST-1 (2006년)" xfId="330"/>
    <cellStyle name="@_9월-12월_9월-12월_9월-12월_9월-12월_PULL  LIST-1 (2004년)_PULL  LIST-1 (2004년)_PULL  LIST-1 (2004년)_PULL  LIST-1 (2005년)_PULL  LIST-1 (2006년)_PULL  LIST-1 (2006년)_ PULL  LIST-1 (2007년)" xfId="331"/>
    <cellStyle name="@_9월-12월_9월-12월_9월-12월_9월-12월_PULL  LIST-1 (2004년)_PULL  LIST-1 (2004년)_PULL  LIST-1 (2004년)_PULL  LIST-1 (2006년)" xfId="332"/>
    <cellStyle name="@_9월-12월_9월-12월_9월-12월_9월-12월_PULL  LIST-1 (2004년)_PULL  LIST-1 (2004년)_PULL  LIST-1 (2004년)_PULL  LIST-1 (2006년)_ PULL  LIST-1 (2007년)" xfId="333"/>
    <cellStyle name="@_9월-12월_9월-12월_9월-12월_9월-12월_PULL  LIST-1 (2004년)_PULL  LIST-1 (2004년)_PULL  LIST-1 (2004년)_PULL  LIST-1 (2006년)_PULL  LIST-1 (2006년)" xfId="334"/>
    <cellStyle name="@_9월-12월_9월-12월_9월-12월_9월-12월_PULL  LIST-1 (2004년)_PULL  LIST-1 (2004년)_PULL  LIST-1 (2004년)_PULL  LIST-1 (2006년)_PULL  LIST-1 (2006년)_PULL  LIST-1 (2006년)" xfId="335"/>
    <cellStyle name="@_9월-12월_9월-12월_9월-12월_9월-12월_PULL  LIST-1 (2004년)_PULL  LIST-1 (2004년)_PULL  LIST-1 (2004년)_PULL  LIST-1 (2006년)_PULL  LIST-1 (2006년)_PULL  LIST-1 (2006년)_ PULL  LIST-1 (2007년)" xfId="336"/>
    <cellStyle name="@_9월-12월_9월-12월_9월-12월_9월-12월_PULL  LIST-1 (2004년)_PULL  LIST-1 (2004년)_PULL  LIST-1 (2004년)_원가인하9월30일" xfId="337"/>
    <cellStyle name="@_9월-12월_9월-12월_9월-12월_9월-12월_PULL  LIST-1 (2004년)_PULL  LIST-1 (2004년)_PULL  LIST-1 (2004년)_원가인하9월30일_ PULL  LIST-1 (2007년)" xfId="338"/>
    <cellStyle name="@_9월-12월_9월-12월_9월-12월_9월-12월_PULL  LIST-1 (2004년)_PULL  LIST-1 (2004년)_PULL  LIST-1 (2004년)_원가인하9월30일_PULL  LIST-1 (2006년)" xfId="339"/>
    <cellStyle name="@_9월-12월_9월-12월_9월-12월_9월-12월_PULL  LIST-1 (2004년)_PULL  LIST-1 (2004년)_PULL  LIST-1 (2004년)_원가인하9월30일_PULL  LIST-1 (2006년)_PULL  LIST-1 (2006년)" xfId="340"/>
    <cellStyle name="@_9월-12월_9월-12월_9월-12월_9월-12월_PULL  LIST-1 (2004년)_PULL  LIST-1 (2004년)_PULL  LIST-1 (2004년)_원가인하9월30일_PULL  LIST-1 (2006년)_PULL  LIST-1 (2006년)_ PULL  LIST-1 (2007년)" xfId="341"/>
    <cellStyle name="@_9월-12월_9월-12월_9월-12월_9월-12월_PULL  LIST-1 (2004년)_PULL  LIST-1 (2004년)_PULL  LIST-1 (2005년)" xfId="342"/>
    <cellStyle name="@_9월-12월_9월-12월_9월-12월_9월-12월_PULL  LIST-1 (2004년)_PULL  LIST-1 (2004년)_PULL  LIST-1 (2005년)_PULL  LIST-1 (2005년)" xfId="343"/>
    <cellStyle name="@_9월-12월_9월-12월_9월-12월_9월-12월_PULL  LIST-1 (2004년)_PULL  LIST-1 (2004년)_PULL  LIST-1 (2005년)_PULL  LIST-1 (2005년)_ PULL  LIST-1 (2007년)" xfId="344"/>
    <cellStyle name="@_9월-12월_9월-12월_9월-12월_9월-12월_PULL  LIST-1 (2004년)_PULL  LIST-1 (2004년)_PULL  LIST-1 (2005년)_PULL  LIST-1 (2005년)_PULL  LIST-1 (2006년)" xfId="345"/>
    <cellStyle name="@_9월-12월_9월-12월_9월-12월_9월-12월_PULL  LIST-1 (2004년)_PULL  LIST-1 (2004년)_PULL  LIST-1 (2005년)_PULL  LIST-1 (2005년)_PULL  LIST-1 (2006년)_PULL  LIST-1 (2006년)" xfId="346"/>
    <cellStyle name="@_9월-12월_9월-12월_9월-12월_9월-12월_PULL  LIST-1 (2004년)_PULL  LIST-1 (2004년)_PULL  LIST-1 (2005년)_PULL  LIST-1 (2005년)_PULL  LIST-1 (2006년)_PULL  LIST-1 (2006년)_ PULL  LIST-1 (2007년)" xfId="347"/>
    <cellStyle name="@_9월-12월_9월-12월_9월-12월_9월-12월_PULL  LIST-1 (2004년)_PULL  LIST-1 (2004년)_PULL  LIST-1 (2005년)_PULL  LIST-1 (2006년)" xfId="348"/>
    <cellStyle name="@_9월-12월_9월-12월_9월-12월_9월-12월_PULL  LIST-1 (2004년)_PULL  LIST-1 (2004년)_PULL  LIST-1 (2005년)_PULL  LIST-1 (2006년)_ PULL  LIST-1 (2007년)" xfId="349"/>
    <cellStyle name="@_9월-12월_9월-12월_9월-12월_9월-12월_PULL  LIST-1 (2004년)_PULL  LIST-1 (2004년)_PULL  LIST-1 (2005년)_PULL  LIST-1 (2006년)_PULL  LIST-1 (2006년)" xfId="350"/>
    <cellStyle name="@_9월-12월_9월-12월_9월-12월_9월-12월_PULL  LIST-1 (2004년)_PULL  LIST-1 (2004년)_PULL  LIST-1 (2005년)_PULL  LIST-1 (2006년)_PULL  LIST-1 (2006년)_PULL  LIST-1 (2006년)" xfId="351"/>
    <cellStyle name="@_9월-12월_9월-12월_9월-12월_9월-12월_PULL  LIST-1 (2004년)_PULL  LIST-1 (2004년)_PULL  LIST-1 (2005년)_PULL  LIST-1 (2006년)_PULL  LIST-1 (2006년)_PULL  LIST-1 (2006년)_ PULL  LIST-1 (2007년)" xfId="352"/>
    <cellStyle name="@_9월-12월_9월-12월_9월-12월_9월-12월_PULL  LIST-1 (2004년)_PULL  LIST-1 (2004년)_PULL  LIST-1 (2005년)_원가인하9월30일" xfId="353"/>
    <cellStyle name="@_9월-12월_9월-12월_9월-12월_9월-12월_PULL  LIST-1 (2004년)_PULL  LIST-1 (2004년)_PULL  LIST-1 (2005년)_원가인하9월30일_ PULL  LIST-1 (2007년)" xfId="354"/>
    <cellStyle name="@_9월-12월_9월-12월_9월-12월_9월-12월_PULL  LIST-1 (2004년)_PULL  LIST-1 (2004년)_PULL  LIST-1 (2005년)_원가인하9월30일_PULL  LIST-1 (2006년)" xfId="355"/>
    <cellStyle name="@_9월-12월_9월-12월_9월-12월_9월-12월_PULL  LIST-1 (2004년)_PULL  LIST-1 (2004년)_PULL  LIST-1 (2005년)_원가인하9월30일_PULL  LIST-1 (2006년)_PULL  LIST-1 (2006년)" xfId="356"/>
    <cellStyle name="@_9월-12월_9월-12월_9월-12월_9월-12월_PULL  LIST-1 (2004년)_PULL  LIST-1 (2004년)_PULL  LIST-1 (2005년)_원가인하9월30일_PULL  LIST-1 (2006년)_PULL  LIST-1 (2006년)_ PULL  LIST-1 (2007년)" xfId="357"/>
    <cellStyle name="@_9월-12월_9월-12월_9월-12월_9월-12월_PULL  LIST-1 (2004년)_PULL  LIST-1 (2004년)_PULL  LIST-1 (2006년)" xfId="358"/>
    <cellStyle name="@_9월-12월_9월-12월_9월-12월_9월-12월_PULL  LIST-1 (2004년)_PULL  LIST-1 (2004년)_PULL  LIST-1 (2006년)_PULL  LIST-1 (2006년)" xfId="359"/>
    <cellStyle name="@_9월-12월_9월-12월_9월-12월_9월-12월_PULL  LIST-1 (2004년)_PULL  LIST-1 (2004년)_PULL  LIST-1 (2006년)_PULL  LIST-1 (2006년)_ PULL  LIST-1 (2007년)" xfId="360"/>
    <cellStyle name="@_9월-12월_9월-12월_9월-12월_9월-12월_PULL  LIST-1 (2004년)_PULL  LIST-1 (2005년)" xfId="361"/>
    <cellStyle name="@_9월-12월_9월-12월_9월-12월_9월-12월_PULL  LIST-1 (2004년)_PULL  LIST-1 (2005년)_ PULL  LIST-1 (2007년)" xfId="362"/>
    <cellStyle name="@_9월-12월_9월-12월_9월-12월_9월-12월_PULL  LIST-1 (2004년)_PULL  LIST-1 (2005년)_PULL  LIST-1 (2006년)" xfId="363"/>
    <cellStyle name="@_9월-12월_9월-12월_9월-12월_9월-12월_PULL  LIST-1 (2004년)_PULL  LIST-1 (2005년)_PULL  LIST-1 (2006년)_PULL  LIST-1 (2006년)" xfId="364"/>
    <cellStyle name="@_9월-12월_9월-12월_9월-12월_9월-12월_PULL  LIST-1 (2004년)_PULL  LIST-1 (2005년)_PULL  LIST-1 (2006년)_PULL  LIST-1 (2006년)_ PULL  LIST-1 (2007년)" xfId="365"/>
    <cellStyle name="@_9월-12월_9월-12월_9월-12월_9월-12월_PULL  LIST-1 (2004년)_PULL  LIST-1 (2006년)" xfId="366"/>
    <cellStyle name="@_9월-12월_9월-12월_9월-12월_9월-12월_PULL  LIST-1 (2004년)_PULL  LIST-1 (2006년)_ PULL  LIST-1 (2007년)" xfId="367"/>
    <cellStyle name="@_9월-12월_9월-12월_9월-12월_9월-12월_PULL  LIST-1 (2004년)_PULL  LIST-1 (2006년)_PULL  LIST-1 (2006년)" xfId="368"/>
    <cellStyle name="@_9월-12월_9월-12월_9월-12월_9월-12월_PULL  LIST-1 (2004년)_PULL  LIST-1 (2006년)_PULL  LIST-1 (2006년)_PULL  LIST-1 (2006년)" xfId="369"/>
    <cellStyle name="@_9월-12월_9월-12월_9월-12월_9월-12월_PULL  LIST-1 (2004년)_PULL  LIST-1 (2006년)_PULL  LIST-1 (2006년)_PULL  LIST-1 (2006년)_ PULL  LIST-1 (2007년)" xfId="370"/>
    <cellStyle name="@_9월-12월_9월-12월_9월-12월_9월-12월_PULL  LIST-1 (2004년)_원가인하9월30일" xfId="371"/>
    <cellStyle name="@_9월-12월_9월-12월_9월-12월_9월-12월_PULL  LIST-1 (2004년)_원가인하9월30일_ PULL  LIST-1 (2007년)" xfId="372"/>
    <cellStyle name="@_9월-12월_9월-12월_9월-12월_9월-12월_PULL  LIST-1 (2004년)_원가인하9월30일_PULL  LIST-1 (2006년)" xfId="373"/>
    <cellStyle name="@_9월-12월_9월-12월_9월-12월_9월-12월_PULL  LIST-1 (2004년)_원가인하9월30일_PULL  LIST-1 (2006년)_PULL  LIST-1 (2006년)" xfId="374"/>
    <cellStyle name="@_9월-12월_9월-12월_9월-12월_9월-12월_PULL  LIST-1 (2004년)_원가인하9월30일_PULL  LIST-1 (2006년)_PULL  LIST-1 (2006년)_ PULL  LIST-1 (2007년)" xfId="375"/>
    <cellStyle name="@_9월-12월_9월-12월_9월-12월_9월-12월_PULL  LIST-1 (2005년)" xfId="376"/>
    <cellStyle name="@_9월-12월_9월-12월_9월-12월_9월-12월_PULL  LIST-1 (2005년)_PULL  LIST-1 (2005년)" xfId="377"/>
    <cellStyle name="@_9월-12월_9월-12월_9월-12월_9월-12월_PULL  LIST-1 (2005년)_PULL  LIST-1 (2005년)_ PULL  LIST-1 (2007년)" xfId="378"/>
    <cellStyle name="@_9월-12월_9월-12월_9월-12월_9월-12월_PULL  LIST-1 (2005년)_PULL  LIST-1 (2005년)_PULL  LIST-1 (2006년)" xfId="379"/>
    <cellStyle name="@_9월-12월_9월-12월_9월-12월_9월-12월_PULL  LIST-1 (2005년)_PULL  LIST-1 (2005년)_PULL  LIST-1 (2006년)_PULL  LIST-1 (2006년)" xfId="380"/>
    <cellStyle name="@_9월-12월_9월-12월_9월-12월_9월-12월_PULL  LIST-1 (2005년)_PULL  LIST-1 (2005년)_PULL  LIST-1 (2006년)_PULL  LIST-1 (2006년)_ PULL  LIST-1 (2007년)" xfId="381"/>
    <cellStyle name="@_9월-12월_9월-12월_9월-12월_9월-12월_PULL  LIST-1 (2005년)_PULL  LIST-1 (2006년)" xfId="382"/>
    <cellStyle name="@_9월-12월_9월-12월_9월-12월_9월-12월_PULL  LIST-1 (2005년)_PULL  LIST-1 (2006년)_ PULL  LIST-1 (2007년)" xfId="383"/>
    <cellStyle name="@_9월-12월_9월-12월_9월-12월_9월-12월_PULL  LIST-1 (2005년)_PULL  LIST-1 (2006년)_PULL  LIST-1 (2006년)" xfId="384"/>
    <cellStyle name="@_9월-12월_9월-12월_9월-12월_9월-12월_PULL  LIST-1 (2005년)_PULL  LIST-1 (2006년)_PULL  LIST-1 (2006년)_PULL  LIST-1 (2006년)" xfId="385"/>
    <cellStyle name="@_9월-12월_9월-12월_9월-12월_9월-12월_PULL  LIST-1 (2005년)_PULL  LIST-1 (2006년)_PULL  LIST-1 (2006년)_PULL  LIST-1 (2006년)_ PULL  LIST-1 (2007년)" xfId="386"/>
    <cellStyle name="@_9월-12월_9월-12월_9월-12월_9월-12월_PULL  LIST-1 (2005년)_원가인하9월30일" xfId="387"/>
    <cellStyle name="@_9월-12월_9월-12월_9월-12월_9월-12월_PULL  LIST-1 (2005년)_원가인하9월30일_ PULL  LIST-1 (2007년)" xfId="388"/>
    <cellStyle name="@_9월-12월_9월-12월_9월-12월_9월-12월_PULL  LIST-1 (2005년)_원가인하9월30일_PULL  LIST-1 (2006년)" xfId="389"/>
    <cellStyle name="@_9월-12월_9월-12월_9월-12월_9월-12월_PULL  LIST-1 (2005년)_원가인하9월30일_PULL  LIST-1 (2006년)_PULL  LIST-1 (2006년)" xfId="390"/>
    <cellStyle name="@_9월-12월_9월-12월_9월-12월_9월-12월_PULL  LIST-1 (2005년)_원가인하9월30일_PULL  LIST-1 (2006년)_PULL  LIST-1 (2006년)_ PULL  LIST-1 (2007년)" xfId="391"/>
    <cellStyle name="@_9월-12월_9월-12월_9월-12월_9월-12월_PULL  LIST-1 (2006년)" xfId="392"/>
    <cellStyle name="@_9월-12월_9월-12월_9월-12월_9월-12월_PULL  LIST-1 (2006년)_PULL  LIST-1 (2006년)" xfId="393"/>
    <cellStyle name="@_9월-12월_9월-12월_9월-12월_9월-12월_PULL  LIST-1 (2006년)_PULL  LIST-1 (2006년)_ PULL  LIST-1 (2007년)" xfId="394"/>
    <cellStyle name="@_9월-12월_9월-12월_9월-12월_PULL  LIST-1 (2004년)" xfId="395"/>
    <cellStyle name="@_9월-12월_9월-12월_9월-12월_PULL  LIST-1 (2004년)_Book1" xfId="396"/>
    <cellStyle name="@_9월-12월_9월-12월_9월-12월_PULL  LIST-1 (2004년)_Book1_ PULL  LIST-1 (2007년)" xfId="397"/>
    <cellStyle name="@_9월-12월_9월-12월_9월-12월_PULL  LIST-1 (2004년)_Book1_PULL  LIST-1 (2005년)" xfId="398"/>
    <cellStyle name="@_9월-12월_9월-12월_9월-12월_PULL  LIST-1 (2004년)_Book1_PULL  LIST-1 (2005년)_PULL  LIST-1 (2005년)" xfId="399"/>
    <cellStyle name="@_9월-12월_9월-12월_9월-12월_PULL  LIST-1 (2004년)_Book1_PULL  LIST-1 (2005년)_PULL  LIST-1 (2005년)_ PULL  LIST-1 (2007년)" xfId="400"/>
    <cellStyle name="@_9월-12월_9월-12월_9월-12월_PULL  LIST-1 (2004년)_Book1_PULL  LIST-1 (2005년)_PULL  LIST-1 (2005년)_PULL  LIST-1 (2006년)" xfId="401"/>
    <cellStyle name="@_9월-12월_9월-12월_9월-12월_PULL  LIST-1 (2004년)_Book1_PULL  LIST-1 (2005년)_PULL  LIST-1 (2005년)_PULL  LIST-1 (2006년)_PULL  LIST-1 (2006년)" xfId="402"/>
    <cellStyle name="@_9월-12월_9월-12월_9월-12월_PULL  LIST-1 (2004년)_Book1_PULL  LIST-1 (2005년)_PULL  LIST-1 (2005년)_PULL  LIST-1 (2006년)_PULL  LIST-1 (2006년)_ PULL  LIST-1 (2007년)" xfId="403"/>
    <cellStyle name="@_9월-12월_9월-12월_9월-12월_PULL  LIST-1 (2004년)_Book1_PULL  LIST-1 (2005년)_PULL  LIST-1 (2006년)" xfId="404"/>
    <cellStyle name="@_9월-12월_9월-12월_9월-12월_PULL  LIST-1 (2004년)_Book1_PULL  LIST-1 (2005년)_PULL  LIST-1 (2006년)_ PULL  LIST-1 (2007년)" xfId="405"/>
    <cellStyle name="@_9월-12월_9월-12월_9월-12월_PULL  LIST-1 (2004년)_Book1_PULL  LIST-1 (2005년)_PULL  LIST-1 (2006년)_PULL  LIST-1 (2006년)" xfId="406"/>
    <cellStyle name="@_9월-12월_9월-12월_9월-12월_PULL  LIST-1 (2004년)_Book1_PULL  LIST-1 (2005년)_PULL  LIST-1 (2006년)_PULL  LIST-1 (2006년)_PULL  LIST-1 (2006년)" xfId="407"/>
    <cellStyle name="@_9월-12월_9월-12월_9월-12월_PULL  LIST-1 (2004년)_Book1_PULL  LIST-1 (2005년)_PULL  LIST-1 (2006년)_PULL  LIST-1 (2006년)_PULL  LIST-1 (2006년)_ PULL  LIST-1 (2007년)" xfId="408"/>
    <cellStyle name="@_9월-12월_9월-12월_9월-12월_PULL  LIST-1 (2004년)_Book1_PULL  LIST-1 (2005년)_원가인하9월30일" xfId="409"/>
    <cellStyle name="@_9월-12월_9월-12월_9월-12월_PULL  LIST-1 (2004년)_Book1_PULL  LIST-1 (2005년)_원가인하9월30일_ PULL  LIST-1 (2007년)" xfId="410"/>
    <cellStyle name="@_9월-12월_9월-12월_9월-12월_PULL  LIST-1 (2004년)_Book1_PULL  LIST-1 (2005년)_원가인하9월30일_PULL  LIST-1 (2006년)" xfId="411"/>
    <cellStyle name="@_9월-12월_9월-12월_9월-12월_PULL  LIST-1 (2004년)_Book1_PULL  LIST-1 (2005년)_원가인하9월30일_PULL  LIST-1 (2006년)_PULL  LIST-1 (2006년)" xfId="412"/>
    <cellStyle name="@_9월-12월_9월-12월_9월-12월_PULL  LIST-1 (2004년)_Book1_PULL  LIST-1 (2005년)_원가인하9월30일_PULL  LIST-1 (2006년)_PULL  LIST-1 (2006년)_ PULL  LIST-1 (2007년)" xfId="413"/>
    <cellStyle name="@_9월-12월_9월-12월_9월-12월_PULL  LIST-1 (2004년)_Book1_PULL  LIST-1 (2006년)" xfId="414"/>
    <cellStyle name="@_9월-12월_9월-12월_9월-12월_PULL  LIST-1 (2004년)_Book1_PULL  LIST-1 (2006년)_PULL  LIST-1 (2006년)" xfId="415"/>
    <cellStyle name="@_9월-12월_9월-12월_9월-12월_PULL  LIST-1 (2004년)_Book1_PULL  LIST-1 (2006년)_PULL  LIST-1 (2006년)_ PULL  LIST-1 (2007년)" xfId="416"/>
    <cellStyle name="@_9월-12월_9월-12월_9월-12월_PULL  LIST-1 (2004년)_PULL  LIST-1 (2004년)" xfId="417"/>
    <cellStyle name="@_9월-12월_9월-12월_9월-12월_PULL  LIST-1 (2004년)_PULL  LIST-1 (2004년)_ PULL  LIST-1 (2007년)" xfId="418"/>
    <cellStyle name="@_9월-12월_9월-12월_9월-12월_PULL  LIST-1 (2004년)_PULL  LIST-1 (2004년)_PULL  LIST-1 (2004년)" xfId="419"/>
    <cellStyle name="@_9월-12월_9월-12월_9월-12월_PULL  LIST-1 (2004년)_PULL  LIST-1 (2004년)_PULL  LIST-1 (2004년)_Book1" xfId="420"/>
    <cellStyle name="@_9월-12월_9월-12월_9월-12월_PULL  LIST-1 (2004년)_PULL  LIST-1 (2004년)_PULL  LIST-1 (2004년)_Book1_ PULL  LIST-1 (2007년)" xfId="421"/>
    <cellStyle name="@_9월-12월_9월-12월_9월-12월_PULL  LIST-1 (2004년)_PULL  LIST-1 (2004년)_PULL  LIST-1 (2004년)_Book1_PULL  LIST-1 (2005년)" xfId="422"/>
    <cellStyle name="@_9월-12월_9월-12월_9월-12월_PULL  LIST-1 (2004년)_PULL  LIST-1 (2004년)_PULL  LIST-1 (2004년)_Book1_PULL  LIST-1 (2005년)_PULL  LIST-1 (2005년)" xfId="423"/>
    <cellStyle name="@_9월-12월_9월-12월_9월-12월_PULL  LIST-1 (2004년)_PULL  LIST-1 (2004년)_PULL  LIST-1 (2004년)_Book1_PULL  LIST-1 (2005년)_PULL  LIST-1 (2005년)_ PULL  LIST-1 (2007년)" xfId="424"/>
    <cellStyle name="@_9월-12월_9월-12월_9월-12월_PULL  LIST-1 (2004년)_PULL  LIST-1 (2004년)_PULL  LIST-1 (2004년)_Book1_PULL  LIST-1 (2005년)_PULL  LIST-1 (2005년)_PULL  LIST-1 (2006년)" xfId="425"/>
    <cellStyle name="@_9월-12월_9월-12월_9월-12월_PULL  LIST-1 (2004년)_PULL  LIST-1 (2004년)_PULL  LIST-1 (2004년)_Book1_PULL  LIST-1 (2005년)_PULL  LIST-1 (2005년)_PULL  LIST-1 (2006년)_PULL  LIST-1 (2006년)" xfId="426"/>
    <cellStyle name="@_9월-12월_9월-12월_9월-12월_PULL  LIST-1 (2004년)_PULL  LIST-1 (2004년)_PULL  LIST-1 (2004년)_Book1_PULL  LIST-1 (2005년)_PULL  LIST-1 (2005년)_PULL  LIST-1 (2006년)_PULL  LIST-1 (2006년)_ PULL  LIST-1 (2007년)" xfId="427"/>
    <cellStyle name="@_9월-12월_9월-12월_9월-12월_PULL  LIST-1 (2004년)_PULL  LIST-1 (2004년)_PULL  LIST-1 (2004년)_Book1_PULL  LIST-1 (2005년)_PULL  LIST-1 (2006년)" xfId="428"/>
    <cellStyle name="@_9월-12월_9월-12월_9월-12월_PULL  LIST-1 (2004년)_PULL  LIST-1 (2004년)_PULL  LIST-1 (2004년)_Book1_PULL  LIST-1 (2005년)_PULL  LIST-1 (2006년)_ PULL  LIST-1 (2007년)" xfId="429"/>
    <cellStyle name="@_9월-12월_9월-12월_9월-12월_PULL  LIST-1 (2004년)_PULL  LIST-1 (2004년)_PULL  LIST-1 (2004년)_Book1_PULL  LIST-1 (2005년)_PULL  LIST-1 (2006년)_PULL  LIST-1 (2006년)" xfId="430"/>
    <cellStyle name="@_9월-12월_9월-12월_9월-12월_PULL  LIST-1 (2004년)_PULL  LIST-1 (2004년)_PULL  LIST-1 (2004년)_Book1_PULL  LIST-1 (2005년)_PULL  LIST-1 (2006년)_PULL  LIST-1 (2006년)_PULL  LIST-1 (2006년)" xfId="431"/>
    <cellStyle name="@_9월-12월_9월-12월_9월-12월_PULL  LIST-1 (2004년)_PULL  LIST-1 (2004년)_PULL  LIST-1 (2004년)_Book1_PULL  LIST-1 (2005년)_PULL  LIST-1 (2006년)_PULL  LIST-1 (2006년)_PULL  LIST-1 (2006년)_ PULL  LIST-1 (2007년)" xfId="432"/>
    <cellStyle name="@_9월-12월_9월-12월_9월-12월_PULL  LIST-1 (2004년)_PULL  LIST-1 (2004년)_PULL  LIST-1 (2004년)_Book1_PULL  LIST-1 (2005년)_원가인하9월30일" xfId="433"/>
    <cellStyle name="@_9월-12월_9월-12월_9월-12월_PULL  LIST-1 (2004년)_PULL  LIST-1 (2004년)_PULL  LIST-1 (2004년)_Book1_PULL  LIST-1 (2005년)_원가인하9월30일_ PULL  LIST-1 (2007년)" xfId="434"/>
    <cellStyle name="@_9월-12월_9월-12월_9월-12월_PULL  LIST-1 (2004년)_PULL  LIST-1 (2004년)_PULL  LIST-1 (2004년)_Book1_PULL  LIST-1 (2005년)_원가인하9월30일_PULL  LIST-1 (2006년)" xfId="435"/>
    <cellStyle name="@_9월-12월_9월-12월_9월-12월_PULL  LIST-1 (2004년)_PULL  LIST-1 (2004년)_PULL  LIST-1 (2004년)_Book1_PULL  LIST-1 (2005년)_원가인하9월30일_PULL  LIST-1 (2006년)_PULL  LIST-1 (2006년)" xfId="436"/>
    <cellStyle name="@_9월-12월_9월-12월_9월-12월_PULL  LIST-1 (2004년)_PULL  LIST-1 (2004년)_PULL  LIST-1 (2004년)_Book1_PULL  LIST-1 (2005년)_원가인하9월30일_PULL  LIST-1 (2006년)_PULL  LIST-1 (2006년)_ PULL  LIST-1 (2007년)" xfId="437"/>
    <cellStyle name="@_9월-12월_9월-12월_9월-12월_PULL  LIST-1 (2004년)_PULL  LIST-1 (2004년)_PULL  LIST-1 (2004년)_Book1_PULL  LIST-1 (2006년)" xfId="438"/>
    <cellStyle name="@_9월-12월_9월-12월_9월-12월_PULL  LIST-1 (2004년)_PULL  LIST-1 (2004년)_PULL  LIST-1 (2004년)_Book1_PULL  LIST-1 (2006년)_PULL  LIST-1 (2006년)" xfId="439"/>
    <cellStyle name="@_9월-12월_9월-12월_9월-12월_PULL  LIST-1 (2004년)_PULL  LIST-1 (2004년)_PULL  LIST-1 (2004년)_Book1_PULL  LIST-1 (2006년)_PULL  LIST-1 (2006년)_ PULL  LIST-1 (2007년)" xfId="440"/>
    <cellStyle name="@_9월-12월_9월-12월_9월-12월_PULL  LIST-1 (2004년)_PULL  LIST-1 (2004년)_PULL  LIST-1 (2004년)_PULL  LIST-1 (2005년)" xfId="441"/>
    <cellStyle name="@_9월-12월_9월-12월_9월-12월_PULL  LIST-1 (2004년)_PULL  LIST-1 (2004년)_PULL  LIST-1 (2004년)_PULL  LIST-1 (2005년)_ PULL  LIST-1 (2007년)" xfId="442"/>
    <cellStyle name="@_9월-12월_9월-12월_9월-12월_PULL  LIST-1 (2004년)_PULL  LIST-1 (2004년)_PULL  LIST-1 (2004년)_PULL  LIST-1 (2005년)_PULL  LIST-1 (2006년)" xfId="443"/>
    <cellStyle name="@_9월-12월_9월-12월_9월-12월_PULL  LIST-1 (2004년)_PULL  LIST-1 (2004년)_PULL  LIST-1 (2004년)_PULL  LIST-1 (2005년)_PULL  LIST-1 (2006년)_PULL  LIST-1 (2006년)" xfId="444"/>
    <cellStyle name="@_9월-12월_9월-12월_9월-12월_PULL  LIST-1 (2004년)_PULL  LIST-1 (2004년)_PULL  LIST-1 (2004년)_PULL  LIST-1 (2005년)_PULL  LIST-1 (2006년)_PULL  LIST-1 (2006년)_ PULL  LIST-1 (2007년)" xfId="445"/>
    <cellStyle name="@_9월-12월_9월-12월_9월-12월_PULL  LIST-1 (2004년)_PULL  LIST-1 (2004년)_PULL  LIST-1 (2004년)_PULL  LIST-1 (2006년)" xfId="446"/>
    <cellStyle name="@_9월-12월_9월-12월_9월-12월_PULL  LIST-1 (2004년)_PULL  LIST-1 (2004년)_PULL  LIST-1 (2004년)_PULL  LIST-1 (2006년)_ PULL  LIST-1 (2007년)" xfId="447"/>
    <cellStyle name="@_9월-12월_9월-12월_9월-12월_PULL  LIST-1 (2004년)_PULL  LIST-1 (2004년)_PULL  LIST-1 (2004년)_PULL  LIST-1 (2006년)_PULL  LIST-1 (2006년)" xfId="448"/>
    <cellStyle name="@_9월-12월_9월-12월_9월-12월_PULL  LIST-1 (2004년)_PULL  LIST-1 (2004년)_PULL  LIST-1 (2004년)_PULL  LIST-1 (2006년)_PULL  LIST-1 (2006년)_PULL  LIST-1 (2006년)" xfId="449"/>
    <cellStyle name="@_9월-12월_9월-12월_9월-12월_PULL  LIST-1 (2004년)_PULL  LIST-1 (2004년)_PULL  LIST-1 (2004년)_PULL  LIST-1 (2006년)_PULL  LIST-1 (2006년)_PULL  LIST-1 (2006년)_ PULL  LIST-1 (2007년)" xfId="450"/>
    <cellStyle name="@_9월-12월_9월-12월_9월-12월_PULL  LIST-1 (2004년)_PULL  LIST-1 (2004년)_PULL  LIST-1 (2004년)_원가인하9월30일" xfId="451"/>
    <cellStyle name="@_9월-12월_9월-12월_9월-12월_PULL  LIST-1 (2004년)_PULL  LIST-1 (2004년)_PULL  LIST-1 (2004년)_원가인하9월30일_ PULL  LIST-1 (2007년)" xfId="452"/>
    <cellStyle name="@_9월-12월_9월-12월_9월-12월_PULL  LIST-1 (2004년)_PULL  LIST-1 (2004년)_PULL  LIST-1 (2004년)_원가인하9월30일_PULL  LIST-1 (2006년)" xfId="453"/>
    <cellStyle name="@_9월-12월_9월-12월_9월-12월_PULL  LIST-1 (2004년)_PULL  LIST-1 (2004년)_PULL  LIST-1 (2004년)_원가인하9월30일_PULL  LIST-1 (2006년)_PULL  LIST-1 (2006년)" xfId="454"/>
    <cellStyle name="@_9월-12월_9월-12월_9월-12월_PULL  LIST-1 (2004년)_PULL  LIST-1 (2004년)_PULL  LIST-1 (2004년)_원가인하9월30일_PULL  LIST-1 (2006년)_PULL  LIST-1 (2006년)_ PULL  LIST-1 (2007년)" xfId="455"/>
    <cellStyle name="@_9월-12월_9월-12월_9월-12월_PULL  LIST-1 (2004년)_PULL  LIST-1 (2004년)_PULL  LIST-1 (2005년)" xfId="456"/>
    <cellStyle name="@_9월-12월_9월-12월_9월-12월_PULL  LIST-1 (2004년)_PULL  LIST-1 (2004년)_PULL  LIST-1 (2005년)_PULL  LIST-1 (2005년)" xfId="457"/>
    <cellStyle name="@_9월-12월_9월-12월_9월-12월_PULL  LIST-1 (2004년)_PULL  LIST-1 (2004년)_PULL  LIST-1 (2005년)_PULL  LIST-1 (2005년)_ PULL  LIST-1 (2007년)" xfId="458"/>
    <cellStyle name="@_9월-12월_9월-12월_9월-12월_PULL  LIST-1 (2004년)_PULL  LIST-1 (2004년)_PULL  LIST-1 (2005년)_PULL  LIST-1 (2005년)_PULL  LIST-1 (2006년)" xfId="459"/>
    <cellStyle name="@_9월-12월_9월-12월_9월-12월_PULL  LIST-1 (2004년)_PULL  LIST-1 (2004년)_PULL  LIST-1 (2005년)_PULL  LIST-1 (2005년)_PULL  LIST-1 (2006년)_PULL  LIST-1 (2006년)" xfId="460"/>
    <cellStyle name="@_9월-12월_9월-12월_9월-12월_PULL  LIST-1 (2004년)_PULL  LIST-1 (2004년)_PULL  LIST-1 (2005년)_PULL  LIST-1 (2005년)_PULL  LIST-1 (2006년)_PULL  LIST-1 (2006년)_ PULL  LIST-1 (2007년)" xfId="461"/>
    <cellStyle name="@_9월-12월_9월-12월_9월-12월_PULL  LIST-1 (2004년)_PULL  LIST-1 (2004년)_PULL  LIST-1 (2005년)_PULL  LIST-1 (2006년)" xfId="462"/>
    <cellStyle name="@_9월-12월_9월-12월_9월-12월_PULL  LIST-1 (2004년)_PULL  LIST-1 (2004년)_PULL  LIST-1 (2005년)_PULL  LIST-1 (2006년)_ PULL  LIST-1 (2007년)" xfId="463"/>
    <cellStyle name="@_9월-12월_9월-12월_9월-12월_PULL  LIST-1 (2004년)_PULL  LIST-1 (2004년)_PULL  LIST-1 (2005년)_PULL  LIST-1 (2006년)_PULL  LIST-1 (2006년)" xfId="464"/>
    <cellStyle name="@_9월-12월_9월-12월_9월-12월_PULL  LIST-1 (2004년)_PULL  LIST-1 (2004년)_PULL  LIST-1 (2005년)_PULL  LIST-1 (2006년)_PULL  LIST-1 (2006년)_PULL  LIST-1 (2006년)" xfId="465"/>
    <cellStyle name="@_9월-12월_9월-12월_9월-12월_PULL  LIST-1 (2004년)_PULL  LIST-1 (2004년)_PULL  LIST-1 (2005년)_PULL  LIST-1 (2006년)_PULL  LIST-1 (2006년)_PULL  LIST-1 (2006년)_ PULL  LIST-1 (2007년)" xfId="466"/>
    <cellStyle name="@_9월-12월_9월-12월_9월-12월_PULL  LIST-1 (2004년)_PULL  LIST-1 (2004년)_PULL  LIST-1 (2005년)_원가인하9월30일" xfId="467"/>
    <cellStyle name="@_9월-12월_9월-12월_9월-12월_PULL  LIST-1 (2004년)_PULL  LIST-1 (2004년)_PULL  LIST-1 (2005년)_원가인하9월30일_ PULL  LIST-1 (2007년)" xfId="468"/>
    <cellStyle name="@_9월-12월_9월-12월_9월-12월_PULL  LIST-1 (2004년)_PULL  LIST-1 (2004년)_PULL  LIST-1 (2005년)_원가인하9월30일_PULL  LIST-1 (2006년)" xfId="469"/>
    <cellStyle name="@_9월-12월_9월-12월_9월-12월_PULL  LIST-1 (2004년)_PULL  LIST-1 (2004년)_PULL  LIST-1 (2005년)_원가인하9월30일_PULL  LIST-1 (2006년)_PULL  LIST-1 (2006년)" xfId="470"/>
    <cellStyle name="@_9월-12월_9월-12월_9월-12월_PULL  LIST-1 (2004년)_PULL  LIST-1 (2004년)_PULL  LIST-1 (2005년)_원가인하9월30일_PULL  LIST-1 (2006년)_PULL  LIST-1 (2006년)_ PULL  LIST-1 (2007년)" xfId="471"/>
    <cellStyle name="@_9월-12월_9월-12월_9월-12월_PULL  LIST-1 (2004년)_PULL  LIST-1 (2004년)_PULL  LIST-1 (2006년)" xfId="472"/>
    <cellStyle name="@_9월-12월_9월-12월_9월-12월_PULL  LIST-1 (2004년)_PULL  LIST-1 (2004년)_PULL  LIST-1 (2006년)_PULL  LIST-1 (2006년)" xfId="473"/>
    <cellStyle name="@_9월-12월_9월-12월_9월-12월_PULL  LIST-1 (2004년)_PULL  LIST-1 (2004년)_PULL  LIST-1 (2006년)_PULL  LIST-1 (2006년)_ PULL  LIST-1 (2007년)" xfId="474"/>
    <cellStyle name="@_9월-12월_9월-12월_9월-12월_PULL  LIST-1 (2004년)_PULL  LIST-1 (2005년)" xfId="475"/>
    <cellStyle name="@_9월-12월_9월-12월_9월-12월_PULL  LIST-1 (2004년)_PULL  LIST-1 (2005년)_ PULL  LIST-1 (2007년)" xfId="476"/>
    <cellStyle name="@_9월-12월_9월-12월_9월-12월_PULL  LIST-1 (2004년)_PULL  LIST-1 (2005년)_PULL  LIST-1 (2006년)" xfId="477"/>
    <cellStyle name="@_9월-12월_9월-12월_9월-12월_PULL  LIST-1 (2004년)_PULL  LIST-1 (2005년)_PULL  LIST-1 (2006년)_PULL  LIST-1 (2006년)" xfId="478"/>
    <cellStyle name="@_9월-12월_9월-12월_9월-12월_PULL  LIST-1 (2004년)_PULL  LIST-1 (2005년)_PULL  LIST-1 (2006년)_PULL  LIST-1 (2006년)_ PULL  LIST-1 (2007년)" xfId="479"/>
    <cellStyle name="@_9월-12월_9월-12월_9월-12월_PULL  LIST-1 (2004년)_PULL  LIST-1 (2006년)" xfId="480"/>
    <cellStyle name="@_9월-12월_9월-12월_9월-12월_PULL  LIST-1 (2004년)_PULL  LIST-1 (2006년)_ PULL  LIST-1 (2007년)" xfId="481"/>
    <cellStyle name="@_9월-12월_9월-12월_9월-12월_PULL  LIST-1 (2004년)_PULL  LIST-1 (2006년)_PULL  LIST-1 (2006년)" xfId="482"/>
    <cellStyle name="@_9월-12월_9월-12월_9월-12월_PULL  LIST-1 (2004년)_PULL  LIST-1 (2006년)_PULL  LIST-1 (2006년)_PULL  LIST-1 (2006년)" xfId="483"/>
    <cellStyle name="@_9월-12월_9월-12월_9월-12월_PULL  LIST-1 (2004년)_PULL  LIST-1 (2006년)_PULL  LIST-1 (2006년)_PULL  LIST-1 (2006년)_ PULL  LIST-1 (2007년)" xfId="484"/>
    <cellStyle name="@_9월-12월_9월-12월_9월-12월_PULL  LIST-1 (2004년)_원가인하9월30일" xfId="485"/>
    <cellStyle name="@_9월-12월_9월-12월_9월-12월_PULL  LIST-1 (2004년)_원가인하9월30일_ PULL  LIST-1 (2007년)" xfId="486"/>
    <cellStyle name="@_9월-12월_9월-12월_9월-12월_PULL  LIST-1 (2004년)_원가인하9월30일_PULL  LIST-1 (2006년)" xfId="487"/>
    <cellStyle name="@_9월-12월_9월-12월_9월-12월_PULL  LIST-1 (2004년)_원가인하9월30일_PULL  LIST-1 (2006년)_PULL  LIST-1 (2006년)" xfId="488"/>
    <cellStyle name="@_9월-12월_9월-12월_9월-12월_PULL  LIST-1 (2004년)_원가인하9월30일_PULL  LIST-1 (2006년)_PULL  LIST-1 (2006년)_ PULL  LIST-1 (2007년)" xfId="489"/>
    <cellStyle name="@_9월-12월_9월-12월_9월-12월_PULL  LIST-1 (2005년)" xfId="490"/>
    <cellStyle name="@_9월-12월_9월-12월_9월-12월_PULL  LIST-1 (2005년)_PULL  LIST-1 (2005년)" xfId="491"/>
    <cellStyle name="@_9월-12월_9월-12월_9월-12월_PULL  LIST-1 (2005년)_PULL  LIST-1 (2005년)_ PULL  LIST-1 (2007년)" xfId="492"/>
    <cellStyle name="@_9월-12월_9월-12월_9월-12월_PULL  LIST-1 (2005년)_PULL  LIST-1 (2005년)_PULL  LIST-1 (2006년)" xfId="493"/>
    <cellStyle name="@_9월-12월_9월-12월_9월-12월_PULL  LIST-1 (2005년)_PULL  LIST-1 (2005년)_PULL  LIST-1 (2006년)_PULL  LIST-1 (2006년)" xfId="494"/>
    <cellStyle name="@_9월-12월_9월-12월_9월-12월_PULL  LIST-1 (2005년)_PULL  LIST-1 (2005년)_PULL  LIST-1 (2006년)_PULL  LIST-1 (2006년)_ PULL  LIST-1 (2007년)" xfId="495"/>
    <cellStyle name="@_9월-12월_9월-12월_9월-12월_PULL  LIST-1 (2005년)_PULL  LIST-1 (2006년)" xfId="496"/>
    <cellStyle name="@_9월-12월_9월-12월_9월-12월_PULL  LIST-1 (2005년)_PULL  LIST-1 (2006년)_ PULL  LIST-1 (2007년)" xfId="497"/>
    <cellStyle name="@_9월-12월_9월-12월_9월-12월_PULL  LIST-1 (2005년)_PULL  LIST-1 (2006년)_PULL  LIST-1 (2006년)" xfId="498"/>
    <cellStyle name="@_9월-12월_9월-12월_9월-12월_PULL  LIST-1 (2005년)_PULL  LIST-1 (2006년)_PULL  LIST-1 (2006년)_PULL  LIST-1 (2006년)" xfId="499"/>
    <cellStyle name="@_9월-12월_9월-12월_9월-12월_PULL  LIST-1 (2005년)_PULL  LIST-1 (2006년)_PULL  LIST-1 (2006년)_PULL  LIST-1 (2006년)_ PULL  LIST-1 (2007년)" xfId="500"/>
    <cellStyle name="@_9월-12월_9월-12월_9월-12월_PULL  LIST-1 (2005년)_원가인하9월30일" xfId="501"/>
    <cellStyle name="@_9월-12월_9월-12월_9월-12월_PULL  LIST-1 (2005년)_원가인하9월30일_ PULL  LIST-1 (2007년)" xfId="502"/>
    <cellStyle name="@_9월-12월_9월-12월_9월-12월_PULL  LIST-1 (2005년)_원가인하9월30일_PULL  LIST-1 (2006년)" xfId="503"/>
    <cellStyle name="@_9월-12월_9월-12월_9월-12월_PULL  LIST-1 (2005년)_원가인하9월30일_PULL  LIST-1 (2006년)_PULL  LIST-1 (2006년)" xfId="504"/>
    <cellStyle name="@_9월-12월_9월-12월_9월-12월_PULL  LIST-1 (2005년)_원가인하9월30일_PULL  LIST-1 (2006년)_PULL  LIST-1 (2006년)_ PULL  LIST-1 (2007년)" xfId="505"/>
    <cellStyle name="@_9월-12월_9월-12월_9월-12월_PULL  LIST-1 (2006년)" xfId="506"/>
    <cellStyle name="@_9월-12월_9월-12월_9월-12월_PULL  LIST-1 (2006년)_PULL  LIST-1 (2006년)" xfId="507"/>
    <cellStyle name="@_9월-12월_9월-12월_9월-12월_PULL  LIST-1 (2006년)_PULL  LIST-1 (2006년)_ PULL  LIST-1 (2007년)" xfId="508"/>
    <cellStyle name="@_9월-12월_9월-12월_PULL  LIST-1 (2004년)" xfId="509"/>
    <cellStyle name="@_9월-12월_9월-12월_PULL  LIST-1 (2004년)_Book1" xfId="510"/>
    <cellStyle name="@_9월-12월_9월-12월_PULL  LIST-1 (2004년)_Book1_ PULL  LIST-1 (2007년)" xfId="511"/>
    <cellStyle name="@_9월-12월_9월-12월_PULL  LIST-1 (2004년)_Book1_PULL  LIST-1 (2005년)" xfId="512"/>
    <cellStyle name="@_9월-12월_9월-12월_PULL  LIST-1 (2004년)_Book1_PULL  LIST-1 (2005년)_PULL  LIST-1 (2005년)" xfId="513"/>
    <cellStyle name="@_9월-12월_9월-12월_PULL  LIST-1 (2004년)_Book1_PULL  LIST-1 (2005년)_PULL  LIST-1 (2005년)_ PULL  LIST-1 (2007년)" xfId="514"/>
    <cellStyle name="@_9월-12월_9월-12월_PULL  LIST-1 (2004년)_Book1_PULL  LIST-1 (2005년)_PULL  LIST-1 (2005년)_PULL  LIST-1 (2006년)" xfId="515"/>
    <cellStyle name="@_9월-12월_9월-12월_PULL  LIST-1 (2004년)_Book1_PULL  LIST-1 (2005년)_PULL  LIST-1 (2005년)_PULL  LIST-1 (2006년)_PULL  LIST-1 (2006년)" xfId="516"/>
    <cellStyle name="@_9월-12월_9월-12월_PULL  LIST-1 (2004년)_Book1_PULL  LIST-1 (2005년)_PULL  LIST-1 (2005년)_PULL  LIST-1 (2006년)_PULL  LIST-1 (2006년)_ PULL  LIST-1 (2007년)" xfId="517"/>
    <cellStyle name="@_9월-12월_9월-12월_PULL  LIST-1 (2004년)_Book1_PULL  LIST-1 (2005년)_PULL  LIST-1 (2006년)" xfId="518"/>
    <cellStyle name="@_9월-12월_9월-12월_PULL  LIST-1 (2004년)_Book1_PULL  LIST-1 (2005년)_PULL  LIST-1 (2006년)_ PULL  LIST-1 (2007년)" xfId="519"/>
    <cellStyle name="@_9월-12월_9월-12월_PULL  LIST-1 (2004년)_Book1_PULL  LIST-1 (2005년)_PULL  LIST-1 (2006년)_PULL  LIST-1 (2006년)" xfId="520"/>
    <cellStyle name="@_9월-12월_9월-12월_PULL  LIST-1 (2004년)_Book1_PULL  LIST-1 (2005년)_PULL  LIST-1 (2006년)_PULL  LIST-1 (2006년)_PULL  LIST-1 (2006년)" xfId="521"/>
    <cellStyle name="@_9월-12월_9월-12월_PULL  LIST-1 (2004년)_Book1_PULL  LIST-1 (2005년)_PULL  LIST-1 (2006년)_PULL  LIST-1 (2006년)_PULL  LIST-1 (2006년)_ PULL  LIST-1 (2007년)" xfId="522"/>
    <cellStyle name="@_9월-12월_9월-12월_PULL  LIST-1 (2004년)_Book1_PULL  LIST-1 (2005년)_원가인하9월30일" xfId="523"/>
    <cellStyle name="@_9월-12월_9월-12월_PULL  LIST-1 (2004년)_Book1_PULL  LIST-1 (2005년)_원가인하9월30일_ PULL  LIST-1 (2007년)" xfId="524"/>
    <cellStyle name="@_9월-12월_9월-12월_PULL  LIST-1 (2004년)_Book1_PULL  LIST-1 (2005년)_원가인하9월30일_PULL  LIST-1 (2006년)" xfId="525"/>
    <cellStyle name="@_9월-12월_9월-12월_PULL  LIST-1 (2004년)_Book1_PULL  LIST-1 (2005년)_원가인하9월30일_PULL  LIST-1 (2006년)_PULL  LIST-1 (2006년)" xfId="526"/>
    <cellStyle name="@_9월-12월_9월-12월_PULL  LIST-1 (2004년)_Book1_PULL  LIST-1 (2005년)_원가인하9월30일_PULL  LIST-1 (2006년)_PULL  LIST-1 (2006년)_ PULL  LIST-1 (2007년)" xfId="527"/>
    <cellStyle name="@_9월-12월_9월-12월_PULL  LIST-1 (2004년)_Book1_PULL  LIST-1 (2006년)" xfId="528"/>
    <cellStyle name="@_9월-12월_9월-12월_PULL  LIST-1 (2004년)_Book1_PULL  LIST-1 (2006년)_PULL  LIST-1 (2006년)" xfId="529"/>
    <cellStyle name="@_9월-12월_9월-12월_PULL  LIST-1 (2004년)_Book1_PULL  LIST-1 (2006년)_PULL  LIST-1 (2006년)_ PULL  LIST-1 (2007년)" xfId="530"/>
    <cellStyle name="@_9월-12월_9월-12월_PULL  LIST-1 (2004년)_PULL  LIST-1 (2004년)" xfId="531"/>
    <cellStyle name="@_9월-12월_9월-12월_PULL  LIST-1 (2004년)_PULL  LIST-1 (2004년)_ PULL  LIST-1 (2007년)" xfId="532"/>
    <cellStyle name="@_9월-12월_9월-12월_PULL  LIST-1 (2004년)_PULL  LIST-1 (2004년)_PULL  LIST-1 (2004년)" xfId="533"/>
    <cellStyle name="@_9월-12월_9월-12월_PULL  LIST-1 (2004년)_PULL  LIST-1 (2004년)_PULL  LIST-1 (2004년)_Book1" xfId="534"/>
    <cellStyle name="@_9월-12월_9월-12월_PULL  LIST-1 (2004년)_PULL  LIST-1 (2004년)_PULL  LIST-1 (2004년)_Book1_ PULL  LIST-1 (2007년)" xfId="535"/>
    <cellStyle name="@_9월-12월_9월-12월_PULL  LIST-1 (2004년)_PULL  LIST-1 (2004년)_PULL  LIST-1 (2004년)_Book1_PULL  LIST-1 (2005년)" xfId="536"/>
    <cellStyle name="@_9월-12월_9월-12월_PULL  LIST-1 (2004년)_PULL  LIST-1 (2004년)_PULL  LIST-1 (2004년)_Book1_PULL  LIST-1 (2005년)_PULL  LIST-1 (2005년)" xfId="537"/>
    <cellStyle name="@_9월-12월_9월-12월_PULL  LIST-1 (2004년)_PULL  LIST-1 (2004년)_PULL  LIST-1 (2004년)_Book1_PULL  LIST-1 (2005년)_PULL  LIST-1 (2005년)_ PULL  LIST-1 (2007년)" xfId="538"/>
    <cellStyle name="@_9월-12월_9월-12월_PULL  LIST-1 (2004년)_PULL  LIST-1 (2004년)_PULL  LIST-1 (2004년)_Book1_PULL  LIST-1 (2005년)_PULL  LIST-1 (2005년)_PULL  LIST-1 (2006년)" xfId="539"/>
    <cellStyle name="@_9월-12월_9월-12월_PULL  LIST-1 (2004년)_PULL  LIST-1 (2004년)_PULL  LIST-1 (2004년)_Book1_PULL  LIST-1 (2005년)_PULL  LIST-1 (2005년)_PULL  LIST-1 (2006년)_PULL  LIST-1 (2006년)" xfId="540"/>
    <cellStyle name="@_9월-12월_9월-12월_PULL  LIST-1 (2004년)_PULL  LIST-1 (2004년)_PULL  LIST-1 (2004년)_Book1_PULL  LIST-1 (2005년)_PULL  LIST-1 (2005년)_PULL  LIST-1 (2006년)_PULL  LIST-1 (2006년)_ PULL  LIST-1 (2007년)" xfId="541"/>
    <cellStyle name="@_9월-12월_9월-12월_PULL  LIST-1 (2004년)_PULL  LIST-1 (2004년)_PULL  LIST-1 (2004년)_Book1_PULL  LIST-1 (2005년)_PULL  LIST-1 (2006년)" xfId="542"/>
    <cellStyle name="@_9월-12월_9월-12월_PULL  LIST-1 (2004년)_PULL  LIST-1 (2004년)_PULL  LIST-1 (2004년)_Book1_PULL  LIST-1 (2005년)_PULL  LIST-1 (2006년)_ PULL  LIST-1 (2007년)" xfId="543"/>
    <cellStyle name="@_9월-12월_9월-12월_PULL  LIST-1 (2004년)_PULL  LIST-1 (2004년)_PULL  LIST-1 (2004년)_Book1_PULL  LIST-1 (2005년)_PULL  LIST-1 (2006년)_PULL  LIST-1 (2006년)" xfId="544"/>
    <cellStyle name="@_9월-12월_9월-12월_PULL  LIST-1 (2004년)_PULL  LIST-1 (2004년)_PULL  LIST-1 (2004년)_Book1_PULL  LIST-1 (2005년)_PULL  LIST-1 (2006년)_PULL  LIST-1 (2006년)_PULL  LIST-1 (2006년)" xfId="545"/>
    <cellStyle name="@_9월-12월_9월-12월_PULL  LIST-1 (2004년)_PULL  LIST-1 (2004년)_PULL  LIST-1 (2004년)_Book1_PULL  LIST-1 (2005년)_PULL  LIST-1 (2006년)_PULL  LIST-1 (2006년)_PULL  LIST-1 (2006년)_ PULL  LIST-1 (2007년)" xfId="546"/>
    <cellStyle name="@_9월-12월_9월-12월_PULL  LIST-1 (2004년)_PULL  LIST-1 (2004년)_PULL  LIST-1 (2004년)_Book1_PULL  LIST-1 (2005년)_원가인하9월30일" xfId="547"/>
    <cellStyle name="@_9월-12월_9월-12월_PULL  LIST-1 (2004년)_PULL  LIST-1 (2004년)_PULL  LIST-1 (2004년)_Book1_PULL  LIST-1 (2005년)_원가인하9월30일_ PULL  LIST-1 (2007년)" xfId="548"/>
    <cellStyle name="@_9월-12월_9월-12월_PULL  LIST-1 (2004년)_PULL  LIST-1 (2004년)_PULL  LIST-1 (2004년)_Book1_PULL  LIST-1 (2005년)_원가인하9월30일_PULL  LIST-1 (2006년)" xfId="549"/>
    <cellStyle name="@_9월-12월_9월-12월_PULL  LIST-1 (2004년)_PULL  LIST-1 (2004년)_PULL  LIST-1 (2004년)_Book1_PULL  LIST-1 (2005년)_원가인하9월30일_PULL  LIST-1 (2006년)_PULL  LIST-1 (2006년)" xfId="550"/>
    <cellStyle name="@_9월-12월_9월-12월_PULL  LIST-1 (2004년)_PULL  LIST-1 (2004년)_PULL  LIST-1 (2004년)_Book1_PULL  LIST-1 (2005년)_원가인하9월30일_PULL  LIST-1 (2006년)_PULL  LIST-1 (2006년)_ PULL  LIST-1 (2007년)" xfId="551"/>
    <cellStyle name="@_9월-12월_9월-12월_PULL  LIST-1 (2004년)_PULL  LIST-1 (2004년)_PULL  LIST-1 (2004년)_Book1_PULL  LIST-1 (2006년)" xfId="552"/>
    <cellStyle name="@_9월-12월_9월-12월_PULL  LIST-1 (2004년)_PULL  LIST-1 (2004년)_PULL  LIST-1 (2004년)_Book1_PULL  LIST-1 (2006년)_PULL  LIST-1 (2006년)" xfId="553"/>
    <cellStyle name="@_9월-12월_9월-12월_PULL  LIST-1 (2004년)_PULL  LIST-1 (2004년)_PULL  LIST-1 (2004년)_Book1_PULL  LIST-1 (2006년)_PULL  LIST-1 (2006년)_ PULL  LIST-1 (2007년)" xfId="554"/>
    <cellStyle name="@_9월-12월_9월-12월_PULL  LIST-1 (2004년)_PULL  LIST-1 (2004년)_PULL  LIST-1 (2004년)_PULL  LIST-1 (2005년)" xfId="555"/>
    <cellStyle name="@_9월-12월_9월-12월_PULL  LIST-1 (2004년)_PULL  LIST-1 (2004년)_PULL  LIST-1 (2004년)_PULL  LIST-1 (2005년)_ PULL  LIST-1 (2007년)" xfId="556"/>
    <cellStyle name="@_9월-12월_9월-12월_PULL  LIST-1 (2004년)_PULL  LIST-1 (2004년)_PULL  LIST-1 (2004년)_PULL  LIST-1 (2005년)_PULL  LIST-1 (2006년)" xfId="557"/>
    <cellStyle name="@_9월-12월_9월-12월_PULL  LIST-1 (2004년)_PULL  LIST-1 (2004년)_PULL  LIST-1 (2004년)_PULL  LIST-1 (2005년)_PULL  LIST-1 (2006년)_PULL  LIST-1 (2006년)" xfId="558"/>
    <cellStyle name="@_9월-12월_9월-12월_PULL  LIST-1 (2004년)_PULL  LIST-1 (2004년)_PULL  LIST-1 (2004년)_PULL  LIST-1 (2005년)_PULL  LIST-1 (2006년)_PULL  LIST-1 (2006년)_ PULL  LIST-1 (2007년)" xfId="559"/>
    <cellStyle name="@_9월-12월_9월-12월_PULL  LIST-1 (2004년)_PULL  LIST-1 (2004년)_PULL  LIST-1 (2004년)_PULL  LIST-1 (2006년)" xfId="560"/>
    <cellStyle name="@_9월-12월_9월-12월_PULL  LIST-1 (2004년)_PULL  LIST-1 (2004년)_PULL  LIST-1 (2004년)_PULL  LIST-1 (2006년)_ PULL  LIST-1 (2007년)" xfId="561"/>
    <cellStyle name="@_9월-12월_9월-12월_PULL  LIST-1 (2004년)_PULL  LIST-1 (2004년)_PULL  LIST-1 (2004년)_PULL  LIST-1 (2006년)_PULL  LIST-1 (2006년)" xfId="562"/>
    <cellStyle name="@_9월-12월_9월-12월_PULL  LIST-1 (2004년)_PULL  LIST-1 (2004년)_PULL  LIST-1 (2004년)_PULL  LIST-1 (2006년)_PULL  LIST-1 (2006년)_PULL  LIST-1 (2006년)" xfId="563"/>
    <cellStyle name="@_9월-12월_9월-12월_PULL  LIST-1 (2004년)_PULL  LIST-1 (2004년)_PULL  LIST-1 (2004년)_PULL  LIST-1 (2006년)_PULL  LIST-1 (2006년)_PULL  LIST-1 (2006년)_ PULL  LIST-1 (2007년)" xfId="564"/>
    <cellStyle name="@_9월-12월_9월-12월_PULL  LIST-1 (2004년)_PULL  LIST-1 (2004년)_PULL  LIST-1 (2004년)_원가인하9월30일" xfId="565"/>
    <cellStyle name="@_9월-12월_9월-12월_PULL  LIST-1 (2004년)_PULL  LIST-1 (2004년)_PULL  LIST-1 (2004년)_원가인하9월30일_ PULL  LIST-1 (2007년)" xfId="566"/>
    <cellStyle name="@_9월-12월_9월-12월_PULL  LIST-1 (2004년)_PULL  LIST-1 (2004년)_PULL  LIST-1 (2004년)_원가인하9월30일_PULL  LIST-1 (2006년)" xfId="567"/>
    <cellStyle name="@_9월-12월_9월-12월_PULL  LIST-1 (2004년)_PULL  LIST-1 (2004년)_PULL  LIST-1 (2004년)_원가인하9월30일_PULL  LIST-1 (2006년)_PULL  LIST-1 (2006년)" xfId="568"/>
    <cellStyle name="@_9월-12월_9월-12월_PULL  LIST-1 (2004년)_PULL  LIST-1 (2004년)_PULL  LIST-1 (2004년)_원가인하9월30일_PULL  LIST-1 (2006년)_PULL  LIST-1 (2006년)_ PULL  LIST-1 (2007년)" xfId="569"/>
    <cellStyle name="@_9월-12월_9월-12월_PULL  LIST-1 (2004년)_PULL  LIST-1 (2004년)_PULL  LIST-1 (2005년)" xfId="570"/>
    <cellStyle name="@_9월-12월_9월-12월_PULL  LIST-1 (2004년)_PULL  LIST-1 (2004년)_PULL  LIST-1 (2005년)_PULL  LIST-1 (2005년)" xfId="571"/>
    <cellStyle name="@_9월-12월_9월-12월_PULL  LIST-1 (2004년)_PULL  LIST-1 (2004년)_PULL  LIST-1 (2005년)_PULL  LIST-1 (2005년)_ PULL  LIST-1 (2007년)" xfId="572"/>
    <cellStyle name="@_9월-12월_9월-12월_PULL  LIST-1 (2004년)_PULL  LIST-1 (2004년)_PULL  LIST-1 (2005년)_PULL  LIST-1 (2005년)_PULL  LIST-1 (2006년)" xfId="573"/>
    <cellStyle name="@_9월-12월_9월-12월_PULL  LIST-1 (2004년)_PULL  LIST-1 (2004년)_PULL  LIST-1 (2005년)_PULL  LIST-1 (2005년)_PULL  LIST-1 (2006년)_PULL  LIST-1 (2006년)" xfId="574"/>
    <cellStyle name="@_9월-12월_9월-12월_PULL  LIST-1 (2004년)_PULL  LIST-1 (2004년)_PULL  LIST-1 (2005년)_PULL  LIST-1 (2005년)_PULL  LIST-1 (2006년)_PULL  LIST-1 (2006년)_ PULL  LIST-1 (2007년)" xfId="575"/>
    <cellStyle name="@_9월-12월_9월-12월_PULL  LIST-1 (2004년)_PULL  LIST-1 (2004년)_PULL  LIST-1 (2005년)_PULL  LIST-1 (2006년)" xfId="576"/>
    <cellStyle name="@_9월-12월_9월-12월_PULL  LIST-1 (2004년)_PULL  LIST-1 (2004년)_PULL  LIST-1 (2005년)_PULL  LIST-1 (2006년)_ PULL  LIST-1 (2007년)" xfId="577"/>
    <cellStyle name="@_9월-12월_9월-12월_PULL  LIST-1 (2004년)_PULL  LIST-1 (2004년)_PULL  LIST-1 (2005년)_PULL  LIST-1 (2006년)_PULL  LIST-1 (2006년)" xfId="578"/>
    <cellStyle name="@_9월-12월_9월-12월_PULL  LIST-1 (2004년)_PULL  LIST-1 (2004년)_PULL  LIST-1 (2005년)_PULL  LIST-1 (2006년)_PULL  LIST-1 (2006년)_PULL  LIST-1 (2006년)" xfId="579"/>
    <cellStyle name="@_9월-12월_9월-12월_PULL  LIST-1 (2004년)_PULL  LIST-1 (2004년)_PULL  LIST-1 (2005년)_PULL  LIST-1 (2006년)_PULL  LIST-1 (2006년)_PULL  LIST-1 (2006년)_ PULL  LIST-1 (2007년)" xfId="580"/>
    <cellStyle name="@_9월-12월_9월-12월_PULL  LIST-1 (2004년)_PULL  LIST-1 (2004년)_PULL  LIST-1 (2005년)_원가인하9월30일" xfId="581"/>
    <cellStyle name="@_9월-12월_9월-12월_PULL  LIST-1 (2004년)_PULL  LIST-1 (2004년)_PULL  LIST-1 (2005년)_원가인하9월30일_ PULL  LIST-1 (2007년)" xfId="582"/>
    <cellStyle name="@_9월-12월_9월-12월_PULL  LIST-1 (2004년)_PULL  LIST-1 (2004년)_PULL  LIST-1 (2005년)_원가인하9월30일_PULL  LIST-1 (2006년)" xfId="583"/>
    <cellStyle name="@_9월-12월_9월-12월_PULL  LIST-1 (2004년)_PULL  LIST-1 (2004년)_PULL  LIST-1 (2005년)_원가인하9월30일_PULL  LIST-1 (2006년)_PULL  LIST-1 (2006년)" xfId="584"/>
    <cellStyle name="@_9월-12월_9월-12월_PULL  LIST-1 (2004년)_PULL  LIST-1 (2004년)_PULL  LIST-1 (2005년)_원가인하9월30일_PULL  LIST-1 (2006년)_PULL  LIST-1 (2006년)_ PULL  LIST-1 (2007년)" xfId="585"/>
    <cellStyle name="@_9월-12월_9월-12월_PULL  LIST-1 (2004년)_PULL  LIST-1 (2004년)_PULL  LIST-1 (2006년)" xfId="586"/>
    <cellStyle name="@_9월-12월_9월-12월_PULL  LIST-1 (2004년)_PULL  LIST-1 (2004년)_PULL  LIST-1 (2006년)_PULL  LIST-1 (2006년)" xfId="587"/>
    <cellStyle name="@_9월-12월_9월-12월_PULL  LIST-1 (2004년)_PULL  LIST-1 (2004년)_PULL  LIST-1 (2006년)_PULL  LIST-1 (2006년)_ PULL  LIST-1 (2007년)" xfId="588"/>
    <cellStyle name="@_9월-12월_9월-12월_PULL  LIST-1 (2004년)_PULL  LIST-1 (2005년)" xfId="589"/>
    <cellStyle name="@_9월-12월_9월-12월_PULL  LIST-1 (2004년)_PULL  LIST-1 (2005년)_ PULL  LIST-1 (2007년)" xfId="590"/>
    <cellStyle name="@_9월-12월_9월-12월_PULL  LIST-1 (2004년)_PULL  LIST-1 (2005년)_PULL  LIST-1 (2006년)" xfId="591"/>
    <cellStyle name="@_9월-12월_9월-12월_PULL  LIST-1 (2004년)_PULL  LIST-1 (2005년)_PULL  LIST-1 (2006년)_PULL  LIST-1 (2006년)" xfId="592"/>
    <cellStyle name="@_9월-12월_9월-12월_PULL  LIST-1 (2004년)_PULL  LIST-1 (2005년)_PULL  LIST-1 (2006년)_PULL  LIST-1 (2006년)_ PULL  LIST-1 (2007년)" xfId="593"/>
    <cellStyle name="@_9월-12월_9월-12월_PULL  LIST-1 (2004년)_PULL  LIST-1 (2006년)" xfId="594"/>
    <cellStyle name="@_9월-12월_9월-12월_PULL  LIST-1 (2004년)_PULL  LIST-1 (2006년)_ PULL  LIST-1 (2007년)" xfId="595"/>
    <cellStyle name="@_9월-12월_9월-12월_PULL  LIST-1 (2004년)_PULL  LIST-1 (2006년)_PULL  LIST-1 (2006년)" xfId="596"/>
    <cellStyle name="@_9월-12월_9월-12월_PULL  LIST-1 (2004년)_PULL  LIST-1 (2006년)_PULL  LIST-1 (2006년)_PULL  LIST-1 (2006년)" xfId="597"/>
    <cellStyle name="@_9월-12월_9월-12월_PULL  LIST-1 (2004년)_PULL  LIST-1 (2006년)_PULL  LIST-1 (2006년)_PULL  LIST-1 (2006년)_ PULL  LIST-1 (2007년)" xfId="598"/>
    <cellStyle name="@_9월-12월_9월-12월_PULL  LIST-1 (2004년)_원가인하9월30일" xfId="599"/>
    <cellStyle name="@_9월-12월_9월-12월_PULL  LIST-1 (2004년)_원가인하9월30일_ PULL  LIST-1 (2007년)" xfId="600"/>
    <cellStyle name="@_9월-12월_9월-12월_PULL  LIST-1 (2004년)_원가인하9월30일_PULL  LIST-1 (2006년)" xfId="601"/>
    <cellStyle name="@_9월-12월_9월-12월_PULL  LIST-1 (2004년)_원가인하9월30일_PULL  LIST-1 (2006년)_PULL  LIST-1 (2006년)" xfId="602"/>
    <cellStyle name="@_9월-12월_9월-12월_PULL  LIST-1 (2004년)_원가인하9월30일_PULL  LIST-1 (2006년)_PULL  LIST-1 (2006년)_ PULL  LIST-1 (2007년)" xfId="603"/>
    <cellStyle name="@_9월-12월_9월-12월_PULL  LIST-1 (2005년)" xfId="604"/>
    <cellStyle name="@_9월-12월_9월-12월_PULL  LIST-1 (2005년)_PULL  LIST-1 (2005년)" xfId="605"/>
    <cellStyle name="@_9월-12월_9월-12월_PULL  LIST-1 (2005년)_PULL  LIST-1 (2005년)_ PULL  LIST-1 (2007년)" xfId="606"/>
    <cellStyle name="@_9월-12월_9월-12월_PULL  LIST-1 (2005년)_PULL  LIST-1 (2005년)_PULL  LIST-1 (2006년)" xfId="607"/>
    <cellStyle name="@_9월-12월_9월-12월_PULL  LIST-1 (2005년)_PULL  LIST-1 (2005년)_PULL  LIST-1 (2006년)_PULL  LIST-1 (2006년)" xfId="608"/>
    <cellStyle name="@_9월-12월_9월-12월_PULL  LIST-1 (2005년)_PULL  LIST-1 (2005년)_PULL  LIST-1 (2006년)_PULL  LIST-1 (2006년)_ PULL  LIST-1 (2007년)" xfId="609"/>
    <cellStyle name="@_9월-12월_9월-12월_PULL  LIST-1 (2005년)_PULL  LIST-1 (2006년)" xfId="610"/>
    <cellStyle name="@_9월-12월_9월-12월_PULL  LIST-1 (2005년)_PULL  LIST-1 (2006년)_ PULL  LIST-1 (2007년)" xfId="611"/>
    <cellStyle name="@_9월-12월_9월-12월_PULL  LIST-1 (2005년)_PULL  LIST-1 (2006년)_PULL  LIST-1 (2006년)" xfId="612"/>
    <cellStyle name="@_9월-12월_9월-12월_PULL  LIST-1 (2005년)_PULL  LIST-1 (2006년)_PULL  LIST-1 (2006년)_PULL  LIST-1 (2006년)" xfId="613"/>
    <cellStyle name="@_9월-12월_9월-12월_PULL  LIST-1 (2005년)_PULL  LIST-1 (2006년)_PULL  LIST-1 (2006년)_PULL  LIST-1 (2006년)_ PULL  LIST-1 (2007년)" xfId="614"/>
    <cellStyle name="@_9월-12월_9월-12월_PULL  LIST-1 (2005년)_원가인하9월30일" xfId="615"/>
    <cellStyle name="@_9월-12월_9월-12월_PULL  LIST-1 (2005년)_원가인하9월30일_ PULL  LIST-1 (2007년)" xfId="616"/>
    <cellStyle name="@_9월-12월_9월-12월_PULL  LIST-1 (2005년)_원가인하9월30일_PULL  LIST-1 (2006년)" xfId="617"/>
    <cellStyle name="@_9월-12월_9월-12월_PULL  LIST-1 (2005년)_원가인하9월30일_PULL  LIST-1 (2006년)_PULL  LIST-1 (2006년)" xfId="618"/>
    <cellStyle name="@_9월-12월_9월-12월_PULL  LIST-1 (2005년)_원가인하9월30일_PULL  LIST-1 (2006년)_PULL  LIST-1 (2006년)_ PULL  LIST-1 (2007년)" xfId="619"/>
    <cellStyle name="@_9월-12월_9월-12월_PULL  LIST-1 (2006년)" xfId="620"/>
    <cellStyle name="@_9월-12월_9월-12월_PULL  LIST-1 (2006년)_PULL  LIST-1 (2006년)" xfId="621"/>
    <cellStyle name="@_9월-12월_9월-12월_PULL  LIST-1 (2006년)_PULL  LIST-1 (2006년)_ PULL  LIST-1 (2007년)" xfId="622"/>
    <cellStyle name="@_9월-12월_PULL  LIST-1 (2004년)" xfId="623"/>
    <cellStyle name="@_9월-12월_PULL  LIST-1 (2004년)_Book1" xfId="624"/>
    <cellStyle name="@_9월-12월_PULL  LIST-1 (2004년)_Book1_ PULL  LIST-1 (2007년)" xfId="625"/>
    <cellStyle name="@_9월-12월_PULL  LIST-1 (2004년)_Book1_PULL  LIST-1 (2005년)" xfId="626"/>
    <cellStyle name="@_9월-12월_PULL  LIST-1 (2004년)_Book1_PULL  LIST-1 (2005년)_PULL  LIST-1 (2005년)" xfId="627"/>
    <cellStyle name="@_9월-12월_PULL  LIST-1 (2004년)_Book1_PULL  LIST-1 (2005년)_PULL  LIST-1 (2005년)_ PULL  LIST-1 (2007년)" xfId="628"/>
    <cellStyle name="@_9월-12월_PULL  LIST-1 (2004년)_Book1_PULL  LIST-1 (2005년)_PULL  LIST-1 (2005년)_PULL  LIST-1 (2006년)" xfId="629"/>
    <cellStyle name="@_9월-12월_PULL  LIST-1 (2004년)_Book1_PULL  LIST-1 (2005년)_PULL  LIST-1 (2005년)_PULL  LIST-1 (2006년)_PULL  LIST-1 (2006년)" xfId="630"/>
    <cellStyle name="@_9월-12월_PULL  LIST-1 (2004년)_Book1_PULL  LIST-1 (2005년)_PULL  LIST-1 (2005년)_PULL  LIST-1 (2006년)_PULL  LIST-1 (2006년)_ PULL  LIST-1 (2007년)" xfId="631"/>
    <cellStyle name="@_9월-12월_PULL  LIST-1 (2004년)_Book1_PULL  LIST-1 (2005년)_PULL  LIST-1 (2006년)" xfId="632"/>
    <cellStyle name="@_9월-12월_PULL  LIST-1 (2004년)_Book1_PULL  LIST-1 (2005년)_PULL  LIST-1 (2006년)_ PULL  LIST-1 (2007년)" xfId="633"/>
    <cellStyle name="@_9월-12월_PULL  LIST-1 (2004년)_Book1_PULL  LIST-1 (2005년)_PULL  LIST-1 (2006년)_PULL  LIST-1 (2006년)" xfId="634"/>
    <cellStyle name="@_9월-12월_PULL  LIST-1 (2004년)_Book1_PULL  LIST-1 (2005년)_PULL  LIST-1 (2006년)_PULL  LIST-1 (2006년)_PULL  LIST-1 (2006년)" xfId="635"/>
    <cellStyle name="@_9월-12월_PULL  LIST-1 (2004년)_Book1_PULL  LIST-1 (2005년)_PULL  LIST-1 (2006년)_PULL  LIST-1 (2006년)_PULL  LIST-1 (2006년)_ PULL  LIST-1 (2007년)" xfId="636"/>
    <cellStyle name="@_9월-12월_PULL  LIST-1 (2004년)_Book1_PULL  LIST-1 (2005년)_원가인하9월30일" xfId="637"/>
    <cellStyle name="@_9월-12월_PULL  LIST-1 (2004년)_Book1_PULL  LIST-1 (2005년)_원가인하9월30일_ PULL  LIST-1 (2007년)" xfId="638"/>
    <cellStyle name="@_9월-12월_PULL  LIST-1 (2004년)_Book1_PULL  LIST-1 (2005년)_원가인하9월30일_PULL  LIST-1 (2006년)" xfId="639"/>
    <cellStyle name="@_9월-12월_PULL  LIST-1 (2004년)_Book1_PULL  LIST-1 (2005년)_원가인하9월30일_PULL  LIST-1 (2006년)_PULL  LIST-1 (2006년)" xfId="640"/>
    <cellStyle name="@_9월-12월_PULL  LIST-1 (2004년)_Book1_PULL  LIST-1 (2005년)_원가인하9월30일_PULL  LIST-1 (2006년)_PULL  LIST-1 (2006년)_ PULL  LIST-1 (2007년)" xfId="641"/>
    <cellStyle name="@_9월-12월_PULL  LIST-1 (2004년)_Book1_PULL  LIST-1 (2006년)" xfId="642"/>
    <cellStyle name="@_9월-12월_PULL  LIST-1 (2004년)_Book1_PULL  LIST-1 (2006년)_PULL  LIST-1 (2006년)" xfId="643"/>
    <cellStyle name="@_9월-12월_PULL  LIST-1 (2004년)_Book1_PULL  LIST-1 (2006년)_PULL  LIST-1 (2006년)_ PULL  LIST-1 (2007년)" xfId="644"/>
    <cellStyle name="@_9월-12월_PULL  LIST-1 (2004년)_PULL  LIST-1 (2004년)" xfId="645"/>
    <cellStyle name="@_9월-12월_PULL  LIST-1 (2004년)_PULL  LIST-1 (2004년)_ PULL  LIST-1 (2007년)" xfId="646"/>
    <cellStyle name="@_9월-12월_PULL  LIST-1 (2004년)_PULL  LIST-1 (2004년)_PULL  LIST-1 (2004년)" xfId="647"/>
    <cellStyle name="@_9월-12월_PULL  LIST-1 (2004년)_PULL  LIST-1 (2004년)_PULL  LIST-1 (2004년)_Book1" xfId="648"/>
    <cellStyle name="@_9월-12월_PULL  LIST-1 (2004년)_PULL  LIST-1 (2004년)_PULL  LIST-1 (2004년)_Book1_ PULL  LIST-1 (2007년)" xfId="649"/>
    <cellStyle name="@_9월-12월_PULL  LIST-1 (2004년)_PULL  LIST-1 (2004년)_PULL  LIST-1 (2004년)_Book1_PULL  LIST-1 (2005년)" xfId="650"/>
    <cellStyle name="@_9월-12월_PULL  LIST-1 (2004년)_PULL  LIST-1 (2004년)_PULL  LIST-1 (2004년)_Book1_PULL  LIST-1 (2005년)_PULL  LIST-1 (2005년)" xfId="651"/>
    <cellStyle name="@_9월-12월_PULL  LIST-1 (2004년)_PULL  LIST-1 (2004년)_PULL  LIST-1 (2004년)_Book1_PULL  LIST-1 (2005년)_PULL  LIST-1 (2005년)_ PULL  LIST-1 (2007년)" xfId="652"/>
    <cellStyle name="@_9월-12월_PULL  LIST-1 (2004년)_PULL  LIST-1 (2004년)_PULL  LIST-1 (2004년)_Book1_PULL  LIST-1 (2005년)_PULL  LIST-1 (2005년)_PULL  LIST-1 (2006년)" xfId="653"/>
    <cellStyle name="@_9월-12월_PULL  LIST-1 (2004년)_PULL  LIST-1 (2004년)_PULL  LIST-1 (2004년)_Book1_PULL  LIST-1 (2005년)_PULL  LIST-1 (2005년)_PULL  LIST-1 (2006년)_PULL  LIST-1 (2006년)" xfId="654"/>
    <cellStyle name="@_9월-12월_PULL  LIST-1 (2004년)_PULL  LIST-1 (2004년)_PULL  LIST-1 (2004년)_Book1_PULL  LIST-1 (2005년)_PULL  LIST-1 (2005년)_PULL  LIST-1 (2006년)_PULL  LIST-1 (2006년)_ PULL  LIST-1 (2007년)" xfId="655"/>
    <cellStyle name="@_9월-12월_PULL  LIST-1 (2004년)_PULL  LIST-1 (2004년)_PULL  LIST-1 (2004년)_Book1_PULL  LIST-1 (2005년)_PULL  LIST-1 (2006년)" xfId="656"/>
    <cellStyle name="@_9월-12월_PULL  LIST-1 (2004년)_PULL  LIST-1 (2004년)_PULL  LIST-1 (2004년)_Book1_PULL  LIST-1 (2005년)_PULL  LIST-1 (2006년)_ PULL  LIST-1 (2007년)" xfId="657"/>
    <cellStyle name="@_9월-12월_PULL  LIST-1 (2004년)_PULL  LIST-1 (2004년)_PULL  LIST-1 (2004년)_Book1_PULL  LIST-1 (2005년)_PULL  LIST-1 (2006년)_PULL  LIST-1 (2006년)" xfId="658"/>
    <cellStyle name="@_9월-12월_PULL  LIST-1 (2004년)_PULL  LIST-1 (2004년)_PULL  LIST-1 (2004년)_Book1_PULL  LIST-1 (2005년)_PULL  LIST-1 (2006년)_PULL  LIST-1 (2006년)_PULL  LIST-1 (2006년)" xfId="659"/>
    <cellStyle name="@_9월-12월_PULL  LIST-1 (2004년)_PULL  LIST-1 (2004년)_PULL  LIST-1 (2004년)_Book1_PULL  LIST-1 (2005년)_PULL  LIST-1 (2006년)_PULL  LIST-1 (2006년)_PULL  LIST-1 (2006년)_ PULL  LIST-1 (2007년)" xfId="660"/>
    <cellStyle name="@_9월-12월_PULL  LIST-1 (2004년)_PULL  LIST-1 (2004년)_PULL  LIST-1 (2004년)_Book1_PULL  LIST-1 (2005년)_원가인하9월30일" xfId="661"/>
    <cellStyle name="@_9월-12월_PULL  LIST-1 (2004년)_PULL  LIST-1 (2004년)_PULL  LIST-1 (2004년)_Book1_PULL  LIST-1 (2005년)_원가인하9월30일_ PULL  LIST-1 (2007년)" xfId="662"/>
    <cellStyle name="@_9월-12월_PULL  LIST-1 (2004년)_PULL  LIST-1 (2004년)_PULL  LIST-1 (2004년)_Book1_PULL  LIST-1 (2005년)_원가인하9월30일_PULL  LIST-1 (2006년)" xfId="663"/>
    <cellStyle name="@_9월-12월_PULL  LIST-1 (2004년)_PULL  LIST-1 (2004년)_PULL  LIST-1 (2004년)_Book1_PULL  LIST-1 (2005년)_원가인하9월30일_PULL  LIST-1 (2006년)_PULL  LIST-1 (2006년)" xfId="664"/>
    <cellStyle name="@_9월-12월_PULL  LIST-1 (2004년)_PULL  LIST-1 (2004년)_PULL  LIST-1 (2004년)_Book1_PULL  LIST-1 (2005년)_원가인하9월30일_PULL  LIST-1 (2006년)_PULL  LIST-1 (2006년)_ PULL  LIST-1 (2007년)" xfId="665"/>
    <cellStyle name="@_9월-12월_PULL  LIST-1 (2004년)_PULL  LIST-1 (2004년)_PULL  LIST-1 (2004년)_Book1_PULL  LIST-1 (2006년)" xfId="666"/>
    <cellStyle name="@_9월-12월_PULL  LIST-1 (2004년)_PULL  LIST-1 (2004년)_PULL  LIST-1 (2004년)_Book1_PULL  LIST-1 (2006년)_PULL  LIST-1 (2006년)" xfId="667"/>
    <cellStyle name="@_9월-12월_PULL  LIST-1 (2004년)_PULL  LIST-1 (2004년)_PULL  LIST-1 (2004년)_Book1_PULL  LIST-1 (2006년)_PULL  LIST-1 (2006년)_ PULL  LIST-1 (2007년)" xfId="668"/>
    <cellStyle name="@_9월-12월_PULL  LIST-1 (2004년)_PULL  LIST-1 (2004년)_PULL  LIST-1 (2004년)_PULL  LIST-1 (2005년)" xfId="669"/>
    <cellStyle name="@_9월-12월_PULL  LIST-1 (2004년)_PULL  LIST-1 (2004년)_PULL  LIST-1 (2004년)_PULL  LIST-1 (2005년)_ PULL  LIST-1 (2007년)" xfId="670"/>
    <cellStyle name="@_9월-12월_PULL  LIST-1 (2004년)_PULL  LIST-1 (2004년)_PULL  LIST-1 (2004년)_PULL  LIST-1 (2005년)_PULL  LIST-1 (2006년)" xfId="671"/>
    <cellStyle name="@_9월-12월_PULL  LIST-1 (2004년)_PULL  LIST-1 (2004년)_PULL  LIST-1 (2004년)_PULL  LIST-1 (2005년)_PULL  LIST-1 (2006년)_PULL  LIST-1 (2006년)" xfId="672"/>
    <cellStyle name="@_9월-12월_PULL  LIST-1 (2004년)_PULL  LIST-1 (2004년)_PULL  LIST-1 (2004년)_PULL  LIST-1 (2005년)_PULL  LIST-1 (2006년)_PULL  LIST-1 (2006년)_ PULL  LIST-1 (2007년)" xfId="673"/>
    <cellStyle name="@_9월-12월_PULL  LIST-1 (2004년)_PULL  LIST-1 (2004년)_PULL  LIST-1 (2004년)_PULL  LIST-1 (2006년)" xfId="674"/>
    <cellStyle name="@_9월-12월_PULL  LIST-1 (2004년)_PULL  LIST-1 (2004년)_PULL  LIST-1 (2004년)_PULL  LIST-1 (2006년)_ PULL  LIST-1 (2007년)" xfId="675"/>
    <cellStyle name="@_9월-12월_PULL  LIST-1 (2004년)_PULL  LIST-1 (2004년)_PULL  LIST-1 (2004년)_PULL  LIST-1 (2006년)_PULL  LIST-1 (2006년)" xfId="676"/>
    <cellStyle name="@_9월-12월_PULL  LIST-1 (2004년)_PULL  LIST-1 (2004년)_PULL  LIST-1 (2004년)_PULL  LIST-1 (2006년)_PULL  LIST-1 (2006년)_PULL  LIST-1 (2006년)" xfId="677"/>
    <cellStyle name="@_9월-12월_PULL  LIST-1 (2004년)_PULL  LIST-1 (2004년)_PULL  LIST-1 (2004년)_PULL  LIST-1 (2006년)_PULL  LIST-1 (2006년)_PULL  LIST-1 (2006년)_ PULL  LIST-1 (2007년)" xfId="678"/>
    <cellStyle name="@_9월-12월_PULL  LIST-1 (2004년)_PULL  LIST-1 (2004년)_PULL  LIST-1 (2004년)_원가인하9월30일" xfId="679"/>
    <cellStyle name="@_9월-12월_PULL  LIST-1 (2004년)_PULL  LIST-1 (2004년)_PULL  LIST-1 (2004년)_원가인하9월30일_ PULL  LIST-1 (2007년)" xfId="680"/>
    <cellStyle name="@_9월-12월_PULL  LIST-1 (2004년)_PULL  LIST-1 (2004년)_PULL  LIST-1 (2004년)_원가인하9월30일_PULL  LIST-1 (2006년)" xfId="681"/>
    <cellStyle name="@_9월-12월_PULL  LIST-1 (2004년)_PULL  LIST-1 (2004년)_PULL  LIST-1 (2004년)_원가인하9월30일_PULL  LIST-1 (2006년)_PULL  LIST-1 (2006년)" xfId="682"/>
    <cellStyle name="@_9월-12월_PULL  LIST-1 (2004년)_PULL  LIST-1 (2004년)_PULL  LIST-1 (2004년)_원가인하9월30일_PULL  LIST-1 (2006년)_PULL  LIST-1 (2006년)_ PULL  LIST-1 (2007년)" xfId="683"/>
    <cellStyle name="@_9월-12월_PULL  LIST-1 (2004년)_PULL  LIST-1 (2004년)_PULL  LIST-1 (2005년)" xfId="684"/>
    <cellStyle name="@_9월-12월_PULL  LIST-1 (2004년)_PULL  LIST-1 (2004년)_PULL  LIST-1 (2005년)_PULL  LIST-1 (2005년)" xfId="685"/>
    <cellStyle name="@_9월-12월_PULL  LIST-1 (2004년)_PULL  LIST-1 (2004년)_PULL  LIST-1 (2005년)_PULL  LIST-1 (2005년)_ PULL  LIST-1 (2007년)" xfId="686"/>
    <cellStyle name="@_9월-12월_PULL  LIST-1 (2004년)_PULL  LIST-1 (2004년)_PULL  LIST-1 (2005년)_PULL  LIST-1 (2005년)_PULL  LIST-1 (2006년)" xfId="687"/>
    <cellStyle name="@_9월-12월_PULL  LIST-1 (2004년)_PULL  LIST-1 (2004년)_PULL  LIST-1 (2005년)_PULL  LIST-1 (2005년)_PULL  LIST-1 (2006년)_PULL  LIST-1 (2006년)" xfId="688"/>
    <cellStyle name="@_9월-12월_PULL  LIST-1 (2004년)_PULL  LIST-1 (2004년)_PULL  LIST-1 (2005년)_PULL  LIST-1 (2005년)_PULL  LIST-1 (2006년)_PULL  LIST-1 (2006년)_ PULL  LIST-1 (2007년)" xfId="689"/>
    <cellStyle name="@_9월-12월_PULL  LIST-1 (2004년)_PULL  LIST-1 (2004년)_PULL  LIST-1 (2005년)_PULL  LIST-1 (2006년)" xfId="690"/>
    <cellStyle name="@_9월-12월_PULL  LIST-1 (2004년)_PULL  LIST-1 (2004년)_PULL  LIST-1 (2005년)_PULL  LIST-1 (2006년)_ PULL  LIST-1 (2007년)" xfId="691"/>
    <cellStyle name="@_9월-12월_PULL  LIST-1 (2004년)_PULL  LIST-1 (2004년)_PULL  LIST-1 (2005년)_PULL  LIST-1 (2006년)_PULL  LIST-1 (2006년)" xfId="692"/>
    <cellStyle name="@_9월-12월_PULL  LIST-1 (2004년)_PULL  LIST-1 (2004년)_PULL  LIST-1 (2005년)_PULL  LIST-1 (2006년)_PULL  LIST-1 (2006년)_PULL  LIST-1 (2006년)" xfId="693"/>
    <cellStyle name="@_9월-12월_PULL  LIST-1 (2004년)_PULL  LIST-1 (2004년)_PULL  LIST-1 (2005년)_PULL  LIST-1 (2006년)_PULL  LIST-1 (2006년)_PULL  LIST-1 (2006년)_ PULL  LIST-1 (2007년)" xfId="694"/>
    <cellStyle name="@_9월-12월_PULL  LIST-1 (2004년)_PULL  LIST-1 (2004년)_PULL  LIST-1 (2005년)_원가인하9월30일" xfId="695"/>
    <cellStyle name="@_9월-12월_PULL  LIST-1 (2004년)_PULL  LIST-1 (2004년)_PULL  LIST-1 (2005년)_원가인하9월30일_ PULL  LIST-1 (2007년)" xfId="696"/>
    <cellStyle name="@_9월-12월_PULL  LIST-1 (2004년)_PULL  LIST-1 (2004년)_PULL  LIST-1 (2005년)_원가인하9월30일_PULL  LIST-1 (2006년)" xfId="697"/>
    <cellStyle name="@_9월-12월_PULL  LIST-1 (2004년)_PULL  LIST-1 (2004년)_PULL  LIST-1 (2005년)_원가인하9월30일_PULL  LIST-1 (2006년)_PULL  LIST-1 (2006년)" xfId="698"/>
    <cellStyle name="@_9월-12월_PULL  LIST-1 (2004년)_PULL  LIST-1 (2004년)_PULL  LIST-1 (2005년)_원가인하9월30일_PULL  LIST-1 (2006년)_PULL  LIST-1 (2006년)_ PULL  LIST-1 (2007년)" xfId="699"/>
    <cellStyle name="@_9월-12월_PULL  LIST-1 (2004년)_PULL  LIST-1 (2004년)_PULL  LIST-1 (2006년)" xfId="700"/>
    <cellStyle name="@_9월-12월_PULL  LIST-1 (2004년)_PULL  LIST-1 (2004년)_PULL  LIST-1 (2006년)_PULL  LIST-1 (2006년)" xfId="701"/>
    <cellStyle name="@_9월-12월_PULL  LIST-1 (2004년)_PULL  LIST-1 (2004년)_PULL  LIST-1 (2006년)_PULL  LIST-1 (2006년)_ PULL  LIST-1 (2007년)" xfId="702"/>
    <cellStyle name="@_9월-12월_PULL  LIST-1 (2004년)_PULL  LIST-1 (2005년)" xfId="703"/>
    <cellStyle name="@_9월-12월_PULL  LIST-1 (2004년)_PULL  LIST-1 (2005년)_ PULL  LIST-1 (2007년)" xfId="704"/>
    <cellStyle name="@_9월-12월_PULL  LIST-1 (2004년)_PULL  LIST-1 (2005년)_PULL  LIST-1 (2006년)" xfId="705"/>
    <cellStyle name="@_9월-12월_PULL  LIST-1 (2004년)_PULL  LIST-1 (2005년)_PULL  LIST-1 (2006년)_PULL  LIST-1 (2006년)" xfId="706"/>
    <cellStyle name="@_9월-12월_PULL  LIST-1 (2004년)_PULL  LIST-1 (2005년)_PULL  LIST-1 (2006년)_PULL  LIST-1 (2006년)_ PULL  LIST-1 (2007년)" xfId="707"/>
    <cellStyle name="@_9월-12월_PULL  LIST-1 (2004년)_PULL  LIST-1 (2006년)" xfId="708"/>
    <cellStyle name="@_9월-12월_PULL  LIST-1 (2004년)_PULL  LIST-1 (2006년)_ PULL  LIST-1 (2007년)" xfId="709"/>
    <cellStyle name="@_9월-12월_PULL  LIST-1 (2004년)_PULL  LIST-1 (2006년)_PULL  LIST-1 (2006년)" xfId="710"/>
    <cellStyle name="@_9월-12월_PULL  LIST-1 (2004년)_PULL  LIST-1 (2006년)_PULL  LIST-1 (2006년)_PULL  LIST-1 (2006년)" xfId="711"/>
    <cellStyle name="@_9월-12월_PULL  LIST-1 (2004년)_PULL  LIST-1 (2006년)_PULL  LIST-1 (2006년)_PULL  LIST-1 (2006년)_ PULL  LIST-1 (2007년)" xfId="712"/>
    <cellStyle name="@_9월-12월_PULL  LIST-1 (2004년)_원가인하9월30일" xfId="713"/>
    <cellStyle name="@_9월-12월_PULL  LIST-1 (2004년)_원가인하9월30일_ PULL  LIST-1 (2007년)" xfId="714"/>
    <cellStyle name="@_9월-12월_PULL  LIST-1 (2004년)_원가인하9월30일_PULL  LIST-1 (2006년)" xfId="715"/>
    <cellStyle name="@_9월-12월_PULL  LIST-1 (2004년)_원가인하9월30일_PULL  LIST-1 (2006년)_PULL  LIST-1 (2006년)" xfId="716"/>
    <cellStyle name="@_9월-12월_PULL  LIST-1 (2004년)_원가인하9월30일_PULL  LIST-1 (2006년)_PULL  LIST-1 (2006년)_ PULL  LIST-1 (2007년)" xfId="717"/>
    <cellStyle name="@_9월-12월_PULL  LIST-1 (2005년)" xfId="718"/>
    <cellStyle name="@_9월-12월_PULL  LIST-1 (2005년)_PULL  LIST-1 (2005년)" xfId="719"/>
    <cellStyle name="@_9월-12월_PULL  LIST-1 (2005년)_PULL  LIST-1 (2005년)_ PULL  LIST-1 (2007년)" xfId="720"/>
    <cellStyle name="@_9월-12월_PULL  LIST-1 (2005년)_PULL  LIST-1 (2005년)_PULL  LIST-1 (2006년)" xfId="721"/>
    <cellStyle name="@_9월-12월_PULL  LIST-1 (2005년)_PULL  LIST-1 (2005년)_PULL  LIST-1 (2006년)_PULL  LIST-1 (2006년)" xfId="722"/>
    <cellStyle name="@_9월-12월_PULL  LIST-1 (2005년)_PULL  LIST-1 (2005년)_PULL  LIST-1 (2006년)_PULL  LIST-1 (2006년)_ PULL  LIST-1 (2007년)" xfId="723"/>
    <cellStyle name="@_9월-12월_PULL  LIST-1 (2005년)_PULL  LIST-1 (2006년)" xfId="724"/>
    <cellStyle name="@_9월-12월_PULL  LIST-1 (2005년)_PULL  LIST-1 (2006년)_ PULL  LIST-1 (2007년)" xfId="725"/>
    <cellStyle name="@_9월-12월_PULL  LIST-1 (2005년)_PULL  LIST-1 (2006년)_PULL  LIST-1 (2006년)" xfId="726"/>
    <cellStyle name="@_9월-12월_PULL  LIST-1 (2005년)_PULL  LIST-1 (2006년)_PULL  LIST-1 (2006년)_PULL  LIST-1 (2006년)" xfId="727"/>
    <cellStyle name="@_9월-12월_PULL  LIST-1 (2005년)_PULL  LIST-1 (2006년)_PULL  LIST-1 (2006년)_PULL  LIST-1 (2006년)_ PULL  LIST-1 (2007년)" xfId="728"/>
    <cellStyle name="@_9월-12월_PULL  LIST-1 (2005년)_원가인하9월30일" xfId="729"/>
    <cellStyle name="@_9월-12월_PULL  LIST-1 (2005년)_원가인하9월30일_ PULL  LIST-1 (2007년)" xfId="730"/>
    <cellStyle name="@_9월-12월_PULL  LIST-1 (2005년)_원가인하9월30일_PULL  LIST-1 (2006년)" xfId="731"/>
    <cellStyle name="@_9월-12월_PULL  LIST-1 (2005년)_원가인하9월30일_PULL  LIST-1 (2006년)_PULL  LIST-1 (2006년)" xfId="732"/>
    <cellStyle name="@_9월-12월_PULL  LIST-1 (2005년)_원가인하9월30일_PULL  LIST-1 (2006년)_PULL  LIST-1 (2006년)_ PULL  LIST-1 (2007년)" xfId="733"/>
    <cellStyle name="@_9월-12월_PULL  LIST-1 (2006년)" xfId="734"/>
    <cellStyle name="@_9월-12월_PULL  LIST-1 (2006년)_PULL  LIST-1 (2006년)" xfId="735"/>
    <cellStyle name="@_9월-12월_PULL  LIST-1 (2006년)_PULL  LIST-1 (2006년)_ PULL  LIST-1 (2007년)" xfId="736"/>
    <cellStyle name="@_Book1" xfId="737"/>
    <cellStyle name="@_Book1_ PULL  LIST-1 (2007년)" xfId="738"/>
    <cellStyle name="@_Book1_PULL  LIST-1 (2005년)" xfId="739"/>
    <cellStyle name="@_Book1_PULL  LIST-1 (2005년)_PULL  LIST-1 (2005년)" xfId="740"/>
    <cellStyle name="@_Book1_PULL  LIST-1 (2005년)_PULL  LIST-1 (2005년)_ PULL  LIST-1 (2007년)" xfId="741"/>
    <cellStyle name="@_Book1_PULL  LIST-1 (2005년)_PULL  LIST-1 (2005년)_PULL  LIST-1 (2006년)" xfId="742"/>
    <cellStyle name="@_Book1_PULL  LIST-1 (2005년)_PULL  LIST-1 (2005년)_PULL  LIST-1 (2006년)_PULL  LIST-1 (2006년)" xfId="743"/>
    <cellStyle name="@_Book1_PULL  LIST-1 (2005년)_PULL  LIST-1 (2005년)_PULL  LIST-1 (2006년)_PULL  LIST-1 (2006년)_ PULL  LIST-1 (2007년)" xfId="744"/>
    <cellStyle name="@_Book1_PULL  LIST-1 (2005년)_PULL  LIST-1 (2006년)" xfId="745"/>
    <cellStyle name="@_Book1_PULL  LIST-1 (2005년)_PULL  LIST-1 (2006년)_ PULL  LIST-1 (2007년)" xfId="746"/>
    <cellStyle name="@_Book1_PULL  LIST-1 (2005년)_PULL  LIST-1 (2006년)_PULL  LIST-1 (2006년)" xfId="747"/>
    <cellStyle name="@_Book1_PULL  LIST-1 (2005년)_PULL  LIST-1 (2006년)_PULL  LIST-1 (2006년)_PULL  LIST-1 (2006년)" xfId="748"/>
    <cellStyle name="@_Book1_PULL  LIST-1 (2005년)_PULL  LIST-1 (2006년)_PULL  LIST-1 (2006년)_PULL  LIST-1 (2006년)_ PULL  LIST-1 (2007년)" xfId="749"/>
    <cellStyle name="@_Book1_PULL  LIST-1 (2005년)_원가인하9월30일" xfId="750"/>
    <cellStyle name="@_Book1_PULL  LIST-1 (2005년)_원가인하9월30일_ PULL  LIST-1 (2007년)" xfId="751"/>
    <cellStyle name="@_Book1_PULL  LIST-1 (2005년)_원가인하9월30일_ PULL  LIST-1 (2007년) 2" xfId="752"/>
    <cellStyle name="@_Book1_PULL  LIST-1 (2005년)_원가인하9월30일_ PULL  LIST-1 (2007년)_SM321  CON'V (전면우좌)견적서(070123)" xfId="753"/>
    <cellStyle name="@_Book1_PULL  LIST-1 (2005년)_원가인하9월30일_PULL  LIST-1 (2006년)" xfId="754"/>
    <cellStyle name="@_Book1_PULL  LIST-1 (2005년)_원가인하9월30일_PULL  LIST-1 (2006년)_PULL  LIST-1 (2006년)" xfId="755"/>
    <cellStyle name="@_Book1_PULL  LIST-1 (2005년)_원가인하9월30일_PULL  LIST-1 (2006년)_PULL  LIST-1 (2006년)_ PULL  LIST-1 (2007년)" xfId="756"/>
    <cellStyle name="@_Book1_PULL  LIST-1 (2006년)" xfId="757"/>
    <cellStyle name="@_Book1_PULL  LIST-1 (2006년)_PULL  LIST-1 (2006년)" xfId="758"/>
    <cellStyle name="@_Book1_PULL  LIST-1 (2006년)_PULL  LIST-1 (2006년)_ PULL  LIST-1 (2007년)" xfId="759"/>
    <cellStyle name="@_laroux" xfId="760"/>
    <cellStyle name="@_laroux_2" xfId="761"/>
    <cellStyle name="@_laroux_2_가속기 상세설계 품평회 자료_PM_060424" xfId="762"/>
    <cellStyle name="@_laroux_ACP-1~1_총괄표 " xfId="763"/>
    <cellStyle name="@_laroux_ACP-1~1_총괄표 _2.외주관리_가속기" xfId="764"/>
    <cellStyle name="@_laroux_ACP-1~1_총괄표 _외주관리_가속기" xfId="765"/>
    <cellStyle name="@_laroux_M-SAM_총괄표 " xfId="766"/>
    <cellStyle name="@_laroux_M-SAM_총괄표 _2.외주관리_가속기" xfId="767"/>
    <cellStyle name="@_laroux_M-SAM_총괄표 _외주관리_가속기" xfId="768"/>
    <cellStyle name="@_laroux_간접재료비(총투입)_총괄표 " xfId="769"/>
    <cellStyle name="@_laroux_간접재료비(총투입)_총괄표 _2.외주관리_가속기" xfId="770"/>
    <cellStyle name="@_laroux_간접재료비(총투입)_총괄표 _외주관리_가속기" xfId="771"/>
    <cellStyle name="@_laroux_간접재료비단가_'01년 양산(1차 업체제출가)_총괄표 " xfId="772"/>
    <cellStyle name="@_laroux_간접재료비단가_'01년 양산(1차 업체제출가)_총괄표 _2.외주관리_가속기" xfId="773"/>
    <cellStyle name="@_laroux_간접재료비단가_'01년 양산(1차 업체제출가)_총괄표 _외주관리_가속기" xfId="774"/>
    <cellStyle name="@_laroux_간접재료비단가_계약원가(제출)_총괄표 " xfId="775"/>
    <cellStyle name="@_laroux_간접재료비단가_계약원가(제출)_총괄표 _2.외주관리_가속기" xfId="776"/>
    <cellStyle name="@_laroux_간접재료비단가_계약원가(제출)_총괄표 _외주관리_가속기" xfId="777"/>
    <cellStyle name="@_laroux_간접재료비단가_변동(제출)_총괄표 " xfId="778"/>
    <cellStyle name="@_laroux_간접재료비단가_변동(제출)_총괄표 _2.외주관리_가속기" xfId="779"/>
    <cellStyle name="@_laroux_간접재료비단가_변동(제출)_총괄표 _외주관리_가속기" xfId="780"/>
    <cellStyle name="@_laroux_간접재료비단가_총괄표 " xfId="781"/>
    <cellStyle name="@_laroux_간접재료비단가_총괄표 _2.외주관리_가속기" xfId="782"/>
    <cellStyle name="@_laroux_간접재료비단가_총괄표 _외주관리_가속기" xfId="783"/>
    <cellStyle name="@_laroux_감가상각비_'01년 양산(1차 업체제출가)_총괄표 " xfId="784"/>
    <cellStyle name="@_laroux_감가상각비_'01년 양산(1차 업체제출가)_총괄표 _2.외주관리_가속기" xfId="785"/>
    <cellStyle name="@_laroux_감가상각비_'01년 양산(1차 업체제출가)_총괄표 _외주관리_가속기" xfId="786"/>
    <cellStyle name="@_laroux_감가상각비_계약원가(제출)_총괄표 " xfId="787"/>
    <cellStyle name="@_laroux_감가상각비_계약원가(제출)_총괄표 _2.외주관리_가속기" xfId="788"/>
    <cellStyle name="@_laroux_감가상각비_계약원가(제출)_총괄표 _외주관리_가속기" xfId="789"/>
    <cellStyle name="@_laroux_감가상각비_변동(제출)_총괄표 " xfId="790"/>
    <cellStyle name="@_laroux_감가상각비_변동(제출)_총괄표 _2.외주관리_가속기" xfId="791"/>
    <cellStyle name="@_laroux_감가상각비_변동(제출)_총괄표 _외주관리_가속기" xfId="792"/>
    <cellStyle name="@_laroux_감가상각비_총괄표 " xfId="793"/>
    <cellStyle name="@_laroux_감가상각비_총괄표 _2.외주관리_가속기" xfId="794"/>
    <cellStyle name="@_laroux_감가상각비_총괄표 _외주관리_가속기" xfId="795"/>
    <cellStyle name="@_laroux_갑지_총괄표 " xfId="796"/>
    <cellStyle name="@_laroux_갑지_총괄표 _2.외주관리_가속기" xfId="797"/>
    <cellStyle name="@_laroux_갑지_총괄표 _외주관리_가속기" xfId="798"/>
    <cellStyle name="@_laroux_갑지A_총괄표 " xfId="799"/>
    <cellStyle name="@_laroux_갑지A_총괄표 _2.외주관리_가속기" xfId="800"/>
    <cellStyle name="@_laroux_갑지A_총괄표 _외주관리_가속기" xfId="801"/>
    <cellStyle name="@_laroux_국내재료비_총괄표 " xfId="802"/>
    <cellStyle name="@_laroux_국내재료비_총괄표 _2.외주관리_가속기" xfId="803"/>
    <cellStyle name="@_laroux_국내재료비_총괄표 _외주관리_가속기" xfId="804"/>
    <cellStyle name="@_laroux_내열재 I_갑지_총괄표 " xfId="805"/>
    <cellStyle name="@_laroux_내열재 I_갑지_총괄표 _2.외주관리_가속기" xfId="806"/>
    <cellStyle name="@_laroux_내열재 I_갑지_총괄표 _외주관리_가속기" xfId="807"/>
    <cellStyle name="@_laroux_내열재 I_계약원가(제출)_총괄표 " xfId="808"/>
    <cellStyle name="@_laroux_내열재 I_계약원가(제출)_총괄표 _2.외주관리_가속기" xfId="809"/>
    <cellStyle name="@_laroux_내열재 I_계약원가(제출)_총괄표 _외주관리_가속기" xfId="810"/>
    <cellStyle name="@_laroux_내열재 I_내열재 I_갑지_총괄표 " xfId="811"/>
    <cellStyle name="@_laroux_내열재 I_내열재 I_갑지_총괄표 _2.외주관리_가속기" xfId="812"/>
    <cellStyle name="@_laroux_내열재 I_내열재 I_갑지_총괄표 _외주관리_가속기" xfId="813"/>
    <cellStyle name="@_laroux_내열재 I_내열재 I_계약원가(제출)_총괄표 " xfId="814"/>
    <cellStyle name="@_laroux_내열재 I_내열재 I_계약원가(제출)_총괄표 _2.외주관리_가속기" xfId="815"/>
    <cellStyle name="@_laroux_내열재 I_내열재 I_계약원가(제출)_총괄표 _외주관리_가속기" xfId="816"/>
    <cellStyle name="@_laroux_내열재 I_내열재 I_총괄표 " xfId="817"/>
    <cellStyle name="@_laroux_내열재 I_내열재 I_총괄표 _2.외주관리_가속기" xfId="818"/>
    <cellStyle name="@_laroux_내열재 I_내열재 I_총괄표 _외주관리_가속기" xfId="819"/>
    <cellStyle name="@_laroux_내열재 I_내열재 I_추산서_총괄표 " xfId="820"/>
    <cellStyle name="@_laroux_내열재 I_내열재 I_추산서_총괄표 _2.외주관리_가속기" xfId="821"/>
    <cellStyle name="@_laroux_내열재 I_내열재 I_추산서_총괄표 _외주관리_가속기" xfId="822"/>
    <cellStyle name="@_laroux_내열재 I_총괄표 " xfId="823"/>
    <cellStyle name="@_laroux_내열재 I_총괄표 _2.외주관리_가속기" xfId="824"/>
    <cellStyle name="@_laroux_내열재 I_총괄표 _외주관리_가속기" xfId="825"/>
    <cellStyle name="@_laroux_내열재 I_추산서_총괄표 " xfId="826"/>
    <cellStyle name="@_laroux_내열재 I_추산서_총괄표 _2.외주관리_가속기" xfId="827"/>
    <cellStyle name="@_laroux_내열재 I_추산서_총괄표 _외주관리_가속기" xfId="828"/>
    <cellStyle name="@_laroux_수입재료비_총괄표 " xfId="829"/>
    <cellStyle name="@_laroux_수입재료비_총괄표 _2.외주관리_가속기" xfId="830"/>
    <cellStyle name="@_laroux_수입재료비_총괄표 _외주관리_가속기" xfId="831"/>
    <cellStyle name="@_laroux_시제제작(제출)_총괄표 " xfId="832"/>
    <cellStyle name="@_laroux_시제제작(제출)_총괄표 _2.외주관리_가속기" xfId="833"/>
    <cellStyle name="@_laroux_시제제작(제출)_총괄표 _외주관리_가속기" xfId="834"/>
    <cellStyle name="@_laroux_외주가공비_총괄표 " xfId="835"/>
    <cellStyle name="@_laroux_외주가공비_총괄표 _2.외주관리_가속기" xfId="836"/>
    <cellStyle name="@_laroux_외주가공비_총괄표 _외주관리_가속기" xfId="837"/>
    <cellStyle name="@_laroux_원가(K)_'01년 양산(1차 결재)_총괄표 " xfId="838"/>
    <cellStyle name="@_laroux_원가(K)_'01년 양산(1차 결재)_총괄표 _2.외주관리_가속기" xfId="839"/>
    <cellStyle name="@_laroux_원가(K)_'01년 양산(1차 결재)_총괄표 _외주관리_가속기" xfId="840"/>
    <cellStyle name="@_laroux_원가(K)_'01년 양산(1차 업체제출가)_총괄표 " xfId="841"/>
    <cellStyle name="@_laroux_원가(K)_'01년 양산(1차 업체제출가)_총괄표 _2.외주관리_가속기" xfId="842"/>
    <cellStyle name="@_laroux_원가(K)_'01년 양산(1차 업체제출가)_총괄표 _외주관리_가속기" xfId="843"/>
    <cellStyle name="@_laroux_원가(K)_M-SAM_총괄표 " xfId="844"/>
    <cellStyle name="@_laroux_원가(K)_M-SAM_총괄표 _2.외주관리_가속기" xfId="845"/>
    <cellStyle name="@_laroux_원가(K)_M-SAM_총괄표 _외주관리_가속기" xfId="846"/>
    <cellStyle name="@_laroux_원가(K)_간접재료비-1_총괄표 " xfId="847"/>
    <cellStyle name="@_laroux_원가(K)_간접재료비-1_총괄표 _2.외주관리_가속기" xfId="848"/>
    <cellStyle name="@_laroux_원가(K)_간접재료비-1_총괄표 _외주관리_가속기" xfId="849"/>
    <cellStyle name="@_laroux_원가(K)_감가상각비_총괄표 " xfId="850"/>
    <cellStyle name="@_laroux_원가(K)_감가상각비_총괄표 _2.외주관리_가속기" xfId="851"/>
    <cellStyle name="@_laroux_원가(K)_감가상각비_총괄표 _외주관리_가속기" xfId="852"/>
    <cellStyle name="@_laroux_원가(K)_갑지_총괄표 " xfId="853"/>
    <cellStyle name="@_laroux_원가(K)_갑지_총괄표 _2.외주관리_가속기" xfId="854"/>
    <cellStyle name="@_laroux_원가(K)_갑지_총괄표 _외주관리_가속기" xfId="855"/>
    <cellStyle name="@_laroux_원가(K)_계약원가(제출)_총괄표 " xfId="856"/>
    <cellStyle name="@_laroux_원가(K)_계약원가(제출)_총괄표 _2.외주관리_가속기" xfId="857"/>
    <cellStyle name="@_laroux_원가(K)_계약원가(제출)_총괄표 _외주관리_가속기" xfId="858"/>
    <cellStyle name="@_laroux_원가(K)_국내재료비_총괄표 " xfId="859"/>
    <cellStyle name="@_laroux_원가(K)_국내재료비_총괄표 _2.외주관리_가속기" xfId="860"/>
    <cellStyle name="@_laroux_원가(K)_국내재료비_총괄표 _외주관리_가속기" xfId="861"/>
    <cellStyle name="@_laroux_원가(K)_내열재 I_갑지_총괄표 " xfId="862"/>
    <cellStyle name="@_laroux_원가(K)_내열재 I_갑지_총괄표 _2.외주관리_가속기" xfId="863"/>
    <cellStyle name="@_laroux_원가(K)_내열재 I_갑지_총괄표 _외주관리_가속기" xfId="864"/>
    <cellStyle name="@_laroux_원가(K)_내열재 I_계약원가(제출)_총괄표 " xfId="865"/>
    <cellStyle name="@_laroux_원가(K)_내열재 I_계약원가(제출)_총괄표 _2.외주관리_가속기" xfId="866"/>
    <cellStyle name="@_laroux_원가(K)_내열재 I_계약원가(제출)_총괄표 _외주관리_가속기" xfId="867"/>
    <cellStyle name="@_laroux_원가(K)_내열재 I_내열재 I_갑지_총괄표 " xfId="868"/>
    <cellStyle name="@_laroux_원가(K)_내열재 I_내열재 I_갑지_총괄표 _2.외주관리_가속기" xfId="869"/>
    <cellStyle name="@_laroux_원가(K)_내열재 I_내열재 I_갑지_총괄표 _외주관리_가속기" xfId="870"/>
    <cellStyle name="@_laroux_원가(K)_내열재 I_내열재 I_계약원가(제출)_총괄표 " xfId="871"/>
    <cellStyle name="@_laroux_원가(K)_내열재 I_내열재 I_계약원가(제출)_총괄표 _2.외주관리_가속기" xfId="872"/>
    <cellStyle name="@_laroux_원가(K)_내열재 I_내열재 I_계약원가(제출)_총괄표 _외주관리_가속기" xfId="873"/>
    <cellStyle name="@_laroux_원가(K)_내열재 I_내열재 I_총괄표 " xfId="874"/>
    <cellStyle name="@_laroux_원가(K)_내열재 I_내열재 I_총괄표 _2.외주관리_가속기" xfId="875"/>
    <cellStyle name="@_laroux_원가(K)_내열재 I_내열재 I_총괄표 _외주관리_가속기" xfId="876"/>
    <cellStyle name="@_laroux_원가(K)_내열재 I_내열재 I_추산서_총괄표 " xfId="877"/>
    <cellStyle name="@_laroux_원가(K)_내열재 I_내열재 I_추산서_총괄표 _2.외주관리_가속기" xfId="878"/>
    <cellStyle name="@_laroux_원가(K)_내열재 I_내열재 I_추산서_총괄표 _외주관리_가속기" xfId="879"/>
    <cellStyle name="@_laroux_원가(K)_내열재 I_총괄표 " xfId="880"/>
    <cellStyle name="@_laroux_원가(K)_내열재 I_총괄표 _2.외주관리_가속기" xfId="881"/>
    <cellStyle name="@_laroux_원가(K)_내열재 I_총괄표 _외주관리_가속기" xfId="882"/>
    <cellStyle name="@_laroux_원가(K)_내열재 I_추산서_총괄표 " xfId="883"/>
    <cellStyle name="@_laroux_원가(K)_내열재 I_추산서_총괄표 _2.외주관리_가속기" xfId="884"/>
    <cellStyle name="@_laroux_원가(K)_내열재 I_추산서_총괄표 _외주관리_가속기" xfId="885"/>
    <cellStyle name="@_laroux_원가(K)_변동(제출)_총괄표 " xfId="886"/>
    <cellStyle name="@_laroux_원가(K)_변동(제출)_총괄표 _2.외주관리_가속기" xfId="887"/>
    <cellStyle name="@_laroux_원가(K)_변동(제출)_총괄표 _외주관리_가속기" xfId="888"/>
    <cellStyle name="@_laroux_원가(K)_수입재료비_총괄표 " xfId="889"/>
    <cellStyle name="@_laroux_원가(K)_수입재료비_총괄표 _2.외주관리_가속기" xfId="890"/>
    <cellStyle name="@_laroux_원가(K)_수입재료비_총괄표 _외주관리_가속기" xfId="891"/>
    <cellStyle name="@_laroux_원가(K)_직접노무비_총괄표 " xfId="892"/>
    <cellStyle name="@_laroux_원가(K)_직접노무비_총괄표 _2.외주관리_가속기" xfId="893"/>
    <cellStyle name="@_laroux_원가(K)_직접노무비_총괄표 _외주관리_가속기" xfId="894"/>
    <cellStyle name="@_laroux_원가(K)_총괄표 " xfId="895"/>
    <cellStyle name="@_laroux_원가(K)_총괄표 _2.외주관리_가속기" xfId="896"/>
    <cellStyle name="@_laroux_원가(K)_총괄표 _외주관리_가속기" xfId="897"/>
    <cellStyle name="@_laroux_원가(K)_추산서_총괄표 " xfId="898"/>
    <cellStyle name="@_laroux_원가(K)_추산서_총괄표 _2.외주관리_가속기" xfId="899"/>
    <cellStyle name="@_laroux_원가(K)_추산서_총괄표 _외주관리_가속기" xfId="900"/>
    <cellStyle name="@_laroux_원가(K)_함대함발사대시제_총괄표 " xfId="901"/>
    <cellStyle name="@_laroux_원가(K)_함대함발사대시제_총괄표 _2.외주관리_가속기" xfId="902"/>
    <cellStyle name="@_laroux_원가(K)_함대함발사대시제_총괄표 _외주관리_가속기" xfId="903"/>
    <cellStyle name="@_laroux_원가(LCC)2_'01년 양산(1차 결재)_총괄표 " xfId="904"/>
    <cellStyle name="@_laroux_원가(LCC)2_'01년 양산(1차 결재)_총괄표 _2.외주관리_가속기" xfId="905"/>
    <cellStyle name="@_laroux_원가(LCC)2_'01년 양산(1차 결재)_총괄표 _외주관리_가속기" xfId="906"/>
    <cellStyle name="@_laroux_원가(LCC)2_'01년 양산(1차 업체제출가)_총괄표 " xfId="907"/>
    <cellStyle name="@_laroux_원가(LCC)2_'01년 양산(1차 업체제출가)_총괄표 _2.외주관리_가속기" xfId="908"/>
    <cellStyle name="@_laroux_원가(LCC)2_'01년 양산(1차 업체제출가)_총괄표 _외주관리_가속기" xfId="909"/>
    <cellStyle name="@_laroux_원가(LCC)2_M-SAM_총괄표 " xfId="910"/>
    <cellStyle name="@_laroux_원가(LCC)2_M-SAM_총괄표 _2.외주관리_가속기" xfId="911"/>
    <cellStyle name="@_laroux_원가(LCC)2_M-SAM_총괄표 _외주관리_가속기" xfId="912"/>
    <cellStyle name="@_laroux_원가(LCC)2_간접재료비-1_총괄표 " xfId="913"/>
    <cellStyle name="@_laroux_원가(LCC)2_간접재료비-1_총괄표 _2.외주관리_가속기" xfId="914"/>
    <cellStyle name="@_laroux_원가(LCC)2_간접재료비-1_총괄표 _외주관리_가속기" xfId="915"/>
    <cellStyle name="@_laroux_원가(LCC)2_감가상각비_총괄표 " xfId="916"/>
    <cellStyle name="@_laroux_원가(LCC)2_감가상각비_총괄표 _2.외주관리_가속기" xfId="917"/>
    <cellStyle name="@_laroux_원가(LCC)2_감가상각비_총괄표 _외주관리_가속기" xfId="918"/>
    <cellStyle name="@_laroux_원가(LCC)2_갑지_총괄표 " xfId="919"/>
    <cellStyle name="@_laroux_원가(LCC)2_갑지_총괄표 _2.외주관리_가속기" xfId="920"/>
    <cellStyle name="@_laroux_원가(LCC)2_갑지_총괄표 _외주관리_가속기" xfId="921"/>
    <cellStyle name="@_laroux_원가(LCC)2_계약원가(제출)_총괄표 " xfId="922"/>
    <cellStyle name="@_laroux_원가(LCC)2_계약원가(제출)_총괄표 _2.외주관리_가속기" xfId="923"/>
    <cellStyle name="@_laroux_원가(LCC)2_계약원가(제출)_총괄표 _외주관리_가속기" xfId="924"/>
    <cellStyle name="@_laroux_원가(LCC)2_국내재료비_총괄표 " xfId="925"/>
    <cellStyle name="@_laroux_원가(LCC)2_국내재료비_총괄표 _2.외주관리_가속기" xfId="926"/>
    <cellStyle name="@_laroux_원가(LCC)2_국내재료비_총괄표 _외주관리_가속기" xfId="927"/>
    <cellStyle name="@_laroux_원가(LCC)2_내열재 I_갑지_총괄표 " xfId="928"/>
    <cellStyle name="@_laroux_원가(LCC)2_내열재 I_갑지_총괄표 _2.외주관리_가속기" xfId="929"/>
    <cellStyle name="@_laroux_원가(LCC)2_내열재 I_갑지_총괄표 _외주관리_가속기" xfId="930"/>
    <cellStyle name="@_laroux_원가(LCC)2_내열재 I_계약원가(제출)_총괄표 " xfId="931"/>
    <cellStyle name="@_laroux_원가(LCC)2_내열재 I_계약원가(제출)_총괄표 _2.외주관리_가속기" xfId="932"/>
    <cellStyle name="@_laroux_원가(LCC)2_내열재 I_계약원가(제출)_총괄표 _외주관리_가속기" xfId="933"/>
    <cellStyle name="@_laroux_원가(LCC)2_내열재 I_내열재 I_갑지_총괄표 " xfId="934"/>
    <cellStyle name="@_laroux_원가(LCC)2_내열재 I_내열재 I_갑지_총괄표 _2.외주관리_가속기" xfId="935"/>
    <cellStyle name="@_laroux_원가(LCC)2_내열재 I_내열재 I_갑지_총괄표 _외주관리_가속기" xfId="936"/>
    <cellStyle name="@_laroux_원가(LCC)2_내열재 I_내열재 I_계약원가(제출)_총괄표 " xfId="937"/>
    <cellStyle name="@_laroux_원가(LCC)2_내열재 I_내열재 I_계약원가(제출)_총괄표 _2.외주관리_가속기" xfId="938"/>
    <cellStyle name="@_laroux_원가(LCC)2_내열재 I_내열재 I_계약원가(제출)_총괄표 _외주관리_가속기" xfId="939"/>
    <cellStyle name="@_laroux_원가(LCC)2_내열재 I_내열재 I_총괄표 " xfId="940"/>
    <cellStyle name="@_laroux_원가(LCC)2_내열재 I_내열재 I_총괄표 _2.외주관리_가속기" xfId="941"/>
    <cellStyle name="@_laroux_원가(LCC)2_내열재 I_내열재 I_총괄표 _외주관리_가속기" xfId="942"/>
    <cellStyle name="@_laroux_원가(LCC)2_내열재 I_내열재 I_추산서_총괄표 " xfId="943"/>
    <cellStyle name="@_laroux_원가(LCC)2_내열재 I_내열재 I_추산서_총괄표 _2.외주관리_가속기" xfId="944"/>
    <cellStyle name="@_laroux_원가(LCC)2_내열재 I_내열재 I_추산서_총괄표 _외주관리_가속기" xfId="945"/>
    <cellStyle name="@_laroux_원가(LCC)2_내열재 I_총괄표 " xfId="946"/>
    <cellStyle name="@_laroux_원가(LCC)2_내열재 I_총괄표 _2.외주관리_가속기" xfId="947"/>
    <cellStyle name="@_laroux_원가(LCC)2_내열재 I_총괄표 _외주관리_가속기" xfId="948"/>
    <cellStyle name="@_laroux_원가(LCC)2_내열재 I_추산서_총괄표 " xfId="949"/>
    <cellStyle name="@_laroux_원가(LCC)2_내열재 I_추산서_총괄표 _2.외주관리_가속기" xfId="950"/>
    <cellStyle name="@_laroux_원가(LCC)2_내열재 I_추산서_총괄표 _외주관리_가속기" xfId="951"/>
    <cellStyle name="@_laroux_원가(LCC)2_변동(제출)_총괄표 " xfId="952"/>
    <cellStyle name="@_laroux_원가(LCC)2_변동(제출)_총괄표 _2.외주관리_가속기" xfId="953"/>
    <cellStyle name="@_laroux_원가(LCC)2_변동(제출)_총괄표 _외주관리_가속기" xfId="954"/>
    <cellStyle name="@_laroux_원가(LCC)2_수입재료비_총괄표 " xfId="955"/>
    <cellStyle name="@_laroux_원가(LCC)2_수입재료비_총괄표 _2.외주관리_가속기" xfId="956"/>
    <cellStyle name="@_laroux_원가(LCC)2_수입재료비_총괄표 _외주관리_가속기" xfId="957"/>
    <cellStyle name="@_laroux_원가(LCC)2_직접노무비_총괄표 " xfId="958"/>
    <cellStyle name="@_laroux_원가(LCC)2_직접노무비_총괄표 _2.외주관리_가속기" xfId="959"/>
    <cellStyle name="@_laroux_원가(LCC)2_직접노무비_총괄표 _외주관리_가속기" xfId="960"/>
    <cellStyle name="@_laroux_원가(LCC)2_총괄표 " xfId="961"/>
    <cellStyle name="@_laroux_원가(LCC)2_총괄표 _2.외주관리_가속기" xfId="962"/>
    <cellStyle name="@_laroux_원가(LCC)2_총괄표 _외주관리_가속기" xfId="963"/>
    <cellStyle name="@_laroux_원가(LCC)2_추산서_총괄표 " xfId="964"/>
    <cellStyle name="@_laroux_원가(LCC)2_추산서_총괄표 _2.외주관리_가속기" xfId="965"/>
    <cellStyle name="@_laroux_원가(LCC)2_추산서_총괄표 _외주관리_가속기" xfId="966"/>
    <cellStyle name="@_laroux_원가(LCC)2_함대함발사대시제_총괄표 " xfId="967"/>
    <cellStyle name="@_laroux_원가(LCC)2_함대함발사대시제_총괄표 _2.외주관리_가속기" xfId="968"/>
    <cellStyle name="@_laroux_원가(LCC)2_함대함발사대시제_총괄표 _외주관리_가속기" xfId="969"/>
    <cellStyle name="@_laroux_제트베인" xfId="970"/>
    <cellStyle name="@_laroux_제트베인_1" xfId="971"/>
    <cellStyle name="@_laroux_제트베인_1_#23,24윈터키트수정" xfId="972"/>
    <cellStyle name="@_laroux_제트베인_1_#23,24윈터키트수정_2.외주관리_가속기" xfId="973"/>
    <cellStyle name="@_laroux_제트베인_1_#23,24윈터키트수정_외주관리_가속기" xfId="974"/>
    <cellStyle name="@_laroux_제트베인_1_2.외주관리_가속기" xfId="975"/>
    <cellStyle name="@_laroux_제트베인_1_3-1.복합재 보강패널시편 외 2종제작" xfId="976"/>
    <cellStyle name="@_laroux_제트베인_1_3-1.복합재 보강패널시편 외 2종제작_#23,24윈터키트수정" xfId="977"/>
    <cellStyle name="@_laroux_제트베인_1_3-1.복합재 보강패널시편 외 2종제작_#23,24윈터키트수정_2.외주관리_가속기" xfId="978"/>
    <cellStyle name="@_laroux_제트베인_1_3-1.복합재 보강패널시편 외 2종제작_#23,24윈터키트수정_외주관리_가속기" xfId="979"/>
    <cellStyle name="@_laroux_제트베인_1_3-1.복합재 보강패널시편 외 2종제작_2.외주관리_가속기" xfId="980"/>
    <cellStyle name="@_laroux_제트베인_1_3-1.복합재 보강패널시편 외 2종제작_M-SAM노즐내열재(방산물자)" xfId="981"/>
    <cellStyle name="@_laroux_제트베인_1_3-1.복합재 보강패널시편 외 2종제작_M-SAM노즐내열재(방산물자)_2.외주관리_가속기" xfId="982"/>
    <cellStyle name="@_laroux_제트베인_1_3-1.복합재 보강패널시편 외 2종제작_M-SAM노즐내열재(방산물자)_산출갑지모음" xfId="983"/>
    <cellStyle name="@_laroux_제트베인_1_3-1.복합재 보강패널시편 외 2종제작_M-SAM노즐내열재(방산물자)_산출갑지모음_2.외주관리_가속기" xfId="984"/>
    <cellStyle name="@_laroux_제트베인_1_3-1.복합재 보강패널시편 외 2종제작_M-SAM노즐내열재(방산물자)_산출갑지모음_외주관리_가속기" xfId="985"/>
    <cellStyle name="@_laroux_제트베인_1_3-1.복합재 보강패널시편 외 2종제작_M-SAM노즐내열재(방산물자)_외주관리_가속기" xfId="986"/>
    <cellStyle name="@_laroux_제트베인_1_3-1.복합재 보강패널시편 외 2종제작_PKX 탐색레이더 샘플6종" xfId="987"/>
    <cellStyle name="@_laroux_제트베인_1_3-1.복합재 보강패널시편 외 2종제작_PKX 탐색레이더 샘플6종_2.외주관리_가속기" xfId="988"/>
    <cellStyle name="@_laroux_제트베인_1_3-1.복합재 보강패널시편 외 2종제작_PKX 탐색레이더 샘플6종_외주관리_가속기" xfId="989"/>
    <cellStyle name="@_laroux_제트베인_1_3-1.복합재 보강패널시편 외 2종제작_UAV 동체구조물 조립체" xfId="990"/>
    <cellStyle name="@_laroux_제트베인_1_3-1.복합재 보강패널시편 외 2종제작_UAV 동체구조물 조립체_2.외주관리_가속기" xfId="991"/>
    <cellStyle name="@_laroux_제트베인_1_3-1.복합재 보강패널시편 외 2종제작_UAV 동체구조물 조립체_외주관리_가속기" xfId="992"/>
    <cellStyle name="@_laroux_제트베인_1_3-1.복합재 보강패널시편 외 2종제작_UAV 동체구조물 조립체외14종" xfId="993"/>
    <cellStyle name="@_laroux_제트베인_1_3-1.복합재 보강패널시편 외 2종제작_UAV 동체구조물 조립체외14종_2.외주관리_가속기" xfId="994"/>
    <cellStyle name="@_laroux_제트베인_1_3-1.복합재 보강패널시편 외 2종제작_UAV 동체구조물 조립체외14종_외주관리_가속기" xfId="995"/>
    <cellStyle name="@_laroux_제트베인_1_3-1.복합재 보강패널시편 외 2종제작_산출갑지모음" xfId="996"/>
    <cellStyle name="@_laroux_제트베인_1_3-1.복합재 보강패널시편 외 2종제작_산출갑지모음_2.외주관리_가속기" xfId="997"/>
    <cellStyle name="@_laroux_제트베인_1_3-1.복합재 보강패널시편 외 2종제작_산출갑지모음_외주관리_가속기" xfId="998"/>
    <cellStyle name="@_laroux_제트베인_1_3-1.복합재 보강패널시편 외 2종제작_외주관리_가속기" xfId="999"/>
    <cellStyle name="@_laroux_제트베인_1_3-1.복합재 보강패널시편 외 2종제작_콘구조물시편 2종" xfId="1000"/>
    <cellStyle name="@_laroux_제트베인_1_3-1.복합재 보강패널시편 외 2종제작_콘구조물시편 2종_2.외주관리_가속기" xfId="1001"/>
    <cellStyle name="@_laroux_제트베인_1_3-1.복합재 보강패널시편 외 2종제작_콘구조물시편 2종_외주관리_가속기" xfId="1002"/>
    <cellStyle name="@_laroux_제트베인_1_M-SAM노즐내열재(방산물자)" xfId="1003"/>
    <cellStyle name="@_laroux_제트베인_1_M-SAM노즐내열재(방산물자)_2.외주관리_가속기" xfId="1004"/>
    <cellStyle name="@_laroux_제트베인_1_M-SAM노즐내열재(방산물자)_산출갑지모음" xfId="1005"/>
    <cellStyle name="@_laroux_제트베인_1_M-SAM노즐내열재(방산물자)_산출갑지모음_2.외주관리_가속기" xfId="1006"/>
    <cellStyle name="@_laroux_제트베인_1_M-SAM노즐내열재(방산물자)_산출갑지모음_외주관리_가속기" xfId="1007"/>
    <cellStyle name="@_laroux_제트베인_1_M-SAM노즐내열재(방산물자)_외주관리_가속기" xfId="1008"/>
    <cellStyle name="@_laroux_제트베인_1_PKX 탐색레이더 샘플6종" xfId="1009"/>
    <cellStyle name="@_laroux_제트베인_1_PKX 탐색레이더 샘플6종_2.외주관리_가속기" xfId="1010"/>
    <cellStyle name="@_laroux_제트베인_1_PKX 탐색레이더 샘플6종_외주관리_가속기" xfId="1011"/>
    <cellStyle name="@_laroux_제트베인_1_UAV 동체구조물 조립체" xfId="1012"/>
    <cellStyle name="@_laroux_제트베인_1_UAV 동체구조물 조립체_2.외주관리_가속기" xfId="1013"/>
    <cellStyle name="@_laroux_제트베인_1_UAV 동체구조물 조립체_외주관리_가속기" xfId="1014"/>
    <cellStyle name="@_laroux_제트베인_1_UAV 동체구조물 조립체외14종" xfId="1015"/>
    <cellStyle name="@_laroux_제트베인_1_UAV 동체구조물 조립체외14종_2.외주관리_가속기" xfId="1016"/>
    <cellStyle name="@_laroux_제트베인_1_UAV 동체구조물 조립체외14종_외주관리_가속기" xfId="1017"/>
    <cellStyle name="@_laroux_제트베인_1_복합적층장갑 부분구조 시편" xfId="1018"/>
    <cellStyle name="@_laroux_제트베인_1_복합적층장갑 부분구조 시편_#23,24윈터키트수정" xfId="1019"/>
    <cellStyle name="@_laroux_제트베인_1_복합적층장갑 부분구조 시편_#23,24윈터키트수정_2.외주관리_가속기" xfId="1020"/>
    <cellStyle name="@_laroux_제트베인_1_복합적층장갑 부분구조 시편_#23,24윈터키트수정_외주관리_가속기" xfId="1021"/>
    <cellStyle name="@_laroux_제트베인_1_복합적층장갑 부분구조 시편_2.외주관리_가속기" xfId="1022"/>
    <cellStyle name="@_laroux_제트베인_1_복합적층장갑 부분구조 시편_PKX 탐색레이더 샘플6종" xfId="1023"/>
    <cellStyle name="@_laroux_제트베인_1_복합적층장갑 부분구조 시편_PKX 탐색레이더 샘플6종_2.외주관리_가속기" xfId="1024"/>
    <cellStyle name="@_laroux_제트베인_1_복합적층장갑 부분구조 시편_PKX 탐색레이더 샘플6종_외주관리_가속기" xfId="1025"/>
    <cellStyle name="@_laroux_제트베인_1_복합적층장갑 부분구조 시편_UAV 동체구조물 조립체" xfId="1026"/>
    <cellStyle name="@_laroux_제트베인_1_복합적층장갑 부분구조 시편_UAV 동체구조물 조립체_2.외주관리_가속기" xfId="1027"/>
    <cellStyle name="@_laroux_제트베인_1_복합적층장갑 부분구조 시편_UAV 동체구조물 조립체_외주관리_가속기" xfId="1028"/>
    <cellStyle name="@_laroux_제트베인_1_복합적층장갑 부분구조 시편_UAV 동체구조물 조립체외14종" xfId="1029"/>
    <cellStyle name="@_laroux_제트베인_1_복합적층장갑 부분구조 시편_UAV 동체구조물 조립체외14종_2.외주관리_가속기" xfId="1030"/>
    <cellStyle name="@_laroux_제트베인_1_복합적층장갑 부분구조 시편_UAV 동체구조물 조립체외14종_외주관리_가속기" xfId="1031"/>
    <cellStyle name="@_laroux_제트베인_1_복합적층장갑 부분구조 시편_외주관리_가속기" xfId="1032"/>
    <cellStyle name="@_laroux_제트베인_1_복합적층장갑 부분구조 시편_콘구조물시편 2종" xfId="1033"/>
    <cellStyle name="@_laroux_제트베인_1_복합적층장갑 부분구조 시편_콘구조물시편 2종_2.외주관리_가속기" xfId="1034"/>
    <cellStyle name="@_laroux_제트베인_1_복합적층장갑 부분구조 시편_콘구조물시편 2종_외주관리_가속기" xfId="1035"/>
    <cellStyle name="@_laroux_제트베인_1_산출갑지모음" xfId="1036"/>
    <cellStyle name="@_laroux_제트베인_1_산출갑지모음_2.외주관리_가속기" xfId="1037"/>
    <cellStyle name="@_laroux_제트베인_1_산출갑지모음_외주관리_가속기" xfId="1038"/>
    <cellStyle name="@_laroux_제트베인_1_외주관리_가속기" xfId="1039"/>
    <cellStyle name="@_laroux_제트베인_1_총괄표(양식)" xfId="1040"/>
    <cellStyle name="@_laroux_제트베인_1_총괄표(양식)_2.외주관리_가속기" xfId="1041"/>
    <cellStyle name="@_laroux_제트베인_1_총괄표(양식)_외주관리_가속기" xfId="1042"/>
    <cellStyle name="@_laroux_제트베인_1_총괄표(양식)_총괄표(양식)" xfId="1043"/>
    <cellStyle name="@_laroux_제트베인_1_총괄표(양식)_총괄표(양식)_2.외주관리_가속기" xfId="1044"/>
    <cellStyle name="@_laroux_제트베인_1_총괄표(양식)_총괄표(양식)_외주관리_가속기" xfId="1045"/>
    <cellStyle name="@_laroux_제트베인_1_총괄표(양식)_총괄표(양식)_총괄표_협력(uav)" xfId="1046"/>
    <cellStyle name="@_laroux_제트베인_1_총괄표(양식)_총괄표(양식)_총괄표_협력(uav)_2.외주관리_가속기" xfId="1047"/>
    <cellStyle name="@_laroux_제트베인_1_총괄표(양식)_총괄표(양식)_총괄표_협력(uav)_외주관리_가속기" xfId="1048"/>
    <cellStyle name="@_laroux_제트베인_1_총괄표(양식)_총괄표_협력(uav)" xfId="1049"/>
    <cellStyle name="@_laroux_제트베인_1_총괄표(양식)_총괄표_협력(uav)_2.외주관리_가속기" xfId="1050"/>
    <cellStyle name="@_laroux_제트베인_1_총괄표(양식)_총괄표_협력(uav)_외주관리_가속기" xfId="1051"/>
    <cellStyle name="@_laroux_제트베인_1_총괄표_협력(uav)" xfId="1052"/>
    <cellStyle name="@_laroux_제트베인_1_총괄표_협력(uav)_2.외주관리_가속기" xfId="1053"/>
    <cellStyle name="@_laroux_제트베인_1_총괄표_협력(uav)_외주관리_가속기" xfId="1054"/>
    <cellStyle name="@_laroux_제트베인_1_콘구조물시편 2종" xfId="1055"/>
    <cellStyle name="@_laroux_제트베인_1_콘구조물시편 2종_2.외주관리_가속기" xfId="1056"/>
    <cellStyle name="@_laroux_제트베인_1_콘구조물시편 2종_외주관리_가속기" xfId="1057"/>
    <cellStyle name="@_laroux_직접노무비_총괄표 " xfId="1058"/>
    <cellStyle name="@_laroux_직접노무비_총괄표 _2.외주관리_가속기" xfId="1059"/>
    <cellStyle name="@_laroux_직접노무비_총괄표 _외주관리_가속기" xfId="1060"/>
    <cellStyle name="@_laroux_총괄표 " xfId="1061"/>
    <cellStyle name="@_laroux_총괄표 _2.외주관리_가속기" xfId="1062"/>
    <cellStyle name="@_laroux_총괄표 _외주관리_가속기" xfId="1063"/>
    <cellStyle name="@_laroux_추산서_총괄표 " xfId="1064"/>
    <cellStyle name="@_laroux_추산서_총괄표 _2.외주관리_가속기" xfId="1065"/>
    <cellStyle name="@_laroux_추산서_총괄표 _외주관리_가속기" xfId="1066"/>
    <cellStyle name="@_laroux_함대함발사대시제_총괄표 " xfId="1067"/>
    <cellStyle name="@_laroux_함대함발사대시제_총괄표 _2.외주관리_가속기" xfId="1068"/>
    <cellStyle name="@_laroux_함대함발사대시제_총괄표 _외주관리_가속기" xfId="1069"/>
    <cellStyle name="@_laroux_함함원가_총괄표 " xfId="1070"/>
    <cellStyle name="@_laroux_함함원가_총괄표 _2.외주관리_가속기" xfId="1071"/>
    <cellStyle name="@_laroux_함함원가_총괄표 _외주관리_가속기" xfId="1072"/>
    <cellStyle name="@_PULL  LIST-1 (2004년)" xfId="1073"/>
    <cellStyle name="@_PULL  LIST-1 (2004년)_ PULL  LIST-1 (2007년)" xfId="1074"/>
    <cellStyle name="@_PULL  LIST-1 (2004년)_PULL  LIST-1 (2004년)" xfId="1075"/>
    <cellStyle name="@_PULL  LIST-1 (2004년)_PULL  LIST-1 (2004년)_Book1" xfId="1076"/>
    <cellStyle name="@_PULL  LIST-1 (2004년)_PULL  LIST-1 (2004년)_Book1_ PULL  LIST-1 (2007년)" xfId="1077"/>
    <cellStyle name="@_PULL  LIST-1 (2004년)_PULL  LIST-1 (2004년)_Book1_PULL  LIST-1 (2005년)" xfId="1078"/>
    <cellStyle name="@_PULL  LIST-1 (2004년)_PULL  LIST-1 (2004년)_Book1_PULL  LIST-1 (2005년)_PULL  LIST-1 (2005년)" xfId="1079"/>
    <cellStyle name="@_PULL  LIST-1 (2004년)_PULL  LIST-1 (2004년)_Book1_PULL  LIST-1 (2005년)_PULL  LIST-1 (2005년)_ PULL  LIST-1 (2007년)" xfId="1080"/>
    <cellStyle name="@_PULL  LIST-1 (2004년)_PULL  LIST-1 (2004년)_Book1_PULL  LIST-1 (2005년)_PULL  LIST-1 (2005년)_PULL  LIST-1 (2006년)" xfId="1081"/>
    <cellStyle name="@_PULL  LIST-1 (2004년)_PULL  LIST-1 (2004년)_Book1_PULL  LIST-1 (2005년)_PULL  LIST-1 (2005년)_PULL  LIST-1 (2006년)_PULL  LIST-1 (2006년)" xfId="1082"/>
    <cellStyle name="@_PULL  LIST-1 (2004년)_PULL  LIST-1 (2004년)_Book1_PULL  LIST-1 (2005년)_PULL  LIST-1 (2005년)_PULL  LIST-1 (2006년)_PULL  LIST-1 (2006년)_ PULL  LIST-1 (2007년)" xfId="1083"/>
    <cellStyle name="@_PULL  LIST-1 (2004년)_PULL  LIST-1 (2004년)_Book1_PULL  LIST-1 (2005년)_PULL  LIST-1 (2006년)" xfId="1084"/>
    <cellStyle name="@_PULL  LIST-1 (2004년)_PULL  LIST-1 (2004년)_Book1_PULL  LIST-1 (2005년)_PULL  LIST-1 (2006년)_ PULL  LIST-1 (2007년)" xfId="1085"/>
    <cellStyle name="@_PULL  LIST-1 (2004년)_PULL  LIST-1 (2004년)_Book1_PULL  LIST-1 (2005년)_PULL  LIST-1 (2006년)_PULL  LIST-1 (2006년)" xfId="1086"/>
    <cellStyle name="@_PULL  LIST-1 (2004년)_PULL  LIST-1 (2004년)_Book1_PULL  LIST-1 (2005년)_PULL  LIST-1 (2006년)_PULL  LIST-1 (2006년)_PULL  LIST-1 (2006년)" xfId="1087"/>
    <cellStyle name="@_PULL  LIST-1 (2004년)_PULL  LIST-1 (2004년)_Book1_PULL  LIST-1 (2005년)_PULL  LIST-1 (2006년)_PULL  LIST-1 (2006년)_PULL  LIST-1 (2006년)_ PULL  LIST-1 (2007년)" xfId="1088"/>
    <cellStyle name="@_PULL  LIST-1 (2004년)_PULL  LIST-1 (2004년)_Book1_PULL  LIST-1 (2005년)_원가인하9월30일" xfId="1089"/>
    <cellStyle name="@_PULL  LIST-1 (2004년)_PULL  LIST-1 (2004년)_Book1_PULL  LIST-1 (2005년)_원가인하9월30일_ PULL  LIST-1 (2007년)" xfId="1090"/>
    <cellStyle name="@_PULL  LIST-1 (2004년)_PULL  LIST-1 (2004년)_Book1_PULL  LIST-1 (2005년)_원가인하9월30일_PULL  LIST-1 (2006년)" xfId="1091"/>
    <cellStyle name="@_PULL  LIST-1 (2004년)_PULL  LIST-1 (2004년)_Book1_PULL  LIST-1 (2005년)_원가인하9월30일_PULL  LIST-1 (2006년)_PULL  LIST-1 (2006년)" xfId="1092"/>
    <cellStyle name="@_PULL  LIST-1 (2004년)_PULL  LIST-1 (2004년)_Book1_PULL  LIST-1 (2005년)_원가인하9월30일_PULL  LIST-1 (2006년)_PULL  LIST-1 (2006년)_ PULL  LIST-1 (2007년)" xfId="1093"/>
    <cellStyle name="@_PULL  LIST-1 (2004년)_PULL  LIST-1 (2004년)_Book1_PULL  LIST-1 (2006년)" xfId="1094"/>
    <cellStyle name="@_PULL  LIST-1 (2004년)_PULL  LIST-1 (2004년)_Book1_PULL  LIST-1 (2006년)_PULL  LIST-1 (2006년)" xfId="1095"/>
    <cellStyle name="@_PULL  LIST-1 (2004년)_PULL  LIST-1 (2004년)_Book1_PULL  LIST-1 (2006년)_PULL  LIST-1 (2006년)_ PULL  LIST-1 (2007년)" xfId="1096"/>
    <cellStyle name="@_PULL  LIST-1 (2004년)_PULL  LIST-1 (2004년)_PULL  LIST-1 (2005년)" xfId="1097"/>
    <cellStyle name="@_PULL  LIST-1 (2004년)_PULL  LIST-1 (2004년)_PULL  LIST-1 (2005년)_ PULL  LIST-1 (2007년)" xfId="1098"/>
    <cellStyle name="@_PULL  LIST-1 (2004년)_PULL  LIST-1 (2004년)_PULL  LIST-1 (2005년)_PULL  LIST-1 (2006년)" xfId="1099"/>
    <cellStyle name="@_PULL  LIST-1 (2004년)_PULL  LIST-1 (2004년)_PULL  LIST-1 (2005년)_PULL  LIST-1 (2006년)_PULL  LIST-1 (2006년)" xfId="1100"/>
    <cellStyle name="@_PULL  LIST-1 (2004년)_PULL  LIST-1 (2004년)_PULL  LIST-1 (2005년)_PULL  LIST-1 (2006년)_PULL  LIST-1 (2006년)_ PULL  LIST-1 (2007년)" xfId="1101"/>
    <cellStyle name="@_PULL  LIST-1 (2004년)_PULL  LIST-1 (2004년)_PULL  LIST-1 (2006년)" xfId="1102"/>
    <cellStyle name="@_PULL  LIST-1 (2004년)_PULL  LIST-1 (2004년)_PULL  LIST-1 (2006년)_ PULL  LIST-1 (2007년)" xfId="1103"/>
    <cellStyle name="@_PULL  LIST-1 (2004년)_PULL  LIST-1 (2004년)_PULL  LIST-1 (2006년)_PULL  LIST-1 (2006년)" xfId="1104"/>
    <cellStyle name="@_PULL  LIST-1 (2004년)_PULL  LIST-1 (2004년)_PULL  LIST-1 (2006년)_PULL  LIST-1 (2006년)_PULL  LIST-1 (2006년)" xfId="1105"/>
    <cellStyle name="@_PULL  LIST-1 (2004년)_PULL  LIST-1 (2004년)_PULL  LIST-1 (2006년)_PULL  LIST-1 (2006년)_PULL  LIST-1 (2006년)_ PULL  LIST-1 (2007년)" xfId="1106"/>
    <cellStyle name="@_PULL  LIST-1 (2004년)_PULL  LIST-1 (2004년)_원가인하9월30일" xfId="1107"/>
    <cellStyle name="@_PULL  LIST-1 (2004년)_PULL  LIST-1 (2004년)_원가인하9월30일_ PULL  LIST-1 (2007년)" xfId="1108"/>
    <cellStyle name="@_PULL  LIST-1 (2004년)_PULL  LIST-1 (2004년)_원가인하9월30일_PULL  LIST-1 (2006년)" xfId="1109"/>
    <cellStyle name="@_PULL  LIST-1 (2004년)_PULL  LIST-1 (2004년)_원가인하9월30일_PULL  LIST-1 (2006년)_PULL  LIST-1 (2006년)" xfId="1110"/>
    <cellStyle name="@_PULL  LIST-1 (2004년)_PULL  LIST-1 (2004년)_원가인하9월30일_PULL  LIST-1 (2006년)_PULL  LIST-1 (2006년)_ PULL  LIST-1 (2007년)" xfId="1111"/>
    <cellStyle name="@_PULL  LIST-1 (2004년)_PULL  LIST-1 (2005년)" xfId="1112"/>
    <cellStyle name="@_PULL  LIST-1 (2004년)_PULL  LIST-1 (2005년)_PULL  LIST-1 (2005년)" xfId="1113"/>
    <cellStyle name="@_PULL  LIST-1 (2004년)_PULL  LIST-1 (2005년)_PULL  LIST-1 (2005년)_ PULL  LIST-1 (2007년)" xfId="1114"/>
    <cellStyle name="@_PULL  LIST-1 (2004년)_PULL  LIST-1 (2005년)_PULL  LIST-1 (2005년)_PULL  LIST-1 (2006년)" xfId="1115"/>
    <cellStyle name="@_PULL  LIST-1 (2004년)_PULL  LIST-1 (2005년)_PULL  LIST-1 (2005년)_PULL  LIST-1 (2006년)_PULL  LIST-1 (2006년)" xfId="1116"/>
    <cellStyle name="@_PULL  LIST-1 (2004년)_PULL  LIST-1 (2005년)_PULL  LIST-1 (2005년)_PULL  LIST-1 (2006년)_PULL  LIST-1 (2006년)_ PULL  LIST-1 (2007년)" xfId="1117"/>
    <cellStyle name="@_PULL  LIST-1 (2004년)_PULL  LIST-1 (2005년)_PULL  LIST-1 (2006년)" xfId="1118"/>
    <cellStyle name="@_PULL  LIST-1 (2004년)_PULL  LIST-1 (2005년)_PULL  LIST-1 (2006년)_ PULL  LIST-1 (2007년)" xfId="1119"/>
    <cellStyle name="@_PULL  LIST-1 (2004년)_PULL  LIST-1 (2005년)_PULL  LIST-1 (2006년)_PULL  LIST-1 (2006년)" xfId="1120"/>
    <cellStyle name="@_PULL  LIST-1 (2004년)_PULL  LIST-1 (2005년)_PULL  LIST-1 (2006년)_PULL  LIST-1 (2006년)_PULL  LIST-1 (2006년)" xfId="1121"/>
    <cellStyle name="@_PULL  LIST-1 (2004년)_PULL  LIST-1 (2005년)_PULL  LIST-1 (2006년)_PULL  LIST-1 (2006년)_PULL  LIST-1 (2006년)_ PULL  LIST-1 (2007년)" xfId="1122"/>
    <cellStyle name="@_PULL  LIST-1 (2004년)_PULL  LIST-1 (2005년)_원가인하9월30일" xfId="1123"/>
    <cellStyle name="@_PULL  LIST-1 (2004년)_PULL  LIST-1 (2005년)_원가인하9월30일_ PULL  LIST-1 (2007년)" xfId="1124"/>
    <cellStyle name="@_PULL  LIST-1 (2004년)_PULL  LIST-1 (2005년)_원가인하9월30일_PULL  LIST-1 (2006년)" xfId="1125"/>
    <cellStyle name="@_PULL  LIST-1 (2004년)_PULL  LIST-1 (2005년)_원가인하9월30일_PULL  LIST-1 (2006년)_PULL  LIST-1 (2006년)" xfId="1126"/>
    <cellStyle name="@_PULL  LIST-1 (2004년)_PULL  LIST-1 (2005년)_원가인하9월30일_PULL  LIST-1 (2006년)_PULL  LIST-1 (2006년)_ PULL  LIST-1 (2007년)" xfId="1127"/>
    <cellStyle name="@_PULL  LIST-1 (2004년)_PULL  LIST-1 (2006년)" xfId="1128"/>
    <cellStyle name="@_PULL  LIST-1 (2004년)_PULL  LIST-1 (2006년)_PULL  LIST-1 (2006년)" xfId="1129"/>
    <cellStyle name="@_PULL  LIST-1 (2004년)_PULL  LIST-1 (2006년)_PULL  LIST-1 (2006년)_ PULL  LIST-1 (2007년)" xfId="1130"/>
    <cellStyle name="@_PULL  LIST-1 (2005년)" xfId="1131"/>
    <cellStyle name="@_PULL  LIST-1 (2005년)_ PULL  LIST-1 (2007년)" xfId="1132"/>
    <cellStyle name="@_PULL  LIST-1 (2005년)_PULL  LIST-1 (2006년)" xfId="1133"/>
    <cellStyle name="@_PULL  LIST-1 (2005년)_PULL  LIST-1 (2006년)_PULL  LIST-1 (2006년)" xfId="1134"/>
    <cellStyle name="@_PULL  LIST-1 (2005년)_PULL  LIST-1 (2006년)_PULL  LIST-1 (2006년)_ PULL  LIST-1 (2007년)" xfId="1135"/>
    <cellStyle name="@_PULL  LIST-1 (2006년)" xfId="1136"/>
    <cellStyle name="@_PULL  LIST-1 (2006년)_ PULL  LIST-1 (2007년)" xfId="1137"/>
    <cellStyle name="@_PULL  LIST-1 (2006년)_PULL  LIST-1 (2006년)" xfId="1138"/>
    <cellStyle name="@_PULL  LIST-1 (2006년)_PULL  LIST-1 (2006년)_PULL  LIST-1 (2006년)" xfId="1139"/>
    <cellStyle name="@_PULL  LIST-1 (2006년)_PULL  LIST-1 (2006년)_PULL  LIST-1 (2006년)_ PULL  LIST-1 (2007년)" xfId="1140"/>
    <cellStyle name="@_SM1_PL_(견적)" xfId="1141"/>
    <cellStyle name="@_SM1_PL_(견적)_ PULL  LIST-1 (2007년)" xfId="1142"/>
    <cellStyle name="@_SM1_PL_(견적)_PULL  LIST-1 (2004년)" xfId="1143"/>
    <cellStyle name="@_SM1_PL_(견적)_PULL  LIST-1 (2004년)_Book1" xfId="1144"/>
    <cellStyle name="@_SM1_PL_(견적)_PULL  LIST-1 (2004년)_Book1_ PULL  LIST-1 (2007년)" xfId="1145"/>
    <cellStyle name="@_SM1_PL_(견적)_PULL  LIST-1 (2004년)_Book1_PULL  LIST-1 (2005년)" xfId="1146"/>
    <cellStyle name="@_SM1_PL_(견적)_PULL  LIST-1 (2004년)_Book1_PULL  LIST-1 (2005년)_PULL  LIST-1 (2005년)" xfId="1147"/>
    <cellStyle name="@_SM1_PL_(견적)_PULL  LIST-1 (2004년)_Book1_PULL  LIST-1 (2005년)_PULL  LIST-1 (2005년)_ PULL  LIST-1 (2007년)" xfId="1148"/>
    <cellStyle name="@_SM1_PL_(견적)_PULL  LIST-1 (2004년)_Book1_PULL  LIST-1 (2005년)_PULL  LIST-1 (2005년)_PULL  LIST-1 (2006년)" xfId="1149"/>
    <cellStyle name="@_SM1_PL_(견적)_PULL  LIST-1 (2004년)_Book1_PULL  LIST-1 (2005년)_PULL  LIST-1 (2005년)_PULL  LIST-1 (2006년)_PULL  LIST-1 (2006년)" xfId="1150"/>
    <cellStyle name="@_SM1_PL_(견적)_PULL  LIST-1 (2004년)_Book1_PULL  LIST-1 (2005년)_PULL  LIST-1 (2005년)_PULL  LIST-1 (2006년)_PULL  LIST-1 (2006년)_ PULL  LIST-1 (2007년)" xfId="1151"/>
    <cellStyle name="@_SM1_PL_(견적)_PULL  LIST-1 (2004년)_Book1_PULL  LIST-1 (2005년)_PULL  LIST-1 (2006년)" xfId="1152"/>
    <cellStyle name="@_SM1_PL_(견적)_PULL  LIST-1 (2004년)_Book1_PULL  LIST-1 (2005년)_PULL  LIST-1 (2006년)_ PULL  LIST-1 (2007년)" xfId="1153"/>
    <cellStyle name="@_SM1_PL_(견적)_PULL  LIST-1 (2004년)_Book1_PULL  LIST-1 (2005년)_PULL  LIST-1 (2006년)_PULL  LIST-1 (2006년)" xfId="1154"/>
    <cellStyle name="@_SM1_PL_(견적)_PULL  LIST-1 (2004년)_Book1_PULL  LIST-1 (2005년)_PULL  LIST-1 (2006년)_PULL  LIST-1 (2006년)_PULL  LIST-1 (2006년)" xfId="1155"/>
    <cellStyle name="@_SM1_PL_(견적)_PULL  LIST-1 (2004년)_Book1_PULL  LIST-1 (2005년)_PULL  LIST-1 (2006년)_PULL  LIST-1 (2006년)_PULL  LIST-1 (2006년)_ PULL  LIST-1 (2007년)" xfId="1156"/>
    <cellStyle name="@_SM1_PL_(견적)_PULL  LIST-1 (2004년)_Book1_PULL  LIST-1 (2005년)_원가인하9월30일" xfId="1157"/>
    <cellStyle name="@_SM1_PL_(견적)_PULL  LIST-1 (2004년)_Book1_PULL  LIST-1 (2005년)_원가인하9월30일_ PULL  LIST-1 (2007년)" xfId="1158"/>
    <cellStyle name="@_SM1_PL_(견적)_PULL  LIST-1 (2004년)_Book1_PULL  LIST-1 (2005년)_원가인하9월30일_PULL  LIST-1 (2006년)" xfId="1159"/>
    <cellStyle name="@_SM1_PL_(견적)_PULL  LIST-1 (2004년)_Book1_PULL  LIST-1 (2005년)_원가인하9월30일_PULL  LIST-1 (2006년)_PULL  LIST-1 (2006년)" xfId="1160"/>
    <cellStyle name="@_SM1_PL_(견적)_PULL  LIST-1 (2004년)_Book1_PULL  LIST-1 (2005년)_원가인하9월30일_PULL  LIST-1 (2006년)_PULL  LIST-1 (2006년)_ PULL  LIST-1 (2007년)" xfId="1161"/>
    <cellStyle name="@_SM1_PL_(견적)_PULL  LIST-1 (2004년)_Book1_PULL  LIST-1 (2006년)" xfId="1162"/>
    <cellStyle name="@_SM1_PL_(견적)_PULL  LIST-1 (2004년)_Book1_PULL  LIST-1 (2006년)_PULL  LIST-1 (2006년)" xfId="1163"/>
    <cellStyle name="@_SM1_PL_(견적)_PULL  LIST-1 (2004년)_Book1_PULL  LIST-1 (2006년)_PULL  LIST-1 (2006년)_ PULL  LIST-1 (2007년)" xfId="1164"/>
    <cellStyle name="@_SM1_PL_(견적)_PULL  LIST-1 (2004년)_PULL  LIST-1 (2004년)" xfId="1165"/>
    <cellStyle name="@_SM1_PL_(견적)_PULL  LIST-1 (2004년)_PULL  LIST-1 (2004년)_ PULL  LIST-1 (2007년)" xfId="1166"/>
    <cellStyle name="@_SM1_PL_(견적)_PULL  LIST-1 (2004년)_PULL  LIST-1 (2004년)_PULL  LIST-1 (2004년)" xfId="1167"/>
    <cellStyle name="@_SM1_PL_(견적)_PULL  LIST-1 (2004년)_PULL  LIST-1 (2004년)_PULL  LIST-1 (2004년)_Book1" xfId="1168"/>
    <cellStyle name="@_SM1_PL_(견적)_PULL  LIST-1 (2004년)_PULL  LIST-1 (2004년)_PULL  LIST-1 (2004년)_Book1_ PULL  LIST-1 (2007년)" xfId="1169"/>
    <cellStyle name="@_SM1_PL_(견적)_PULL  LIST-1 (2004년)_PULL  LIST-1 (2004년)_PULL  LIST-1 (2004년)_Book1_PULL  LIST-1 (2005년)" xfId="1170"/>
    <cellStyle name="@_SM1_PL_(견적)_PULL  LIST-1 (2004년)_PULL  LIST-1 (2004년)_PULL  LIST-1 (2004년)_Book1_PULL  LIST-1 (2005년)_PULL  LIST-1 (2005년)" xfId="1171"/>
    <cellStyle name="@_SM1_PL_(견적)_PULL  LIST-1 (2004년)_PULL  LIST-1 (2004년)_PULL  LIST-1 (2004년)_Book1_PULL  LIST-1 (2005년)_PULL  LIST-1 (2005년)_ PULL  LIST-1 (2007년)" xfId="1172"/>
    <cellStyle name="@_SM1_PL_(견적)_PULL  LIST-1 (2004년)_PULL  LIST-1 (2004년)_PULL  LIST-1 (2004년)_Book1_PULL  LIST-1 (2005년)_PULL  LIST-1 (2005년)_PULL  LIST-1 (2006년)" xfId="1173"/>
    <cellStyle name="@_SM1_PL_(견적)_PULL  LIST-1 (2004년)_PULL  LIST-1 (2004년)_PULL  LIST-1 (2004년)_Book1_PULL  LIST-1 (2005년)_PULL  LIST-1 (2005년)_PULL  LIST-1 (2006년)_PULL  LIST-1 (2006년)" xfId="1174"/>
    <cellStyle name="@_SM1_PL_(견적)_PULL  LIST-1 (2004년)_PULL  LIST-1 (2004년)_PULL  LIST-1 (2004년)_Book1_PULL  LIST-1 (2005년)_PULL  LIST-1 (2005년)_PULL  LIST-1 (2006년)_PULL  LIST-1 (2006년)_ PULL  LIST-1 (2007년)" xfId="1175"/>
    <cellStyle name="@_SM1_PL_(견적)_PULL  LIST-1 (2004년)_PULL  LIST-1 (2004년)_PULL  LIST-1 (2004년)_Book1_PULL  LIST-1 (2005년)_PULL  LIST-1 (2006년)" xfId="1176"/>
    <cellStyle name="@_SM1_PL_(견적)_PULL  LIST-1 (2004년)_PULL  LIST-1 (2004년)_PULL  LIST-1 (2004년)_Book1_PULL  LIST-1 (2005년)_PULL  LIST-1 (2006년)_ PULL  LIST-1 (2007년)" xfId="1177"/>
    <cellStyle name="@_SM1_PL_(견적)_PULL  LIST-1 (2004년)_PULL  LIST-1 (2004년)_PULL  LIST-1 (2004년)_Book1_PULL  LIST-1 (2005년)_PULL  LIST-1 (2006년)_PULL  LIST-1 (2006년)" xfId="1178"/>
    <cellStyle name="@_SM1_PL_(견적)_PULL  LIST-1 (2004년)_PULL  LIST-1 (2004년)_PULL  LIST-1 (2004년)_Book1_PULL  LIST-1 (2005년)_PULL  LIST-1 (2006년)_PULL  LIST-1 (2006년)_PULL  LIST-1 (2006년)" xfId="1179"/>
    <cellStyle name="@_SM1_PL_(견적)_PULL  LIST-1 (2004년)_PULL  LIST-1 (2004년)_PULL  LIST-1 (2004년)_Book1_PULL  LIST-1 (2005년)_PULL  LIST-1 (2006년)_PULL  LIST-1 (2006년)_PULL  LIST-1 (2006년)_ PULL  LIST-1 (2007년)" xfId="1180"/>
    <cellStyle name="@_SM1_PL_(견적)_PULL  LIST-1 (2004년)_PULL  LIST-1 (2004년)_PULL  LIST-1 (2004년)_Book1_PULL  LIST-1 (2005년)_원가인하9월30일" xfId="1181"/>
    <cellStyle name="@_SM1_PL_(견적)_PULL  LIST-1 (2004년)_PULL  LIST-1 (2004년)_PULL  LIST-1 (2004년)_Book1_PULL  LIST-1 (2005년)_원가인하9월30일_ PULL  LIST-1 (2007년)" xfId="1182"/>
    <cellStyle name="@_SM1_PL_(견적)_PULL  LIST-1 (2004년)_PULL  LIST-1 (2004년)_PULL  LIST-1 (2004년)_Book1_PULL  LIST-1 (2005년)_원가인하9월30일_PULL  LIST-1 (2006년)" xfId="1183"/>
    <cellStyle name="@_SM1_PL_(견적)_PULL  LIST-1 (2004년)_PULL  LIST-1 (2004년)_PULL  LIST-1 (2004년)_Book1_PULL  LIST-1 (2005년)_원가인하9월30일_PULL  LIST-1 (2006년)_PULL  LIST-1 (2006년)" xfId="1184"/>
    <cellStyle name="@_SM1_PL_(견적)_PULL  LIST-1 (2004년)_PULL  LIST-1 (2004년)_PULL  LIST-1 (2004년)_Book1_PULL  LIST-1 (2005년)_원가인하9월30일_PULL  LIST-1 (2006년)_PULL  LIST-1 (2006년)_ PULL  LIST-1 (2007년)" xfId="1185"/>
    <cellStyle name="@_SM1_PL_(견적)_PULL  LIST-1 (2004년)_PULL  LIST-1 (2004년)_PULL  LIST-1 (2004년)_Book1_PULL  LIST-1 (2006년)" xfId="1186"/>
    <cellStyle name="@_SM1_PL_(견적)_PULL  LIST-1 (2004년)_PULL  LIST-1 (2004년)_PULL  LIST-1 (2004년)_Book1_PULL  LIST-1 (2006년)_PULL  LIST-1 (2006년)" xfId="1187"/>
    <cellStyle name="@_SM1_PL_(견적)_PULL  LIST-1 (2004년)_PULL  LIST-1 (2004년)_PULL  LIST-1 (2004년)_Book1_PULL  LIST-1 (2006년)_PULL  LIST-1 (2006년)_ PULL  LIST-1 (2007년)" xfId="1188"/>
    <cellStyle name="@_SM1_PL_(견적)_PULL  LIST-1 (2004년)_PULL  LIST-1 (2004년)_PULL  LIST-1 (2004년)_PULL  LIST-1 (2005년)" xfId="1189"/>
    <cellStyle name="@_SM1_PL_(견적)_PULL  LIST-1 (2004년)_PULL  LIST-1 (2004년)_PULL  LIST-1 (2004년)_PULL  LIST-1 (2005년)_ PULL  LIST-1 (2007년)" xfId="1190"/>
    <cellStyle name="@_SM1_PL_(견적)_PULL  LIST-1 (2004년)_PULL  LIST-1 (2004년)_PULL  LIST-1 (2004년)_PULL  LIST-1 (2005년)_PULL  LIST-1 (2006년)" xfId="1191"/>
    <cellStyle name="@_SM1_PL_(견적)_PULL  LIST-1 (2004년)_PULL  LIST-1 (2004년)_PULL  LIST-1 (2004년)_PULL  LIST-1 (2005년)_PULL  LIST-1 (2006년)_PULL  LIST-1 (2006년)" xfId="1192"/>
    <cellStyle name="@_SM1_PL_(견적)_PULL  LIST-1 (2004년)_PULL  LIST-1 (2004년)_PULL  LIST-1 (2004년)_PULL  LIST-1 (2005년)_PULL  LIST-1 (2006년)_PULL  LIST-1 (2006년)_ PULL  LIST-1 (2007년)" xfId="1193"/>
    <cellStyle name="@_SM1_PL_(견적)_PULL  LIST-1 (2004년)_PULL  LIST-1 (2004년)_PULL  LIST-1 (2004년)_PULL  LIST-1 (2006년)" xfId="1194"/>
    <cellStyle name="@_SM1_PL_(견적)_PULL  LIST-1 (2004년)_PULL  LIST-1 (2004년)_PULL  LIST-1 (2004년)_PULL  LIST-1 (2006년)_ PULL  LIST-1 (2007년)" xfId="1195"/>
    <cellStyle name="@_SM1_PL_(견적)_PULL  LIST-1 (2004년)_PULL  LIST-1 (2004년)_PULL  LIST-1 (2004년)_PULL  LIST-1 (2006년)_PULL  LIST-1 (2006년)" xfId="1196"/>
    <cellStyle name="@_SM1_PL_(견적)_PULL  LIST-1 (2004년)_PULL  LIST-1 (2004년)_PULL  LIST-1 (2004년)_PULL  LIST-1 (2006년)_PULL  LIST-1 (2006년)_PULL  LIST-1 (2006년)" xfId="1197"/>
    <cellStyle name="@_SM1_PL_(견적)_PULL  LIST-1 (2004년)_PULL  LIST-1 (2004년)_PULL  LIST-1 (2004년)_PULL  LIST-1 (2006년)_PULL  LIST-1 (2006년)_PULL  LIST-1 (2006년)_ PULL  LIST-1 (2007년)" xfId="1198"/>
    <cellStyle name="@_SM1_PL_(견적)_PULL  LIST-1 (2004년)_PULL  LIST-1 (2004년)_PULL  LIST-1 (2004년)_원가인하9월30일" xfId="1199"/>
    <cellStyle name="@_SM1_PL_(견적)_PULL  LIST-1 (2004년)_PULL  LIST-1 (2004년)_PULL  LIST-1 (2004년)_원가인하9월30일_ PULL  LIST-1 (2007년)" xfId="1200"/>
    <cellStyle name="@_SM1_PL_(견적)_PULL  LIST-1 (2004년)_PULL  LIST-1 (2004년)_PULL  LIST-1 (2004년)_원가인하9월30일_PULL  LIST-1 (2006년)" xfId="1201"/>
    <cellStyle name="@_SM1_PL_(견적)_PULL  LIST-1 (2004년)_PULL  LIST-1 (2004년)_PULL  LIST-1 (2004년)_원가인하9월30일_PULL  LIST-1 (2006년)_PULL  LIST-1 (2006년)" xfId="1202"/>
    <cellStyle name="@_SM1_PL_(견적)_PULL  LIST-1 (2004년)_PULL  LIST-1 (2004년)_PULL  LIST-1 (2004년)_원가인하9월30일_PULL  LIST-1 (2006년)_PULL  LIST-1 (2006년)_ PULL  LIST-1 (2007년)" xfId="1203"/>
    <cellStyle name="@_SM1_PL_(견적)_PULL  LIST-1 (2004년)_PULL  LIST-1 (2004년)_PULL  LIST-1 (2005년)" xfId="1204"/>
    <cellStyle name="@_SM1_PL_(견적)_PULL  LIST-1 (2004년)_PULL  LIST-1 (2004년)_PULL  LIST-1 (2005년)_PULL  LIST-1 (2005년)" xfId="1205"/>
    <cellStyle name="@_SM1_PL_(견적)_PULL  LIST-1 (2004년)_PULL  LIST-1 (2004년)_PULL  LIST-1 (2005년)_PULL  LIST-1 (2005년)_ PULL  LIST-1 (2007년)" xfId="1206"/>
    <cellStyle name="@_SM1_PL_(견적)_PULL  LIST-1 (2004년)_PULL  LIST-1 (2004년)_PULL  LIST-1 (2005년)_PULL  LIST-1 (2005년)_PULL  LIST-1 (2006년)" xfId="1207"/>
    <cellStyle name="@_SM1_PL_(견적)_PULL  LIST-1 (2004년)_PULL  LIST-1 (2004년)_PULL  LIST-1 (2005년)_PULL  LIST-1 (2005년)_PULL  LIST-1 (2006년)_PULL  LIST-1 (2006년)" xfId="1208"/>
    <cellStyle name="@_SM1_PL_(견적)_PULL  LIST-1 (2004년)_PULL  LIST-1 (2004년)_PULL  LIST-1 (2005년)_PULL  LIST-1 (2005년)_PULL  LIST-1 (2006년)_PULL  LIST-1 (2006년)_ PULL  LIST-1 (2007년)" xfId="1209"/>
    <cellStyle name="@_SM1_PL_(견적)_PULL  LIST-1 (2004년)_PULL  LIST-1 (2004년)_PULL  LIST-1 (2005년)_PULL  LIST-1 (2006년)" xfId="1210"/>
    <cellStyle name="@_SM1_PL_(견적)_PULL  LIST-1 (2004년)_PULL  LIST-1 (2004년)_PULL  LIST-1 (2005년)_PULL  LIST-1 (2006년)_ PULL  LIST-1 (2007년)" xfId="1211"/>
    <cellStyle name="@_SM1_PL_(견적)_PULL  LIST-1 (2004년)_PULL  LIST-1 (2004년)_PULL  LIST-1 (2005년)_PULL  LIST-1 (2006년)_PULL  LIST-1 (2006년)" xfId="1212"/>
    <cellStyle name="@_SM1_PL_(견적)_PULL  LIST-1 (2004년)_PULL  LIST-1 (2004년)_PULL  LIST-1 (2005년)_PULL  LIST-1 (2006년)_PULL  LIST-1 (2006년)_PULL  LIST-1 (2006년)" xfId="1213"/>
    <cellStyle name="@_SM1_PL_(견적)_PULL  LIST-1 (2004년)_PULL  LIST-1 (2004년)_PULL  LIST-1 (2005년)_PULL  LIST-1 (2006년)_PULL  LIST-1 (2006년)_PULL  LIST-1 (2006년)_ PULL  LIST-1 (2007년)" xfId="1214"/>
    <cellStyle name="@_SM1_PL_(견적)_PULL  LIST-1 (2004년)_PULL  LIST-1 (2004년)_PULL  LIST-1 (2005년)_원가인하9월30일" xfId="1215"/>
    <cellStyle name="@_SM1_PL_(견적)_PULL  LIST-1 (2004년)_PULL  LIST-1 (2004년)_PULL  LIST-1 (2005년)_원가인하9월30일_ PULL  LIST-1 (2007년)" xfId="1216"/>
    <cellStyle name="@_SM1_PL_(견적)_PULL  LIST-1 (2004년)_PULL  LIST-1 (2004년)_PULL  LIST-1 (2005년)_원가인하9월30일_PULL  LIST-1 (2006년)" xfId="1217"/>
    <cellStyle name="@_SM1_PL_(견적)_PULL  LIST-1 (2004년)_PULL  LIST-1 (2004년)_PULL  LIST-1 (2005년)_원가인하9월30일_PULL  LIST-1 (2006년)_PULL  LIST-1 (2006년)" xfId="1218"/>
    <cellStyle name="@_SM1_PL_(견적)_PULL  LIST-1 (2004년)_PULL  LIST-1 (2004년)_PULL  LIST-1 (2005년)_원가인하9월30일_PULL  LIST-1 (2006년)_PULL  LIST-1 (2006년)_ PULL  LIST-1 (2007년)" xfId="1219"/>
    <cellStyle name="@_SM1_PL_(견적)_PULL  LIST-1 (2004년)_PULL  LIST-1 (2004년)_PULL  LIST-1 (2006년)" xfId="1220"/>
    <cellStyle name="@_SM1_PL_(견적)_PULL  LIST-1 (2004년)_PULL  LIST-1 (2004년)_PULL  LIST-1 (2006년)_PULL  LIST-1 (2006년)" xfId="1221"/>
    <cellStyle name="@_SM1_PL_(견적)_PULL  LIST-1 (2004년)_PULL  LIST-1 (2004년)_PULL  LIST-1 (2006년)_PULL  LIST-1 (2006년)_ PULL  LIST-1 (2007년)" xfId="1222"/>
    <cellStyle name="@_SM1_PL_(견적)_PULL  LIST-1 (2004년)_PULL  LIST-1 (2005년)" xfId="1223"/>
    <cellStyle name="@_SM1_PL_(견적)_PULL  LIST-1 (2004년)_PULL  LIST-1 (2005년)_ PULL  LIST-1 (2007년)" xfId="1224"/>
    <cellStyle name="@_SM1_PL_(견적)_PULL  LIST-1 (2004년)_PULL  LIST-1 (2005년)_PULL  LIST-1 (2006년)" xfId="1225"/>
    <cellStyle name="@_SM1_PL_(견적)_PULL  LIST-1 (2004년)_PULL  LIST-1 (2005년)_PULL  LIST-1 (2006년)_PULL  LIST-1 (2006년)" xfId="1226"/>
    <cellStyle name="@_SM1_PL_(견적)_PULL  LIST-1 (2004년)_PULL  LIST-1 (2005년)_PULL  LIST-1 (2006년)_PULL  LIST-1 (2006년)_ PULL  LIST-1 (2007년)" xfId="1227"/>
    <cellStyle name="@_SM1_PL_(견적)_PULL  LIST-1 (2004년)_PULL  LIST-1 (2006년)" xfId="1228"/>
    <cellStyle name="@_SM1_PL_(견적)_PULL  LIST-1 (2004년)_PULL  LIST-1 (2006년)_ PULL  LIST-1 (2007년)" xfId="1229"/>
    <cellStyle name="@_SM1_PL_(견적)_PULL  LIST-1 (2004년)_PULL  LIST-1 (2006년)_PULL  LIST-1 (2006년)" xfId="1230"/>
    <cellStyle name="@_SM1_PL_(견적)_PULL  LIST-1 (2004년)_PULL  LIST-1 (2006년)_PULL  LIST-1 (2006년)_PULL  LIST-1 (2006년)" xfId="1231"/>
    <cellStyle name="@_SM1_PL_(견적)_PULL  LIST-1 (2004년)_PULL  LIST-1 (2006년)_PULL  LIST-1 (2006년)_PULL  LIST-1 (2006년)_ PULL  LIST-1 (2007년)" xfId="1232"/>
    <cellStyle name="@_SM1_PL_(견적)_PULL  LIST-1 (2004년)_원가인하9월30일" xfId="1233"/>
    <cellStyle name="@_SM1_PL_(견적)_PULL  LIST-1 (2004년)_원가인하9월30일_ PULL  LIST-1 (2007년)" xfId="1234"/>
    <cellStyle name="@_SM1_PL_(견적)_PULL  LIST-1 (2004년)_원가인하9월30일_PULL  LIST-1 (2006년)" xfId="1235"/>
    <cellStyle name="@_SM1_PL_(견적)_PULL  LIST-1 (2004년)_원가인하9월30일_PULL  LIST-1 (2006년)_PULL  LIST-1 (2006년)" xfId="1236"/>
    <cellStyle name="@_SM1_PL_(견적)_PULL  LIST-1 (2004년)_원가인하9월30일_PULL  LIST-1 (2006년)_PULL  LIST-1 (2006년)_ PULL  LIST-1 (2007년)" xfId="1237"/>
    <cellStyle name="@_SM1_PL_(견적)_PULL  LIST-1 (2005년)" xfId="1238"/>
    <cellStyle name="@_SM1_PL_(견적)_PULL  LIST-1 (2005년)_PULL  LIST-1 (2005년)" xfId="1239"/>
    <cellStyle name="@_SM1_PL_(견적)_PULL  LIST-1 (2005년)_PULL  LIST-1 (2005년)_ PULL  LIST-1 (2007년)" xfId="1240"/>
    <cellStyle name="@_SM1_PL_(견적)_PULL  LIST-1 (2005년)_PULL  LIST-1 (2005년)_PULL  LIST-1 (2006년)" xfId="1241"/>
    <cellStyle name="@_SM1_PL_(견적)_PULL  LIST-1 (2005년)_PULL  LIST-1 (2005년)_PULL  LIST-1 (2006년)_PULL  LIST-1 (2006년)" xfId="1242"/>
    <cellStyle name="@_SM1_PL_(견적)_PULL  LIST-1 (2005년)_PULL  LIST-1 (2005년)_PULL  LIST-1 (2006년)_PULL  LIST-1 (2006년)_ PULL  LIST-1 (2007년)" xfId="1243"/>
    <cellStyle name="@_SM1_PL_(견적)_PULL  LIST-1 (2005년)_PULL  LIST-1 (2006년)" xfId="1244"/>
    <cellStyle name="@_SM1_PL_(견적)_PULL  LIST-1 (2005년)_PULL  LIST-1 (2006년)_ PULL  LIST-1 (2007년)" xfId="1245"/>
    <cellStyle name="@_SM1_PL_(견적)_PULL  LIST-1 (2005년)_PULL  LIST-1 (2006년)_PULL  LIST-1 (2006년)" xfId="1246"/>
    <cellStyle name="@_SM1_PL_(견적)_PULL  LIST-1 (2005년)_PULL  LIST-1 (2006년)_PULL  LIST-1 (2006년)_PULL  LIST-1 (2006년)" xfId="1247"/>
    <cellStyle name="@_SM1_PL_(견적)_PULL  LIST-1 (2005년)_PULL  LIST-1 (2006년)_PULL  LIST-1 (2006년)_PULL  LIST-1 (2006년)_ PULL  LIST-1 (2007년)" xfId="1248"/>
    <cellStyle name="@_SM1_PL_(견적)_PULL  LIST-1 (2005년)_원가인하9월30일" xfId="1249"/>
    <cellStyle name="@_SM1_PL_(견적)_PULL  LIST-1 (2005년)_원가인하9월30일_ PULL  LIST-1 (2007년)" xfId="1250"/>
    <cellStyle name="@_SM1_PL_(견적)_PULL  LIST-1 (2005년)_원가인하9월30일_PULL  LIST-1 (2006년)" xfId="1251"/>
    <cellStyle name="@_SM1_PL_(견적)_PULL  LIST-1 (2005년)_원가인하9월30일_PULL  LIST-1 (2006년)_PULL  LIST-1 (2006년)" xfId="1252"/>
    <cellStyle name="@_SM1_PL_(견적)_PULL  LIST-1 (2005년)_원가인하9월30일_PULL  LIST-1 (2006년)_PULL  LIST-1 (2006년)_ PULL  LIST-1 (2007년)" xfId="1253"/>
    <cellStyle name="@_SM1_PL_(견적)_PULL  LIST-1 (2006년)" xfId="1254"/>
    <cellStyle name="@_SM1_PL_(견적)_PULL  LIST-1 (2006년)_PULL  LIST-1 (2006년)" xfId="1255"/>
    <cellStyle name="@_SM1_PL_(견적)_PULL  LIST-1 (2006년)_PULL  LIST-1 (2006년)_ PULL  LIST-1 (2007년)" xfId="1256"/>
    <cellStyle name="@_원가인하9월30일" xfId="1257"/>
    <cellStyle name="@_원가인하9월30일_ PULL  LIST-1 (2007년)" xfId="1258"/>
    <cellStyle name="@_원가인하9월30일_PULL  LIST-1 (2006년)" xfId="1259"/>
    <cellStyle name="@_원가인하9월30일_PULL  LIST-1 (2006년)_PULL  LIST-1 (2006년)" xfId="1260"/>
    <cellStyle name="@_원가인하9월30일_PULL  LIST-1 (2006년)_PULL  LIST-1 (2006년)_ PULL  LIST-1 (2007년)" xfId="1261"/>
    <cellStyle name="_01년도HILS케이블" xfId="1262"/>
    <cellStyle name="_01년도연탄계약자료2" xfId="1263"/>
    <cellStyle name="_01년도유도계약자료" xfId="1264"/>
    <cellStyle name="_01년도핑어계약자료2" xfId="1265"/>
    <cellStyle name="_03_평가계획" xfId="1266"/>
    <cellStyle name="_05년 4_x005f_x005F_x005f_x007E_5월 SQ평가일정 카렌다 (050328)-초안" xfId="1267"/>
    <cellStyle name="_05년 4_x005f_x005F_x005f_x007E_5월 SQ평가일정 카렌다 (050328)-초안 2" xfId="1268"/>
    <cellStyle name="_10월결산K" xfId="1269"/>
    <cellStyle name="_2002년도 평가보고-기안-0314" xfId="1270"/>
    <cellStyle name="_2002년도 평가보고-기안-0314 2" xfId="1271"/>
    <cellStyle name="_2003년상반기 SQ-MARK 종합보고-0709" xfId="1272"/>
    <cellStyle name="_2003년상반기 SQ-MARK 종합보고-0709 2" xfId="1273"/>
    <cellStyle name="_4월 RXC SS" xfId="1274"/>
    <cellStyle name="_5. 재료비(국내자재비) " xfId="1275"/>
    <cellStyle name="_EC1" xfId="1276"/>
    <cellStyle name="_EC1_1" xfId="1277"/>
    <cellStyle name="_EC1_2" xfId="1278"/>
    <cellStyle name="_EC1_3" xfId="1279"/>
    <cellStyle name="_EC1_4" xfId="1280"/>
    <cellStyle name="_EC1_5" xfId="1281"/>
    <cellStyle name="_lbsouy`6_622k1" xfId="1282"/>
    <cellStyle name="_PDBJKR5506A(미래기전 공정감사 보고서)" xfId="1283"/>
    <cellStyle name="_PDBJKR5506A(미래기전 공정감사 보고서) 2" xfId="1284"/>
    <cellStyle name="_PDKHSF5530A(2005년 공정감사 일정 통보건)" xfId="1285"/>
    <cellStyle name="_PDKHSF5530A(2005년 공정감사 일정 통보건) 2" xfId="1286"/>
    <cellStyle name="_PDKKJR5510A(영진정공 공정감사 보고서)" xfId="1287"/>
    <cellStyle name="_PDKKJR5510A(영진정공 공정감사 보고서) 2" xfId="1288"/>
    <cellStyle name="_PRG 리프스프링이음1213(1)" xfId="1289"/>
    <cellStyle name="_PRG 리프스프링이음1213(1) 2" xfId="1290"/>
    <cellStyle name="_Q WBS" xfId="1291"/>
    <cellStyle name="_Q WS 평가계획_080429" xfId="1292"/>
    <cellStyle name="_SMP400S 평가 계획서(080415)" xfId="1293"/>
    <cellStyle name="_SQ인증대상업체(용접 05.4~8)" xfId="1294"/>
    <cellStyle name="_SQ인증대상업체(용접 05.4~8) 2" xfId="1295"/>
    <cellStyle name="_STW BALANCE(20091111)" xfId="1296"/>
    <cellStyle name="_WBS" xfId="1297"/>
    <cellStyle name="_WBS_0622" xfId="1298"/>
    <cellStyle name="_WBS_2Gantry" xfId="1299"/>
    <cellStyle name="_WS 평가계획(Q)_080410" xfId="1300"/>
    <cellStyle name="_WS 평가계획(Q)_080429" xfId="1301"/>
    <cellStyle name="_YU" xfId="1302"/>
    <cellStyle name="_YU 2" xfId="1303"/>
    <cellStyle name="_가속기 상세설계 품평회 자료_PM_060424" xfId="1304"/>
    <cellStyle name="_가속기 체계시제 실행_매출계획_060317" xfId="1305"/>
    <cellStyle name="_가속기엔진 호기별 제작_시험 일정_060327" xfId="1306"/>
    <cellStyle name="_갑모음(ILS) (2)" xfId="1307"/>
    <cellStyle name="_갑지2" xfId="1308"/>
    <cellStyle name="_개발원가추산서(011110계약기초자료)" xfId="1309"/>
    <cellStyle name="_개발원가추산서(011110계약기초자료-전자)" xfId="1310"/>
    <cellStyle name="_개발원가추산서(011126계약기초자료-전자기계통합)" xfId="1311"/>
    <cellStyle name="_개발원가추산서(샘플-계약자료용)" xfId="1312"/>
    <cellStyle name="_개선사례(칭다오시그마)" xfId="1313"/>
    <cellStyle name="_개선사례(칭다오시그마) 2" xfId="1314"/>
    <cellStyle name="_공정감사(신풍011129)" xfId="1315"/>
    <cellStyle name="_공정감사(신풍011129) 2" xfId="1316"/>
    <cellStyle name="_공정감사보고서(종합)" xfId="1317"/>
    <cellStyle name="_공정감사보고서(종합) 2" xfId="1318"/>
    <cellStyle name="_공정감사보고서_화승R&amp;A_041216" xfId="1319"/>
    <cellStyle name="_공정감사보고서_화승R&amp;A_041216 2" xfId="1320"/>
    <cellStyle name="_과제관리_6시그마 융합(가속기)_060619" xfId="1321"/>
    <cellStyle name="_국내개발센서보드레벨" xfId="1322"/>
    <cellStyle name="_국내개발센서보드레벨_GCUBD별pl2" xfId="1323"/>
    <cellStyle name="_국내개발센서보드레벨_데이터베이스구축" xfId="1324"/>
    <cellStyle name="_금형평가 추가확인사항(050621)" xfId="1325"/>
    <cellStyle name="_금형평가 추가확인사항(050621) 2" xfId="1326"/>
    <cellStyle name="_기안" xfId="1327"/>
    <cellStyle name="_기안_1" xfId="1328"/>
    <cellStyle name="_기안_2" xfId="1329"/>
    <cellStyle name="_기안_2_03연구소율" xfId="1330"/>
    <cellStyle name="_기안_2_03연구소율(용역)" xfId="1331"/>
    <cellStyle name="_기안_2_백상어시뮬레이터추산서0128" xfId="1332"/>
    <cellStyle name="_기안_2_백상어시뮬레이터추산서0129" xfId="1333"/>
    <cellStyle name="_기안_2_수정원가계산양식" xfId="1334"/>
    <cellStyle name="_기안_2_수정원가현황" xfId="1335"/>
    <cellStyle name="_기안_2_함대함 마이크로파 탐색기" xfId="1336"/>
    <cellStyle name="_기안_2_함대함유도탄종합점검장비2차 DT보완외시제 원가추산서2" xfId="1337"/>
    <cellStyle name="_기안_3" xfId="1338"/>
    <cellStyle name="_기안_4" xfId="1339"/>
    <cellStyle name="_기존센서보드레벨" xfId="1340"/>
    <cellStyle name="_기존센서보드레벨_GCUBD별pl2" xfId="1341"/>
    <cellStyle name="_기존센서보드레벨_국내개발센서보드레벨" xfId="1342"/>
    <cellStyle name="_기존센서보드레벨_데이터베이스구축" xfId="1343"/>
    <cellStyle name="_納期回答 090520_41184" xfId="1344"/>
    <cellStyle name="_담당자" xfId="1345"/>
    <cellStyle name="_백상어시뮬레이터추산서0128-1안" xfId="1346"/>
    <cellStyle name="_본사송부(WSS020409)" xfId="1347"/>
    <cellStyle name="_본사송부(WSS030127)" xfId="1348"/>
    <cellStyle name="_상각비율" xfId="1349"/>
    <cellStyle name="_수정경비율1120" xfId="1350"/>
    <cellStyle name="_시제원가추산(추정)" xfId="1351"/>
    <cellStyle name="_원가절감PL_김보미_071031" xfId="1352"/>
    <cellStyle name="_원가추산서(0318조정제출)" xfId="1353"/>
    <cellStyle name="_일정" xfId="1354"/>
    <cellStyle name="_주단조 경고미실시(050120)" xfId="1355"/>
    <cellStyle name="_주단조 경고미실시(050120) 2" xfId="1356"/>
    <cellStyle name="_주단조 정기평가결과(050118)" xfId="1357"/>
    <cellStyle name="_주단조 정기평가결과(050118) 2" xfId="1358"/>
    <cellStyle name="_주단조 정기평가품의(20040830)" xfId="1359"/>
    <cellStyle name="_주단조 정기평가품의(20040830) 2" xfId="1360"/>
    <cellStyle name="_주단조 평가완료및 미실시업체(050118)" xfId="1361"/>
    <cellStyle name="_주단조 평가완료및 미실시업체(050118) 2" xfId="1362"/>
    <cellStyle name="_청상어체계개발원가추산1" xfId="1363"/>
    <cellStyle name="_특별평가요청서" xfId="1364"/>
    <cellStyle name="_특별평가요청서 2" xfId="1365"/>
    <cellStyle name="_품질보증계획_가속기_0603_v1.0_060413" xfId="1366"/>
    <cellStyle name="_함대함ILS_노무공수" xfId="1367"/>
    <cellStyle name="`MCvt/ASP" xfId="1368"/>
    <cellStyle name="`NACSP1.YMM0_x0001_ဠ" xfId="1369"/>
    <cellStyle name="¡ERIiU¡ERE?¡ERER ¡ERE?A¡ERE¡ERIA CIAI¡ER￠R¡¿￠RERU¡ERE¡ER¨I¡ⓒ¡ERIiA¡ER￠R¡¿I" xfId="1370"/>
    <cellStyle name="’E‰Y [0.00]_laroux" xfId="1371"/>
    <cellStyle name="’E‰Y_laroux" xfId="1372"/>
    <cellStyle name="￠R¡×Ioe¡ER￠R¡¿¡ER¨I¡ⓒ¡ER￠R¡¿¡EREA￠R¡×I¡ERA_AIAIC￠RER￠R¡×¡ERAuCoE￠R¡×I¡ERA " xfId="1373"/>
    <cellStyle name="¤@?e_TEST-1 " xfId="1374"/>
    <cellStyle name="©öe¨¬¨¢A©÷_AIAIC¡ÆAuCoE©÷ " xfId="1375"/>
    <cellStyle name="°iA¤Aa·A1_10¿u2WA¸ºI " xfId="1376"/>
    <cellStyle name="°iA¤Aa·A2_10¿u2WA¸ºI " xfId="1377"/>
    <cellStyle name="0뾍R_x0005_?뾍b_x0005_" xfId="1378"/>
    <cellStyle name="0뾍R_x0005_?뾍b_x0005_ 2" xfId="1379"/>
    <cellStyle name="1" xfId="1380"/>
    <cellStyle name="1 2" xfId="1381"/>
    <cellStyle name="1 3" xfId="1382"/>
    <cellStyle name="1_J7053785A" xfId="1383"/>
    <cellStyle name="1_J7153399A" xfId="1384"/>
    <cellStyle name="1_J7153400A" xfId="1385"/>
    <cellStyle name="10" xfId="1386"/>
    <cellStyle name="100" xfId="1387"/>
    <cellStyle name="100 2" xfId="1388"/>
    <cellStyle name="100 2 2" xfId="1389"/>
    <cellStyle name="100 3" xfId="1390"/>
    <cellStyle name="100 3 2" xfId="1391"/>
    <cellStyle name="100 4" xfId="1392"/>
    <cellStyle name="100 4 2" xfId="1393"/>
    <cellStyle name="100 5" xfId="1394"/>
    <cellStyle name="100 5 2" xfId="1395"/>
    <cellStyle name="100 6" xfId="1396"/>
    <cellStyle name="100 6 2" xfId="1397"/>
    <cellStyle name="100 7" xfId="1398"/>
    <cellStyle name="100 7 2" xfId="1399"/>
    <cellStyle name="100 8" xfId="1400"/>
    <cellStyle name="100 8 2" xfId="1401"/>
    <cellStyle name="100 9" xfId="1402"/>
    <cellStyle name="100 9 2" xfId="1403"/>
    <cellStyle name="120" xfId="1404"/>
    <cellStyle name="120 2" xfId="1405"/>
    <cellStyle name="120 2 2" xfId="1406"/>
    <cellStyle name="120 3" xfId="1407"/>
    <cellStyle name="120 3 2" xfId="1408"/>
    <cellStyle name="120 4" xfId="1409"/>
    <cellStyle name="120 4 2" xfId="1410"/>
    <cellStyle name="120 5" xfId="1411"/>
    <cellStyle name="120 5 2" xfId="1412"/>
    <cellStyle name="120 6" xfId="1413"/>
    <cellStyle name="120 6 2" xfId="1414"/>
    <cellStyle name="120 7" xfId="1415"/>
    <cellStyle name="120 7 2" xfId="1416"/>
    <cellStyle name="120 8" xfId="1417"/>
    <cellStyle name="120 8 2" xfId="1418"/>
    <cellStyle name="120 9" xfId="1419"/>
    <cellStyle name="120 9 2" xfId="1420"/>
    <cellStyle name="¹eºÐA²_±aA¸" xfId="1421"/>
    <cellStyle name="¹éºÐÀ²_ÀÏÀÏÇ°ÁúÇöÈ² " xfId="1422"/>
    <cellStyle name="20% - Accent1" xfId="1423"/>
    <cellStyle name="20% - Accent1 2" xfId="1424"/>
    <cellStyle name="20% - Accent1 2 2" xfId="1425"/>
    <cellStyle name="20% - Accent1 3" xfId="1426"/>
    <cellStyle name="20% - Accent1 3 2" xfId="1427"/>
    <cellStyle name="20% - Accent1 3 2 2" xfId="1428"/>
    <cellStyle name="20% - Accent1 4" xfId="1429"/>
    <cellStyle name="20% - Accent2" xfId="1430"/>
    <cellStyle name="20% - Accent2 2" xfId="1431"/>
    <cellStyle name="20% - Accent2 2 2" xfId="1432"/>
    <cellStyle name="20% - Accent2 3" xfId="1433"/>
    <cellStyle name="20% - Accent2 3 2" xfId="1434"/>
    <cellStyle name="20% - Accent2 3 2 2" xfId="1435"/>
    <cellStyle name="20% - Accent2 4" xfId="1436"/>
    <cellStyle name="20% - Accent3" xfId="1437"/>
    <cellStyle name="20% - Accent3 2" xfId="1438"/>
    <cellStyle name="20% - Accent3 2 2" xfId="1439"/>
    <cellStyle name="20% - Accent3 3" xfId="1440"/>
    <cellStyle name="20% - Accent3 3 2" xfId="1441"/>
    <cellStyle name="20% - Accent3 3 2 2" xfId="1442"/>
    <cellStyle name="20% - Accent3 4" xfId="1443"/>
    <cellStyle name="20% - Accent4" xfId="1444"/>
    <cellStyle name="20% - Accent4 2" xfId="1445"/>
    <cellStyle name="20% - Accent4 2 2" xfId="1446"/>
    <cellStyle name="20% - Accent4 3" xfId="1447"/>
    <cellStyle name="20% - Accent4 3 2" xfId="1448"/>
    <cellStyle name="20% - Accent4 3 2 2" xfId="1449"/>
    <cellStyle name="20% - Accent4 4" xfId="1450"/>
    <cellStyle name="20% - Accent5" xfId="1451"/>
    <cellStyle name="20% - Accent5 2" xfId="1452"/>
    <cellStyle name="20% - Accent5 2 2" xfId="1453"/>
    <cellStyle name="20% - Accent5 3" xfId="1454"/>
    <cellStyle name="20% - Accent5 3 2" xfId="1455"/>
    <cellStyle name="20% - Accent5 3 2 2" xfId="1456"/>
    <cellStyle name="20% - Accent5 4" xfId="1457"/>
    <cellStyle name="20% - Accent6" xfId="1458"/>
    <cellStyle name="20% - Accent6 2" xfId="1459"/>
    <cellStyle name="20% - Accent6 2 2" xfId="1460"/>
    <cellStyle name="20% - Accent6 3" xfId="1461"/>
    <cellStyle name="20% - Accent6 3 2" xfId="1462"/>
    <cellStyle name="20% - Accent6 3 2 2" xfId="1463"/>
    <cellStyle name="20% - Accent6 4" xfId="1464"/>
    <cellStyle name="20% - 강조색1 10" xfId="1465"/>
    <cellStyle name="20% - 강조색1 10 2" xfId="1466"/>
    <cellStyle name="20% - 강조색1 10 2 2" xfId="1467"/>
    <cellStyle name="20% - 강조색1 10 2 2 2" xfId="1468"/>
    <cellStyle name="20% - 강조색1 10 2 2 2 2" xfId="1469"/>
    <cellStyle name="20% - 강조색1 10 2 2 2 3" xfId="1470"/>
    <cellStyle name="20% - 강조색1 10 2 2 3" xfId="1471"/>
    <cellStyle name="20% - 강조색1 10 2 2 4" xfId="1472"/>
    <cellStyle name="20% - 강조색1 10 2 3" xfId="1473"/>
    <cellStyle name="20% - 강조색1 10 2 3 2" xfId="1474"/>
    <cellStyle name="20% - 강조색1 10 2 3 3" xfId="1475"/>
    <cellStyle name="20% - 강조색1 10 2 4" xfId="1476"/>
    <cellStyle name="20% - 강조색1 10 2 5" xfId="1477"/>
    <cellStyle name="20% - 강조색1 10 3" xfId="1478"/>
    <cellStyle name="20% - 강조색1 10 3 2" xfId="1479"/>
    <cellStyle name="20% - 강조색1 10 3 2 2" xfId="1480"/>
    <cellStyle name="20% - 강조색1 10 3 2 2 2" xfId="1481"/>
    <cellStyle name="20% - 강조색1 10 3 2 2 3" xfId="1482"/>
    <cellStyle name="20% - 강조색1 10 3 2 3" xfId="1483"/>
    <cellStyle name="20% - 강조색1 10 3 2 4" xfId="1484"/>
    <cellStyle name="20% - 강조색1 10 3 3" xfId="1485"/>
    <cellStyle name="20% - 강조색1 10 3 3 2" xfId="1486"/>
    <cellStyle name="20% - 강조색1 10 3 3 3" xfId="1487"/>
    <cellStyle name="20% - 강조색1 10 3 4" xfId="1488"/>
    <cellStyle name="20% - 강조색1 10 3 5" xfId="1489"/>
    <cellStyle name="20% - 강조색1 10 4" xfId="1490"/>
    <cellStyle name="20% - 강조색1 10 4 2" xfId="1491"/>
    <cellStyle name="20% - 강조색1 10 4 2 2" xfId="1492"/>
    <cellStyle name="20% - 강조색1 10 4 2 3" xfId="1493"/>
    <cellStyle name="20% - 강조색1 10 4 3" xfId="1494"/>
    <cellStyle name="20% - 강조색1 10 4 4" xfId="1495"/>
    <cellStyle name="20% - 강조색1 10 5" xfId="1496"/>
    <cellStyle name="20% - 강조색1 10 5 2" xfId="1497"/>
    <cellStyle name="20% - 강조색1 10 5 3" xfId="1498"/>
    <cellStyle name="20% - 강조색1 10 6" xfId="1499"/>
    <cellStyle name="20% - 강조색1 10 7" xfId="1500"/>
    <cellStyle name="20% - 강조색1 11" xfId="1501"/>
    <cellStyle name="20% - 강조색1 11 2" xfId="1502"/>
    <cellStyle name="20% - 강조색1 11 2 2" xfId="1503"/>
    <cellStyle name="20% - 강조색1 11 2 2 2" xfId="1504"/>
    <cellStyle name="20% - 강조색1 11 2 2 3" xfId="1505"/>
    <cellStyle name="20% - 강조색1 11 2 3" xfId="1506"/>
    <cellStyle name="20% - 강조색1 11 2 4" xfId="1507"/>
    <cellStyle name="20% - 강조색1 11 3" xfId="1508"/>
    <cellStyle name="20% - 강조색1 11 3 2" xfId="1509"/>
    <cellStyle name="20% - 강조색1 11 3 3" xfId="1510"/>
    <cellStyle name="20% - 강조색1 11 4" xfId="1511"/>
    <cellStyle name="20% - 강조색1 11 5" xfId="1512"/>
    <cellStyle name="20% - 강조색1 12" xfId="1513"/>
    <cellStyle name="20% - 강조색1 12 2" xfId="1514"/>
    <cellStyle name="20% - 강조색1 12 2 2" xfId="1515"/>
    <cellStyle name="20% - 강조색1 12 2 2 2" xfId="1516"/>
    <cellStyle name="20% - 강조색1 12 2 2 3" xfId="1517"/>
    <cellStyle name="20% - 강조색1 12 2 3" xfId="1518"/>
    <cellStyle name="20% - 강조색1 12 2 4" xfId="1519"/>
    <cellStyle name="20% - 강조색1 12 3" xfId="1520"/>
    <cellStyle name="20% - 강조색1 12 3 2" xfId="1521"/>
    <cellStyle name="20% - 강조색1 12 3 3" xfId="1522"/>
    <cellStyle name="20% - 강조색1 12 4" xfId="1523"/>
    <cellStyle name="20% - 강조색1 12 5" xfId="1524"/>
    <cellStyle name="20% - 강조색1 13" xfId="1525"/>
    <cellStyle name="20% - 강조색1 13 2" xfId="1526"/>
    <cellStyle name="20% - 강조색1 13 2 2" xfId="1527"/>
    <cellStyle name="20% - 강조색1 13 2 3" xfId="1528"/>
    <cellStyle name="20% - 강조색1 13 3" xfId="1529"/>
    <cellStyle name="20% - 강조색1 13 4" xfId="1530"/>
    <cellStyle name="20% - 강조색1 14" xfId="1531"/>
    <cellStyle name="20% - 강조색1 14 2" xfId="1532"/>
    <cellStyle name="20% - 강조색1 14 2 2" xfId="1533"/>
    <cellStyle name="20% - 강조색1 14 2 3" xfId="1534"/>
    <cellStyle name="20% - 강조색1 14 3" xfId="1535"/>
    <cellStyle name="20% - 강조색1 14 4" xfId="1536"/>
    <cellStyle name="20% - 강조색1 15" xfId="1537"/>
    <cellStyle name="20% - 강조색1 15 2" xfId="1538"/>
    <cellStyle name="20% - 강조색1 15 3" xfId="1539"/>
    <cellStyle name="20% - 강조색1 16" xfId="1540"/>
    <cellStyle name="20% - 강조색1 16 2" xfId="1541"/>
    <cellStyle name="20% - 강조색1 16 3" xfId="1542"/>
    <cellStyle name="20% - 강조색1 16 4" xfId="1543"/>
    <cellStyle name="20% - 강조색1 17" xfId="1544"/>
    <cellStyle name="20% - 강조색1 17 2" xfId="1545"/>
    <cellStyle name="20% - 강조색1 17 3" xfId="1546"/>
    <cellStyle name="20% - 강조색1 18" xfId="1547"/>
    <cellStyle name="20% - 강조색1 18 2" xfId="1548"/>
    <cellStyle name="20% - 강조색1 18 3" xfId="1549"/>
    <cellStyle name="20% - 강조색1 19" xfId="1550"/>
    <cellStyle name="20% - 강조색1 19 2" xfId="1551"/>
    <cellStyle name="20% - 강조색1 19 3" xfId="1552"/>
    <cellStyle name="20% - 강조색1 2" xfId="1553"/>
    <cellStyle name="20% - 강조색1 2 2" xfId="1554"/>
    <cellStyle name="20% - 강조색1 2 2 2" xfId="1555"/>
    <cellStyle name="20% - 강조색1 2 2 2 2" xfId="1556"/>
    <cellStyle name="20% - 강조색1 2 2 3" xfId="1557"/>
    <cellStyle name="20% - 강조색1 2 3" xfId="1558"/>
    <cellStyle name="20% - 강조색1 2 3 2" xfId="1559"/>
    <cellStyle name="20% - 강조색1 2 3 2 2" xfId="1560"/>
    <cellStyle name="20% - 강조색1 2 3 3" xfId="1561"/>
    <cellStyle name="20% - 강조색1 2 4" xfId="1562"/>
    <cellStyle name="20% - 강조색1 2 4 2" xfId="1563"/>
    <cellStyle name="20% - 강조색1 2 5" xfId="1564"/>
    <cellStyle name="20% - 강조색1 2 6" xfId="1565"/>
    <cellStyle name="20% - 강조색1 20" xfId="1566"/>
    <cellStyle name="20% - 강조색1 20 2" xfId="1567"/>
    <cellStyle name="20% - 강조색1 20 3" xfId="1568"/>
    <cellStyle name="20% - 강조색1 21" xfId="1569"/>
    <cellStyle name="20% - 강조색1 21 2" xfId="1570"/>
    <cellStyle name="20% - 강조색1 21 3" xfId="1571"/>
    <cellStyle name="20% - 강조색1 22" xfId="1572"/>
    <cellStyle name="20% - 강조색1 22 2" xfId="1573"/>
    <cellStyle name="20% - 강조색1 22 3" xfId="1574"/>
    <cellStyle name="20% - 강조색1 23" xfId="1575"/>
    <cellStyle name="20% - 강조색1 23 2" xfId="1576"/>
    <cellStyle name="20% - 강조색1 23 3" xfId="1577"/>
    <cellStyle name="20% - 강조색1 24" xfId="1578"/>
    <cellStyle name="20% - 강조색1 24 2" xfId="1579"/>
    <cellStyle name="20% - 강조색1 25" xfId="1580"/>
    <cellStyle name="20% - 강조색1 25 2" xfId="1581"/>
    <cellStyle name="20% - 강조색1 26" xfId="1582"/>
    <cellStyle name="20% - 강조색1 26 2" xfId="1583"/>
    <cellStyle name="20% - 강조색1 27" xfId="1584"/>
    <cellStyle name="20% - 강조색1 27 2" xfId="1585"/>
    <cellStyle name="20% - 강조색1 28" xfId="1586"/>
    <cellStyle name="20% - 강조색1 28 2" xfId="1587"/>
    <cellStyle name="20% - 강조색1 29" xfId="1588"/>
    <cellStyle name="20% - 강조색1 29 2" xfId="1589"/>
    <cellStyle name="20% - 강조색1 3" xfId="1590"/>
    <cellStyle name="20% - 강조색1 3 10" xfId="1591"/>
    <cellStyle name="20% - 강조색1 3 10 2" xfId="1592"/>
    <cellStyle name="20% - 강조색1 3 10 2 2" xfId="1593"/>
    <cellStyle name="20% - 강조색1 3 10 2 3" xfId="1594"/>
    <cellStyle name="20% - 강조색1 3 10 3" xfId="1595"/>
    <cellStyle name="20% - 강조색1 3 10 4" xfId="1596"/>
    <cellStyle name="20% - 강조색1 3 11" xfId="1597"/>
    <cellStyle name="20% - 강조색1 3 11 2" xfId="1598"/>
    <cellStyle name="20% - 강조색1 3 11 3" xfId="1599"/>
    <cellStyle name="20% - 강조색1 3 12" xfId="1600"/>
    <cellStyle name="20% - 강조색1 3 13" xfId="1601"/>
    <cellStyle name="20% - 강조색1 3 14" xfId="1602"/>
    <cellStyle name="20% - 강조색1 3 15" xfId="1603"/>
    <cellStyle name="20% - 강조색1 3 2" xfId="1604"/>
    <cellStyle name="20% - 강조색1 3 2 10" xfId="1605"/>
    <cellStyle name="20% - 강조색1 3 2 11" xfId="1606"/>
    <cellStyle name="20% - 강조색1 3 2 12" xfId="1607"/>
    <cellStyle name="20% - 강조색1 3 2 2" xfId="1608"/>
    <cellStyle name="20% - 강조색1 3 2 2 2" xfId="1609"/>
    <cellStyle name="20% - 강조색1 3 2 2 2 2" xfId="1610"/>
    <cellStyle name="20% - 강조색1 3 2 2 2 2 2" xfId="1611"/>
    <cellStyle name="20% - 강조색1 3 2 2 2 2 2 2" xfId="1612"/>
    <cellStyle name="20% - 강조색1 3 2 2 2 2 2 3" xfId="1613"/>
    <cellStyle name="20% - 강조색1 3 2 2 2 2 3" xfId="1614"/>
    <cellStyle name="20% - 강조색1 3 2 2 2 2 4" xfId="1615"/>
    <cellStyle name="20% - 강조색1 3 2 2 2 3" xfId="1616"/>
    <cellStyle name="20% - 강조색1 3 2 2 2 3 2" xfId="1617"/>
    <cellStyle name="20% - 강조색1 3 2 2 2 3 3" xfId="1618"/>
    <cellStyle name="20% - 강조색1 3 2 2 2 4" xfId="1619"/>
    <cellStyle name="20% - 강조색1 3 2 2 2 5" xfId="1620"/>
    <cellStyle name="20% - 강조색1 3 2 2 3" xfId="1621"/>
    <cellStyle name="20% - 강조색1 3 2 2 3 2" xfId="1622"/>
    <cellStyle name="20% - 강조색1 3 2 2 3 2 2" xfId="1623"/>
    <cellStyle name="20% - 강조색1 3 2 2 3 2 2 2" xfId="1624"/>
    <cellStyle name="20% - 강조색1 3 2 2 3 2 2 3" xfId="1625"/>
    <cellStyle name="20% - 강조색1 3 2 2 3 2 3" xfId="1626"/>
    <cellStyle name="20% - 강조색1 3 2 2 3 2 4" xfId="1627"/>
    <cellStyle name="20% - 강조색1 3 2 2 3 3" xfId="1628"/>
    <cellStyle name="20% - 강조색1 3 2 2 3 3 2" xfId="1629"/>
    <cellStyle name="20% - 강조색1 3 2 2 3 3 3" xfId="1630"/>
    <cellStyle name="20% - 강조색1 3 2 2 3 4" xfId="1631"/>
    <cellStyle name="20% - 강조색1 3 2 2 3 5" xfId="1632"/>
    <cellStyle name="20% - 강조색1 3 2 2 4" xfId="1633"/>
    <cellStyle name="20% - 강조색1 3 2 2 4 2" xfId="1634"/>
    <cellStyle name="20% - 강조색1 3 2 2 4 2 2" xfId="1635"/>
    <cellStyle name="20% - 강조색1 3 2 2 4 2 3" xfId="1636"/>
    <cellStyle name="20% - 강조색1 3 2 2 4 3" xfId="1637"/>
    <cellStyle name="20% - 강조색1 3 2 2 4 4" xfId="1638"/>
    <cellStyle name="20% - 강조색1 3 2 2 5" xfId="1639"/>
    <cellStyle name="20% - 강조색1 3 2 2 5 2" xfId="1640"/>
    <cellStyle name="20% - 강조색1 3 2 2 5 3" xfId="1641"/>
    <cellStyle name="20% - 강조색1 3 2 2 6" xfId="1642"/>
    <cellStyle name="20% - 강조색1 3 2 2 7" xfId="1643"/>
    <cellStyle name="20% - 강조색1 3 2 2 8" xfId="1644"/>
    <cellStyle name="20% - 강조색1 3 2 2 9" xfId="1645"/>
    <cellStyle name="20% - 강조색1 3 2 3" xfId="1646"/>
    <cellStyle name="20% - 강조색1 3 2 3 2" xfId="1647"/>
    <cellStyle name="20% - 강조색1 3 2 3 2 2" xfId="1648"/>
    <cellStyle name="20% - 강조색1 3 2 3 2 2 2" xfId="1649"/>
    <cellStyle name="20% - 강조색1 3 2 3 2 2 2 2" xfId="1650"/>
    <cellStyle name="20% - 강조색1 3 2 3 2 2 2 3" xfId="1651"/>
    <cellStyle name="20% - 강조색1 3 2 3 2 2 3" xfId="1652"/>
    <cellStyle name="20% - 강조색1 3 2 3 2 2 4" xfId="1653"/>
    <cellStyle name="20% - 강조색1 3 2 3 2 3" xfId="1654"/>
    <cellStyle name="20% - 강조색1 3 2 3 2 3 2" xfId="1655"/>
    <cellStyle name="20% - 강조색1 3 2 3 2 3 3" xfId="1656"/>
    <cellStyle name="20% - 강조색1 3 2 3 2 4" xfId="1657"/>
    <cellStyle name="20% - 강조색1 3 2 3 2 5" xfId="1658"/>
    <cellStyle name="20% - 강조색1 3 2 3 3" xfId="1659"/>
    <cellStyle name="20% - 강조색1 3 2 3 3 2" xfId="1660"/>
    <cellStyle name="20% - 강조색1 3 2 3 3 2 2" xfId="1661"/>
    <cellStyle name="20% - 강조색1 3 2 3 3 2 2 2" xfId="1662"/>
    <cellStyle name="20% - 강조색1 3 2 3 3 2 2 3" xfId="1663"/>
    <cellStyle name="20% - 강조색1 3 2 3 3 2 3" xfId="1664"/>
    <cellStyle name="20% - 강조색1 3 2 3 3 2 4" xfId="1665"/>
    <cellStyle name="20% - 강조색1 3 2 3 3 3" xfId="1666"/>
    <cellStyle name="20% - 강조색1 3 2 3 3 3 2" xfId="1667"/>
    <cellStyle name="20% - 강조색1 3 2 3 3 3 3" xfId="1668"/>
    <cellStyle name="20% - 강조색1 3 2 3 3 4" xfId="1669"/>
    <cellStyle name="20% - 강조색1 3 2 3 3 5" xfId="1670"/>
    <cellStyle name="20% - 강조색1 3 2 3 4" xfId="1671"/>
    <cellStyle name="20% - 강조색1 3 2 3 4 2" xfId="1672"/>
    <cellStyle name="20% - 강조색1 3 2 3 4 2 2" xfId="1673"/>
    <cellStyle name="20% - 강조색1 3 2 3 4 2 3" xfId="1674"/>
    <cellStyle name="20% - 강조색1 3 2 3 4 3" xfId="1675"/>
    <cellStyle name="20% - 강조색1 3 2 3 4 4" xfId="1676"/>
    <cellStyle name="20% - 강조색1 3 2 3 5" xfId="1677"/>
    <cellStyle name="20% - 강조색1 3 2 3 5 2" xfId="1678"/>
    <cellStyle name="20% - 강조색1 3 2 3 5 3" xfId="1679"/>
    <cellStyle name="20% - 강조색1 3 2 3 6" xfId="1680"/>
    <cellStyle name="20% - 강조색1 3 2 3 7" xfId="1681"/>
    <cellStyle name="20% - 강조색1 3 2 4" xfId="1682"/>
    <cellStyle name="20% - 강조색1 3 2 4 2" xfId="1683"/>
    <cellStyle name="20% - 강조색1 3 2 4 2 2" xfId="1684"/>
    <cellStyle name="20% - 강조색1 3 2 4 2 2 2" xfId="1685"/>
    <cellStyle name="20% - 강조색1 3 2 4 2 2 3" xfId="1686"/>
    <cellStyle name="20% - 강조색1 3 2 4 2 3" xfId="1687"/>
    <cellStyle name="20% - 강조색1 3 2 4 2 4" xfId="1688"/>
    <cellStyle name="20% - 강조색1 3 2 4 3" xfId="1689"/>
    <cellStyle name="20% - 강조색1 3 2 4 3 2" xfId="1690"/>
    <cellStyle name="20% - 강조색1 3 2 4 3 3" xfId="1691"/>
    <cellStyle name="20% - 강조색1 3 2 4 4" xfId="1692"/>
    <cellStyle name="20% - 강조색1 3 2 4 5" xfId="1693"/>
    <cellStyle name="20% - 강조색1 3 2 5" xfId="1694"/>
    <cellStyle name="20% - 강조색1 3 2 5 2" xfId="1695"/>
    <cellStyle name="20% - 강조색1 3 2 5 2 2" xfId="1696"/>
    <cellStyle name="20% - 강조색1 3 2 5 2 2 2" xfId="1697"/>
    <cellStyle name="20% - 강조색1 3 2 5 2 2 3" xfId="1698"/>
    <cellStyle name="20% - 강조색1 3 2 5 2 3" xfId="1699"/>
    <cellStyle name="20% - 강조색1 3 2 5 2 4" xfId="1700"/>
    <cellStyle name="20% - 강조색1 3 2 5 3" xfId="1701"/>
    <cellStyle name="20% - 강조색1 3 2 5 3 2" xfId="1702"/>
    <cellStyle name="20% - 강조색1 3 2 5 3 3" xfId="1703"/>
    <cellStyle name="20% - 강조색1 3 2 5 4" xfId="1704"/>
    <cellStyle name="20% - 강조색1 3 2 5 5" xfId="1705"/>
    <cellStyle name="20% - 강조색1 3 2 6" xfId="1706"/>
    <cellStyle name="20% - 강조색1 3 2 6 2" xfId="1707"/>
    <cellStyle name="20% - 강조색1 3 2 6 2 2" xfId="1708"/>
    <cellStyle name="20% - 강조색1 3 2 6 2 2 2" xfId="1709"/>
    <cellStyle name="20% - 강조색1 3 2 6 2 2 3" xfId="1710"/>
    <cellStyle name="20% - 강조색1 3 2 6 2 3" xfId="1711"/>
    <cellStyle name="20% - 강조색1 3 2 6 2 4" xfId="1712"/>
    <cellStyle name="20% - 강조색1 3 2 6 3" xfId="1713"/>
    <cellStyle name="20% - 강조색1 3 2 6 3 2" xfId="1714"/>
    <cellStyle name="20% - 강조색1 3 2 6 3 3" xfId="1715"/>
    <cellStyle name="20% - 강조색1 3 2 6 4" xfId="1716"/>
    <cellStyle name="20% - 강조색1 3 2 6 5" xfId="1717"/>
    <cellStyle name="20% - 강조색1 3 2 7" xfId="1718"/>
    <cellStyle name="20% - 강조색1 3 2 7 2" xfId="1719"/>
    <cellStyle name="20% - 강조색1 3 2 7 2 2" xfId="1720"/>
    <cellStyle name="20% - 강조색1 3 2 7 2 3" xfId="1721"/>
    <cellStyle name="20% - 강조색1 3 2 7 3" xfId="1722"/>
    <cellStyle name="20% - 강조색1 3 2 7 4" xfId="1723"/>
    <cellStyle name="20% - 강조색1 3 2 8" xfId="1724"/>
    <cellStyle name="20% - 강조색1 3 2 8 2" xfId="1725"/>
    <cellStyle name="20% - 강조색1 3 2 8 3" xfId="1726"/>
    <cellStyle name="20% - 강조색1 3 2 9" xfId="1727"/>
    <cellStyle name="20% - 강조색1 3 3" xfId="1728"/>
    <cellStyle name="20% - 강조색1 3 3 10" xfId="1729"/>
    <cellStyle name="20% - 강조색1 3 3 11" xfId="1730"/>
    <cellStyle name="20% - 강조색1 3 3 12" xfId="1731"/>
    <cellStyle name="20% - 강조색1 3 3 2" xfId="1732"/>
    <cellStyle name="20% - 강조색1 3 3 2 2" xfId="1733"/>
    <cellStyle name="20% - 강조색1 3 3 2 2 2" xfId="1734"/>
    <cellStyle name="20% - 강조색1 3 3 2 2 2 2" xfId="1735"/>
    <cellStyle name="20% - 강조색1 3 3 2 2 2 2 2" xfId="1736"/>
    <cellStyle name="20% - 강조색1 3 3 2 2 2 2 3" xfId="1737"/>
    <cellStyle name="20% - 강조색1 3 3 2 2 2 3" xfId="1738"/>
    <cellStyle name="20% - 강조색1 3 3 2 2 2 4" xfId="1739"/>
    <cellStyle name="20% - 강조색1 3 3 2 2 3" xfId="1740"/>
    <cellStyle name="20% - 강조색1 3 3 2 2 3 2" xfId="1741"/>
    <cellStyle name="20% - 강조색1 3 3 2 2 3 3" xfId="1742"/>
    <cellStyle name="20% - 강조색1 3 3 2 2 4" xfId="1743"/>
    <cellStyle name="20% - 강조색1 3 3 2 2 5" xfId="1744"/>
    <cellStyle name="20% - 강조색1 3 3 2 3" xfId="1745"/>
    <cellStyle name="20% - 강조색1 3 3 2 3 2" xfId="1746"/>
    <cellStyle name="20% - 강조색1 3 3 2 3 2 2" xfId="1747"/>
    <cellStyle name="20% - 강조색1 3 3 2 3 2 2 2" xfId="1748"/>
    <cellStyle name="20% - 강조색1 3 3 2 3 2 2 3" xfId="1749"/>
    <cellStyle name="20% - 강조색1 3 3 2 3 2 3" xfId="1750"/>
    <cellStyle name="20% - 강조색1 3 3 2 3 2 4" xfId="1751"/>
    <cellStyle name="20% - 강조색1 3 3 2 3 3" xfId="1752"/>
    <cellStyle name="20% - 강조색1 3 3 2 3 3 2" xfId="1753"/>
    <cellStyle name="20% - 강조색1 3 3 2 3 3 3" xfId="1754"/>
    <cellStyle name="20% - 강조색1 3 3 2 3 4" xfId="1755"/>
    <cellStyle name="20% - 강조색1 3 3 2 3 5" xfId="1756"/>
    <cellStyle name="20% - 강조색1 3 3 2 4" xfId="1757"/>
    <cellStyle name="20% - 강조색1 3 3 2 4 2" xfId="1758"/>
    <cellStyle name="20% - 강조색1 3 3 2 4 2 2" xfId="1759"/>
    <cellStyle name="20% - 강조색1 3 3 2 4 2 3" xfId="1760"/>
    <cellStyle name="20% - 강조색1 3 3 2 4 3" xfId="1761"/>
    <cellStyle name="20% - 강조색1 3 3 2 4 4" xfId="1762"/>
    <cellStyle name="20% - 강조색1 3 3 2 5" xfId="1763"/>
    <cellStyle name="20% - 강조색1 3 3 2 5 2" xfId="1764"/>
    <cellStyle name="20% - 강조색1 3 3 2 5 3" xfId="1765"/>
    <cellStyle name="20% - 강조색1 3 3 2 6" xfId="1766"/>
    <cellStyle name="20% - 강조색1 3 3 2 7" xfId="1767"/>
    <cellStyle name="20% - 강조색1 3 3 2 8" xfId="1768"/>
    <cellStyle name="20% - 강조색1 3 3 2 9" xfId="1769"/>
    <cellStyle name="20% - 강조색1 3 3 3" xfId="1770"/>
    <cellStyle name="20% - 강조색1 3 3 3 2" xfId="1771"/>
    <cellStyle name="20% - 강조색1 3 3 3 2 2" xfId="1772"/>
    <cellStyle name="20% - 강조색1 3 3 3 2 2 2" xfId="1773"/>
    <cellStyle name="20% - 강조색1 3 3 3 2 2 2 2" xfId="1774"/>
    <cellStyle name="20% - 강조색1 3 3 3 2 2 2 3" xfId="1775"/>
    <cellStyle name="20% - 강조색1 3 3 3 2 2 3" xfId="1776"/>
    <cellStyle name="20% - 강조색1 3 3 3 2 2 4" xfId="1777"/>
    <cellStyle name="20% - 강조색1 3 3 3 2 3" xfId="1778"/>
    <cellStyle name="20% - 강조색1 3 3 3 2 3 2" xfId="1779"/>
    <cellStyle name="20% - 강조색1 3 3 3 2 3 3" xfId="1780"/>
    <cellStyle name="20% - 강조색1 3 3 3 2 4" xfId="1781"/>
    <cellStyle name="20% - 강조색1 3 3 3 2 5" xfId="1782"/>
    <cellStyle name="20% - 강조색1 3 3 3 3" xfId="1783"/>
    <cellStyle name="20% - 강조색1 3 3 3 3 2" xfId="1784"/>
    <cellStyle name="20% - 강조색1 3 3 3 3 2 2" xfId="1785"/>
    <cellStyle name="20% - 강조색1 3 3 3 3 2 2 2" xfId="1786"/>
    <cellStyle name="20% - 강조색1 3 3 3 3 2 2 3" xfId="1787"/>
    <cellStyle name="20% - 강조색1 3 3 3 3 2 3" xfId="1788"/>
    <cellStyle name="20% - 강조색1 3 3 3 3 2 4" xfId="1789"/>
    <cellStyle name="20% - 강조색1 3 3 3 3 3" xfId="1790"/>
    <cellStyle name="20% - 강조색1 3 3 3 3 3 2" xfId="1791"/>
    <cellStyle name="20% - 강조색1 3 3 3 3 3 3" xfId="1792"/>
    <cellStyle name="20% - 강조색1 3 3 3 3 4" xfId="1793"/>
    <cellStyle name="20% - 강조색1 3 3 3 3 5" xfId="1794"/>
    <cellStyle name="20% - 강조색1 3 3 3 4" xfId="1795"/>
    <cellStyle name="20% - 강조색1 3 3 3 4 2" xfId="1796"/>
    <cellStyle name="20% - 강조색1 3 3 3 4 2 2" xfId="1797"/>
    <cellStyle name="20% - 강조색1 3 3 3 4 2 3" xfId="1798"/>
    <cellStyle name="20% - 강조색1 3 3 3 4 3" xfId="1799"/>
    <cellStyle name="20% - 강조색1 3 3 3 4 4" xfId="1800"/>
    <cellStyle name="20% - 강조색1 3 3 3 5" xfId="1801"/>
    <cellStyle name="20% - 강조색1 3 3 3 5 2" xfId="1802"/>
    <cellStyle name="20% - 강조색1 3 3 3 5 3" xfId="1803"/>
    <cellStyle name="20% - 강조색1 3 3 3 6" xfId="1804"/>
    <cellStyle name="20% - 강조색1 3 3 3 7" xfId="1805"/>
    <cellStyle name="20% - 강조색1 3 3 4" xfId="1806"/>
    <cellStyle name="20% - 강조색1 3 3 4 2" xfId="1807"/>
    <cellStyle name="20% - 강조색1 3 3 4 2 2" xfId="1808"/>
    <cellStyle name="20% - 강조색1 3 3 4 2 2 2" xfId="1809"/>
    <cellStyle name="20% - 강조색1 3 3 4 2 2 3" xfId="1810"/>
    <cellStyle name="20% - 강조색1 3 3 4 2 3" xfId="1811"/>
    <cellStyle name="20% - 강조색1 3 3 4 2 4" xfId="1812"/>
    <cellStyle name="20% - 강조색1 3 3 4 3" xfId="1813"/>
    <cellStyle name="20% - 강조색1 3 3 4 3 2" xfId="1814"/>
    <cellStyle name="20% - 강조색1 3 3 4 3 3" xfId="1815"/>
    <cellStyle name="20% - 강조색1 3 3 4 4" xfId="1816"/>
    <cellStyle name="20% - 강조색1 3 3 4 5" xfId="1817"/>
    <cellStyle name="20% - 강조색1 3 3 5" xfId="1818"/>
    <cellStyle name="20% - 강조색1 3 3 5 2" xfId="1819"/>
    <cellStyle name="20% - 강조색1 3 3 5 2 2" xfId="1820"/>
    <cellStyle name="20% - 강조색1 3 3 5 2 2 2" xfId="1821"/>
    <cellStyle name="20% - 강조색1 3 3 5 2 2 3" xfId="1822"/>
    <cellStyle name="20% - 강조색1 3 3 5 2 3" xfId="1823"/>
    <cellStyle name="20% - 강조색1 3 3 5 2 4" xfId="1824"/>
    <cellStyle name="20% - 강조색1 3 3 5 3" xfId="1825"/>
    <cellStyle name="20% - 강조색1 3 3 5 3 2" xfId="1826"/>
    <cellStyle name="20% - 강조색1 3 3 5 3 3" xfId="1827"/>
    <cellStyle name="20% - 강조색1 3 3 5 4" xfId="1828"/>
    <cellStyle name="20% - 강조색1 3 3 5 5" xfId="1829"/>
    <cellStyle name="20% - 강조색1 3 3 6" xfId="1830"/>
    <cellStyle name="20% - 강조색1 3 3 6 2" xfId="1831"/>
    <cellStyle name="20% - 강조색1 3 3 6 2 2" xfId="1832"/>
    <cellStyle name="20% - 강조색1 3 3 6 2 2 2" xfId="1833"/>
    <cellStyle name="20% - 강조색1 3 3 6 2 2 3" xfId="1834"/>
    <cellStyle name="20% - 강조색1 3 3 6 2 3" xfId="1835"/>
    <cellStyle name="20% - 강조색1 3 3 6 2 4" xfId="1836"/>
    <cellStyle name="20% - 강조색1 3 3 6 3" xfId="1837"/>
    <cellStyle name="20% - 강조색1 3 3 6 3 2" xfId="1838"/>
    <cellStyle name="20% - 강조색1 3 3 6 3 3" xfId="1839"/>
    <cellStyle name="20% - 강조색1 3 3 6 4" xfId="1840"/>
    <cellStyle name="20% - 강조색1 3 3 6 5" xfId="1841"/>
    <cellStyle name="20% - 강조색1 3 3 7" xfId="1842"/>
    <cellStyle name="20% - 강조색1 3 3 7 2" xfId="1843"/>
    <cellStyle name="20% - 강조색1 3 3 7 2 2" xfId="1844"/>
    <cellStyle name="20% - 강조색1 3 3 7 2 3" xfId="1845"/>
    <cellStyle name="20% - 강조색1 3 3 7 3" xfId="1846"/>
    <cellStyle name="20% - 강조색1 3 3 7 4" xfId="1847"/>
    <cellStyle name="20% - 강조색1 3 3 8" xfId="1848"/>
    <cellStyle name="20% - 강조색1 3 3 8 2" xfId="1849"/>
    <cellStyle name="20% - 강조색1 3 3 8 3" xfId="1850"/>
    <cellStyle name="20% - 강조색1 3 3 9" xfId="1851"/>
    <cellStyle name="20% - 강조색1 3 4" xfId="1852"/>
    <cellStyle name="20% - 강조색1 3 4 10" xfId="1853"/>
    <cellStyle name="20% - 강조색1 3 4 11" xfId="1854"/>
    <cellStyle name="20% - 강조색1 3 4 12" xfId="1855"/>
    <cellStyle name="20% - 강조색1 3 4 2" xfId="1856"/>
    <cellStyle name="20% - 강조색1 3 4 2 2" xfId="1857"/>
    <cellStyle name="20% - 강조색1 3 4 2 2 2" xfId="1858"/>
    <cellStyle name="20% - 강조색1 3 4 2 2 2 2" xfId="1859"/>
    <cellStyle name="20% - 강조색1 3 4 2 2 2 2 2" xfId="1860"/>
    <cellStyle name="20% - 강조색1 3 4 2 2 2 2 3" xfId="1861"/>
    <cellStyle name="20% - 강조색1 3 4 2 2 2 3" xfId="1862"/>
    <cellStyle name="20% - 강조색1 3 4 2 2 2 4" xfId="1863"/>
    <cellStyle name="20% - 강조색1 3 4 2 2 3" xfId="1864"/>
    <cellStyle name="20% - 강조색1 3 4 2 2 3 2" xfId="1865"/>
    <cellStyle name="20% - 강조색1 3 4 2 2 3 3" xfId="1866"/>
    <cellStyle name="20% - 강조색1 3 4 2 2 4" xfId="1867"/>
    <cellStyle name="20% - 강조색1 3 4 2 2 5" xfId="1868"/>
    <cellStyle name="20% - 강조색1 3 4 2 3" xfId="1869"/>
    <cellStyle name="20% - 강조색1 3 4 2 3 2" xfId="1870"/>
    <cellStyle name="20% - 강조색1 3 4 2 3 2 2" xfId="1871"/>
    <cellStyle name="20% - 강조색1 3 4 2 3 2 2 2" xfId="1872"/>
    <cellStyle name="20% - 강조색1 3 4 2 3 2 2 3" xfId="1873"/>
    <cellStyle name="20% - 강조색1 3 4 2 3 2 3" xfId="1874"/>
    <cellStyle name="20% - 강조색1 3 4 2 3 2 4" xfId="1875"/>
    <cellStyle name="20% - 강조색1 3 4 2 3 3" xfId="1876"/>
    <cellStyle name="20% - 강조색1 3 4 2 3 3 2" xfId="1877"/>
    <cellStyle name="20% - 강조색1 3 4 2 3 3 3" xfId="1878"/>
    <cellStyle name="20% - 강조색1 3 4 2 3 4" xfId="1879"/>
    <cellStyle name="20% - 강조색1 3 4 2 3 5" xfId="1880"/>
    <cellStyle name="20% - 강조색1 3 4 2 4" xfId="1881"/>
    <cellStyle name="20% - 강조색1 3 4 2 4 2" xfId="1882"/>
    <cellStyle name="20% - 강조색1 3 4 2 4 2 2" xfId="1883"/>
    <cellStyle name="20% - 강조색1 3 4 2 4 2 3" xfId="1884"/>
    <cellStyle name="20% - 강조색1 3 4 2 4 3" xfId="1885"/>
    <cellStyle name="20% - 강조색1 3 4 2 4 4" xfId="1886"/>
    <cellStyle name="20% - 강조색1 3 4 2 5" xfId="1887"/>
    <cellStyle name="20% - 강조색1 3 4 2 5 2" xfId="1888"/>
    <cellStyle name="20% - 강조색1 3 4 2 5 3" xfId="1889"/>
    <cellStyle name="20% - 강조색1 3 4 2 6" xfId="1890"/>
    <cellStyle name="20% - 강조색1 3 4 2 7" xfId="1891"/>
    <cellStyle name="20% - 강조색1 3 4 3" xfId="1892"/>
    <cellStyle name="20% - 강조색1 3 4 3 2" xfId="1893"/>
    <cellStyle name="20% - 강조색1 3 4 3 2 2" xfId="1894"/>
    <cellStyle name="20% - 강조색1 3 4 3 2 2 2" xfId="1895"/>
    <cellStyle name="20% - 강조색1 3 4 3 2 2 2 2" xfId="1896"/>
    <cellStyle name="20% - 강조색1 3 4 3 2 2 2 3" xfId="1897"/>
    <cellStyle name="20% - 강조색1 3 4 3 2 2 3" xfId="1898"/>
    <cellStyle name="20% - 강조색1 3 4 3 2 2 4" xfId="1899"/>
    <cellStyle name="20% - 강조색1 3 4 3 2 3" xfId="1900"/>
    <cellStyle name="20% - 강조색1 3 4 3 2 3 2" xfId="1901"/>
    <cellStyle name="20% - 강조색1 3 4 3 2 3 3" xfId="1902"/>
    <cellStyle name="20% - 강조색1 3 4 3 2 4" xfId="1903"/>
    <cellStyle name="20% - 강조색1 3 4 3 2 5" xfId="1904"/>
    <cellStyle name="20% - 강조색1 3 4 3 3" xfId="1905"/>
    <cellStyle name="20% - 강조색1 3 4 3 3 2" xfId="1906"/>
    <cellStyle name="20% - 강조색1 3 4 3 3 2 2" xfId="1907"/>
    <cellStyle name="20% - 강조색1 3 4 3 3 2 2 2" xfId="1908"/>
    <cellStyle name="20% - 강조색1 3 4 3 3 2 2 3" xfId="1909"/>
    <cellStyle name="20% - 강조색1 3 4 3 3 2 3" xfId="1910"/>
    <cellStyle name="20% - 강조색1 3 4 3 3 2 4" xfId="1911"/>
    <cellStyle name="20% - 강조색1 3 4 3 3 3" xfId="1912"/>
    <cellStyle name="20% - 강조색1 3 4 3 3 3 2" xfId="1913"/>
    <cellStyle name="20% - 강조색1 3 4 3 3 3 3" xfId="1914"/>
    <cellStyle name="20% - 강조색1 3 4 3 3 4" xfId="1915"/>
    <cellStyle name="20% - 강조색1 3 4 3 3 5" xfId="1916"/>
    <cellStyle name="20% - 강조색1 3 4 3 4" xfId="1917"/>
    <cellStyle name="20% - 강조색1 3 4 3 4 2" xfId="1918"/>
    <cellStyle name="20% - 강조색1 3 4 3 4 2 2" xfId="1919"/>
    <cellStyle name="20% - 강조색1 3 4 3 4 2 3" xfId="1920"/>
    <cellStyle name="20% - 강조색1 3 4 3 4 3" xfId="1921"/>
    <cellStyle name="20% - 강조색1 3 4 3 4 4" xfId="1922"/>
    <cellStyle name="20% - 강조색1 3 4 3 5" xfId="1923"/>
    <cellStyle name="20% - 강조색1 3 4 3 5 2" xfId="1924"/>
    <cellStyle name="20% - 강조색1 3 4 3 5 3" xfId="1925"/>
    <cellStyle name="20% - 강조색1 3 4 3 6" xfId="1926"/>
    <cellStyle name="20% - 강조색1 3 4 3 7" xfId="1927"/>
    <cellStyle name="20% - 강조색1 3 4 4" xfId="1928"/>
    <cellStyle name="20% - 강조색1 3 4 4 2" xfId="1929"/>
    <cellStyle name="20% - 강조색1 3 4 4 2 2" xfId="1930"/>
    <cellStyle name="20% - 강조색1 3 4 4 2 2 2" xfId="1931"/>
    <cellStyle name="20% - 강조색1 3 4 4 2 2 3" xfId="1932"/>
    <cellStyle name="20% - 강조색1 3 4 4 2 3" xfId="1933"/>
    <cellStyle name="20% - 강조색1 3 4 4 2 4" xfId="1934"/>
    <cellStyle name="20% - 강조색1 3 4 4 3" xfId="1935"/>
    <cellStyle name="20% - 강조색1 3 4 4 3 2" xfId="1936"/>
    <cellStyle name="20% - 강조색1 3 4 4 3 3" xfId="1937"/>
    <cellStyle name="20% - 강조색1 3 4 4 4" xfId="1938"/>
    <cellStyle name="20% - 강조색1 3 4 4 5" xfId="1939"/>
    <cellStyle name="20% - 강조색1 3 4 5" xfId="1940"/>
    <cellStyle name="20% - 강조색1 3 4 5 2" xfId="1941"/>
    <cellStyle name="20% - 강조색1 3 4 5 2 2" xfId="1942"/>
    <cellStyle name="20% - 강조색1 3 4 5 2 2 2" xfId="1943"/>
    <cellStyle name="20% - 강조색1 3 4 5 2 2 3" xfId="1944"/>
    <cellStyle name="20% - 강조색1 3 4 5 2 3" xfId="1945"/>
    <cellStyle name="20% - 강조색1 3 4 5 2 4" xfId="1946"/>
    <cellStyle name="20% - 강조색1 3 4 5 3" xfId="1947"/>
    <cellStyle name="20% - 강조색1 3 4 5 3 2" xfId="1948"/>
    <cellStyle name="20% - 강조색1 3 4 5 3 3" xfId="1949"/>
    <cellStyle name="20% - 강조색1 3 4 5 4" xfId="1950"/>
    <cellStyle name="20% - 강조색1 3 4 5 5" xfId="1951"/>
    <cellStyle name="20% - 강조색1 3 4 6" xfId="1952"/>
    <cellStyle name="20% - 강조색1 3 4 6 2" xfId="1953"/>
    <cellStyle name="20% - 강조색1 3 4 6 2 2" xfId="1954"/>
    <cellStyle name="20% - 강조색1 3 4 6 2 2 2" xfId="1955"/>
    <cellStyle name="20% - 강조색1 3 4 6 2 2 3" xfId="1956"/>
    <cellStyle name="20% - 강조색1 3 4 6 2 3" xfId="1957"/>
    <cellStyle name="20% - 강조색1 3 4 6 2 4" xfId="1958"/>
    <cellStyle name="20% - 강조색1 3 4 6 3" xfId="1959"/>
    <cellStyle name="20% - 강조색1 3 4 6 3 2" xfId="1960"/>
    <cellStyle name="20% - 강조색1 3 4 6 3 3" xfId="1961"/>
    <cellStyle name="20% - 강조색1 3 4 6 4" xfId="1962"/>
    <cellStyle name="20% - 강조색1 3 4 6 5" xfId="1963"/>
    <cellStyle name="20% - 강조색1 3 4 7" xfId="1964"/>
    <cellStyle name="20% - 강조색1 3 4 7 2" xfId="1965"/>
    <cellStyle name="20% - 강조색1 3 4 7 2 2" xfId="1966"/>
    <cellStyle name="20% - 강조색1 3 4 7 2 3" xfId="1967"/>
    <cellStyle name="20% - 강조색1 3 4 7 3" xfId="1968"/>
    <cellStyle name="20% - 강조색1 3 4 7 4" xfId="1969"/>
    <cellStyle name="20% - 강조색1 3 4 8" xfId="1970"/>
    <cellStyle name="20% - 강조색1 3 4 8 2" xfId="1971"/>
    <cellStyle name="20% - 강조색1 3 4 8 3" xfId="1972"/>
    <cellStyle name="20% - 강조색1 3 4 9" xfId="1973"/>
    <cellStyle name="20% - 강조색1 3 5" xfId="1974"/>
    <cellStyle name="20% - 강조색1 3 5 2" xfId="1975"/>
    <cellStyle name="20% - 강조색1 3 5 2 2" xfId="1976"/>
    <cellStyle name="20% - 강조색1 3 5 2 2 2" xfId="1977"/>
    <cellStyle name="20% - 강조색1 3 5 2 2 2 2" xfId="1978"/>
    <cellStyle name="20% - 강조색1 3 5 2 2 2 3" xfId="1979"/>
    <cellStyle name="20% - 강조색1 3 5 2 2 3" xfId="1980"/>
    <cellStyle name="20% - 강조색1 3 5 2 2 4" xfId="1981"/>
    <cellStyle name="20% - 강조색1 3 5 2 3" xfId="1982"/>
    <cellStyle name="20% - 강조색1 3 5 2 3 2" xfId="1983"/>
    <cellStyle name="20% - 강조색1 3 5 2 3 3" xfId="1984"/>
    <cellStyle name="20% - 강조색1 3 5 2 4" xfId="1985"/>
    <cellStyle name="20% - 강조색1 3 5 2 5" xfId="1986"/>
    <cellStyle name="20% - 강조색1 3 5 3" xfId="1987"/>
    <cellStyle name="20% - 강조색1 3 5 3 2" xfId="1988"/>
    <cellStyle name="20% - 강조색1 3 5 3 2 2" xfId="1989"/>
    <cellStyle name="20% - 강조색1 3 5 3 2 2 2" xfId="1990"/>
    <cellStyle name="20% - 강조색1 3 5 3 2 2 3" xfId="1991"/>
    <cellStyle name="20% - 강조색1 3 5 3 2 3" xfId="1992"/>
    <cellStyle name="20% - 강조색1 3 5 3 2 4" xfId="1993"/>
    <cellStyle name="20% - 강조색1 3 5 3 3" xfId="1994"/>
    <cellStyle name="20% - 강조색1 3 5 3 3 2" xfId="1995"/>
    <cellStyle name="20% - 강조색1 3 5 3 3 3" xfId="1996"/>
    <cellStyle name="20% - 강조색1 3 5 3 4" xfId="1997"/>
    <cellStyle name="20% - 강조색1 3 5 3 5" xfId="1998"/>
    <cellStyle name="20% - 강조색1 3 5 4" xfId="1999"/>
    <cellStyle name="20% - 강조색1 3 5 4 2" xfId="2000"/>
    <cellStyle name="20% - 강조색1 3 5 4 2 2" xfId="2001"/>
    <cellStyle name="20% - 강조색1 3 5 4 2 3" xfId="2002"/>
    <cellStyle name="20% - 강조색1 3 5 4 3" xfId="2003"/>
    <cellStyle name="20% - 강조색1 3 5 4 4" xfId="2004"/>
    <cellStyle name="20% - 강조색1 3 5 5" xfId="2005"/>
    <cellStyle name="20% - 강조색1 3 5 5 2" xfId="2006"/>
    <cellStyle name="20% - 강조색1 3 5 5 3" xfId="2007"/>
    <cellStyle name="20% - 강조색1 3 5 6" xfId="2008"/>
    <cellStyle name="20% - 강조색1 3 5 7" xfId="2009"/>
    <cellStyle name="20% - 강조색1 3 5 8" xfId="2010"/>
    <cellStyle name="20% - 강조색1 3 6" xfId="2011"/>
    <cellStyle name="20% - 강조색1 3 6 2" xfId="2012"/>
    <cellStyle name="20% - 강조색1 3 6 2 2" xfId="2013"/>
    <cellStyle name="20% - 강조색1 3 6 2 2 2" xfId="2014"/>
    <cellStyle name="20% - 강조색1 3 6 2 2 2 2" xfId="2015"/>
    <cellStyle name="20% - 강조색1 3 6 2 2 2 3" xfId="2016"/>
    <cellStyle name="20% - 강조색1 3 6 2 2 3" xfId="2017"/>
    <cellStyle name="20% - 강조색1 3 6 2 2 4" xfId="2018"/>
    <cellStyle name="20% - 강조색1 3 6 2 3" xfId="2019"/>
    <cellStyle name="20% - 강조색1 3 6 2 3 2" xfId="2020"/>
    <cellStyle name="20% - 강조색1 3 6 2 3 3" xfId="2021"/>
    <cellStyle name="20% - 강조색1 3 6 2 4" xfId="2022"/>
    <cellStyle name="20% - 강조색1 3 6 2 5" xfId="2023"/>
    <cellStyle name="20% - 강조색1 3 6 3" xfId="2024"/>
    <cellStyle name="20% - 강조색1 3 6 3 2" xfId="2025"/>
    <cellStyle name="20% - 강조색1 3 6 3 2 2" xfId="2026"/>
    <cellStyle name="20% - 강조색1 3 6 3 2 2 2" xfId="2027"/>
    <cellStyle name="20% - 강조색1 3 6 3 2 2 3" xfId="2028"/>
    <cellStyle name="20% - 강조색1 3 6 3 2 3" xfId="2029"/>
    <cellStyle name="20% - 강조색1 3 6 3 2 4" xfId="2030"/>
    <cellStyle name="20% - 강조색1 3 6 3 3" xfId="2031"/>
    <cellStyle name="20% - 강조색1 3 6 3 3 2" xfId="2032"/>
    <cellStyle name="20% - 강조색1 3 6 3 3 3" xfId="2033"/>
    <cellStyle name="20% - 강조색1 3 6 3 4" xfId="2034"/>
    <cellStyle name="20% - 강조색1 3 6 3 5" xfId="2035"/>
    <cellStyle name="20% - 강조색1 3 6 4" xfId="2036"/>
    <cellStyle name="20% - 강조색1 3 6 4 2" xfId="2037"/>
    <cellStyle name="20% - 강조색1 3 6 4 2 2" xfId="2038"/>
    <cellStyle name="20% - 강조색1 3 6 4 2 3" xfId="2039"/>
    <cellStyle name="20% - 강조색1 3 6 4 3" xfId="2040"/>
    <cellStyle name="20% - 강조색1 3 6 4 4" xfId="2041"/>
    <cellStyle name="20% - 강조색1 3 6 5" xfId="2042"/>
    <cellStyle name="20% - 강조색1 3 6 5 2" xfId="2043"/>
    <cellStyle name="20% - 강조색1 3 6 5 3" xfId="2044"/>
    <cellStyle name="20% - 강조색1 3 6 6" xfId="2045"/>
    <cellStyle name="20% - 강조색1 3 6 7" xfId="2046"/>
    <cellStyle name="20% - 강조색1 3 7" xfId="2047"/>
    <cellStyle name="20% - 강조색1 3 7 2" xfId="2048"/>
    <cellStyle name="20% - 강조색1 3 7 2 2" xfId="2049"/>
    <cellStyle name="20% - 강조색1 3 7 2 2 2" xfId="2050"/>
    <cellStyle name="20% - 강조색1 3 7 2 2 3" xfId="2051"/>
    <cellStyle name="20% - 강조색1 3 7 2 3" xfId="2052"/>
    <cellStyle name="20% - 강조색1 3 7 2 4" xfId="2053"/>
    <cellStyle name="20% - 강조색1 3 7 3" xfId="2054"/>
    <cellStyle name="20% - 강조색1 3 7 3 2" xfId="2055"/>
    <cellStyle name="20% - 강조색1 3 7 3 3" xfId="2056"/>
    <cellStyle name="20% - 강조색1 3 7 4" xfId="2057"/>
    <cellStyle name="20% - 강조색1 3 7 5" xfId="2058"/>
    <cellStyle name="20% - 강조색1 3 8" xfId="2059"/>
    <cellStyle name="20% - 강조색1 3 8 2" xfId="2060"/>
    <cellStyle name="20% - 강조색1 3 8 2 2" xfId="2061"/>
    <cellStyle name="20% - 강조색1 3 8 2 2 2" xfId="2062"/>
    <cellStyle name="20% - 강조색1 3 8 2 2 3" xfId="2063"/>
    <cellStyle name="20% - 강조색1 3 8 2 3" xfId="2064"/>
    <cellStyle name="20% - 강조색1 3 8 2 4" xfId="2065"/>
    <cellStyle name="20% - 강조색1 3 8 3" xfId="2066"/>
    <cellStyle name="20% - 강조색1 3 8 3 2" xfId="2067"/>
    <cellStyle name="20% - 강조색1 3 8 3 3" xfId="2068"/>
    <cellStyle name="20% - 강조색1 3 8 4" xfId="2069"/>
    <cellStyle name="20% - 강조색1 3 8 5" xfId="2070"/>
    <cellStyle name="20% - 강조색1 3 9" xfId="2071"/>
    <cellStyle name="20% - 강조색1 3 9 2" xfId="2072"/>
    <cellStyle name="20% - 강조색1 3 9 2 2" xfId="2073"/>
    <cellStyle name="20% - 강조색1 3 9 2 2 2" xfId="2074"/>
    <cellStyle name="20% - 강조색1 3 9 2 2 3" xfId="2075"/>
    <cellStyle name="20% - 강조색1 3 9 2 3" xfId="2076"/>
    <cellStyle name="20% - 강조색1 3 9 2 4" xfId="2077"/>
    <cellStyle name="20% - 강조색1 3 9 3" xfId="2078"/>
    <cellStyle name="20% - 강조색1 3 9 3 2" xfId="2079"/>
    <cellStyle name="20% - 강조색1 3 9 3 3" xfId="2080"/>
    <cellStyle name="20% - 강조색1 3 9 4" xfId="2081"/>
    <cellStyle name="20% - 강조색1 3 9 5" xfId="2082"/>
    <cellStyle name="20% - 강조색1 30" xfId="2083"/>
    <cellStyle name="20% - 강조색1 30 2" xfId="2084"/>
    <cellStyle name="20% - 강조색1 31" xfId="2085"/>
    <cellStyle name="20% - 강조색1 31 2" xfId="2086"/>
    <cellStyle name="20% - 강조색1 32" xfId="2087"/>
    <cellStyle name="20% - 강조색1 32 2" xfId="2088"/>
    <cellStyle name="20% - 강조색1 33" xfId="2089"/>
    <cellStyle name="20% - 강조색1 33 2" xfId="2090"/>
    <cellStyle name="20% - 강조색1 34" xfId="2091"/>
    <cellStyle name="20% - 강조색1 34 2" xfId="2092"/>
    <cellStyle name="20% - 강조색1 35" xfId="2093"/>
    <cellStyle name="20% - 강조색1 36" xfId="2094"/>
    <cellStyle name="20% - 강조색1 37" xfId="2095"/>
    <cellStyle name="20% - 강조색1 38" xfId="2096"/>
    <cellStyle name="20% - 강조색1 39" xfId="2097"/>
    <cellStyle name="20% - 강조색1 4" xfId="2098"/>
    <cellStyle name="20% - 강조색1 4 10" xfId="2099"/>
    <cellStyle name="20% - 강조색1 4 10 2" xfId="2100"/>
    <cellStyle name="20% - 강조색1 4 10 2 2" xfId="2101"/>
    <cellStyle name="20% - 강조색1 4 10 2 3" xfId="2102"/>
    <cellStyle name="20% - 강조색1 4 10 3" xfId="2103"/>
    <cellStyle name="20% - 강조색1 4 10 4" xfId="2104"/>
    <cellStyle name="20% - 강조색1 4 11" xfId="2105"/>
    <cellStyle name="20% - 강조색1 4 11 2" xfId="2106"/>
    <cellStyle name="20% - 강조색1 4 11 3" xfId="2107"/>
    <cellStyle name="20% - 강조색1 4 12" xfId="2108"/>
    <cellStyle name="20% - 강조색1 4 13" xfId="2109"/>
    <cellStyle name="20% - 강조색1 4 14" xfId="2110"/>
    <cellStyle name="20% - 강조색1 4 2" xfId="2111"/>
    <cellStyle name="20% - 강조색1 4 2 10" xfId="2112"/>
    <cellStyle name="20% - 강조색1 4 2 2" xfId="2113"/>
    <cellStyle name="20% - 강조색1 4 2 2 2" xfId="2114"/>
    <cellStyle name="20% - 강조색1 4 2 2 2 2" xfId="2115"/>
    <cellStyle name="20% - 강조색1 4 2 2 2 2 2" xfId="2116"/>
    <cellStyle name="20% - 강조색1 4 2 2 2 2 2 2" xfId="2117"/>
    <cellStyle name="20% - 강조색1 4 2 2 2 2 2 3" xfId="2118"/>
    <cellStyle name="20% - 강조색1 4 2 2 2 2 3" xfId="2119"/>
    <cellStyle name="20% - 강조색1 4 2 2 2 2 4" xfId="2120"/>
    <cellStyle name="20% - 강조색1 4 2 2 2 3" xfId="2121"/>
    <cellStyle name="20% - 강조색1 4 2 2 2 3 2" xfId="2122"/>
    <cellStyle name="20% - 강조색1 4 2 2 2 3 3" xfId="2123"/>
    <cellStyle name="20% - 강조색1 4 2 2 2 4" xfId="2124"/>
    <cellStyle name="20% - 강조색1 4 2 2 2 5" xfId="2125"/>
    <cellStyle name="20% - 강조색1 4 2 2 3" xfId="2126"/>
    <cellStyle name="20% - 강조색1 4 2 2 3 2" xfId="2127"/>
    <cellStyle name="20% - 강조색1 4 2 2 3 2 2" xfId="2128"/>
    <cellStyle name="20% - 강조색1 4 2 2 3 2 2 2" xfId="2129"/>
    <cellStyle name="20% - 강조색1 4 2 2 3 2 2 3" xfId="2130"/>
    <cellStyle name="20% - 강조색1 4 2 2 3 2 3" xfId="2131"/>
    <cellStyle name="20% - 강조색1 4 2 2 3 2 4" xfId="2132"/>
    <cellStyle name="20% - 강조색1 4 2 2 3 3" xfId="2133"/>
    <cellStyle name="20% - 강조색1 4 2 2 3 3 2" xfId="2134"/>
    <cellStyle name="20% - 강조색1 4 2 2 3 3 3" xfId="2135"/>
    <cellStyle name="20% - 강조색1 4 2 2 3 4" xfId="2136"/>
    <cellStyle name="20% - 강조색1 4 2 2 3 5" xfId="2137"/>
    <cellStyle name="20% - 강조색1 4 2 2 4" xfId="2138"/>
    <cellStyle name="20% - 강조색1 4 2 2 4 2" xfId="2139"/>
    <cellStyle name="20% - 강조색1 4 2 2 4 2 2" xfId="2140"/>
    <cellStyle name="20% - 강조색1 4 2 2 4 2 3" xfId="2141"/>
    <cellStyle name="20% - 강조색1 4 2 2 4 3" xfId="2142"/>
    <cellStyle name="20% - 강조색1 4 2 2 4 4" xfId="2143"/>
    <cellStyle name="20% - 강조색1 4 2 2 5" xfId="2144"/>
    <cellStyle name="20% - 강조색1 4 2 2 5 2" xfId="2145"/>
    <cellStyle name="20% - 강조색1 4 2 2 5 3" xfId="2146"/>
    <cellStyle name="20% - 강조색1 4 2 2 6" xfId="2147"/>
    <cellStyle name="20% - 강조색1 4 2 2 7" xfId="2148"/>
    <cellStyle name="20% - 강조색1 4 2 3" xfId="2149"/>
    <cellStyle name="20% - 강조색1 4 2 3 2" xfId="2150"/>
    <cellStyle name="20% - 강조색1 4 2 3 2 2" xfId="2151"/>
    <cellStyle name="20% - 강조색1 4 2 3 2 2 2" xfId="2152"/>
    <cellStyle name="20% - 강조색1 4 2 3 2 2 2 2" xfId="2153"/>
    <cellStyle name="20% - 강조색1 4 2 3 2 2 2 3" xfId="2154"/>
    <cellStyle name="20% - 강조색1 4 2 3 2 2 3" xfId="2155"/>
    <cellStyle name="20% - 강조색1 4 2 3 2 2 4" xfId="2156"/>
    <cellStyle name="20% - 강조색1 4 2 3 2 3" xfId="2157"/>
    <cellStyle name="20% - 강조색1 4 2 3 2 3 2" xfId="2158"/>
    <cellStyle name="20% - 강조색1 4 2 3 2 3 3" xfId="2159"/>
    <cellStyle name="20% - 강조색1 4 2 3 2 4" xfId="2160"/>
    <cellStyle name="20% - 강조색1 4 2 3 2 5" xfId="2161"/>
    <cellStyle name="20% - 강조색1 4 2 3 3" xfId="2162"/>
    <cellStyle name="20% - 강조색1 4 2 3 3 2" xfId="2163"/>
    <cellStyle name="20% - 강조색1 4 2 3 3 2 2" xfId="2164"/>
    <cellStyle name="20% - 강조색1 4 2 3 3 2 2 2" xfId="2165"/>
    <cellStyle name="20% - 강조색1 4 2 3 3 2 2 3" xfId="2166"/>
    <cellStyle name="20% - 강조색1 4 2 3 3 2 3" xfId="2167"/>
    <cellStyle name="20% - 강조색1 4 2 3 3 2 4" xfId="2168"/>
    <cellStyle name="20% - 강조색1 4 2 3 3 3" xfId="2169"/>
    <cellStyle name="20% - 강조색1 4 2 3 3 3 2" xfId="2170"/>
    <cellStyle name="20% - 강조색1 4 2 3 3 3 3" xfId="2171"/>
    <cellStyle name="20% - 강조색1 4 2 3 3 4" xfId="2172"/>
    <cellStyle name="20% - 강조색1 4 2 3 3 5" xfId="2173"/>
    <cellStyle name="20% - 강조색1 4 2 3 4" xfId="2174"/>
    <cellStyle name="20% - 강조색1 4 2 3 4 2" xfId="2175"/>
    <cellStyle name="20% - 강조색1 4 2 3 4 2 2" xfId="2176"/>
    <cellStyle name="20% - 강조색1 4 2 3 4 2 3" xfId="2177"/>
    <cellStyle name="20% - 강조색1 4 2 3 4 3" xfId="2178"/>
    <cellStyle name="20% - 강조색1 4 2 3 4 4" xfId="2179"/>
    <cellStyle name="20% - 강조색1 4 2 3 5" xfId="2180"/>
    <cellStyle name="20% - 강조색1 4 2 3 5 2" xfId="2181"/>
    <cellStyle name="20% - 강조색1 4 2 3 5 3" xfId="2182"/>
    <cellStyle name="20% - 강조색1 4 2 3 6" xfId="2183"/>
    <cellStyle name="20% - 강조색1 4 2 3 7" xfId="2184"/>
    <cellStyle name="20% - 강조색1 4 2 4" xfId="2185"/>
    <cellStyle name="20% - 강조색1 4 2 4 2" xfId="2186"/>
    <cellStyle name="20% - 강조색1 4 2 4 2 2" xfId="2187"/>
    <cellStyle name="20% - 강조색1 4 2 4 2 2 2" xfId="2188"/>
    <cellStyle name="20% - 강조색1 4 2 4 2 2 3" xfId="2189"/>
    <cellStyle name="20% - 강조색1 4 2 4 2 3" xfId="2190"/>
    <cellStyle name="20% - 강조색1 4 2 4 2 4" xfId="2191"/>
    <cellStyle name="20% - 강조색1 4 2 4 3" xfId="2192"/>
    <cellStyle name="20% - 강조색1 4 2 4 3 2" xfId="2193"/>
    <cellStyle name="20% - 강조색1 4 2 4 3 3" xfId="2194"/>
    <cellStyle name="20% - 강조색1 4 2 4 4" xfId="2195"/>
    <cellStyle name="20% - 강조색1 4 2 4 5" xfId="2196"/>
    <cellStyle name="20% - 강조색1 4 2 5" xfId="2197"/>
    <cellStyle name="20% - 강조색1 4 2 5 2" xfId="2198"/>
    <cellStyle name="20% - 강조색1 4 2 5 2 2" xfId="2199"/>
    <cellStyle name="20% - 강조색1 4 2 5 2 2 2" xfId="2200"/>
    <cellStyle name="20% - 강조색1 4 2 5 2 2 3" xfId="2201"/>
    <cellStyle name="20% - 강조색1 4 2 5 2 3" xfId="2202"/>
    <cellStyle name="20% - 강조색1 4 2 5 2 4" xfId="2203"/>
    <cellStyle name="20% - 강조색1 4 2 5 3" xfId="2204"/>
    <cellStyle name="20% - 강조색1 4 2 5 3 2" xfId="2205"/>
    <cellStyle name="20% - 강조색1 4 2 5 3 3" xfId="2206"/>
    <cellStyle name="20% - 강조색1 4 2 5 4" xfId="2207"/>
    <cellStyle name="20% - 강조색1 4 2 5 5" xfId="2208"/>
    <cellStyle name="20% - 강조색1 4 2 6" xfId="2209"/>
    <cellStyle name="20% - 강조색1 4 2 6 2" xfId="2210"/>
    <cellStyle name="20% - 강조색1 4 2 6 2 2" xfId="2211"/>
    <cellStyle name="20% - 강조색1 4 2 6 2 2 2" xfId="2212"/>
    <cellStyle name="20% - 강조색1 4 2 6 2 2 3" xfId="2213"/>
    <cellStyle name="20% - 강조색1 4 2 6 2 3" xfId="2214"/>
    <cellStyle name="20% - 강조색1 4 2 6 2 4" xfId="2215"/>
    <cellStyle name="20% - 강조색1 4 2 6 3" xfId="2216"/>
    <cellStyle name="20% - 강조색1 4 2 6 3 2" xfId="2217"/>
    <cellStyle name="20% - 강조색1 4 2 6 3 3" xfId="2218"/>
    <cellStyle name="20% - 강조색1 4 2 6 4" xfId="2219"/>
    <cellStyle name="20% - 강조색1 4 2 6 5" xfId="2220"/>
    <cellStyle name="20% - 강조색1 4 2 7" xfId="2221"/>
    <cellStyle name="20% - 강조색1 4 2 7 2" xfId="2222"/>
    <cellStyle name="20% - 강조색1 4 2 7 2 2" xfId="2223"/>
    <cellStyle name="20% - 강조색1 4 2 7 2 3" xfId="2224"/>
    <cellStyle name="20% - 강조색1 4 2 7 3" xfId="2225"/>
    <cellStyle name="20% - 강조색1 4 2 7 4" xfId="2226"/>
    <cellStyle name="20% - 강조색1 4 2 8" xfId="2227"/>
    <cellStyle name="20% - 강조색1 4 2 8 2" xfId="2228"/>
    <cellStyle name="20% - 강조색1 4 2 8 3" xfId="2229"/>
    <cellStyle name="20% - 강조색1 4 2 9" xfId="2230"/>
    <cellStyle name="20% - 강조색1 4 3" xfId="2231"/>
    <cellStyle name="20% - 강조색1 4 3 10" xfId="2232"/>
    <cellStyle name="20% - 강조색1 4 3 2" xfId="2233"/>
    <cellStyle name="20% - 강조색1 4 3 2 2" xfId="2234"/>
    <cellStyle name="20% - 강조색1 4 3 2 2 2" xfId="2235"/>
    <cellStyle name="20% - 강조색1 4 3 2 2 2 2" xfId="2236"/>
    <cellStyle name="20% - 강조색1 4 3 2 2 2 2 2" xfId="2237"/>
    <cellStyle name="20% - 강조색1 4 3 2 2 2 2 3" xfId="2238"/>
    <cellStyle name="20% - 강조색1 4 3 2 2 2 3" xfId="2239"/>
    <cellStyle name="20% - 강조색1 4 3 2 2 2 4" xfId="2240"/>
    <cellStyle name="20% - 강조색1 4 3 2 2 3" xfId="2241"/>
    <cellStyle name="20% - 강조색1 4 3 2 2 3 2" xfId="2242"/>
    <cellStyle name="20% - 강조색1 4 3 2 2 3 3" xfId="2243"/>
    <cellStyle name="20% - 강조색1 4 3 2 2 4" xfId="2244"/>
    <cellStyle name="20% - 강조색1 4 3 2 2 5" xfId="2245"/>
    <cellStyle name="20% - 강조색1 4 3 2 3" xfId="2246"/>
    <cellStyle name="20% - 강조색1 4 3 2 3 2" xfId="2247"/>
    <cellStyle name="20% - 강조색1 4 3 2 3 2 2" xfId="2248"/>
    <cellStyle name="20% - 강조색1 4 3 2 3 2 2 2" xfId="2249"/>
    <cellStyle name="20% - 강조색1 4 3 2 3 2 2 3" xfId="2250"/>
    <cellStyle name="20% - 강조색1 4 3 2 3 2 3" xfId="2251"/>
    <cellStyle name="20% - 강조색1 4 3 2 3 2 4" xfId="2252"/>
    <cellStyle name="20% - 강조색1 4 3 2 3 3" xfId="2253"/>
    <cellStyle name="20% - 강조색1 4 3 2 3 3 2" xfId="2254"/>
    <cellStyle name="20% - 강조색1 4 3 2 3 3 3" xfId="2255"/>
    <cellStyle name="20% - 강조색1 4 3 2 3 4" xfId="2256"/>
    <cellStyle name="20% - 강조색1 4 3 2 3 5" xfId="2257"/>
    <cellStyle name="20% - 강조색1 4 3 2 4" xfId="2258"/>
    <cellStyle name="20% - 강조색1 4 3 2 4 2" xfId="2259"/>
    <cellStyle name="20% - 강조색1 4 3 2 4 2 2" xfId="2260"/>
    <cellStyle name="20% - 강조색1 4 3 2 4 2 3" xfId="2261"/>
    <cellStyle name="20% - 강조색1 4 3 2 4 3" xfId="2262"/>
    <cellStyle name="20% - 강조색1 4 3 2 4 4" xfId="2263"/>
    <cellStyle name="20% - 강조색1 4 3 2 5" xfId="2264"/>
    <cellStyle name="20% - 강조색1 4 3 2 5 2" xfId="2265"/>
    <cellStyle name="20% - 강조색1 4 3 2 5 3" xfId="2266"/>
    <cellStyle name="20% - 강조색1 4 3 2 6" xfId="2267"/>
    <cellStyle name="20% - 강조색1 4 3 2 7" xfId="2268"/>
    <cellStyle name="20% - 강조색1 4 3 3" xfId="2269"/>
    <cellStyle name="20% - 강조색1 4 3 3 2" xfId="2270"/>
    <cellStyle name="20% - 강조색1 4 3 3 2 2" xfId="2271"/>
    <cellStyle name="20% - 강조색1 4 3 3 2 2 2" xfId="2272"/>
    <cellStyle name="20% - 강조색1 4 3 3 2 2 2 2" xfId="2273"/>
    <cellStyle name="20% - 강조색1 4 3 3 2 2 2 3" xfId="2274"/>
    <cellStyle name="20% - 강조색1 4 3 3 2 2 3" xfId="2275"/>
    <cellStyle name="20% - 강조색1 4 3 3 2 2 4" xfId="2276"/>
    <cellStyle name="20% - 강조색1 4 3 3 2 3" xfId="2277"/>
    <cellStyle name="20% - 강조색1 4 3 3 2 3 2" xfId="2278"/>
    <cellStyle name="20% - 강조색1 4 3 3 2 3 3" xfId="2279"/>
    <cellStyle name="20% - 강조색1 4 3 3 2 4" xfId="2280"/>
    <cellStyle name="20% - 강조색1 4 3 3 2 5" xfId="2281"/>
    <cellStyle name="20% - 강조색1 4 3 3 3" xfId="2282"/>
    <cellStyle name="20% - 강조색1 4 3 3 3 2" xfId="2283"/>
    <cellStyle name="20% - 강조색1 4 3 3 3 2 2" xfId="2284"/>
    <cellStyle name="20% - 강조색1 4 3 3 3 2 2 2" xfId="2285"/>
    <cellStyle name="20% - 강조색1 4 3 3 3 2 2 3" xfId="2286"/>
    <cellStyle name="20% - 강조색1 4 3 3 3 2 3" xfId="2287"/>
    <cellStyle name="20% - 강조색1 4 3 3 3 2 4" xfId="2288"/>
    <cellStyle name="20% - 강조색1 4 3 3 3 3" xfId="2289"/>
    <cellStyle name="20% - 강조색1 4 3 3 3 3 2" xfId="2290"/>
    <cellStyle name="20% - 강조색1 4 3 3 3 3 3" xfId="2291"/>
    <cellStyle name="20% - 강조색1 4 3 3 3 4" xfId="2292"/>
    <cellStyle name="20% - 강조색1 4 3 3 3 5" xfId="2293"/>
    <cellStyle name="20% - 강조색1 4 3 3 4" xfId="2294"/>
    <cellStyle name="20% - 강조색1 4 3 3 4 2" xfId="2295"/>
    <cellStyle name="20% - 강조색1 4 3 3 4 2 2" xfId="2296"/>
    <cellStyle name="20% - 강조색1 4 3 3 4 2 3" xfId="2297"/>
    <cellStyle name="20% - 강조색1 4 3 3 4 3" xfId="2298"/>
    <cellStyle name="20% - 강조색1 4 3 3 4 4" xfId="2299"/>
    <cellStyle name="20% - 강조색1 4 3 3 5" xfId="2300"/>
    <cellStyle name="20% - 강조색1 4 3 3 5 2" xfId="2301"/>
    <cellStyle name="20% - 강조색1 4 3 3 5 3" xfId="2302"/>
    <cellStyle name="20% - 강조색1 4 3 3 6" xfId="2303"/>
    <cellStyle name="20% - 강조색1 4 3 3 7" xfId="2304"/>
    <cellStyle name="20% - 강조색1 4 3 4" xfId="2305"/>
    <cellStyle name="20% - 강조색1 4 3 4 2" xfId="2306"/>
    <cellStyle name="20% - 강조색1 4 3 4 2 2" xfId="2307"/>
    <cellStyle name="20% - 강조색1 4 3 4 2 2 2" xfId="2308"/>
    <cellStyle name="20% - 강조색1 4 3 4 2 2 3" xfId="2309"/>
    <cellStyle name="20% - 강조색1 4 3 4 2 3" xfId="2310"/>
    <cellStyle name="20% - 강조색1 4 3 4 2 4" xfId="2311"/>
    <cellStyle name="20% - 강조색1 4 3 4 3" xfId="2312"/>
    <cellStyle name="20% - 강조색1 4 3 4 3 2" xfId="2313"/>
    <cellStyle name="20% - 강조색1 4 3 4 3 3" xfId="2314"/>
    <cellStyle name="20% - 강조색1 4 3 4 4" xfId="2315"/>
    <cellStyle name="20% - 강조색1 4 3 4 5" xfId="2316"/>
    <cellStyle name="20% - 강조색1 4 3 5" xfId="2317"/>
    <cellStyle name="20% - 강조색1 4 3 5 2" xfId="2318"/>
    <cellStyle name="20% - 강조색1 4 3 5 2 2" xfId="2319"/>
    <cellStyle name="20% - 강조색1 4 3 5 2 2 2" xfId="2320"/>
    <cellStyle name="20% - 강조색1 4 3 5 2 2 3" xfId="2321"/>
    <cellStyle name="20% - 강조색1 4 3 5 2 3" xfId="2322"/>
    <cellStyle name="20% - 강조색1 4 3 5 2 4" xfId="2323"/>
    <cellStyle name="20% - 강조색1 4 3 5 3" xfId="2324"/>
    <cellStyle name="20% - 강조색1 4 3 5 3 2" xfId="2325"/>
    <cellStyle name="20% - 강조색1 4 3 5 3 3" xfId="2326"/>
    <cellStyle name="20% - 강조색1 4 3 5 4" xfId="2327"/>
    <cellStyle name="20% - 강조색1 4 3 5 5" xfId="2328"/>
    <cellStyle name="20% - 강조색1 4 3 6" xfId="2329"/>
    <cellStyle name="20% - 강조색1 4 3 6 2" xfId="2330"/>
    <cellStyle name="20% - 강조색1 4 3 6 2 2" xfId="2331"/>
    <cellStyle name="20% - 강조색1 4 3 6 2 2 2" xfId="2332"/>
    <cellStyle name="20% - 강조색1 4 3 6 2 2 3" xfId="2333"/>
    <cellStyle name="20% - 강조색1 4 3 6 2 3" xfId="2334"/>
    <cellStyle name="20% - 강조색1 4 3 6 2 4" xfId="2335"/>
    <cellStyle name="20% - 강조색1 4 3 6 3" xfId="2336"/>
    <cellStyle name="20% - 강조색1 4 3 6 3 2" xfId="2337"/>
    <cellStyle name="20% - 강조색1 4 3 6 3 3" xfId="2338"/>
    <cellStyle name="20% - 강조색1 4 3 6 4" xfId="2339"/>
    <cellStyle name="20% - 강조색1 4 3 6 5" xfId="2340"/>
    <cellStyle name="20% - 강조색1 4 3 7" xfId="2341"/>
    <cellStyle name="20% - 강조색1 4 3 7 2" xfId="2342"/>
    <cellStyle name="20% - 강조색1 4 3 7 2 2" xfId="2343"/>
    <cellStyle name="20% - 강조색1 4 3 7 2 3" xfId="2344"/>
    <cellStyle name="20% - 강조색1 4 3 7 3" xfId="2345"/>
    <cellStyle name="20% - 강조색1 4 3 7 4" xfId="2346"/>
    <cellStyle name="20% - 강조색1 4 3 8" xfId="2347"/>
    <cellStyle name="20% - 강조색1 4 3 8 2" xfId="2348"/>
    <cellStyle name="20% - 강조색1 4 3 8 3" xfId="2349"/>
    <cellStyle name="20% - 강조색1 4 3 9" xfId="2350"/>
    <cellStyle name="20% - 강조색1 4 4" xfId="2351"/>
    <cellStyle name="20% - 강조색1 4 4 10" xfId="2352"/>
    <cellStyle name="20% - 강조색1 4 4 2" xfId="2353"/>
    <cellStyle name="20% - 강조색1 4 4 2 2" xfId="2354"/>
    <cellStyle name="20% - 강조색1 4 4 2 2 2" xfId="2355"/>
    <cellStyle name="20% - 강조색1 4 4 2 2 2 2" xfId="2356"/>
    <cellStyle name="20% - 강조색1 4 4 2 2 2 2 2" xfId="2357"/>
    <cellStyle name="20% - 강조색1 4 4 2 2 2 2 3" xfId="2358"/>
    <cellStyle name="20% - 강조색1 4 4 2 2 2 3" xfId="2359"/>
    <cellStyle name="20% - 강조색1 4 4 2 2 2 4" xfId="2360"/>
    <cellStyle name="20% - 강조색1 4 4 2 2 3" xfId="2361"/>
    <cellStyle name="20% - 강조색1 4 4 2 2 3 2" xfId="2362"/>
    <cellStyle name="20% - 강조색1 4 4 2 2 3 3" xfId="2363"/>
    <cellStyle name="20% - 강조색1 4 4 2 2 4" xfId="2364"/>
    <cellStyle name="20% - 강조색1 4 4 2 2 5" xfId="2365"/>
    <cellStyle name="20% - 강조색1 4 4 2 3" xfId="2366"/>
    <cellStyle name="20% - 강조색1 4 4 2 3 2" xfId="2367"/>
    <cellStyle name="20% - 강조색1 4 4 2 3 2 2" xfId="2368"/>
    <cellStyle name="20% - 강조색1 4 4 2 3 2 2 2" xfId="2369"/>
    <cellStyle name="20% - 강조색1 4 4 2 3 2 2 3" xfId="2370"/>
    <cellStyle name="20% - 강조색1 4 4 2 3 2 3" xfId="2371"/>
    <cellStyle name="20% - 강조색1 4 4 2 3 2 4" xfId="2372"/>
    <cellStyle name="20% - 강조색1 4 4 2 3 3" xfId="2373"/>
    <cellStyle name="20% - 강조색1 4 4 2 3 3 2" xfId="2374"/>
    <cellStyle name="20% - 강조색1 4 4 2 3 3 3" xfId="2375"/>
    <cellStyle name="20% - 강조색1 4 4 2 3 4" xfId="2376"/>
    <cellStyle name="20% - 강조색1 4 4 2 3 5" xfId="2377"/>
    <cellStyle name="20% - 강조색1 4 4 2 4" xfId="2378"/>
    <cellStyle name="20% - 강조색1 4 4 2 4 2" xfId="2379"/>
    <cellStyle name="20% - 강조색1 4 4 2 4 2 2" xfId="2380"/>
    <cellStyle name="20% - 강조색1 4 4 2 4 2 3" xfId="2381"/>
    <cellStyle name="20% - 강조색1 4 4 2 4 3" xfId="2382"/>
    <cellStyle name="20% - 강조색1 4 4 2 4 4" xfId="2383"/>
    <cellStyle name="20% - 강조색1 4 4 2 5" xfId="2384"/>
    <cellStyle name="20% - 강조색1 4 4 2 5 2" xfId="2385"/>
    <cellStyle name="20% - 강조색1 4 4 2 5 3" xfId="2386"/>
    <cellStyle name="20% - 강조색1 4 4 2 6" xfId="2387"/>
    <cellStyle name="20% - 강조색1 4 4 2 7" xfId="2388"/>
    <cellStyle name="20% - 강조색1 4 4 3" xfId="2389"/>
    <cellStyle name="20% - 강조색1 4 4 3 2" xfId="2390"/>
    <cellStyle name="20% - 강조색1 4 4 3 2 2" xfId="2391"/>
    <cellStyle name="20% - 강조색1 4 4 3 2 2 2" xfId="2392"/>
    <cellStyle name="20% - 강조색1 4 4 3 2 2 2 2" xfId="2393"/>
    <cellStyle name="20% - 강조색1 4 4 3 2 2 2 3" xfId="2394"/>
    <cellStyle name="20% - 강조색1 4 4 3 2 2 3" xfId="2395"/>
    <cellStyle name="20% - 강조색1 4 4 3 2 2 4" xfId="2396"/>
    <cellStyle name="20% - 강조색1 4 4 3 2 3" xfId="2397"/>
    <cellStyle name="20% - 강조색1 4 4 3 2 3 2" xfId="2398"/>
    <cellStyle name="20% - 강조색1 4 4 3 2 3 3" xfId="2399"/>
    <cellStyle name="20% - 강조색1 4 4 3 2 4" xfId="2400"/>
    <cellStyle name="20% - 강조색1 4 4 3 2 5" xfId="2401"/>
    <cellStyle name="20% - 강조색1 4 4 3 3" xfId="2402"/>
    <cellStyle name="20% - 강조색1 4 4 3 3 2" xfId="2403"/>
    <cellStyle name="20% - 강조색1 4 4 3 3 2 2" xfId="2404"/>
    <cellStyle name="20% - 강조색1 4 4 3 3 2 2 2" xfId="2405"/>
    <cellStyle name="20% - 강조색1 4 4 3 3 2 2 3" xfId="2406"/>
    <cellStyle name="20% - 강조색1 4 4 3 3 2 3" xfId="2407"/>
    <cellStyle name="20% - 강조색1 4 4 3 3 2 4" xfId="2408"/>
    <cellStyle name="20% - 강조색1 4 4 3 3 3" xfId="2409"/>
    <cellStyle name="20% - 강조색1 4 4 3 3 3 2" xfId="2410"/>
    <cellStyle name="20% - 강조색1 4 4 3 3 3 3" xfId="2411"/>
    <cellStyle name="20% - 강조색1 4 4 3 3 4" xfId="2412"/>
    <cellStyle name="20% - 강조색1 4 4 3 3 5" xfId="2413"/>
    <cellStyle name="20% - 강조색1 4 4 3 4" xfId="2414"/>
    <cellStyle name="20% - 강조색1 4 4 3 4 2" xfId="2415"/>
    <cellStyle name="20% - 강조색1 4 4 3 4 2 2" xfId="2416"/>
    <cellStyle name="20% - 강조색1 4 4 3 4 2 3" xfId="2417"/>
    <cellStyle name="20% - 강조색1 4 4 3 4 3" xfId="2418"/>
    <cellStyle name="20% - 강조색1 4 4 3 4 4" xfId="2419"/>
    <cellStyle name="20% - 강조색1 4 4 3 5" xfId="2420"/>
    <cellStyle name="20% - 강조색1 4 4 3 5 2" xfId="2421"/>
    <cellStyle name="20% - 강조색1 4 4 3 5 3" xfId="2422"/>
    <cellStyle name="20% - 강조색1 4 4 3 6" xfId="2423"/>
    <cellStyle name="20% - 강조색1 4 4 3 7" xfId="2424"/>
    <cellStyle name="20% - 강조색1 4 4 4" xfId="2425"/>
    <cellStyle name="20% - 강조색1 4 4 4 2" xfId="2426"/>
    <cellStyle name="20% - 강조색1 4 4 4 2 2" xfId="2427"/>
    <cellStyle name="20% - 강조색1 4 4 4 2 2 2" xfId="2428"/>
    <cellStyle name="20% - 강조색1 4 4 4 2 2 3" xfId="2429"/>
    <cellStyle name="20% - 강조색1 4 4 4 2 3" xfId="2430"/>
    <cellStyle name="20% - 강조색1 4 4 4 2 4" xfId="2431"/>
    <cellStyle name="20% - 강조색1 4 4 4 3" xfId="2432"/>
    <cellStyle name="20% - 강조색1 4 4 4 3 2" xfId="2433"/>
    <cellStyle name="20% - 강조색1 4 4 4 3 3" xfId="2434"/>
    <cellStyle name="20% - 강조색1 4 4 4 4" xfId="2435"/>
    <cellStyle name="20% - 강조색1 4 4 4 5" xfId="2436"/>
    <cellStyle name="20% - 강조색1 4 4 5" xfId="2437"/>
    <cellStyle name="20% - 강조색1 4 4 5 2" xfId="2438"/>
    <cellStyle name="20% - 강조색1 4 4 5 2 2" xfId="2439"/>
    <cellStyle name="20% - 강조색1 4 4 5 2 2 2" xfId="2440"/>
    <cellStyle name="20% - 강조색1 4 4 5 2 2 3" xfId="2441"/>
    <cellStyle name="20% - 강조색1 4 4 5 2 3" xfId="2442"/>
    <cellStyle name="20% - 강조색1 4 4 5 2 4" xfId="2443"/>
    <cellStyle name="20% - 강조색1 4 4 5 3" xfId="2444"/>
    <cellStyle name="20% - 강조색1 4 4 5 3 2" xfId="2445"/>
    <cellStyle name="20% - 강조색1 4 4 5 3 3" xfId="2446"/>
    <cellStyle name="20% - 강조색1 4 4 5 4" xfId="2447"/>
    <cellStyle name="20% - 강조색1 4 4 5 5" xfId="2448"/>
    <cellStyle name="20% - 강조색1 4 4 6" xfId="2449"/>
    <cellStyle name="20% - 강조색1 4 4 6 2" xfId="2450"/>
    <cellStyle name="20% - 강조색1 4 4 6 2 2" xfId="2451"/>
    <cellStyle name="20% - 강조색1 4 4 6 2 2 2" xfId="2452"/>
    <cellStyle name="20% - 강조색1 4 4 6 2 2 3" xfId="2453"/>
    <cellStyle name="20% - 강조색1 4 4 6 2 3" xfId="2454"/>
    <cellStyle name="20% - 강조색1 4 4 6 2 4" xfId="2455"/>
    <cellStyle name="20% - 강조색1 4 4 6 3" xfId="2456"/>
    <cellStyle name="20% - 강조색1 4 4 6 3 2" xfId="2457"/>
    <cellStyle name="20% - 강조색1 4 4 6 3 3" xfId="2458"/>
    <cellStyle name="20% - 강조색1 4 4 6 4" xfId="2459"/>
    <cellStyle name="20% - 강조색1 4 4 6 5" xfId="2460"/>
    <cellStyle name="20% - 강조색1 4 4 7" xfId="2461"/>
    <cellStyle name="20% - 강조색1 4 4 7 2" xfId="2462"/>
    <cellStyle name="20% - 강조색1 4 4 7 2 2" xfId="2463"/>
    <cellStyle name="20% - 강조색1 4 4 7 2 3" xfId="2464"/>
    <cellStyle name="20% - 강조색1 4 4 7 3" xfId="2465"/>
    <cellStyle name="20% - 강조색1 4 4 7 4" xfId="2466"/>
    <cellStyle name="20% - 강조색1 4 4 8" xfId="2467"/>
    <cellStyle name="20% - 강조색1 4 4 8 2" xfId="2468"/>
    <cellStyle name="20% - 강조색1 4 4 8 3" xfId="2469"/>
    <cellStyle name="20% - 강조색1 4 4 9" xfId="2470"/>
    <cellStyle name="20% - 강조색1 4 5" xfId="2471"/>
    <cellStyle name="20% - 강조색1 4 5 2" xfId="2472"/>
    <cellStyle name="20% - 강조색1 4 5 2 2" xfId="2473"/>
    <cellStyle name="20% - 강조색1 4 5 2 2 2" xfId="2474"/>
    <cellStyle name="20% - 강조색1 4 5 2 2 2 2" xfId="2475"/>
    <cellStyle name="20% - 강조색1 4 5 2 2 2 3" xfId="2476"/>
    <cellStyle name="20% - 강조색1 4 5 2 2 3" xfId="2477"/>
    <cellStyle name="20% - 강조색1 4 5 2 2 4" xfId="2478"/>
    <cellStyle name="20% - 강조색1 4 5 2 3" xfId="2479"/>
    <cellStyle name="20% - 강조색1 4 5 2 3 2" xfId="2480"/>
    <cellStyle name="20% - 강조색1 4 5 2 3 3" xfId="2481"/>
    <cellStyle name="20% - 강조색1 4 5 2 4" xfId="2482"/>
    <cellStyle name="20% - 강조색1 4 5 2 5" xfId="2483"/>
    <cellStyle name="20% - 강조색1 4 5 3" xfId="2484"/>
    <cellStyle name="20% - 강조색1 4 5 3 2" xfId="2485"/>
    <cellStyle name="20% - 강조색1 4 5 3 2 2" xfId="2486"/>
    <cellStyle name="20% - 강조색1 4 5 3 2 2 2" xfId="2487"/>
    <cellStyle name="20% - 강조색1 4 5 3 2 2 3" xfId="2488"/>
    <cellStyle name="20% - 강조색1 4 5 3 2 3" xfId="2489"/>
    <cellStyle name="20% - 강조색1 4 5 3 2 4" xfId="2490"/>
    <cellStyle name="20% - 강조색1 4 5 3 3" xfId="2491"/>
    <cellStyle name="20% - 강조색1 4 5 3 3 2" xfId="2492"/>
    <cellStyle name="20% - 강조색1 4 5 3 3 3" xfId="2493"/>
    <cellStyle name="20% - 강조색1 4 5 3 4" xfId="2494"/>
    <cellStyle name="20% - 강조색1 4 5 3 5" xfId="2495"/>
    <cellStyle name="20% - 강조색1 4 5 4" xfId="2496"/>
    <cellStyle name="20% - 강조색1 4 5 4 2" xfId="2497"/>
    <cellStyle name="20% - 강조색1 4 5 4 2 2" xfId="2498"/>
    <cellStyle name="20% - 강조색1 4 5 4 2 3" xfId="2499"/>
    <cellStyle name="20% - 강조색1 4 5 4 3" xfId="2500"/>
    <cellStyle name="20% - 강조색1 4 5 4 4" xfId="2501"/>
    <cellStyle name="20% - 강조색1 4 5 5" xfId="2502"/>
    <cellStyle name="20% - 강조색1 4 5 5 2" xfId="2503"/>
    <cellStyle name="20% - 강조색1 4 5 5 3" xfId="2504"/>
    <cellStyle name="20% - 강조색1 4 5 6" xfId="2505"/>
    <cellStyle name="20% - 강조색1 4 5 7" xfId="2506"/>
    <cellStyle name="20% - 강조색1 4 6" xfId="2507"/>
    <cellStyle name="20% - 강조색1 4 6 2" xfId="2508"/>
    <cellStyle name="20% - 강조색1 4 6 2 2" xfId="2509"/>
    <cellStyle name="20% - 강조색1 4 6 2 2 2" xfId="2510"/>
    <cellStyle name="20% - 강조색1 4 6 2 2 2 2" xfId="2511"/>
    <cellStyle name="20% - 강조색1 4 6 2 2 2 3" xfId="2512"/>
    <cellStyle name="20% - 강조색1 4 6 2 2 3" xfId="2513"/>
    <cellStyle name="20% - 강조색1 4 6 2 2 4" xfId="2514"/>
    <cellStyle name="20% - 강조색1 4 6 2 3" xfId="2515"/>
    <cellStyle name="20% - 강조색1 4 6 2 3 2" xfId="2516"/>
    <cellStyle name="20% - 강조색1 4 6 2 3 3" xfId="2517"/>
    <cellStyle name="20% - 강조색1 4 6 2 4" xfId="2518"/>
    <cellStyle name="20% - 강조색1 4 6 2 5" xfId="2519"/>
    <cellStyle name="20% - 강조색1 4 6 3" xfId="2520"/>
    <cellStyle name="20% - 강조색1 4 6 3 2" xfId="2521"/>
    <cellStyle name="20% - 강조색1 4 6 3 2 2" xfId="2522"/>
    <cellStyle name="20% - 강조색1 4 6 3 2 2 2" xfId="2523"/>
    <cellStyle name="20% - 강조색1 4 6 3 2 2 3" xfId="2524"/>
    <cellStyle name="20% - 강조색1 4 6 3 2 3" xfId="2525"/>
    <cellStyle name="20% - 강조색1 4 6 3 2 4" xfId="2526"/>
    <cellStyle name="20% - 강조색1 4 6 3 3" xfId="2527"/>
    <cellStyle name="20% - 강조색1 4 6 3 3 2" xfId="2528"/>
    <cellStyle name="20% - 강조색1 4 6 3 3 3" xfId="2529"/>
    <cellStyle name="20% - 강조색1 4 6 3 4" xfId="2530"/>
    <cellStyle name="20% - 강조색1 4 6 3 5" xfId="2531"/>
    <cellStyle name="20% - 강조색1 4 6 4" xfId="2532"/>
    <cellStyle name="20% - 강조색1 4 6 4 2" xfId="2533"/>
    <cellStyle name="20% - 강조색1 4 6 4 2 2" xfId="2534"/>
    <cellStyle name="20% - 강조색1 4 6 4 2 3" xfId="2535"/>
    <cellStyle name="20% - 강조색1 4 6 4 3" xfId="2536"/>
    <cellStyle name="20% - 강조색1 4 6 4 4" xfId="2537"/>
    <cellStyle name="20% - 강조색1 4 6 5" xfId="2538"/>
    <cellStyle name="20% - 강조색1 4 6 5 2" xfId="2539"/>
    <cellStyle name="20% - 강조색1 4 6 5 3" xfId="2540"/>
    <cellStyle name="20% - 강조색1 4 6 6" xfId="2541"/>
    <cellStyle name="20% - 강조색1 4 6 7" xfId="2542"/>
    <cellStyle name="20% - 강조색1 4 7" xfId="2543"/>
    <cellStyle name="20% - 강조색1 4 7 2" xfId="2544"/>
    <cellStyle name="20% - 강조색1 4 7 2 2" xfId="2545"/>
    <cellStyle name="20% - 강조색1 4 7 2 2 2" xfId="2546"/>
    <cellStyle name="20% - 강조색1 4 7 2 2 3" xfId="2547"/>
    <cellStyle name="20% - 강조색1 4 7 2 3" xfId="2548"/>
    <cellStyle name="20% - 강조색1 4 7 2 4" xfId="2549"/>
    <cellStyle name="20% - 강조색1 4 7 3" xfId="2550"/>
    <cellStyle name="20% - 강조색1 4 7 3 2" xfId="2551"/>
    <cellStyle name="20% - 강조색1 4 7 3 3" xfId="2552"/>
    <cellStyle name="20% - 강조색1 4 7 4" xfId="2553"/>
    <cellStyle name="20% - 강조색1 4 7 5" xfId="2554"/>
    <cellStyle name="20% - 강조색1 4 8" xfId="2555"/>
    <cellStyle name="20% - 강조색1 4 8 2" xfId="2556"/>
    <cellStyle name="20% - 강조색1 4 8 2 2" xfId="2557"/>
    <cellStyle name="20% - 강조색1 4 8 2 2 2" xfId="2558"/>
    <cellStyle name="20% - 강조색1 4 8 2 2 3" xfId="2559"/>
    <cellStyle name="20% - 강조색1 4 8 2 3" xfId="2560"/>
    <cellStyle name="20% - 강조색1 4 8 2 4" xfId="2561"/>
    <cellStyle name="20% - 강조색1 4 8 3" xfId="2562"/>
    <cellStyle name="20% - 강조색1 4 8 3 2" xfId="2563"/>
    <cellStyle name="20% - 강조색1 4 8 3 3" xfId="2564"/>
    <cellStyle name="20% - 강조색1 4 8 4" xfId="2565"/>
    <cellStyle name="20% - 강조색1 4 8 5" xfId="2566"/>
    <cellStyle name="20% - 강조색1 4 9" xfId="2567"/>
    <cellStyle name="20% - 강조색1 4 9 2" xfId="2568"/>
    <cellStyle name="20% - 강조색1 4 9 2 2" xfId="2569"/>
    <cellStyle name="20% - 강조색1 4 9 2 2 2" xfId="2570"/>
    <cellStyle name="20% - 강조색1 4 9 2 2 3" xfId="2571"/>
    <cellStyle name="20% - 강조색1 4 9 2 3" xfId="2572"/>
    <cellStyle name="20% - 강조색1 4 9 2 4" xfId="2573"/>
    <cellStyle name="20% - 강조색1 4 9 3" xfId="2574"/>
    <cellStyle name="20% - 강조색1 4 9 3 2" xfId="2575"/>
    <cellStyle name="20% - 강조색1 4 9 3 3" xfId="2576"/>
    <cellStyle name="20% - 강조색1 4 9 4" xfId="2577"/>
    <cellStyle name="20% - 강조색1 4 9 5" xfId="2578"/>
    <cellStyle name="20% - 강조색1 40" xfId="2579"/>
    <cellStyle name="20% - 강조색1 41" xfId="2580"/>
    <cellStyle name="20% - 강조색1 42" xfId="2581"/>
    <cellStyle name="20% - 강조색1 43" xfId="2582"/>
    <cellStyle name="20% - 강조색1 44" xfId="2583"/>
    <cellStyle name="20% - 강조색1 45" xfId="2584"/>
    <cellStyle name="20% - 강조색1 46" xfId="2585"/>
    <cellStyle name="20% - 강조색1 47" xfId="2586"/>
    <cellStyle name="20% - 강조색1 48" xfId="2587"/>
    <cellStyle name="20% - 강조색1 49" xfId="2588"/>
    <cellStyle name="20% - 강조색1 5" xfId="2589"/>
    <cellStyle name="20% - 강조색1 5 10" xfId="2590"/>
    <cellStyle name="20% - 강조색1 5 11" xfId="2591"/>
    <cellStyle name="20% - 강조색1 5 2" xfId="2592"/>
    <cellStyle name="20% - 강조색1 5 2 2" xfId="2593"/>
    <cellStyle name="20% - 강조색1 5 2 2 2" xfId="2594"/>
    <cellStyle name="20% - 강조색1 5 2 2 2 2" xfId="2595"/>
    <cellStyle name="20% - 강조색1 5 2 2 2 2 2" xfId="2596"/>
    <cellStyle name="20% - 강조색1 5 2 2 2 2 3" xfId="2597"/>
    <cellStyle name="20% - 강조색1 5 2 2 2 3" xfId="2598"/>
    <cellStyle name="20% - 강조색1 5 2 2 2 4" xfId="2599"/>
    <cellStyle name="20% - 강조색1 5 2 2 3" xfId="2600"/>
    <cellStyle name="20% - 강조색1 5 2 2 3 2" xfId="2601"/>
    <cellStyle name="20% - 강조색1 5 2 2 3 3" xfId="2602"/>
    <cellStyle name="20% - 강조색1 5 2 2 4" xfId="2603"/>
    <cellStyle name="20% - 강조색1 5 2 2 5" xfId="2604"/>
    <cellStyle name="20% - 강조색1 5 2 3" xfId="2605"/>
    <cellStyle name="20% - 강조색1 5 2 3 2" xfId="2606"/>
    <cellStyle name="20% - 강조색1 5 2 3 2 2" xfId="2607"/>
    <cellStyle name="20% - 강조색1 5 2 3 2 2 2" xfId="2608"/>
    <cellStyle name="20% - 강조색1 5 2 3 2 2 3" xfId="2609"/>
    <cellStyle name="20% - 강조색1 5 2 3 2 3" xfId="2610"/>
    <cellStyle name="20% - 강조색1 5 2 3 2 4" xfId="2611"/>
    <cellStyle name="20% - 강조색1 5 2 3 3" xfId="2612"/>
    <cellStyle name="20% - 강조색1 5 2 3 3 2" xfId="2613"/>
    <cellStyle name="20% - 강조색1 5 2 3 3 3" xfId="2614"/>
    <cellStyle name="20% - 강조색1 5 2 3 4" xfId="2615"/>
    <cellStyle name="20% - 강조색1 5 2 3 5" xfId="2616"/>
    <cellStyle name="20% - 강조색1 5 2 4" xfId="2617"/>
    <cellStyle name="20% - 강조색1 5 2 4 2" xfId="2618"/>
    <cellStyle name="20% - 강조색1 5 2 4 2 2" xfId="2619"/>
    <cellStyle name="20% - 강조색1 5 2 4 2 3" xfId="2620"/>
    <cellStyle name="20% - 강조색1 5 2 4 3" xfId="2621"/>
    <cellStyle name="20% - 강조색1 5 2 4 4" xfId="2622"/>
    <cellStyle name="20% - 강조색1 5 2 5" xfId="2623"/>
    <cellStyle name="20% - 강조색1 5 2 5 2" xfId="2624"/>
    <cellStyle name="20% - 강조색1 5 2 5 3" xfId="2625"/>
    <cellStyle name="20% - 강조색1 5 2 6" xfId="2626"/>
    <cellStyle name="20% - 강조색1 5 2 7" xfId="2627"/>
    <cellStyle name="20% - 강조색1 5 3" xfId="2628"/>
    <cellStyle name="20% - 강조색1 5 3 2" xfId="2629"/>
    <cellStyle name="20% - 강조색1 5 3 2 2" xfId="2630"/>
    <cellStyle name="20% - 강조색1 5 3 2 2 2" xfId="2631"/>
    <cellStyle name="20% - 강조색1 5 3 2 2 2 2" xfId="2632"/>
    <cellStyle name="20% - 강조색1 5 3 2 2 2 3" xfId="2633"/>
    <cellStyle name="20% - 강조색1 5 3 2 2 3" xfId="2634"/>
    <cellStyle name="20% - 강조색1 5 3 2 2 4" xfId="2635"/>
    <cellStyle name="20% - 강조색1 5 3 2 3" xfId="2636"/>
    <cellStyle name="20% - 강조색1 5 3 2 3 2" xfId="2637"/>
    <cellStyle name="20% - 강조색1 5 3 2 3 3" xfId="2638"/>
    <cellStyle name="20% - 강조색1 5 3 2 4" xfId="2639"/>
    <cellStyle name="20% - 강조색1 5 3 2 5" xfId="2640"/>
    <cellStyle name="20% - 강조색1 5 3 3" xfId="2641"/>
    <cellStyle name="20% - 강조색1 5 3 3 2" xfId="2642"/>
    <cellStyle name="20% - 강조색1 5 3 3 2 2" xfId="2643"/>
    <cellStyle name="20% - 강조색1 5 3 3 2 2 2" xfId="2644"/>
    <cellStyle name="20% - 강조색1 5 3 3 2 2 3" xfId="2645"/>
    <cellStyle name="20% - 강조색1 5 3 3 2 3" xfId="2646"/>
    <cellStyle name="20% - 강조색1 5 3 3 2 4" xfId="2647"/>
    <cellStyle name="20% - 강조색1 5 3 3 3" xfId="2648"/>
    <cellStyle name="20% - 강조색1 5 3 3 3 2" xfId="2649"/>
    <cellStyle name="20% - 강조색1 5 3 3 3 3" xfId="2650"/>
    <cellStyle name="20% - 강조색1 5 3 3 4" xfId="2651"/>
    <cellStyle name="20% - 강조색1 5 3 3 5" xfId="2652"/>
    <cellStyle name="20% - 강조색1 5 3 4" xfId="2653"/>
    <cellStyle name="20% - 강조색1 5 3 4 2" xfId="2654"/>
    <cellStyle name="20% - 강조색1 5 3 4 2 2" xfId="2655"/>
    <cellStyle name="20% - 강조색1 5 3 4 2 3" xfId="2656"/>
    <cellStyle name="20% - 강조색1 5 3 4 3" xfId="2657"/>
    <cellStyle name="20% - 강조색1 5 3 4 4" xfId="2658"/>
    <cellStyle name="20% - 강조색1 5 3 5" xfId="2659"/>
    <cellStyle name="20% - 강조색1 5 3 5 2" xfId="2660"/>
    <cellStyle name="20% - 강조색1 5 3 5 3" xfId="2661"/>
    <cellStyle name="20% - 강조색1 5 3 6" xfId="2662"/>
    <cellStyle name="20% - 강조색1 5 3 7" xfId="2663"/>
    <cellStyle name="20% - 강조색1 5 4" xfId="2664"/>
    <cellStyle name="20% - 강조색1 5 4 2" xfId="2665"/>
    <cellStyle name="20% - 강조색1 5 4 2 2" xfId="2666"/>
    <cellStyle name="20% - 강조색1 5 4 2 2 2" xfId="2667"/>
    <cellStyle name="20% - 강조색1 5 4 2 2 3" xfId="2668"/>
    <cellStyle name="20% - 강조색1 5 4 2 3" xfId="2669"/>
    <cellStyle name="20% - 강조색1 5 4 2 4" xfId="2670"/>
    <cellStyle name="20% - 강조색1 5 4 3" xfId="2671"/>
    <cellStyle name="20% - 강조색1 5 4 3 2" xfId="2672"/>
    <cellStyle name="20% - 강조색1 5 4 3 3" xfId="2673"/>
    <cellStyle name="20% - 강조색1 5 4 4" xfId="2674"/>
    <cellStyle name="20% - 강조색1 5 4 5" xfId="2675"/>
    <cellStyle name="20% - 강조색1 5 5" xfId="2676"/>
    <cellStyle name="20% - 강조색1 5 5 2" xfId="2677"/>
    <cellStyle name="20% - 강조색1 5 5 2 2" xfId="2678"/>
    <cellStyle name="20% - 강조색1 5 5 2 2 2" xfId="2679"/>
    <cellStyle name="20% - 강조색1 5 5 2 2 3" xfId="2680"/>
    <cellStyle name="20% - 강조색1 5 5 2 3" xfId="2681"/>
    <cellStyle name="20% - 강조색1 5 5 2 4" xfId="2682"/>
    <cellStyle name="20% - 강조색1 5 5 3" xfId="2683"/>
    <cellStyle name="20% - 강조색1 5 5 3 2" xfId="2684"/>
    <cellStyle name="20% - 강조색1 5 5 3 3" xfId="2685"/>
    <cellStyle name="20% - 강조색1 5 5 4" xfId="2686"/>
    <cellStyle name="20% - 강조색1 5 5 5" xfId="2687"/>
    <cellStyle name="20% - 강조색1 5 6" xfId="2688"/>
    <cellStyle name="20% - 강조색1 5 6 2" xfId="2689"/>
    <cellStyle name="20% - 강조색1 5 6 2 2" xfId="2690"/>
    <cellStyle name="20% - 강조색1 5 6 2 2 2" xfId="2691"/>
    <cellStyle name="20% - 강조색1 5 6 2 2 3" xfId="2692"/>
    <cellStyle name="20% - 강조색1 5 6 2 3" xfId="2693"/>
    <cellStyle name="20% - 강조색1 5 6 2 4" xfId="2694"/>
    <cellStyle name="20% - 강조색1 5 6 3" xfId="2695"/>
    <cellStyle name="20% - 강조색1 5 6 3 2" xfId="2696"/>
    <cellStyle name="20% - 강조색1 5 6 3 3" xfId="2697"/>
    <cellStyle name="20% - 강조색1 5 6 4" xfId="2698"/>
    <cellStyle name="20% - 강조색1 5 6 5" xfId="2699"/>
    <cellStyle name="20% - 강조색1 5 7" xfId="2700"/>
    <cellStyle name="20% - 강조색1 5 7 2" xfId="2701"/>
    <cellStyle name="20% - 강조색1 5 7 2 2" xfId="2702"/>
    <cellStyle name="20% - 강조색1 5 7 2 3" xfId="2703"/>
    <cellStyle name="20% - 강조색1 5 7 3" xfId="2704"/>
    <cellStyle name="20% - 강조색1 5 7 4" xfId="2705"/>
    <cellStyle name="20% - 강조색1 5 8" xfId="2706"/>
    <cellStyle name="20% - 강조색1 5 8 2" xfId="2707"/>
    <cellStyle name="20% - 강조색1 5 8 3" xfId="2708"/>
    <cellStyle name="20% - 강조색1 5 9" xfId="2709"/>
    <cellStyle name="20% - 강조색1 50" xfId="2710"/>
    <cellStyle name="20% - 강조색1 51" xfId="2711"/>
    <cellStyle name="20% - 강조색1 52" xfId="2712"/>
    <cellStyle name="20% - 강조색1 53" xfId="2713"/>
    <cellStyle name="20% - 강조색1 54" xfId="2714"/>
    <cellStyle name="20% - 강조색1 55" xfId="2715"/>
    <cellStyle name="20% - 강조색1 56" xfId="2716"/>
    <cellStyle name="20% - 강조색1 57" xfId="2717"/>
    <cellStyle name="20% - 강조색1 58" xfId="2718"/>
    <cellStyle name="20% - 강조색1 59" xfId="2719"/>
    <cellStyle name="20% - 강조색1 6" xfId="2720"/>
    <cellStyle name="20% - 강조색1 6 10" xfId="2721"/>
    <cellStyle name="20% - 강조색1 6 2" xfId="2722"/>
    <cellStyle name="20% - 강조색1 6 2 2" xfId="2723"/>
    <cellStyle name="20% - 강조색1 6 2 2 2" xfId="2724"/>
    <cellStyle name="20% - 강조색1 6 2 2 2 2" xfId="2725"/>
    <cellStyle name="20% - 강조색1 6 2 2 2 2 2" xfId="2726"/>
    <cellStyle name="20% - 강조색1 6 2 2 2 2 3" xfId="2727"/>
    <cellStyle name="20% - 강조색1 6 2 2 2 3" xfId="2728"/>
    <cellStyle name="20% - 강조색1 6 2 2 2 4" xfId="2729"/>
    <cellStyle name="20% - 강조색1 6 2 2 3" xfId="2730"/>
    <cellStyle name="20% - 강조색1 6 2 2 3 2" xfId="2731"/>
    <cellStyle name="20% - 강조색1 6 2 2 3 3" xfId="2732"/>
    <cellStyle name="20% - 강조색1 6 2 2 4" xfId="2733"/>
    <cellStyle name="20% - 강조색1 6 2 2 5" xfId="2734"/>
    <cellStyle name="20% - 강조색1 6 2 3" xfId="2735"/>
    <cellStyle name="20% - 강조색1 6 2 3 2" xfId="2736"/>
    <cellStyle name="20% - 강조색1 6 2 3 2 2" xfId="2737"/>
    <cellStyle name="20% - 강조색1 6 2 3 2 2 2" xfId="2738"/>
    <cellStyle name="20% - 강조색1 6 2 3 2 2 3" xfId="2739"/>
    <cellStyle name="20% - 강조색1 6 2 3 2 3" xfId="2740"/>
    <cellStyle name="20% - 강조색1 6 2 3 2 4" xfId="2741"/>
    <cellStyle name="20% - 강조색1 6 2 3 3" xfId="2742"/>
    <cellStyle name="20% - 강조색1 6 2 3 3 2" xfId="2743"/>
    <cellStyle name="20% - 강조색1 6 2 3 3 3" xfId="2744"/>
    <cellStyle name="20% - 강조색1 6 2 3 4" xfId="2745"/>
    <cellStyle name="20% - 강조색1 6 2 3 5" xfId="2746"/>
    <cellStyle name="20% - 강조색1 6 2 4" xfId="2747"/>
    <cellStyle name="20% - 강조색1 6 2 4 2" xfId="2748"/>
    <cellStyle name="20% - 강조색1 6 2 4 2 2" xfId="2749"/>
    <cellStyle name="20% - 강조색1 6 2 4 2 3" xfId="2750"/>
    <cellStyle name="20% - 강조색1 6 2 4 3" xfId="2751"/>
    <cellStyle name="20% - 강조색1 6 2 4 4" xfId="2752"/>
    <cellStyle name="20% - 강조색1 6 2 5" xfId="2753"/>
    <cellStyle name="20% - 강조색1 6 2 5 2" xfId="2754"/>
    <cellStyle name="20% - 강조색1 6 2 5 3" xfId="2755"/>
    <cellStyle name="20% - 강조색1 6 2 6" xfId="2756"/>
    <cellStyle name="20% - 강조색1 6 2 7" xfId="2757"/>
    <cellStyle name="20% - 강조색1 6 3" xfId="2758"/>
    <cellStyle name="20% - 강조색1 6 3 2" xfId="2759"/>
    <cellStyle name="20% - 강조색1 6 3 2 2" xfId="2760"/>
    <cellStyle name="20% - 강조색1 6 3 2 2 2" xfId="2761"/>
    <cellStyle name="20% - 강조색1 6 3 2 2 2 2" xfId="2762"/>
    <cellStyle name="20% - 강조색1 6 3 2 2 2 3" xfId="2763"/>
    <cellStyle name="20% - 강조색1 6 3 2 2 3" xfId="2764"/>
    <cellStyle name="20% - 강조색1 6 3 2 2 4" xfId="2765"/>
    <cellStyle name="20% - 강조색1 6 3 2 3" xfId="2766"/>
    <cellStyle name="20% - 강조색1 6 3 2 3 2" xfId="2767"/>
    <cellStyle name="20% - 강조색1 6 3 2 3 3" xfId="2768"/>
    <cellStyle name="20% - 강조색1 6 3 2 4" xfId="2769"/>
    <cellStyle name="20% - 강조색1 6 3 2 5" xfId="2770"/>
    <cellStyle name="20% - 강조색1 6 3 3" xfId="2771"/>
    <cellStyle name="20% - 강조색1 6 3 3 2" xfId="2772"/>
    <cellStyle name="20% - 강조색1 6 3 3 2 2" xfId="2773"/>
    <cellStyle name="20% - 강조색1 6 3 3 2 2 2" xfId="2774"/>
    <cellStyle name="20% - 강조색1 6 3 3 2 2 3" xfId="2775"/>
    <cellStyle name="20% - 강조색1 6 3 3 2 3" xfId="2776"/>
    <cellStyle name="20% - 강조색1 6 3 3 2 4" xfId="2777"/>
    <cellStyle name="20% - 강조색1 6 3 3 3" xfId="2778"/>
    <cellStyle name="20% - 강조색1 6 3 3 3 2" xfId="2779"/>
    <cellStyle name="20% - 강조색1 6 3 3 3 3" xfId="2780"/>
    <cellStyle name="20% - 강조색1 6 3 3 4" xfId="2781"/>
    <cellStyle name="20% - 강조색1 6 3 3 5" xfId="2782"/>
    <cellStyle name="20% - 강조색1 6 3 4" xfId="2783"/>
    <cellStyle name="20% - 강조색1 6 3 4 2" xfId="2784"/>
    <cellStyle name="20% - 강조색1 6 3 4 2 2" xfId="2785"/>
    <cellStyle name="20% - 강조색1 6 3 4 2 3" xfId="2786"/>
    <cellStyle name="20% - 강조색1 6 3 4 3" xfId="2787"/>
    <cellStyle name="20% - 강조색1 6 3 4 4" xfId="2788"/>
    <cellStyle name="20% - 강조색1 6 3 5" xfId="2789"/>
    <cellStyle name="20% - 강조색1 6 3 5 2" xfId="2790"/>
    <cellStyle name="20% - 강조색1 6 3 5 3" xfId="2791"/>
    <cellStyle name="20% - 강조색1 6 3 6" xfId="2792"/>
    <cellStyle name="20% - 강조색1 6 3 7" xfId="2793"/>
    <cellStyle name="20% - 강조색1 6 4" xfId="2794"/>
    <cellStyle name="20% - 강조색1 6 4 2" xfId="2795"/>
    <cellStyle name="20% - 강조색1 6 4 2 2" xfId="2796"/>
    <cellStyle name="20% - 강조색1 6 4 2 2 2" xfId="2797"/>
    <cellStyle name="20% - 강조색1 6 4 2 2 3" xfId="2798"/>
    <cellStyle name="20% - 강조색1 6 4 2 3" xfId="2799"/>
    <cellStyle name="20% - 강조색1 6 4 2 4" xfId="2800"/>
    <cellStyle name="20% - 강조색1 6 4 3" xfId="2801"/>
    <cellStyle name="20% - 강조색1 6 4 3 2" xfId="2802"/>
    <cellStyle name="20% - 강조색1 6 4 3 3" xfId="2803"/>
    <cellStyle name="20% - 강조색1 6 4 4" xfId="2804"/>
    <cellStyle name="20% - 강조색1 6 4 5" xfId="2805"/>
    <cellStyle name="20% - 강조색1 6 5" xfId="2806"/>
    <cellStyle name="20% - 강조색1 6 5 2" xfId="2807"/>
    <cellStyle name="20% - 강조색1 6 5 2 2" xfId="2808"/>
    <cellStyle name="20% - 강조색1 6 5 2 2 2" xfId="2809"/>
    <cellStyle name="20% - 강조색1 6 5 2 2 3" xfId="2810"/>
    <cellStyle name="20% - 강조색1 6 5 2 3" xfId="2811"/>
    <cellStyle name="20% - 강조색1 6 5 2 4" xfId="2812"/>
    <cellStyle name="20% - 강조색1 6 5 3" xfId="2813"/>
    <cellStyle name="20% - 강조색1 6 5 3 2" xfId="2814"/>
    <cellStyle name="20% - 강조색1 6 5 3 3" xfId="2815"/>
    <cellStyle name="20% - 강조색1 6 5 4" xfId="2816"/>
    <cellStyle name="20% - 강조색1 6 5 5" xfId="2817"/>
    <cellStyle name="20% - 강조색1 6 6" xfId="2818"/>
    <cellStyle name="20% - 강조색1 6 6 2" xfId="2819"/>
    <cellStyle name="20% - 강조색1 6 6 2 2" xfId="2820"/>
    <cellStyle name="20% - 강조색1 6 6 2 2 2" xfId="2821"/>
    <cellStyle name="20% - 강조색1 6 6 2 2 3" xfId="2822"/>
    <cellStyle name="20% - 강조색1 6 6 2 3" xfId="2823"/>
    <cellStyle name="20% - 강조색1 6 6 2 4" xfId="2824"/>
    <cellStyle name="20% - 강조색1 6 6 3" xfId="2825"/>
    <cellStyle name="20% - 강조색1 6 6 3 2" xfId="2826"/>
    <cellStyle name="20% - 강조색1 6 6 3 3" xfId="2827"/>
    <cellStyle name="20% - 강조색1 6 6 4" xfId="2828"/>
    <cellStyle name="20% - 강조색1 6 6 5" xfId="2829"/>
    <cellStyle name="20% - 강조색1 6 7" xfId="2830"/>
    <cellStyle name="20% - 강조색1 6 7 2" xfId="2831"/>
    <cellStyle name="20% - 강조색1 6 7 2 2" xfId="2832"/>
    <cellStyle name="20% - 강조색1 6 7 2 3" xfId="2833"/>
    <cellStyle name="20% - 강조색1 6 7 3" xfId="2834"/>
    <cellStyle name="20% - 강조색1 6 7 4" xfId="2835"/>
    <cellStyle name="20% - 강조색1 6 8" xfId="2836"/>
    <cellStyle name="20% - 강조색1 6 8 2" xfId="2837"/>
    <cellStyle name="20% - 강조색1 6 8 3" xfId="2838"/>
    <cellStyle name="20% - 강조색1 6 9" xfId="2839"/>
    <cellStyle name="20% - 강조색1 60" xfId="2840"/>
    <cellStyle name="20% - 강조색1 61" xfId="2841"/>
    <cellStyle name="20% - 강조색1 62" xfId="2842"/>
    <cellStyle name="20% - 강조색1 63" xfId="2843"/>
    <cellStyle name="20% - 강조색1 64" xfId="2844"/>
    <cellStyle name="20% - 강조색1 65" xfId="2845"/>
    <cellStyle name="20% - 강조색1 66" xfId="2846"/>
    <cellStyle name="20% - 강조색1 67" xfId="2847"/>
    <cellStyle name="20% - 강조색1 68" xfId="2848"/>
    <cellStyle name="20% - 강조색1 69" xfId="2849"/>
    <cellStyle name="20% - 강조색1 7" xfId="2850"/>
    <cellStyle name="20% - 강조색1 7 10" xfId="2851"/>
    <cellStyle name="20% - 강조색1 7 2" xfId="2852"/>
    <cellStyle name="20% - 강조색1 7 2 2" xfId="2853"/>
    <cellStyle name="20% - 강조색1 7 2 2 2" xfId="2854"/>
    <cellStyle name="20% - 강조색1 7 2 2 2 2" xfId="2855"/>
    <cellStyle name="20% - 강조색1 7 2 2 2 2 2" xfId="2856"/>
    <cellStyle name="20% - 강조색1 7 2 2 2 2 3" xfId="2857"/>
    <cellStyle name="20% - 강조색1 7 2 2 2 3" xfId="2858"/>
    <cellStyle name="20% - 강조색1 7 2 2 2 4" xfId="2859"/>
    <cellStyle name="20% - 강조색1 7 2 2 3" xfId="2860"/>
    <cellStyle name="20% - 강조색1 7 2 2 3 2" xfId="2861"/>
    <cellStyle name="20% - 강조색1 7 2 2 3 3" xfId="2862"/>
    <cellStyle name="20% - 강조색1 7 2 2 4" xfId="2863"/>
    <cellStyle name="20% - 강조색1 7 2 2 5" xfId="2864"/>
    <cellStyle name="20% - 강조색1 7 2 3" xfId="2865"/>
    <cellStyle name="20% - 강조색1 7 2 3 2" xfId="2866"/>
    <cellStyle name="20% - 강조색1 7 2 3 2 2" xfId="2867"/>
    <cellStyle name="20% - 강조색1 7 2 3 2 2 2" xfId="2868"/>
    <cellStyle name="20% - 강조색1 7 2 3 2 2 3" xfId="2869"/>
    <cellStyle name="20% - 강조색1 7 2 3 2 3" xfId="2870"/>
    <cellStyle name="20% - 강조색1 7 2 3 2 4" xfId="2871"/>
    <cellStyle name="20% - 강조색1 7 2 3 3" xfId="2872"/>
    <cellStyle name="20% - 강조색1 7 2 3 3 2" xfId="2873"/>
    <cellStyle name="20% - 강조색1 7 2 3 3 3" xfId="2874"/>
    <cellStyle name="20% - 강조색1 7 2 3 4" xfId="2875"/>
    <cellStyle name="20% - 강조색1 7 2 3 5" xfId="2876"/>
    <cellStyle name="20% - 강조색1 7 2 4" xfId="2877"/>
    <cellStyle name="20% - 강조색1 7 2 4 2" xfId="2878"/>
    <cellStyle name="20% - 강조색1 7 2 4 2 2" xfId="2879"/>
    <cellStyle name="20% - 강조색1 7 2 4 2 3" xfId="2880"/>
    <cellStyle name="20% - 강조색1 7 2 4 3" xfId="2881"/>
    <cellStyle name="20% - 강조색1 7 2 4 4" xfId="2882"/>
    <cellStyle name="20% - 강조색1 7 2 5" xfId="2883"/>
    <cellStyle name="20% - 강조색1 7 2 5 2" xfId="2884"/>
    <cellStyle name="20% - 강조색1 7 2 5 3" xfId="2885"/>
    <cellStyle name="20% - 강조색1 7 2 6" xfId="2886"/>
    <cellStyle name="20% - 강조색1 7 2 7" xfId="2887"/>
    <cellStyle name="20% - 강조색1 7 3" xfId="2888"/>
    <cellStyle name="20% - 강조색1 7 3 2" xfId="2889"/>
    <cellStyle name="20% - 강조색1 7 3 2 2" xfId="2890"/>
    <cellStyle name="20% - 강조색1 7 3 2 2 2" xfId="2891"/>
    <cellStyle name="20% - 강조색1 7 3 2 2 2 2" xfId="2892"/>
    <cellStyle name="20% - 강조색1 7 3 2 2 2 3" xfId="2893"/>
    <cellStyle name="20% - 강조색1 7 3 2 2 3" xfId="2894"/>
    <cellStyle name="20% - 강조색1 7 3 2 2 4" xfId="2895"/>
    <cellStyle name="20% - 강조색1 7 3 2 3" xfId="2896"/>
    <cellStyle name="20% - 강조색1 7 3 2 3 2" xfId="2897"/>
    <cellStyle name="20% - 강조색1 7 3 2 3 3" xfId="2898"/>
    <cellStyle name="20% - 강조색1 7 3 2 4" xfId="2899"/>
    <cellStyle name="20% - 강조색1 7 3 2 5" xfId="2900"/>
    <cellStyle name="20% - 강조색1 7 3 3" xfId="2901"/>
    <cellStyle name="20% - 강조색1 7 3 3 2" xfId="2902"/>
    <cellStyle name="20% - 강조색1 7 3 3 2 2" xfId="2903"/>
    <cellStyle name="20% - 강조색1 7 3 3 2 2 2" xfId="2904"/>
    <cellStyle name="20% - 강조색1 7 3 3 2 2 3" xfId="2905"/>
    <cellStyle name="20% - 강조색1 7 3 3 2 3" xfId="2906"/>
    <cellStyle name="20% - 강조색1 7 3 3 2 4" xfId="2907"/>
    <cellStyle name="20% - 강조색1 7 3 3 3" xfId="2908"/>
    <cellStyle name="20% - 강조색1 7 3 3 3 2" xfId="2909"/>
    <cellStyle name="20% - 강조색1 7 3 3 3 3" xfId="2910"/>
    <cellStyle name="20% - 강조색1 7 3 3 4" xfId="2911"/>
    <cellStyle name="20% - 강조색1 7 3 3 5" xfId="2912"/>
    <cellStyle name="20% - 강조색1 7 3 4" xfId="2913"/>
    <cellStyle name="20% - 강조색1 7 3 4 2" xfId="2914"/>
    <cellStyle name="20% - 강조색1 7 3 4 2 2" xfId="2915"/>
    <cellStyle name="20% - 강조색1 7 3 4 2 3" xfId="2916"/>
    <cellStyle name="20% - 강조색1 7 3 4 3" xfId="2917"/>
    <cellStyle name="20% - 강조색1 7 3 4 4" xfId="2918"/>
    <cellStyle name="20% - 강조색1 7 3 5" xfId="2919"/>
    <cellStyle name="20% - 강조색1 7 3 5 2" xfId="2920"/>
    <cellStyle name="20% - 강조색1 7 3 5 3" xfId="2921"/>
    <cellStyle name="20% - 강조색1 7 3 6" xfId="2922"/>
    <cellStyle name="20% - 강조색1 7 3 7" xfId="2923"/>
    <cellStyle name="20% - 강조색1 7 4" xfId="2924"/>
    <cellStyle name="20% - 강조색1 7 4 2" xfId="2925"/>
    <cellStyle name="20% - 강조색1 7 4 2 2" xfId="2926"/>
    <cellStyle name="20% - 강조색1 7 4 2 2 2" xfId="2927"/>
    <cellStyle name="20% - 강조색1 7 4 2 2 3" xfId="2928"/>
    <cellStyle name="20% - 강조색1 7 4 2 3" xfId="2929"/>
    <cellStyle name="20% - 강조색1 7 4 2 4" xfId="2930"/>
    <cellStyle name="20% - 강조색1 7 4 3" xfId="2931"/>
    <cellStyle name="20% - 강조색1 7 4 3 2" xfId="2932"/>
    <cellStyle name="20% - 강조색1 7 4 3 3" xfId="2933"/>
    <cellStyle name="20% - 강조색1 7 4 4" xfId="2934"/>
    <cellStyle name="20% - 강조색1 7 4 5" xfId="2935"/>
    <cellStyle name="20% - 강조색1 7 5" xfId="2936"/>
    <cellStyle name="20% - 강조색1 7 5 2" xfId="2937"/>
    <cellStyle name="20% - 강조색1 7 5 2 2" xfId="2938"/>
    <cellStyle name="20% - 강조색1 7 5 2 2 2" xfId="2939"/>
    <cellStyle name="20% - 강조색1 7 5 2 2 3" xfId="2940"/>
    <cellStyle name="20% - 강조색1 7 5 2 3" xfId="2941"/>
    <cellStyle name="20% - 강조색1 7 5 2 4" xfId="2942"/>
    <cellStyle name="20% - 강조색1 7 5 3" xfId="2943"/>
    <cellStyle name="20% - 강조색1 7 5 3 2" xfId="2944"/>
    <cellStyle name="20% - 강조색1 7 5 3 3" xfId="2945"/>
    <cellStyle name="20% - 강조색1 7 5 4" xfId="2946"/>
    <cellStyle name="20% - 강조색1 7 5 5" xfId="2947"/>
    <cellStyle name="20% - 강조색1 7 6" xfId="2948"/>
    <cellStyle name="20% - 강조색1 7 6 2" xfId="2949"/>
    <cellStyle name="20% - 강조색1 7 6 2 2" xfId="2950"/>
    <cellStyle name="20% - 강조색1 7 6 2 2 2" xfId="2951"/>
    <cellStyle name="20% - 강조색1 7 6 2 2 3" xfId="2952"/>
    <cellStyle name="20% - 강조색1 7 6 2 3" xfId="2953"/>
    <cellStyle name="20% - 강조색1 7 6 2 4" xfId="2954"/>
    <cellStyle name="20% - 강조색1 7 6 3" xfId="2955"/>
    <cellStyle name="20% - 강조색1 7 6 3 2" xfId="2956"/>
    <cellStyle name="20% - 강조색1 7 6 3 3" xfId="2957"/>
    <cellStyle name="20% - 강조색1 7 6 4" xfId="2958"/>
    <cellStyle name="20% - 강조색1 7 6 5" xfId="2959"/>
    <cellStyle name="20% - 강조색1 7 7" xfId="2960"/>
    <cellStyle name="20% - 강조색1 7 7 2" xfId="2961"/>
    <cellStyle name="20% - 강조색1 7 7 2 2" xfId="2962"/>
    <cellStyle name="20% - 강조색1 7 7 2 3" xfId="2963"/>
    <cellStyle name="20% - 강조색1 7 7 3" xfId="2964"/>
    <cellStyle name="20% - 강조색1 7 7 4" xfId="2965"/>
    <cellStyle name="20% - 강조색1 7 8" xfId="2966"/>
    <cellStyle name="20% - 강조색1 7 8 2" xfId="2967"/>
    <cellStyle name="20% - 강조색1 7 8 3" xfId="2968"/>
    <cellStyle name="20% - 강조색1 7 9" xfId="2969"/>
    <cellStyle name="20% - 강조색1 8" xfId="2970"/>
    <cellStyle name="20% - 강조색1 8 2" xfId="2971"/>
    <cellStyle name="20% - 강조색1 8 2 2" xfId="2972"/>
    <cellStyle name="20% - 강조색1 8 2 2 2" xfId="2973"/>
    <cellStyle name="20% - 강조색1 8 2 2 2 2" xfId="2974"/>
    <cellStyle name="20% - 강조색1 8 2 2 2 3" xfId="2975"/>
    <cellStyle name="20% - 강조색1 8 2 2 3" xfId="2976"/>
    <cellStyle name="20% - 강조색1 8 2 2 4" xfId="2977"/>
    <cellStyle name="20% - 강조색1 8 2 3" xfId="2978"/>
    <cellStyle name="20% - 강조색1 8 2 3 2" xfId="2979"/>
    <cellStyle name="20% - 강조색1 8 2 3 3" xfId="2980"/>
    <cellStyle name="20% - 강조색1 8 2 4" xfId="2981"/>
    <cellStyle name="20% - 강조색1 8 2 5" xfId="2982"/>
    <cellStyle name="20% - 강조색1 8 3" xfId="2983"/>
    <cellStyle name="20% - 강조색1 8 3 2" xfId="2984"/>
    <cellStyle name="20% - 강조색1 8 3 2 2" xfId="2985"/>
    <cellStyle name="20% - 강조색1 8 3 2 2 2" xfId="2986"/>
    <cellStyle name="20% - 강조색1 8 3 2 2 3" xfId="2987"/>
    <cellStyle name="20% - 강조색1 8 3 2 3" xfId="2988"/>
    <cellStyle name="20% - 강조색1 8 3 2 4" xfId="2989"/>
    <cellStyle name="20% - 강조색1 8 3 3" xfId="2990"/>
    <cellStyle name="20% - 강조색1 8 3 3 2" xfId="2991"/>
    <cellStyle name="20% - 강조색1 8 3 3 3" xfId="2992"/>
    <cellStyle name="20% - 강조색1 8 3 4" xfId="2993"/>
    <cellStyle name="20% - 강조색1 8 3 5" xfId="2994"/>
    <cellStyle name="20% - 강조색1 8 4" xfId="2995"/>
    <cellStyle name="20% - 강조색1 8 4 2" xfId="2996"/>
    <cellStyle name="20% - 강조색1 8 4 2 2" xfId="2997"/>
    <cellStyle name="20% - 강조색1 8 4 2 3" xfId="2998"/>
    <cellStyle name="20% - 강조색1 8 4 3" xfId="2999"/>
    <cellStyle name="20% - 강조색1 8 4 4" xfId="3000"/>
    <cellStyle name="20% - 강조색1 8 5" xfId="3001"/>
    <cellStyle name="20% - 강조색1 8 5 2" xfId="3002"/>
    <cellStyle name="20% - 강조색1 8 5 3" xfId="3003"/>
    <cellStyle name="20% - 강조색1 8 6" xfId="3004"/>
    <cellStyle name="20% - 강조색1 8 7" xfId="3005"/>
    <cellStyle name="20% - 강조색1 9" xfId="3006"/>
    <cellStyle name="20% - 강조색1 9 2" xfId="3007"/>
    <cellStyle name="20% - 강조색1 9 2 2" xfId="3008"/>
    <cellStyle name="20% - 강조색1 9 2 2 2" xfId="3009"/>
    <cellStyle name="20% - 강조색1 9 2 2 2 2" xfId="3010"/>
    <cellStyle name="20% - 강조색1 9 2 2 2 3" xfId="3011"/>
    <cellStyle name="20% - 강조색1 9 2 2 3" xfId="3012"/>
    <cellStyle name="20% - 강조색1 9 2 2 4" xfId="3013"/>
    <cellStyle name="20% - 강조색1 9 2 3" xfId="3014"/>
    <cellStyle name="20% - 강조색1 9 2 3 2" xfId="3015"/>
    <cellStyle name="20% - 강조색1 9 2 3 3" xfId="3016"/>
    <cellStyle name="20% - 강조색1 9 2 4" xfId="3017"/>
    <cellStyle name="20% - 강조색1 9 2 5" xfId="3018"/>
    <cellStyle name="20% - 강조색1 9 3" xfId="3019"/>
    <cellStyle name="20% - 강조색1 9 3 2" xfId="3020"/>
    <cellStyle name="20% - 강조색1 9 3 2 2" xfId="3021"/>
    <cellStyle name="20% - 강조색1 9 3 2 2 2" xfId="3022"/>
    <cellStyle name="20% - 강조색1 9 3 2 2 3" xfId="3023"/>
    <cellStyle name="20% - 강조색1 9 3 2 3" xfId="3024"/>
    <cellStyle name="20% - 강조색1 9 3 2 4" xfId="3025"/>
    <cellStyle name="20% - 강조색1 9 3 3" xfId="3026"/>
    <cellStyle name="20% - 강조색1 9 3 3 2" xfId="3027"/>
    <cellStyle name="20% - 강조색1 9 3 3 3" xfId="3028"/>
    <cellStyle name="20% - 강조색1 9 3 4" xfId="3029"/>
    <cellStyle name="20% - 강조색1 9 3 5" xfId="3030"/>
    <cellStyle name="20% - 강조색1 9 4" xfId="3031"/>
    <cellStyle name="20% - 강조색1 9 4 2" xfId="3032"/>
    <cellStyle name="20% - 강조색1 9 4 2 2" xfId="3033"/>
    <cellStyle name="20% - 강조색1 9 4 2 3" xfId="3034"/>
    <cellStyle name="20% - 강조색1 9 4 3" xfId="3035"/>
    <cellStyle name="20% - 강조색1 9 4 4" xfId="3036"/>
    <cellStyle name="20% - 강조색1 9 5" xfId="3037"/>
    <cellStyle name="20% - 강조색1 9 5 2" xfId="3038"/>
    <cellStyle name="20% - 강조색1 9 5 3" xfId="3039"/>
    <cellStyle name="20% - 강조색1 9 6" xfId="3040"/>
    <cellStyle name="20% - 강조색1 9 7" xfId="3041"/>
    <cellStyle name="20% - 강조색2 10" xfId="3042"/>
    <cellStyle name="20% - 강조색2 10 2" xfId="3043"/>
    <cellStyle name="20% - 강조색2 10 2 2" xfId="3044"/>
    <cellStyle name="20% - 강조색2 10 2 2 2" xfId="3045"/>
    <cellStyle name="20% - 강조색2 10 2 2 2 2" xfId="3046"/>
    <cellStyle name="20% - 강조색2 10 2 2 2 3" xfId="3047"/>
    <cellStyle name="20% - 강조색2 10 2 2 3" xfId="3048"/>
    <cellStyle name="20% - 강조색2 10 2 2 4" xfId="3049"/>
    <cellStyle name="20% - 강조색2 10 2 3" xfId="3050"/>
    <cellStyle name="20% - 강조색2 10 2 3 2" xfId="3051"/>
    <cellStyle name="20% - 강조색2 10 2 3 3" xfId="3052"/>
    <cellStyle name="20% - 강조색2 10 2 4" xfId="3053"/>
    <cellStyle name="20% - 강조색2 10 2 5" xfId="3054"/>
    <cellStyle name="20% - 강조색2 10 3" xfId="3055"/>
    <cellStyle name="20% - 강조색2 10 3 2" xfId="3056"/>
    <cellStyle name="20% - 강조색2 10 3 2 2" xfId="3057"/>
    <cellStyle name="20% - 강조색2 10 3 2 2 2" xfId="3058"/>
    <cellStyle name="20% - 강조색2 10 3 2 2 3" xfId="3059"/>
    <cellStyle name="20% - 강조색2 10 3 2 3" xfId="3060"/>
    <cellStyle name="20% - 강조색2 10 3 2 4" xfId="3061"/>
    <cellStyle name="20% - 강조색2 10 3 3" xfId="3062"/>
    <cellStyle name="20% - 강조색2 10 3 3 2" xfId="3063"/>
    <cellStyle name="20% - 강조색2 10 3 3 3" xfId="3064"/>
    <cellStyle name="20% - 강조색2 10 3 4" xfId="3065"/>
    <cellStyle name="20% - 강조색2 10 3 5" xfId="3066"/>
    <cellStyle name="20% - 강조색2 10 4" xfId="3067"/>
    <cellStyle name="20% - 강조색2 10 4 2" xfId="3068"/>
    <cellStyle name="20% - 강조색2 10 4 2 2" xfId="3069"/>
    <cellStyle name="20% - 강조색2 10 4 2 3" xfId="3070"/>
    <cellStyle name="20% - 강조색2 10 4 3" xfId="3071"/>
    <cellStyle name="20% - 강조색2 10 4 4" xfId="3072"/>
    <cellStyle name="20% - 강조색2 10 5" xfId="3073"/>
    <cellStyle name="20% - 강조색2 10 5 2" xfId="3074"/>
    <cellStyle name="20% - 강조색2 10 5 3" xfId="3075"/>
    <cellStyle name="20% - 강조색2 10 6" xfId="3076"/>
    <cellStyle name="20% - 강조색2 10 7" xfId="3077"/>
    <cellStyle name="20% - 강조색2 11" xfId="3078"/>
    <cellStyle name="20% - 강조색2 11 2" xfId="3079"/>
    <cellStyle name="20% - 강조색2 11 2 2" xfId="3080"/>
    <cellStyle name="20% - 강조색2 11 2 2 2" xfId="3081"/>
    <cellStyle name="20% - 강조색2 11 2 2 3" xfId="3082"/>
    <cellStyle name="20% - 강조색2 11 2 3" xfId="3083"/>
    <cellStyle name="20% - 강조색2 11 2 4" xfId="3084"/>
    <cellStyle name="20% - 강조색2 11 3" xfId="3085"/>
    <cellStyle name="20% - 강조색2 11 3 2" xfId="3086"/>
    <cellStyle name="20% - 강조색2 11 3 3" xfId="3087"/>
    <cellStyle name="20% - 강조색2 11 4" xfId="3088"/>
    <cellStyle name="20% - 강조색2 11 5" xfId="3089"/>
    <cellStyle name="20% - 강조색2 12" xfId="3090"/>
    <cellStyle name="20% - 강조색2 12 2" xfId="3091"/>
    <cellStyle name="20% - 강조색2 12 2 2" xfId="3092"/>
    <cellStyle name="20% - 강조색2 12 2 2 2" xfId="3093"/>
    <cellStyle name="20% - 강조색2 12 2 2 3" xfId="3094"/>
    <cellStyle name="20% - 강조색2 12 2 3" xfId="3095"/>
    <cellStyle name="20% - 강조색2 12 2 4" xfId="3096"/>
    <cellStyle name="20% - 강조색2 12 3" xfId="3097"/>
    <cellStyle name="20% - 강조색2 12 3 2" xfId="3098"/>
    <cellStyle name="20% - 강조색2 12 3 3" xfId="3099"/>
    <cellStyle name="20% - 강조색2 12 4" xfId="3100"/>
    <cellStyle name="20% - 강조색2 12 5" xfId="3101"/>
    <cellStyle name="20% - 강조색2 13" xfId="3102"/>
    <cellStyle name="20% - 강조색2 13 2" xfId="3103"/>
    <cellStyle name="20% - 강조색2 13 2 2" xfId="3104"/>
    <cellStyle name="20% - 강조색2 13 2 3" xfId="3105"/>
    <cellStyle name="20% - 강조색2 13 3" xfId="3106"/>
    <cellStyle name="20% - 강조색2 13 4" xfId="3107"/>
    <cellStyle name="20% - 강조색2 14" xfId="3108"/>
    <cellStyle name="20% - 강조색2 14 2" xfId="3109"/>
    <cellStyle name="20% - 강조색2 14 2 2" xfId="3110"/>
    <cellStyle name="20% - 강조색2 14 2 3" xfId="3111"/>
    <cellStyle name="20% - 강조색2 14 3" xfId="3112"/>
    <cellStyle name="20% - 강조색2 14 4" xfId="3113"/>
    <cellStyle name="20% - 강조색2 15" xfId="3114"/>
    <cellStyle name="20% - 강조색2 15 2" xfId="3115"/>
    <cellStyle name="20% - 강조색2 15 3" xfId="3116"/>
    <cellStyle name="20% - 강조색2 16" xfId="3117"/>
    <cellStyle name="20% - 강조색2 16 2" xfId="3118"/>
    <cellStyle name="20% - 강조색2 16 3" xfId="3119"/>
    <cellStyle name="20% - 강조색2 16 4" xfId="3120"/>
    <cellStyle name="20% - 강조색2 17" xfId="3121"/>
    <cellStyle name="20% - 강조색2 17 2" xfId="3122"/>
    <cellStyle name="20% - 강조색2 17 3" xfId="3123"/>
    <cellStyle name="20% - 강조색2 18" xfId="3124"/>
    <cellStyle name="20% - 강조색2 18 2" xfId="3125"/>
    <cellStyle name="20% - 강조색2 18 3" xfId="3126"/>
    <cellStyle name="20% - 강조색2 19" xfId="3127"/>
    <cellStyle name="20% - 강조색2 19 2" xfId="3128"/>
    <cellStyle name="20% - 강조색2 19 3" xfId="3129"/>
    <cellStyle name="20% - 강조색2 2" xfId="3130"/>
    <cellStyle name="20% - 강조색2 2 2" xfId="3131"/>
    <cellStyle name="20% - 강조색2 2 2 2" xfId="3132"/>
    <cellStyle name="20% - 강조색2 2 2 2 2" xfId="3133"/>
    <cellStyle name="20% - 강조색2 2 2 3" xfId="3134"/>
    <cellStyle name="20% - 강조색2 2 3" xfId="3135"/>
    <cellStyle name="20% - 강조색2 2 3 2" xfId="3136"/>
    <cellStyle name="20% - 강조색2 2 3 2 2" xfId="3137"/>
    <cellStyle name="20% - 강조색2 2 3 3" xfId="3138"/>
    <cellStyle name="20% - 강조색2 2 4" xfId="3139"/>
    <cellStyle name="20% - 강조색2 2 4 2" xfId="3140"/>
    <cellStyle name="20% - 강조색2 2 5" xfId="3141"/>
    <cellStyle name="20% - 강조색2 2 6" xfId="3142"/>
    <cellStyle name="20% - 강조색2 20" xfId="3143"/>
    <cellStyle name="20% - 강조색2 20 2" xfId="3144"/>
    <cellStyle name="20% - 강조색2 20 3" xfId="3145"/>
    <cellStyle name="20% - 강조색2 21" xfId="3146"/>
    <cellStyle name="20% - 강조색2 21 2" xfId="3147"/>
    <cellStyle name="20% - 강조색2 21 3" xfId="3148"/>
    <cellStyle name="20% - 강조색2 22" xfId="3149"/>
    <cellStyle name="20% - 강조색2 22 2" xfId="3150"/>
    <cellStyle name="20% - 강조색2 22 3" xfId="3151"/>
    <cellStyle name="20% - 강조색2 23" xfId="3152"/>
    <cellStyle name="20% - 강조색2 23 2" xfId="3153"/>
    <cellStyle name="20% - 강조색2 23 3" xfId="3154"/>
    <cellStyle name="20% - 강조색2 24" xfId="3155"/>
    <cellStyle name="20% - 강조색2 24 2" xfId="3156"/>
    <cellStyle name="20% - 강조색2 25" xfId="3157"/>
    <cellStyle name="20% - 강조색2 25 2" xfId="3158"/>
    <cellStyle name="20% - 강조색2 26" xfId="3159"/>
    <cellStyle name="20% - 강조색2 26 2" xfId="3160"/>
    <cellStyle name="20% - 강조색2 27" xfId="3161"/>
    <cellStyle name="20% - 강조색2 27 2" xfId="3162"/>
    <cellStyle name="20% - 강조색2 28" xfId="3163"/>
    <cellStyle name="20% - 강조색2 28 2" xfId="3164"/>
    <cellStyle name="20% - 강조색2 29" xfId="3165"/>
    <cellStyle name="20% - 강조색2 29 2" xfId="3166"/>
    <cellStyle name="20% - 강조색2 3" xfId="3167"/>
    <cellStyle name="20% - 강조색2 3 10" xfId="3168"/>
    <cellStyle name="20% - 강조색2 3 10 2" xfId="3169"/>
    <cellStyle name="20% - 강조색2 3 10 2 2" xfId="3170"/>
    <cellStyle name="20% - 강조색2 3 10 2 3" xfId="3171"/>
    <cellStyle name="20% - 강조색2 3 10 3" xfId="3172"/>
    <cellStyle name="20% - 강조색2 3 10 4" xfId="3173"/>
    <cellStyle name="20% - 강조색2 3 11" xfId="3174"/>
    <cellStyle name="20% - 강조색2 3 11 2" xfId="3175"/>
    <cellStyle name="20% - 강조색2 3 11 3" xfId="3176"/>
    <cellStyle name="20% - 강조색2 3 12" xfId="3177"/>
    <cellStyle name="20% - 강조색2 3 13" xfId="3178"/>
    <cellStyle name="20% - 강조색2 3 14" xfId="3179"/>
    <cellStyle name="20% - 강조색2 3 15" xfId="3180"/>
    <cellStyle name="20% - 강조색2 3 2" xfId="3181"/>
    <cellStyle name="20% - 강조색2 3 2 10" xfId="3182"/>
    <cellStyle name="20% - 강조색2 3 2 11" xfId="3183"/>
    <cellStyle name="20% - 강조색2 3 2 12" xfId="3184"/>
    <cellStyle name="20% - 강조색2 3 2 2" xfId="3185"/>
    <cellStyle name="20% - 강조색2 3 2 2 2" xfId="3186"/>
    <cellStyle name="20% - 강조색2 3 2 2 2 2" xfId="3187"/>
    <cellStyle name="20% - 강조색2 3 2 2 2 2 2" xfId="3188"/>
    <cellStyle name="20% - 강조색2 3 2 2 2 2 2 2" xfId="3189"/>
    <cellStyle name="20% - 강조색2 3 2 2 2 2 2 3" xfId="3190"/>
    <cellStyle name="20% - 강조색2 3 2 2 2 2 3" xfId="3191"/>
    <cellStyle name="20% - 강조색2 3 2 2 2 2 4" xfId="3192"/>
    <cellStyle name="20% - 강조색2 3 2 2 2 3" xfId="3193"/>
    <cellStyle name="20% - 강조색2 3 2 2 2 3 2" xfId="3194"/>
    <cellStyle name="20% - 강조색2 3 2 2 2 3 3" xfId="3195"/>
    <cellStyle name="20% - 강조색2 3 2 2 2 4" xfId="3196"/>
    <cellStyle name="20% - 강조색2 3 2 2 2 5" xfId="3197"/>
    <cellStyle name="20% - 강조색2 3 2 2 3" xfId="3198"/>
    <cellStyle name="20% - 강조색2 3 2 2 3 2" xfId="3199"/>
    <cellStyle name="20% - 강조색2 3 2 2 3 2 2" xfId="3200"/>
    <cellStyle name="20% - 강조색2 3 2 2 3 2 2 2" xfId="3201"/>
    <cellStyle name="20% - 강조색2 3 2 2 3 2 2 3" xfId="3202"/>
    <cellStyle name="20% - 강조색2 3 2 2 3 2 3" xfId="3203"/>
    <cellStyle name="20% - 강조색2 3 2 2 3 2 4" xfId="3204"/>
    <cellStyle name="20% - 강조색2 3 2 2 3 3" xfId="3205"/>
    <cellStyle name="20% - 강조색2 3 2 2 3 3 2" xfId="3206"/>
    <cellStyle name="20% - 강조색2 3 2 2 3 3 3" xfId="3207"/>
    <cellStyle name="20% - 강조색2 3 2 2 3 4" xfId="3208"/>
    <cellStyle name="20% - 강조색2 3 2 2 3 5" xfId="3209"/>
    <cellStyle name="20% - 강조색2 3 2 2 4" xfId="3210"/>
    <cellStyle name="20% - 강조색2 3 2 2 4 2" xfId="3211"/>
    <cellStyle name="20% - 강조색2 3 2 2 4 2 2" xfId="3212"/>
    <cellStyle name="20% - 강조색2 3 2 2 4 2 3" xfId="3213"/>
    <cellStyle name="20% - 강조색2 3 2 2 4 3" xfId="3214"/>
    <cellStyle name="20% - 강조색2 3 2 2 4 4" xfId="3215"/>
    <cellStyle name="20% - 강조색2 3 2 2 5" xfId="3216"/>
    <cellStyle name="20% - 강조색2 3 2 2 5 2" xfId="3217"/>
    <cellStyle name="20% - 강조색2 3 2 2 5 3" xfId="3218"/>
    <cellStyle name="20% - 강조색2 3 2 2 6" xfId="3219"/>
    <cellStyle name="20% - 강조색2 3 2 2 7" xfId="3220"/>
    <cellStyle name="20% - 강조색2 3 2 2 8" xfId="3221"/>
    <cellStyle name="20% - 강조색2 3 2 2 9" xfId="3222"/>
    <cellStyle name="20% - 강조색2 3 2 3" xfId="3223"/>
    <cellStyle name="20% - 강조색2 3 2 3 2" xfId="3224"/>
    <cellStyle name="20% - 강조색2 3 2 3 2 2" xfId="3225"/>
    <cellStyle name="20% - 강조색2 3 2 3 2 2 2" xfId="3226"/>
    <cellStyle name="20% - 강조색2 3 2 3 2 2 2 2" xfId="3227"/>
    <cellStyle name="20% - 강조색2 3 2 3 2 2 2 3" xfId="3228"/>
    <cellStyle name="20% - 강조색2 3 2 3 2 2 3" xfId="3229"/>
    <cellStyle name="20% - 강조색2 3 2 3 2 2 4" xfId="3230"/>
    <cellStyle name="20% - 강조색2 3 2 3 2 3" xfId="3231"/>
    <cellStyle name="20% - 강조색2 3 2 3 2 3 2" xfId="3232"/>
    <cellStyle name="20% - 강조색2 3 2 3 2 3 3" xfId="3233"/>
    <cellStyle name="20% - 강조색2 3 2 3 2 4" xfId="3234"/>
    <cellStyle name="20% - 강조색2 3 2 3 2 5" xfId="3235"/>
    <cellStyle name="20% - 강조색2 3 2 3 3" xfId="3236"/>
    <cellStyle name="20% - 강조색2 3 2 3 3 2" xfId="3237"/>
    <cellStyle name="20% - 강조색2 3 2 3 3 2 2" xfId="3238"/>
    <cellStyle name="20% - 강조색2 3 2 3 3 2 2 2" xfId="3239"/>
    <cellStyle name="20% - 강조색2 3 2 3 3 2 2 3" xfId="3240"/>
    <cellStyle name="20% - 강조색2 3 2 3 3 2 3" xfId="3241"/>
    <cellStyle name="20% - 강조색2 3 2 3 3 2 4" xfId="3242"/>
    <cellStyle name="20% - 강조색2 3 2 3 3 3" xfId="3243"/>
    <cellStyle name="20% - 강조색2 3 2 3 3 3 2" xfId="3244"/>
    <cellStyle name="20% - 강조색2 3 2 3 3 3 3" xfId="3245"/>
    <cellStyle name="20% - 강조색2 3 2 3 3 4" xfId="3246"/>
    <cellStyle name="20% - 강조색2 3 2 3 3 5" xfId="3247"/>
    <cellStyle name="20% - 강조색2 3 2 3 4" xfId="3248"/>
    <cellStyle name="20% - 강조색2 3 2 3 4 2" xfId="3249"/>
    <cellStyle name="20% - 강조색2 3 2 3 4 2 2" xfId="3250"/>
    <cellStyle name="20% - 강조색2 3 2 3 4 2 3" xfId="3251"/>
    <cellStyle name="20% - 강조색2 3 2 3 4 3" xfId="3252"/>
    <cellStyle name="20% - 강조색2 3 2 3 4 4" xfId="3253"/>
    <cellStyle name="20% - 강조색2 3 2 3 5" xfId="3254"/>
    <cellStyle name="20% - 강조색2 3 2 3 5 2" xfId="3255"/>
    <cellStyle name="20% - 강조색2 3 2 3 5 3" xfId="3256"/>
    <cellStyle name="20% - 강조색2 3 2 3 6" xfId="3257"/>
    <cellStyle name="20% - 강조색2 3 2 3 7" xfId="3258"/>
    <cellStyle name="20% - 강조색2 3 2 4" xfId="3259"/>
    <cellStyle name="20% - 강조색2 3 2 4 2" xfId="3260"/>
    <cellStyle name="20% - 강조색2 3 2 4 2 2" xfId="3261"/>
    <cellStyle name="20% - 강조색2 3 2 4 2 2 2" xfId="3262"/>
    <cellStyle name="20% - 강조색2 3 2 4 2 2 3" xfId="3263"/>
    <cellStyle name="20% - 강조색2 3 2 4 2 3" xfId="3264"/>
    <cellStyle name="20% - 강조색2 3 2 4 2 4" xfId="3265"/>
    <cellStyle name="20% - 강조색2 3 2 4 3" xfId="3266"/>
    <cellStyle name="20% - 강조색2 3 2 4 3 2" xfId="3267"/>
    <cellStyle name="20% - 강조색2 3 2 4 3 3" xfId="3268"/>
    <cellStyle name="20% - 강조색2 3 2 4 4" xfId="3269"/>
    <cellStyle name="20% - 강조색2 3 2 4 5" xfId="3270"/>
    <cellStyle name="20% - 강조색2 3 2 5" xfId="3271"/>
    <cellStyle name="20% - 강조색2 3 2 5 2" xfId="3272"/>
    <cellStyle name="20% - 강조색2 3 2 5 2 2" xfId="3273"/>
    <cellStyle name="20% - 강조색2 3 2 5 2 2 2" xfId="3274"/>
    <cellStyle name="20% - 강조색2 3 2 5 2 2 3" xfId="3275"/>
    <cellStyle name="20% - 강조색2 3 2 5 2 3" xfId="3276"/>
    <cellStyle name="20% - 강조색2 3 2 5 2 4" xfId="3277"/>
    <cellStyle name="20% - 강조색2 3 2 5 3" xfId="3278"/>
    <cellStyle name="20% - 강조색2 3 2 5 3 2" xfId="3279"/>
    <cellStyle name="20% - 강조색2 3 2 5 3 3" xfId="3280"/>
    <cellStyle name="20% - 강조색2 3 2 5 4" xfId="3281"/>
    <cellStyle name="20% - 강조색2 3 2 5 5" xfId="3282"/>
    <cellStyle name="20% - 강조색2 3 2 6" xfId="3283"/>
    <cellStyle name="20% - 강조색2 3 2 6 2" xfId="3284"/>
    <cellStyle name="20% - 강조색2 3 2 6 2 2" xfId="3285"/>
    <cellStyle name="20% - 강조색2 3 2 6 2 2 2" xfId="3286"/>
    <cellStyle name="20% - 강조색2 3 2 6 2 2 3" xfId="3287"/>
    <cellStyle name="20% - 강조색2 3 2 6 2 3" xfId="3288"/>
    <cellStyle name="20% - 강조색2 3 2 6 2 4" xfId="3289"/>
    <cellStyle name="20% - 강조색2 3 2 6 3" xfId="3290"/>
    <cellStyle name="20% - 강조색2 3 2 6 3 2" xfId="3291"/>
    <cellStyle name="20% - 강조색2 3 2 6 3 3" xfId="3292"/>
    <cellStyle name="20% - 강조색2 3 2 6 4" xfId="3293"/>
    <cellStyle name="20% - 강조색2 3 2 6 5" xfId="3294"/>
    <cellStyle name="20% - 강조색2 3 2 7" xfId="3295"/>
    <cellStyle name="20% - 강조색2 3 2 7 2" xfId="3296"/>
    <cellStyle name="20% - 강조색2 3 2 7 2 2" xfId="3297"/>
    <cellStyle name="20% - 강조색2 3 2 7 2 3" xfId="3298"/>
    <cellStyle name="20% - 강조색2 3 2 7 3" xfId="3299"/>
    <cellStyle name="20% - 강조색2 3 2 7 4" xfId="3300"/>
    <cellStyle name="20% - 강조색2 3 2 8" xfId="3301"/>
    <cellStyle name="20% - 강조색2 3 2 8 2" xfId="3302"/>
    <cellStyle name="20% - 강조색2 3 2 8 3" xfId="3303"/>
    <cellStyle name="20% - 강조색2 3 2 9" xfId="3304"/>
    <cellStyle name="20% - 강조색2 3 3" xfId="3305"/>
    <cellStyle name="20% - 강조색2 3 3 10" xfId="3306"/>
    <cellStyle name="20% - 강조색2 3 3 11" xfId="3307"/>
    <cellStyle name="20% - 강조색2 3 3 12" xfId="3308"/>
    <cellStyle name="20% - 강조색2 3 3 2" xfId="3309"/>
    <cellStyle name="20% - 강조색2 3 3 2 2" xfId="3310"/>
    <cellStyle name="20% - 강조색2 3 3 2 2 2" xfId="3311"/>
    <cellStyle name="20% - 강조색2 3 3 2 2 2 2" xfId="3312"/>
    <cellStyle name="20% - 강조색2 3 3 2 2 2 2 2" xfId="3313"/>
    <cellStyle name="20% - 강조색2 3 3 2 2 2 2 3" xfId="3314"/>
    <cellStyle name="20% - 강조색2 3 3 2 2 2 3" xfId="3315"/>
    <cellStyle name="20% - 강조색2 3 3 2 2 2 4" xfId="3316"/>
    <cellStyle name="20% - 강조색2 3 3 2 2 3" xfId="3317"/>
    <cellStyle name="20% - 강조색2 3 3 2 2 3 2" xfId="3318"/>
    <cellStyle name="20% - 강조색2 3 3 2 2 3 3" xfId="3319"/>
    <cellStyle name="20% - 강조색2 3 3 2 2 4" xfId="3320"/>
    <cellStyle name="20% - 강조색2 3 3 2 2 5" xfId="3321"/>
    <cellStyle name="20% - 강조색2 3 3 2 3" xfId="3322"/>
    <cellStyle name="20% - 강조색2 3 3 2 3 2" xfId="3323"/>
    <cellStyle name="20% - 강조색2 3 3 2 3 2 2" xfId="3324"/>
    <cellStyle name="20% - 강조색2 3 3 2 3 2 2 2" xfId="3325"/>
    <cellStyle name="20% - 강조색2 3 3 2 3 2 2 3" xfId="3326"/>
    <cellStyle name="20% - 강조색2 3 3 2 3 2 3" xfId="3327"/>
    <cellStyle name="20% - 강조색2 3 3 2 3 2 4" xfId="3328"/>
    <cellStyle name="20% - 강조색2 3 3 2 3 3" xfId="3329"/>
    <cellStyle name="20% - 강조색2 3 3 2 3 3 2" xfId="3330"/>
    <cellStyle name="20% - 강조색2 3 3 2 3 3 3" xfId="3331"/>
    <cellStyle name="20% - 강조색2 3 3 2 3 4" xfId="3332"/>
    <cellStyle name="20% - 강조색2 3 3 2 3 5" xfId="3333"/>
    <cellStyle name="20% - 강조색2 3 3 2 4" xfId="3334"/>
    <cellStyle name="20% - 강조색2 3 3 2 4 2" xfId="3335"/>
    <cellStyle name="20% - 강조색2 3 3 2 4 2 2" xfId="3336"/>
    <cellStyle name="20% - 강조색2 3 3 2 4 2 3" xfId="3337"/>
    <cellStyle name="20% - 강조색2 3 3 2 4 3" xfId="3338"/>
    <cellStyle name="20% - 강조색2 3 3 2 4 4" xfId="3339"/>
    <cellStyle name="20% - 강조색2 3 3 2 5" xfId="3340"/>
    <cellStyle name="20% - 강조색2 3 3 2 5 2" xfId="3341"/>
    <cellStyle name="20% - 강조색2 3 3 2 5 3" xfId="3342"/>
    <cellStyle name="20% - 강조색2 3 3 2 6" xfId="3343"/>
    <cellStyle name="20% - 강조색2 3 3 2 7" xfId="3344"/>
    <cellStyle name="20% - 강조색2 3 3 2 8" xfId="3345"/>
    <cellStyle name="20% - 강조색2 3 3 2 9" xfId="3346"/>
    <cellStyle name="20% - 강조색2 3 3 3" xfId="3347"/>
    <cellStyle name="20% - 강조색2 3 3 3 2" xfId="3348"/>
    <cellStyle name="20% - 강조색2 3 3 3 2 2" xfId="3349"/>
    <cellStyle name="20% - 강조색2 3 3 3 2 2 2" xfId="3350"/>
    <cellStyle name="20% - 강조색2 3 3 3 2 2 2 2" xfId="3351"/>
    <cellStyle name="20% - 강조색2 3 3 3 2 2 2 3" xfId="3352"/>
    <cellStyle name="20% - 강조색2 3 3 3 2 2 3" xfId="3353"/>
    <cellStyle name="20% - 강조색2 3 3 3 2 2 4" xfId="3354"/>
    <cellStyle name="20% - 강조색2 3 3 3 2 3" xfId="3355"/>
    <cellStyle name="20% - 강조색2 3 3 3 2 3 2" xfId="3356"/>
    <cellStyle name="20% - 강조색2 3 3 3 2 3 3" xfId="3357"/>
    <cellStyle name="20% - 강조색2 3 3 3 2 4" xfId="3358"/>
    <cellStyle name="20% - 강조색2 3 3 3 2 5" xfId="3359"/>
    <cellStyle name="20% - 강조색2 3 3 3 3" xfId="3360"/>
    <cellStyle name="20% - 강조색2 3 3 3 3 2" xfId="3361"/>
    <cellStyle name="20% - 강조색2 3 3 3 3 2 2" xfId="3362"/>
    <cellStyle name="20% - 강조색2 3 3 3 3 2 2 2" xfId="3363"/>
    <cellStyle name="20% - 강조색2 3 3 3 3 2 2 3" xfId="3364"/>
    <cellStyle name="20% - 강조색2 3 3 3 3 2 3" xfId="3365"/>
    <cellStyle name="20% - 강조색2 3 3 3 3 2 4" xfId="3366"/>
    <cellStyle name="20% - 강조색2 3 3 3 3 3" xfId="3367"/>
    <cellStyle name="20% - 강조색2 3 3 3 3 3 2" xfId="3368"/>
    <cellStyle name="20% - 강조색2 3 3 3 3 3 3" xfId="3369"/>
    <cellStyle name="20% - 강조색2 3 3 3 3 4" xfId="3370"/>
    <cellStyle name="20% - 강조색2 3 3 3 3 5" xfId="3371"/>
    <cellStyle name="20% - 강조색2 3 3 3 4" xfId="3372"/>
    <cellStyle name="20% - 강조색2 3 3 3 4 2" xfId="3373"/>
    <cellStyle name="20% - 강조색2 3 3 3 4 2 2" xfId="3374"/>
    <cellStyle name="20% - 강조색2 3 3 3 4 2 3" xfId="3375"/>
    <cellStyle name="20% - 강조색2 3 3 3 4 3" xfId="3376"/>
    <cellStyle name="20% - 강조색2 3 3 3 4 4" xfId="3377"/>
    <cellStyle name="20% - 강조색2 3 3 3 5" xfId="3378"/>
    <cellStyle name="20% - 강조색2 3 3 3 5 2" xfId="3379"/>
    <cellStyle name="20% - 강조색2 3 3 3 5 3" xfId="3380"/>
    <cellStyle name="20% - 강조색2 3 3 3 6" xfId="3381"/>
    <cellStyle name="20% - 강조색2 3 3 3 7" xfId="3382"/>
    <cellStyle name="20% - 강조색2 3 3 4" xfId="3383"/>
    <cellStyle name="20% - 강조색2 3 3 4 2" xfId="3384"/>
    <cellStyle name="20% - 강조색2 3 3 4 2 2" xfId="3385"/>
    <cellStyle name="20% - 강조색2 3 3 4 2 2 2" xfId="3386"/>
    <cellStyle name="20% - 강조색2 3 3 4 2 2 3" xfId="3387"/>
    <cellStyle name="20% - 강조색2 3 3 4 2 3" xfId="3388"/>
    <cellStyle name="20% - 강조색2 3 3 4 2 4" xfId="3389"/>
    <cellStyle name="20% - 강조색2 3 3 4 3" xfId="3390"/>
    <cellStyle name="20% - 강조색2 3 3 4 3 2" xfId="3391"/>
    <cellStyle name="20% - 강조색2 3 3 4 3 3" xfId="3392"/>
    <cellStyle name="20% - 강조색2 3 3 4 4" xfId="3393"/>
    <cellStyle name="20% - 강조색2 3 3 4 5" xfId="3394"/>
    <cellStyle name="20% - 강조색2 3 3 5" xfId="3395"/>
    <cellStyle name="20% - 강조색2 3 3 5 2" xfId="3396"/>
    <cellStyle name="20% - 강조색2 3 3 5 2 2" xfId="3397"/>
    <cellStyle name="20% - 강조색2 3 3 5 2 2 2" xfId="3398"/>
    <cellStyle name="20% - 강조색2 3 3 5 2 2 3" xfId="3399"/>
    <cellStyle name="20% - 강조색2 3 3 5 2 3" xfId="3400"/>
    <cellStyle name="20% - 강조색2 3 3 5 2 4" xfId="3401"/>
    <cellStyle name="20% - 강조색2 3 3 5 3" xfId="3402"/>
    <cellStyle name="20% - 강조색2 3 3 5 3 2" xfId="3403"/>
    <cellStyle name="20% - 강조색2 3 3 5 3 3" xfId="3404"/>
    <cellStyle name="20% - 강조색2 3 3 5 4" xfId="3405"/>
    <cellStyle name="20% - 강조색2 3 3 5 5" xfId="3406"/>
    <cellStyle name="20% - 강조색2 3 3 6" xfId="3407"/>
    <cellStyle name="20% - 강조색2 3 3 6 2" xfId="3408"/>
    <cellStyle name="20% - 강조색2 3 3 6 2 2" xfId="3409"/>
    <cellStyle name="20% - 강조색2 3 3 6 2 2 2" xfId="3410"/>
    <cellStyle name="20% - 강조색2 3 3 6 2 2 3" xfId="3411"/>
    <cellStyle name="20% - 강조색2 3 3 6 2 3" xfId="3412"/>
    <cellStyle name="20% - 강조색2 3 3 6 2 4" xfId="3413"/>
    <cellStyle name="20% - 강조색2 3 3 6 3" xfId="3414"/>
    <cellStyle name="20% - 강조색2 3 3 6 3 2" xfId="3415"/>
    <cellStyle name="20% - 강조색2 3 3 6 3 3" xfId="3416"/>
    <cellStyle name="20% - 강조색2 3 3 6 4" xfId="3417"/>
    <cellStyle name="20% - 강조색2 3 3 6 5" xfId="3418"/>
    <cellStyle name="20% - 강조색2 3 3 7" xfId="3419"/>
    <cellStyle name="20% - 강조색2 3 3 7 2" xfId="3420"/>
    <cellStyle name="20% - 강조색2 3 3 7 2 2" xfId="3421"/>
    <cellStyle name="20% - 강조색2 3 3 7 2 3" xfId="3422"/>
    <cellStyle name="20% - 강조색2 3 3 7 3" xfId="3423"/>
    <cellStyle name="20% - 강조색2 3 3 7 4" xfId="3424"/>
    <cellStyle name="20% - 강조색2 3 3 8" xfId="3425"/>
    <cellStyle name="20% - 강조색2 3 3 8 2" xfId="3426"/>
    <cellStyle name="20% - 강조색2 3 3 8 3" xfId="3427"/>
    <cellStyle name="20% - 강조색2 3 3 9" xfId="3428"/>
    <cellStyle name="20% - 강조색2 3 4" xfId="3429"/>
    <cellStyle name="20% - 강조색2 3 4 10" xfId="3430"/>
    <cellStyle name="20% - 강조색2 3 4 11" xfId="3431"/>
    <cellStyle name="20% - 강조색2 3 4 12" xfId="3432"/>
    <cellStyle name="20% - 강조색2 3 4 2" xfId="3433"/>
    <cellStyle name="20% - 강조색2 3 4 2 2" xfId="3434"/>
    <cellStyle name="20% - 강조색2 3 4 2 2 2" xfId="3435"/>
    <cellStyle name="20% - 강조색2 3 4 2 2 2 2" xfId="3436"/>
    <cellStyle name="20% - 강조색2 3 4 2 2 2 2 2" xfId="3437"/>
    <cellStyle name="20% - 강조색2 3 4 2 2 2 2 3" xfId="3438"/>
    <cellStyle name="20% - 강조색2 3 4 2 2 2 3" xfId="3439"/>
    <cellStyle name="20% - 강조색2 3 4 2 2 2 4" xfId="3440"/>
    <cellStyle name="20% - 강조색2 3 4 2 2 3" xfId="3441"/>
    <cellStyle name="20% - 강조색2 3 4 2 2 3 2" xfId="3442"/>
    <cellStyle name="20% - 강조색2 3 4 2 2 3 3" xfId="3443"/>
    <cellStyle name="20% - 강조색2 3 4 2 2 4" xfId="3444"/>
    <cellStyle name="20% - 강조색2 3 4 2 2 5" xfId="3445"/>
    <cellStyle name="20% - 강조색2 3 4 2 3" xfId="3446"/>
    <cellStyle name="20% - 강조색2 3 4 2 3 2" xfId="3447"/>
    <cellStyle name="20% - 강조색2 3 4 2 3 2 2" xfId="3448"/>
    <cellStyle name="20% - 강조색2 3 4 2 3 2 2 2" xfId="3449"/>
    <cellStyle name="20% - 강조색2 3 4 2 3 2 2 3" xfId="3450"/>
    <cellStyle name="20% - 강조색2 3 4 2 3 2 3" xfId="3451"/>
    <cellStyle name="20% - 강조색2 3 4 2 3 2 4" xfId="3452"/>
    <cellStyle name="20% - 강조색2 3 4 2 3 3" xfId="3453"/>
    <cellStyle name="20% - 강조색2 3 4 2 3 3 2" xfId="3454"/>
    <cellStyle name="20% - 강조색2 3 4 2 3 3 3" xfId="3455"/>
    <cellStyle name="20% - 강조색2 3 4 2 3 4" xfId="3456"/>
    <cellStyle name="20% - 강조색2 3 4 2 3 5" xfId="3457"/>
    <cellStyle name="20% - 강조색2 3 4 2 4" xfId="3458"/>
    <cellStyle name="20% - 강조색2 3 4 2 4 2" xfId="3459"/>
    <cellStyle name="20% - 강조색2 3 4 2 4 2 2" xfId="3460"/>
    <cellStyle name="20% - 강조색2 3 4 2 4 2 3" xfId="3461"/>
    <cellStyle name="20% - 강조색2 3 4 2 4 3" xfId="3462"/>
    <cellStyle name="20% - 강조색2 3 4 2 4 4" xfId="3463"/>
    <cellStyle name="20% - 강조색2 3 4 2 5" xfId="3464"/>
    <cellStyle name="20% - 강조색2 3 4 2 5 2" xfId="3465"/>
    <cellStyle name="20% - 강조색2 3 4 2 5 3" xfId="3466"/>
    <cellStyle name="20% - 강조색2 3 4 2 6" xfId="3467"/>
    <cellStyle name="20% - 강조색2 3 4 2 7" xfId="3468"/>
    <cellStyle name="20% - 강조색2 3 4 3" xfId="3469"/>
    <cellStyle name="20% - 강조색2 3 4 3 2" xfId="3470"/>
    <cellStyle name="20% - 강조색2 3 4 3 2 2" xfId="3471"/>
    <cellStyle name="20% - 강조색2 3 4 3 2 2 2" xfId="3472"/>
    <cellStyle name="20% - 강조색2 3 4 3 2 2 2 2" xfId="3473"/>
    <cellStyle name="20% - 강조색2 3 4 3 2 2 2 3" xfId="3474"/>
    <cellStyle name="20% - 강조색2 3 4 3 2 2 3" xfId="3475"/>
    <cellStyle name="20% - 강조색2 3 4 3 2 2 4" xfId="3476"/>
    <cellStyle name="20% - 강조색2 3 4 3 2 3" xfId="3477"/>
    <cellStyle name="20% - 강조색2 3 4 3 2 3 2" xfId="3478"/>
    <cellStyle name="20% - 강조색2 3 4 3 2 3 3" xfId="3479"/>
    <cellStyle name="20% - 강조색2 3 4 3 2 4" xfId="3480"/>
    <cellStyle name="20% - 강조색2 3 4 3 2 5" xfId="3481"/>
    <cellStyle name="20% - 강조색2 3 4 3 3" xfId="3482"/>
    <cellStyle name="20% - 강조색2 3 4 3 3 2" xfId="3483"/>
    <cellStyle name="20% - 강조색2 3 4 3 3 2 2" xfId="3484"/>
    <cellStyle name="20% - 강조색2 3 4 3 3 2 2 2" xfId="3485"/>
    <cellStyle name="20% - 강조색2 3 4 3 3 2 2 3" xfId="3486"/>
    <cellStyle name="20% - 강조색2 3 4 3 3 2 3" xfId="3487"/>
    <cellStyle name="20% - 강조색2 3 4 3 3 2 4" xfId="3488"/>
    <cellStyle name="20% - 강조색2 3 4 3 3 3" xfId="3489"/>
    <cellStyle name="20% - 강조색2 3 4 3 3 3 2" xfId="3490"/>
    <cellStyle name="20% - 강조색2 3 4 3 3 3 3" xfId="3491"/>
    <cellStyle name="20% - 강조색2 3 4 3 3 4" xfId="3492"/>
    <cellStyle name="20% - 강조색2 3 4 3 3 5" xfId="3493"/>
    <cellStyle name="20% - 강조색2 3 4 3 4" xfId="3494"/>
    <cellStyle name="20% - 강조색2 3 4 3 4 2" xfId="3495"/>
    <cellStyle name="20% - 강조색2 3 4 3 4 2 2" xfId="3496"/>
    <cellStyle name="20% - 강조색2 3 4 3 4 2 3" xfId="3497"/>
    <cellStyle name="20% - 강조색2 3 4 3 4 3" xfId="3498"/>
    <cellStyle name="20% - 강조색2 3 4 3 4 4" xfId="3499"/>
    <cellStyle name="20% - 강조색2 3 4 3 5" xfId="3500"/>
    <cellStyle name="20% - 강조색2 3 4 3 5 2" xfId="3501"/>
    <cellStyle name="20% - 강조색2 3 4 3 5 3" xfId="3502"/>
    <cellStyle name="20% - 강조색2 3 4 3 6" xfId="3503"/>
    <cellStyle name="20% - 강조색2 3 4 3 7" xfId="3504"/>
    <cellStyle name="20% - 강조색2 3 4 4" xfId="3505"/>
    <cellStyle name="20% - 강조색2 3 4 4 2" xfId="3506"/>
    <cellStyle name="20% - 강조색2 3 4 4 2 2" xfId="3507"/>
    <cellStyle name="20% - 강조색2 3 4 4 2 2 2" xfId="3508"/>
    <cellStyle name="20% - 강조색2 3 4 4 2 2 3" xfId="3509"/>
    <cellStyle name="20% - 강조색2 3 4 4 2 3" xfId="3510"/>
    <cellStyle name="20% - 강조색2 3 4 4 2 4" xfId="3511"/>
    <cellStyle name="20% - 강조색2 3 4 4 3" xfId="3512"/>
    <cellStyle name="20% - 강조색2 3 4 4 3 2" xfId="3513"/>
    <cellStyle name="20% - 강조색2 3 4 4 3 3" xfId="3514"/>
    <cellStyle name="20% - 강조색2 3 4 4 4" xfId="3515"/>
    <cellStyle name="20% - 강조색2 3 4 4 5" xfId="3516"/>
    <cellStyle name="20% - 강조색2 3 4 5" xfId="3517"/>
    <cellStyle name="20% - 강조색2 3 4 5 2" xfId="3518"/>
    <cellStyle name="20% - 강조색2 3 4 5 2 2" xfId="3519"/>
    <cellStyle name="20% - 강조색2 3 4 5 2 2 2" xfId="3520"/>
    <cellStyle name="20% - 강조색2 3 4 5 2 2 3" xfId="3521"/>
    <cellStyle name="20% - 강조색2 3 4 5 2 3" xfId="3522"/>
    <cellStyle name="20% - 강조색2 3 4 5 2 4" xfId="3523"/>
    <cellStyle name="20% - 강조색2 3 4 5 3" xfId="3524"/>
    <cellStyle name="20% - 강조색2 3 4 5 3 2" xfId="3525"/>
    <cellStyle name="20% - 강조색2 3 4 5 3 3" xfId="3526"/>
    <cellStyle name="20% - 강조색2 3 4 5 4" xfId="3527"/>
    <cellStyle name="20% - 강조색2 3 4 5 5" xfId="3528"/>
    <cellStyle name="20% - 강조색2 3 4 6" xfId="3529"/>
    <cellStyle name="20% - 강조색2 3 4 6 2" xfId="3530"/>
    <cellStyle name="20% - 강조색2 3 4 6 2 2" xfId="3531"/>
    <cellStyle name="20% - 강조색2 3 4 6 2 2 2" xfId="3532"/>
    <cellStyle name="20% - 강조색2 3 4 6 2 2 3" xfId="3533"/>
    <cellStyle name="20% - 강조색2 3 4 6 2 3" xfId="3534"/>
    <cellStyle name="20% - 강조색2 3 4 6 2 4" xfId="3535"/>
    <cellStyle name="20% - 강조색2 3 4 6 3" xfId="3536"/>
    <cellStyle name="20% - 강조색2 3 4 6 3 2" xfId="3537"/>
    <cellStyle name="20% - 강조색2 3 4 6 3 3" xfId="3538"/>
    <cellStyle name="20% - 강조색2 3 4 6 4" xfId="3539"/>
    <cellStyle name="20% - 강조색2 3 4 6 5" xfId="3540"/>
    <cellStyle name="20% - 강조색2 3 4 7" xfId="3541"/>
    <cellStyle name="20% - 강조색2 3 4 7 2" xfId="3542"/>
    <cellStyle name="20% - 강조색2 3 4 7 2 2" xfId="3543"/>
    <cellStyle name="20% - 강조색2 3 4 7 2 3" xfId="3544"/>
    <cellStyle name="20% - 강조색2 3 4 7 3" xfId="3545"/>
    <cellStyle name="20% - 강조색2 3 4 7 4" xfId="3546"/>
    <cellStyle name="20% - 강조색2 3 4 8" xfId="3547"/>
    <cellStyle name="20% - 강조색2 3 4 8 2" xfId="3548"/>
    <cellStyle name="20% - 강조색2 3 4 8 3" xfId="3549"/>
    <cellStyle name="20% - 강조색2 3 4 9" xfId="3550"/>
    <cellStyle name="20% - 강조색2 3 5" xfId="3551"/>
    <cellStyle name="20% - 강조색2 3 5 2" xfId="3552"/>
    <cellStyle name="20% - 강조색2 3 5 2 2" xfId="3553"/>
    <cellStyle name="20% - 강조색2 3 5 2 2 2" xfId="3554"/>
    <cellStyle name="20% - 강조색2 3 5 2 2 2 2" xfId="3555"/>
    <cellStyle name="20% - 강조색2 3 5 2 2 2 3" xfId="3556"/>
    <cellStyle name="20% - 강조색2 3 5 2 2 3" xfId="3557"/>
    <cellStyle name="20% - 강조색2 3 5 2 2 4" xfId="3558"/>
    <cellStyle name="20% - 강조색2 3 5 2 3" xfId="3559"/>
    <cellStyle name="20% - 강조색2 3 5 2 3 2" xfId="3560"/>
    <cellStyle name="20% - 강조색2 3 5 2 3 3" xfId="3561"/>
    <cellStyle name="20% - 강조색2 3 5 2 4" xfId="3562"/>
    <cellStyle name="20% - 강조색2 3 5 2 5" xfId="3563"/>
    <cellStyle name="20% - 강조색2 3 5 3" xfId="3564"/>
    <cellStyle name="20% - 강조색2 3 5 3 2" xfId="3565"/>
    <cellStyle name="20% - 강조색2 3 5 3 2 2" xfId="3566"/>
    <cellStyle name="20% - 강조색2 3 5 3 2 2 2" xfId="3567"/>
    <cellStyle name="20% - 강조색2 3 5 3 2 2 3" xfId="3568"/>
    <cellStyle name="20% - 강조색2 3 5 3 2 3" xfId="3569"/>
    <cellStyle name="20% - 강조색2 3 5 3 2 4" xfId="3570"/>
    <cellStyle name="20% - 강조색2 3 5 3 3" xfId="3571"/>
    <cellStyle name="20% - 강조색2 3 5 3 3 2" xfId="3572"/>
    <cellStyle name="20% - 강조색2 3 5 3 3 3" xfId="3573"/>
    <cellStyle name="20% - 강조색2 3 5 3 4" xfId="3574"/>
    <cellStyle name="20% - 강조색2 3 5 3 5" xfId="3575"/>
    <cellStyle name="20% - 강조색2 3 5 4" xfId="3576"/>
    <cellStyle name="20% - 강조색2 3 5 4 2" xfId="3577"/>
    <cellStyle name="20% - 강조색2 3 5 4 2 2" xfId="3578"/>
    <cellStyle name="20% - 강조색2 3 5 4 2 3" xfId="3579"/>
    <cellStyle name="20% - 강조색2 3 5 4 3" xfId="3580"/>
    <cellStyle name="20% - 강조색2 3 5 4 4" xfId="3581"/>
    <cellStyle name="20% - 강조색2 3 5 5" xfId="3582"/>
    <cellStyle name="20% - 강조색2 3 5 5 2" xfId="3583"/>
    <cellStyle name="20% - 강조색2 3 5 5 3" xfId="3584"/>
    <cellStyle name="20% - 강조색2 3 5 6" xfId="3585"/>
    <cellStyle name="20% - 강조색2 3 5 7" xfId="3586"/>
    <cellStyle name="20% - 강조색2 3 5 8" xfId="3587"/>
    <cellStyle name="20% - 강조색2 3 6" xfId="3588"/>
    <cellStyle name="20% - 강조색2 3 6 2" xfId="3589"/>
    <cellStyle name="20% - 강조색2 3 6 2 2" xfId="3590"/>
    <cellStyle name="20% - 강조색2 3 6 2 2 2" xfId="3591"/>
    <cellStyle name="20% - 강조색2 3 6 2 2 2 2" xfId="3592"/>
    <cellStyle name="20% - 강조색2 3 6 2 2 2 3" xfId="3593"/>
    <cellStyle name="20% - 강조색2 3 6 2 2 3" xfId="3594"/>
    <cellStyle name="20% - 강조색2 3 6 2 2 4" xfId="3595"/>
    <cellStyle name="20% - 강조색2 3 6 2 3" xfId="3596"/>
    <cellStyle name="20% - 강조색2 3 6 2 3 2" xfId="3597"/>
    <cellStyle name="20% - 강조색2 3 6 2 3 3" xfId="3598"/>
    <cellStyle name="20% - 강조색2 3 6 2 4" xfId="3599"/>
    <cellStyle name="20% - 강조색2 3 6 2 5" xfId="3600"/>
    <cellStyle name="20% - 강조색2 3 6 3" xfId="3601"/>
    <cellStyle name="20% - 강조색2 3 6 3 2" xfId="3602"/>
    <cellStyle name="20% - 강조색2 3 6 3 2 2" xfId="3603"/>
    <cellStyle name="20% - 강조색2 3 6 3 2 2 2" xfId="3604"/>
    <cellStyle name="20% - 강조색2 3 6 3 2 2 3" xfId="3605"/>
    <cellStyle name="20% - 강조색2 3 6 3 2 3" xfId="3606"/>
    <cellStyle name="20% - 강조색2 3 6 3 2 4" xfId="3607"/>
    <cellStyle name="20% - 강조색2 3 6 3 3" xfId="3608"/>
    <cellStyle name="20% - 강조색2 3 6 3 3 2" xfId="3609"/>
    <cellStyle name="20% - 강조색2 3 6 3 3 3" xfId="3610"/>
    <cellStyle name="20% - 강조색2 3 6 3 4" xfId="3611"/>
    <cellStyle name="20% - 강조색2 3 6 3 5" xfId="3612"/>
    <cellStyle name="20% - 강조색2 3 6 4" xfId="3613"/>
    <cellStyle name="20% - 강조색2 3 6 4 2" xfId="3614"/>
    <cellStyle name="20% - 강조색2 3 6 4 2 2" xfId="3615"/>
    <cellStyle name="20% - 강조색2 3 6 4 2 3" xfId="3616"/>
    <cellStyle name="20% - 강조색2 3 6 4 3" xfId="3617"/>
    <cellStyle name="20% - 강조색2 3 6 4 4" xfId="3618"/>
    <cellStyle name="20% - 강조색2 3 6 5" xfId="3619"/>
    <cellStyle name="20% - 강조색2 3 6 5 2" xfId="3620"/>
    <cellStyle name="20% - 강조색2 3 6 5 3" xfId="3621"/>
    <cellStyle name="20% - 강조색2 3 6 6" xfId="3622"/>
    <cellStyle name="20% - 강조색2 3 6 7" xfId="3623"/>
    <cellStyle name="20% - 강조색2 3 7" xfId="3624"/>
    <cellStyle name="20% - 강조색2 3 7 2" xfId="3625"/>
    <cellStyle name="20% - 강조색2 3 7 2 2" xfId="3626"/>
    <cellStyle name="20% - 강조색2 3 7 2 2 2" xfId="3627"/>
    <cellStyle name="20% - 강조색2 3 7 2 2 3" xfId="3628"/>
    <cellStyle name="20% - 강조색2 3 7 2 3" xfId="3629"/>
    <cellStyle name="20% - 강조색2 3 7 2 4" xfId="3630"/>
    <cellStyle name="20% - 강조색2 3 7 3" xfId="3631"/>
    <cellStyle name="20% - 강조색2 3 7 3 2" xfId="3632"/>
    <cellStyle name="20% - 강조색2 3 7 3 3" xfId="3633"/>
    <cellStyle name="20% - 강조색2 3 7 4" xfId="3634"/>
    <cellStyle name="20% - 강조색2 3 7 5" xfId="3635"/>
    <cellStyle name="20% - 강조색2 3 8" xfId="3636"/>
    <cellStyle name="20% - 강조색2 3 8 2" xfId="3637"/>
    <cellStyle name="20% - 강조색2 3 8 2 2" xfId="3638"/>
    <cellStyle name="20% - 강조색2 3 8 2 2 2" xfId="3639"/>
    <cellStyle name="20% - 강조색2 3 8 2 2 3" xfId="3640"/>
    <cellStyle name="20% - 강조색2 3 8 2 3" xfId="3641"/>
    <cellStyle name="20% - 강조색2 3 8 2 4" xfId="3642"/>
    <cellStyle name="20% - 강조색2 3 8 3" xfId="3643"/>
    <cellStyle name="20% - 강조색2 3 8 3 2" xfId="3644"/>
    <cellStyle name="20% - 강조색2 3 8 3 3" xfId="3645"/>
    <cellStyle name="20% - 강조색2 3 8 4" xfId="3646"/>
    <cellStyle name="20% - 강조색2 3 8 5" xfId="3647"/>
    <cellStyle name="20% - 강조색2 3 9" xfId="3648"/>
    <cellStyle name="20% - 강조색2 3 9 2" xfId="3649"/>
    <cellStyle name="20% - 강조색2 3 9 2 2" xfId="3650"/>
    <cellStyle name="20% - 강조색2 3 9 2 2 2" xfId="3651"/>
    <cellStyle name="20% - 강조색2 3 9 2 2 3" xfId="3652"/>
    <cellStyle name="20% - 강조색2 3 9 2 3" xfId="3653"/>
    <cellStyle name="20% - 강조색2 3 9 2 4" xfId="3654"/>
    <cellStyle name="20% - 강조색2 3 9 3" xfId="3655"/>
    <cellStyle name="20% - 강조색2 3 9 3 2" xfId="3656"/>
    <cellStyle name="20% - 강조색2 3 9 3 3" xfId="3657"/>
    <cellStyle name="20% - 강조색2 3 9 4" xfId="3658"/>
    <cellStyle name="20% - 강조색2 3 9 5" xfId="3659"/>
    <cellStyle name="20% - 강조색2 30" xfId="3660"/>
    <cellStyle name="20% - 강조색2 30 2" xfId="3661"/>
    <cellStyle name="20% - 강조색2 31" xfId="3662"/>
    <cellStyle name="20% - 강조색2 31 2" xfId="3663"/>
    <cellStyle name="20% - 강조색2 32" xfId="3664"/>
    <cellStyle name="20% - 강조색2 32 2" xfId="3665"/>
    <cellStyle name="20% - 강조색2 33" xfId="3666"/>
    <cellStyle name="20% - 강조색2 33 2" xfId="3667"/>
    <cellStyle name="20% - 강조색2 34" xfId="3668"/>
    <cellStyle name="20% - 강조색2 34 2" xfId="3669"/>
    <cellStyle name="20% - 강조색2 35" xfId="3670"/>
    <cellStyle name="20% - 강조색2 36" xfId="3671"/>
    <cellStyle name="20% - 강조색2 37" xfId="3672"/>
    <cellStyle name="20% - 강조색2 38" xfId="3673"/>
    <cellStyle name="20% - 강조색2 39" xfId="3674"/>
    <cellStyle name="20% - 강조색2 4" xfId="3675"/>
    <cellStyle name="20% - 강조색2 4 10" xfId="3676"/>
    <cellStyle name="20% - 강조색2 4 10 2" xfId="3677"/>
    <cellStyle name="20% - 강조색2 4 10 2 2" xfId="3678"/>
    <cellStyle name="20% - 강조색2 4 10 2 3" xfId="3679"/>
    <cellStyle name="20% - 강조색2 4 10 3" xfId="3680"/>
    <cellStyle name="20% - 강조색2 4 10 4" xfId="3681"/>
    <cellStyle name="20% - 강조색2 4 11" xfId="3682"/>
    <cellStyle name="20% - 강조색2 4 11 2" xfId="3683"/>
    <cellStyle name="20% - 강조색2 4 11 3" xfId="3684"/>
    <cellStyle name="20% - 강조색2 4 12" xfId="3685"/>
    <cellStyle name="20% - 강조색2 4 13" xfId="3686"/>
    <cellStyle name="20% - 강조색2 4 14" xfId="3687"/>
    <cellStyle name="20% - 강조색2 4 2" xfId="3688"/>
    <cellStyle name="20% - 강조색2 4 2 10" xfId="3689"/>
    <cellStyle name="20% - 강조색2 4 2 2" xfId="3690"/>
    <cellStyle name="20% - 강조색2 4 2 2 2" xfId="3691"/>
    <cellStyle name="20% - 강조색2 4 2 2 2 2" xfId="3692"/>
    <cellStyle name="20% - 강조색2 4 2 2 2 2 2" xfId="3693"/>
    <cellStyle name="20% - 강조색2 4 2 2 2 2 2 2" xfId="3694"/>
    <cellStyle name="20% - 강조색2 4 2 2 2 2 2 3" xfId="3695"/>
    <cellStyle name="20% - 강조색2 4 2 2 2 2 3" xfId="3696"/>
    <cellStyle name="20% - 강조색2 4 2 2 2 2 4" xfId="3697"/>
    <cellStyle name="20% - 강조색2 4 2 2 2 3" xfId="3698"/>
    <cellStyle name="20% - 강조색2 4 2 2 2 3 2" xfId="3699"/>
    <cellStyle name="20% - 강조색2 4 2 2 2 3 3" xfId="3700"/>
    <cellStyle name="20% - 강조색2 4 2 2 2 4" xfId="3701"/>
    <cellStyle name="20% - 강조색2 4 2 2 2 5" xfId="3702"/>
    <cellStyle name="20% - 강조색2 4 2 2 3" xfId="3703"/>
    <cellStyle name="20% - 강조색2 4 2 2 3 2" xfId="3704"/>
    <cellStyle name="20% - 강조색2 4 2 2 3 2 2" xfId="3705"/>
    <cellStyle name="20% - 강조색2 4 2 2 3 2 2 2" xfId="3706"/>
    <cellStyle name="20% - 강조색2 4 2 2 3 2 2 3" xfId="3707"/>
    <cellStyle name="20% - 강조색2 4 2 2 3 2 3" xfId="3708"/>
    <cellStyle name="20% - 강조색2 4 2 2 3 2 4" xfId="3709"/>
    <cellStyle name="20% - 강조색2 4 2 2 3 3" xfId="3710"/>
    <cellStyle name="20% - 강조색2 4 2 2 3 3 2" xfId="3711"/>
    <cellStyle name="20% - 강조색2 4 2 2 3 3 3" xfId="3712"/>
    <cellStyle name="20% - 강조색2 4 2 2 3 4" xfId="3713"/>
    <cellStyle name="20% - 강조색2 4 2 2 3 5" xfId="3714"/>
    <cellStyle name="20% - 강조색2 4 2 2 4" xfId="3715"/>
    <cellStyle name="20% - 강조색2 4 2 2 4 2" xfId="3716"/>
    <cellStyle name="20% - 강조색2 4 2 2 4 2 2" xfId="3717"/>
    <cellStyle name="20% - 강조색2 4 2 2 4 2 3" xfId="3718"/>
    <cellStyle name="20% - 강조색2 4 2 2 4 3" xfId="3719"/>
    <cellStyle name="20% - 강조색2 4 2 2 4 4" xfId="3720"/>
    <cellStyle name="20% - 강조색2 4 2 2 5" xfId="3721"/>
    <cellStyle name="20% - 강조색2 4 2 2 5 2" xfId="3722"/>
    <cellStyle name="20% - 강조색2 4 2 2 5 3" xfId="3723"/>
    <cellStyle name="20% - 강조색2 4 2 2 6" xfId="3724"/>
    <cellStyle name="20% - 강조색2 4 2 2 7" xfId="3725"/>
    <cellStyle name="20% - 강조색2 4 2 3" xfId="3726"/>
    <cellStyle name="20% - 강조색2 4 2 3 2" xfId="3727"/>
    <cellStyle name="20% - 강조색2 4 2 3 2 2" xfId="3728"/>
    <cellStyle name="20% - 강조색2 4 2 3 2 2 2" xfId="3729"/>
    <cellStyle name="20% - 강조색2 4 2 3 2 2 2 2" xfId="3730"/>
    <cellStyle name="20% - 강조색2 4 2 3 2 2 2 3" xfId="3731"/>
    <cellStyle name="20% - 강조색2 4 2 3 2 2 3" xfId="3732"/>
    <cellStyle name="20% - 강조색2 4 2 3 2 2 4" xfId="3733"/>
    <cellStyle name="20% - 강조색2 4 2 3 2 3" xfId="3734"/>
    <cellStyle name="20% - 강조색2 4 2 3 2 3 2" xfId="3735"/>
    <cellStyle name="20% - 강조색2 4 2 3 2 3 3" xfId="3736"/>
    <cellStyle name="20% - 강조색2 4 2 3 2 4" xfId="3737"/>
    <cellStyle name="20% - 강조색2 4 2 3 2 5" xfId="3738"/>
    <cellStyle name="20% - 강조색2 4 2 3 3" xfId="3739"/>
    <cellStyle name="20% - 강조색2 4 2 3 3 2" xfId="3740"/>
    <cellStyle name="20% - 강조색2 4 2 3 3 2 2" xfId="3741"/>
    <cellStyle name="20% - 강조색2 4 2 3 3 2 2 2" xfId="3742"/>
    <cellStyle name="20% - 강조색2 4 2 3 3 2 2 3" xfId="3743"/>
    <cellStyle name="20% - 강조색2 4 2 3 3 2 3" xfId="3744"/>
    <cellStyle name="20% - 강조색2 4 2 3 3 2 4" xfId="3745"/>
    <cellStyle name="20% - 강조색2 4 2 3 3 3" xfId="3746"/>
    <cellStyle name="20% - 강조색2 4 2 3 3 3 2" xfId="3747"/>
    <cellStyle name="20% - 강조색2 4 2 3 3 3 3" xfId="3748"/>
    <cellStyle name="20% - 강조색2 4 2 3 3 4" xfId="3749"/>
    <cellStyle name="20% - 강조색2 4 2 3 3 5" xfId="3750"/>
    <cellStyle name="20% - 강조색2 4 2 3 4" xfId="3751"/>
    <cellStyle name="20% - 강조색2 4 2 3 4 2" xfId="3752"/>
    <cellStyle name="20% - 강조색2 4 2 3 4 2 2" xfId="3753"/>
    <cellStyle name="20% - 강조색2 4 2 3 4 2 3" xfId="3754"/>
    <cellStyle name="20% - 강조색2 4 2 3 4 3" xfId="3755"/>
    <cellStyle name="20% - 강조색2 4 2 3 4 4" xfId="3756"/>
    <cellStyle name="20% - 강조색2 4 2 3 5" xfId="3757"/>
    <cellStyle name="20% - 강조색2 4 2 3 5 2" xfId="3758"/>
    <cellStyle name="20% - 강조색2 4 2 3 5 3" xfId="3759"/>
    <cellStyle name="20% - 강조색2 4 2 3 6" xfId="3760"/>
    <cellStyle name="20% - 강조색2 4 2 3 7" xfId="3761"/>
    <cellStyle name="20% - 강조색2 4 2 4" xfId="3762"/>
    <cellStyle name="20% - 강조색2 4 2 4 2" xfId="3763"/>
    <cellStyle name="20% - 강조색2 4 2 4 2 2" xfId="3764"/>
    <cellStyle name="20% - 강조색2 4 2 4 2 2 2" xfId="3765"/>
    <cellStyle name="20% - 강조색2 4 2 4 2 2 3" xfId="3766"/>
    <cellStyle name="20% - 강조색2 4 2 4 2 3" xfId="3767"/>
    <cellStyle name="20% - 강조색2 4 2 4 2 4" xfId="3768"/>
    <cellStyle name="20% - 강조색2 4 2 4 3" xfId="3769"/>
    <cellStyle name="20% - 강조색2 4 2 4 3 2" xfId="3770"/>
    <cellStyle name="20% - 강조색2 4 2 4 3 3" xfId="3771"/>
    <cellStyle name="20% - 강조색2 4 2 4 4" xfId="3772"/>
    <cellStyle name="20% - 강조색2 4 2 4 5" xfId="3773"/>
    <cellStyle name="20% - 강조색2 4 2 5" xfId="3774"/>
    <cellStyle name="20% - 강조색2 4 2 5 2" xfId="3775"/>
    <cellStyle name="20% - 강조색2 4 2 5 2 2" xfId="3776"/>
    <cellStyle name="20% - 강조색2 4 2 5 2 2 2" xfId="3777"/>
    <cellStyle name="20% - 강조색2 4 2 5 2 2 3" xfId="3778"/>
    <cellStyle name="20% - 강조색2 4 2 5 2 3" xfId="3779"/>
    <cellStyle name="20% - 강조색2 4 2 5 2 4" xfId="3780"/>
    <cellStyle name="20% - 강조색2 4 2 5 3" xfId="3781"/>
    <cellStyle name="20% - 강조색2 4 2 5 3 2" xfId="3782"/>
    <cellStyle name="20% - 강조색2 4 2 5 3 3" xfId="3783"/>
    <cellStyle name="20% - 강조색2 4 2 5 4" xfId="3784"/>
    <cellStyle name="20% - 강조색2 4 2 5 5" xfId="3785"/>
    <cellStyle name="20% - 강조색2 4 2 6" xfId="3786"/>
    <cellStyle name="20% - 강조색2 4 2 6 2" xfId="3787"/>
    <cellStyle name="20% - 강조색2 4 2 6 2 2" xfId="3788"/>
    <cellStyle name="20% - 강조색2 4 2 6 2 2 2" xfId="3789"/>
    <cellStyle name="20% - 강조색2 4 2 6 2 2 3" xfId="3790"/>
    <cellStyle name="20% - 강조색2 4 2 6 2 3" xfId="3791"/>
    <cellStyle name="20% - 강조색2 4 2 6 2 4" xfId="3792"/>
    <cellStyle name="20% - 강조색2 4 2 6 3" xfId="3793"/>
    <cellStyle name="20% - 강조색2 4 2 6 3 2" xfId="3794"/>
    <cellStyle name="20% - 강조색2 4 2 6 3 3" xfId="3795"/>
    <cellStyle name="20% - 강조색2 4 2 6 4" xfId="3796"/>
    <cellStyle name="20% - 강조색2 4 2 6 5" xfId="3797"/>
    <cellStyle name="20% - 강조색2 4 2 7" xfId="3798"/>
    <cellStyle name="20% - 강조색2 4 2 7 2" xfId="3799"/>
    <cellStyle name="20% - 강조색2 4 2 7 2 2" xfId="3800"/>
    <cellStyle name="20% - 강조색2 4 2 7 2 3" xfId="3801"/>
    <cellStyle name="20% - 강조색2 4 2 7 3" xfId="3802"/>
    <cellStyle name="20% - 강조색2 4 2 7 4" xfId="3803"/>
    <cellStyle name="20% - 강조색2 4 2 8" xfId="3804"/>
    <cellStyle name="20% - 강조색2 4 2 8 2" xfId="3805"/>
    <cellStyle name="20% - 강조색2 4 2 8 3" xfId="3806"/>
    <cellStyle name="20% - 강조색2 4 2 9" xfId="3807"/>
    <cellStyle name="20% - 강조색2 4 3" xfId="3808"/>
    <cellStyle name="20% - 강조색2 4 3 10" xfId="3809"/>
    <cellStyle name="20% - 강조색2 4 3 2" xfId="3810"/>
    <cellStyle name="20% - 강조색2 4 3 2 2" xfId="3811"/>
    <cellStyle name="20% - 강조색2 4 3 2 2 2" xfId="3812"/>
    <cellStyle name="20% - 강조색2 4 3 2 2 2 2" xfId="3813"/>
    <cellStyle name="20% - 강조색2 4 3 2 2 2 2 2" xfId="3814"/>
    <cellStyle name="20% - 강조색2 4 3 2 2 2 2 3" xfId="3815"/>
    <cellStyle name="20% - 강조색2 4 3 2 2 2 3" xfId="3816"/>
    <cellStyle name="20% - 강조색2 4 3 2 2 2 4" xfId="3817"/>
    <cellStyle name="20% - 강조색2 4 3 2 2 3" xfId="3818"/>
    <cellStyle name="20% - 강조색2 4 3 2 2 3 2" xfId="3819"/>
    <cellStyle name="20% - 강조색2 4 3 2 2 3 3" xfId="3820"/>
    <cellStyle name="20% - 강조색2 4 3 2 2 4" xfId="3821"/>
    <cellStyle name="20% - 강조색2 4 3 2 2 5" xfId="3822"/>
    <cellStyle name="20% - 강조색2 4 3 2 3" xfId="3823"/>
    <cellStyle name="20% - 강조색2 4 3 2 3 2" xfId="3824"/>
    <cellStyle name="20% - 강조색2 4 3 2 3 2 2" xfId="3825"/>
    <cellStyle name="20% - 강조색2 4 3 2 3 2 2 2" xfId="3826"/>
    <cellStyle name="20% - 강조색2 4 3 2 3 2 2 3" xfId="3827"/>
    <cellStyle name="20% - 강조색2 4 3 2 3 2 3" xfId="3828"/>
    <cellStyle name="20% - 강조색2 4 3 2 3 2 4" xfId="3829"/>
    <cellStyle name="20% - 강조색2 4 3 2 3 3" xfId="3830"/>
    <cellStyle name="20% - 강조색2 4 3 2 3 3 2" xfId="3831"/>
    <cellStyle name="20% - 강조색2 4 3 2 3 3 3" xfId="3832"/>
    <cellStyle name="20% - 강조색2 4 3 2 3 4" xfId="3833"/>
    <cellStyle name="20% - 강조색2 4 3 2 3 5" xfId="3834"/>
    <cellStyle name="20% - 강조색2 4 3 2 4" xfId="3835"/>
    <cellStyle name="20% - 강조색2 4 3 2 4 2" xfId="3836"/>
    <cellStyle name="20% - 강조색2 4 3 2 4 2 2" xfId="3837"/>
    <cellStyle name="20% - 강조색2 4 3 2 4 2 3" xfId="3838"/>
    <cellStyle name="20% - 강조색2 4 3 2 4 3" xfId="3839"/>
    <cellStyle name="20% - 강조색2 4 3 2 4 4" xfId="3840"/>
    <cellStyle name="20% - 강조색2 4 3 2 5" xfId="3841"/>
    <cellStyle name="20% - 강조색2 4 3 2 5 2" xfId="3842"/>
    <cellStyle name="20% - 강조색2 4 3 2 5 3" xfId="3843"/>
    <cellStyle name="20% - 강조색2 4 3 2 6" xfId="3844"/>
    <cellStyle name="20% - 강조색2 4 3 2 7" xfId="3845"/>
    <cellStyle name="20% - 강조색2 4 3 3" xfId="3846"/>
    <cellStyle name="20% - 강조색2 4 3 3 2" xfId="3847"/>
    <cellStyle name="20% - 강조색2 4 3 3 2 2" xfId="3848"/>
    <cellStyle name="20% - 강조색2 4 3 3 2 2 2" xfId="3849"/>
    <cellStyle name="20% - 강조색2 4 3 3 2 2 2 2" xfId="3850"/>
    <cellStyle name="20% - 강조색2 4 3 3 2 2 2 3" xfId="3851"/>
    <cellStyle name="20% - 강조색2 4 3 3 2 2 3" xfId="3852"/>
    <cellStyle name="20% - 강조색2 4 3 3 2 2 4" xfId="3853"/>
    <cellStyle name="20% - 강조색2 4 3 3 2 3" xfId="3854"/>
    <cellStyle name="20% - 강조색2 4 3 3 2 3 2" xfId="3855"/>
    <cellStyle name="20% - 강조색2 4 3 3 2 3 3" xfId="3856"/>
    <cellStyle name="20% - 강조색2 4 3 3 2 4" xfId="3857"/>
    <cellStyle name="20% - 강조색2 4 3 3 2 5" xfId="3858"/>
    <cellStyle name="20% - 강조색2 4 3 3 3" xfId="3859"/>
    <cellStyle name="20% - 강조색2 4 3 3 3 2" xfId="3860"/>
    <cellStyle name="20% - 강조색2 4 3 3 3 2 2" xfId="3861"/>
    <cellStyle name="20% - 강조색2 4 3 3 3 2 2 2" xfId="3862"/>
    <cellStyle name="20% - 강조색2 4 3 3 3 2 2 3" xfId="3863"/>
    <cellStyle name="20% - 강조색2 4 3 3 3 2 3" xfId="3864"/>
    <cellStyle name="20% - 강조색2 4 3 3 3 2 4" xfId="3865"/>
    <cellStyle name="20% - 강조색2 4 3 3 3 3" xfId="3866"/>
    <cellStyle name="20% - 강조색2 4 3 3 3 3 2" xfId="3867"/>
    <cellStyle name="20% - 강조색2 4 3 3 3 3 3" xfId="3868"/>
    <cellStyle name="20% - 강조색2 4 3 3 3 4" xfId="3869"/>
    <cellStyle name="20% - 강조색2 4 3 3 3 5" xfId="3870"/>
    <cellStyle name="20% - 강조색2 4 3 3 4" xfId="3871"/>
    <cellStyle name="20% - 강조색2 4 3 3 4 2" xfId="3872"/>
    <cellStyle name="20% - 강조색2 4 3 3 4 2 2" xfId="3873"/>
    <cellStyle name="20% - 강조색2 4 3 3 4 2 3" xfId="3874"/>
    <cellStyle name="20% - 강조색2 4 3 3 4 3" xfId="3875"/>
    <cellStyle name="20% - 강조색2 4 3 3 4 4" xfId="3876"/>
    <cellStyle name="20% - 강조색2 4 3 3 5" xfId="3877"/>
    <cellStyle name="20% - 강조색2 4 3 3 5 2" xfId="3878"/>
    <cellStyle name="20% - 강조색2 4 3 3 5 3" xfId="3879"/>
    <cellStyle name="20% - 강조색2 4 3 3 6" xfId="3880"/>
    <cellStyle name="20% - 강조색2 4 3 3 7" xfId="3881"/>
    <cellStyle name="20% - 강조색2 4 3 4" xfId="3882"/>
    <cellStyle name="20% - 강조색2 4 3 4 2" xfId="3883"/>
    <cellStyle name="20% - 강조색2 4 3 4 2 2" xfId="3884"/>
    <cellStyle name="20% - 강조색2 4 3 4 2 2 2" xfId="3885"/>
    <cellStyle name="20% - 강조색2 4 3 4 2 2 3" xfId="3886"/>
    <cellStyle name="20% - 강조색2 4 3 4 2 3" xfId="3887"/>
    <cellStyle name="20% - 강조색2 4 3 4 2 4" xfId="3888"/>
    <cellStyle name="20% - 강조색2 4 3 4 3" xfId="3889"/>
    <cellStyle name="20% - 강조색2 4 3 4 3 2" xfId="3890"/>
    <cellStyle name="20% - 강조색2 4 3 4 3 3" xfId="3891"/>
    <cellStyle name="20% - 강조색2 4 3 4 4" xfId="3892"/>
    <cellStyle name="20% - 강조색2 4 3 4 5" xfId="3893"/>
    <cellStyle name="20% - 강조색2 4 3 5" xfId="3894"/>
    <cellStyle name="20% - 강조색2 4 3 5 2" xfId="3895"/>
    <cellStyle name="20% - 강조색2 4 3 5 2 2" xfId="3896"/>
    <cellStyle name="20% - 강조색2 4 3 5 2 2 2" xfId="3897"/>
    <cellStyle name="20% - 강조색2 4 3 5 2 2 3" xfId="3898"/>
    <cellStyle name="20% - 강조색2 4 3 5 2 3" xfId="3899"/>
    <cellStyle name="20% - 강조색2 4 3 5 2 4" xfId="3900"/>
    <cellStyle name="20% - 강조색2 4 3 5 3" xfId="3901"/>
    <cellStyle name="20% - 강조색2 4 3 5 3 2" xfId="3902"/>
    <cellStyle name="20% - 강조색2 4 3 5 3 3" xfId="3903"/>
    <cellStyle name="20% - 강조색2 4 3 5 4" xfId="3904"/>
    <cellStyle name="20% - 강조색2 4 3 5 5" xfId="3905"/>
    <cellStyle name="20% - 강조색2 4 3 6" xfId="3906"/>
    <cellStyle name="20% - 강조색2 4 3 6 2" xfId="3907"/>
    <cellStyle name="20% - 강조색2 4 3 6 2 2" xfId="3908"/>
    <cellStyle name="20% - 강조색2 4 3 6 2 2 2" xfId="3909"/>
    <cellStyle name="20% - 강조색2 4 3 6 2 2 3" xfId="3910"/>
    <cellStyle name="20% - 강조색2 4 3 6 2 3" xfId="3911"/>
    <cellStyle name="20% - 강조색2 4 3 6 2 4" xfId="3912"/>
    <cellStyle name="20% - 강조색2 4 3 6 3" xfId="3913"/>
    <cellStyle name="20% - 강조색2 4 3 6 3 2" xfId="3914"/>
    <cellStyle name="20% - 강조색2 4 3 6 3 3" xfId="3915"/>
    <cellStyle name="20% - 강조색2 4 3 6 4" xfId="3916"/>
    <cellStyle name="20% - 강조색2 4 3 6 5" xfId="3917"/>
    <cellStyle name="20% - 강조색2 4 3 7" xfId="3918"/>
    <cellStyle name="20% - 강조색2 4 3 7 2" xfId="3919"/>
    <cellStyle name="20% - 강조색2 4 3 7 2 2" xfId="3920"/>
    <cellStyle name="20% - 강조색2 4 3 7 2 3" xfId="3921"/>
    <cellStyle name="20% - 강조색2 4 3 7 3" xfId="3922"/>
    <cellStyle name="20% - 강조색2 4 3 7 4" xfId="3923"/>
    <cellStyle name="20% - 강조색2 4 3 8" xfId="3924"/>
    <cellStyle name="20% - 강조색2 4 3 8 2" xfId="3925"/>
    <cellStyle name="20% - 강조색2 4 3 8 3" xfId="3926"/>
    <cellStyle name="20% - 강조색2 4 3 9" xfId="3927"/>
    <cellStyle name="20% - 강조색2 4 4" xfId="3928"/>
    <cellStyle name="20% - 강조색2 4 4 10" xfId="3929"/>
    <cellStyle name="20% - 강조색2 4 4 2" xfId="3930"/>
    <cellStyle name="20% - 강조색2 4 4 2 2" xfId="3931"/>
    <cellStyle name="20% - 강조색2 4 4 2 2 2" xfId="3932"/>
    <cellStyle name="20% - 강조색2 4 4 2 2 2 2" xfId="3933"/>
    <cellStyle name="20% - 강조색2 4 4 2 2 2 2 2" xfId="3934"/>
    <cellStyle name="20% - 강조색2 4 4 2 2 2 2 3" xfId="3935"/>
    <cellStyle name="20% - 강조색2 4 4 2 2 2 3" xfId="3936"/>
    <cellStyle name="20% - 강조색2 4 4 2 2 2 4" xfId="3937"/>
    <cellStyle name="20% - 강조색2 4 4 2 2 3" xfId="3938"/>
    <cellStyle name="20% - 강조색2 4 4 2 2 3 2" xfId="3939"/>
    <cellStyle name="20% - 강조색2 4 4 2 2 3 3" xfId="3940"/>
    <cellStyle name="20% - 강조색2 4 4 2 2 4" xfId="3941"/>
    <cellStyle name="20% - 강조색2 4 4 2 2 5" xfId="3942"/>
    <cellStyle name="20% - 강조색2 4 4 2 3" xfId="3943"/>
    <cellStyle name="20% - 강조색2 4 4 2 3 2" xfId="3944"/>
    <cellStyle name="20% - 강조색2 4 4 2 3 2 2" xfId="3945"/>
    <cellStyle name="20% - 강조색2 4 4 2 3 2 2 2" xfId="3946"/>
    <cellStyle name="20% - 강조색2 4 4 2 3 2 2 3" xfId="3947"/>
    <cellStyle name="20% - 강조색2 4 4 2 3 2 3" xfId="3948"/>
    <cellStyle name="20% - 강조색2 4 4 2 3 2 4" xfId="3949"/>
    <cellStyle name="20% - 강조색2 4 4 2 3 3" xfId="3950"/>
    <cellStyle name="20% - 강조색2 4 4 2 3 3 2" xfId="3951"/>
    <cellStyle name="20% - 강조색2 4 4 2 3 3 3" xfId="3952"/>
    <cellStyle name="20% - 강조색2 4 4 2 3 4" xfId="3953"/>
    <cellStyle name="20% - 강조색2 4 4 2 3 5" xfId="3954"/>
    <cellStyle name="20% - 강조색2 4 4 2 4" xfId="3955"/>
    <cellStyle name="20% - 강조색2 4 4 2 4 2" xfId="3956"/>
    <cellStyle name="20% - 강조색2 4 4 2 4 2 2" xfId="3957"/>
    <cellStyle name="20% - 강조색2 4 4 2 4 2 3" xfId="3958"/>
    <cellStyle name="20% - 강조색2 4 4 2 4 3" xfId="3959"/>
    <cellStyle name="20% - 강조색2 4 4 2 4 4" xfId="3960"/>
    <cellStyle name="20% - 강조색2 4 4 2 5" xfId="3961"/>
    <cellStyle name="20% - 강조색2 4 4 2 5 2" xfId="3962"/>
    <cellStyle name="20% - 강조색2 4 4 2 5 3" xfId="3963"/>
    <cellStyle name="20% - 강조색2 4 4 2 6" xfId="3964"/>
    <cellStyle name="20% - 강조색2 4 4 2 7" xfId="3965"/>
    <cellStyle name="20% - 강조색2 4 4 3" xfId="3966"/>
    <cellStyle name="20% - 강조색2 4 4 3 2" xfId="3967"/>
    <cellStyle name="20% - 강조색2 4 4 3 2 2" xfId="3968"/>
    <cellStyle name="20% - 강조색2 4 4 3 2 2 2" xfId="3969"/>
    <cellStyle name="20% - 강조색2 4 4 3 2 2 2 2" xfId="3970"/>
    <cellStyle name="20% - 강조색2 4 4 3 2 2 2 3" xfId="3971"/>
    <cellStyle name="20% - 강조색2 4 4 3 2 2 3" xfId="3972"/>
    <cellStyle name="20% - 강조색2 4 4 3 2 2 4" xfId="3973"/>
    <cellStyle name="20% - 강조색2 4 4 3 2 3" xfId="3974"/>
    <cellStyle name="20% - 강조색2 4 4 3 2 3 2" xfId="3975"/>
    <cellStyle name="20% - 강조색2 4 4 3 2 3 3" xfId="3976"/>
    <cellStyle name="20% - 강조색2 4 4 3 2 4" xfId="3977"/>
    <cellStyle name="20% - 강조색2 4 4 3 2 5" xfId="3978"/>
    <cellStyle name="20% - 강조색2 4 4 3 3" xfId="3979"/>
    <cellStyle name="20% - 강조색2 4 4 3 3 2" xfId="3980"/>
    <cellStyle name="20% - 강조색2 4 4 3 3 2 2" xfId="3981"/>
    <cellStyle name="20% - 강조색2 4 4 3 3 2 2 2" xfId="3982"/>
    <cellStyle name="20% - 강조색2 4 4 3 3 2 2 3" xfId="3983"/>
    <cellStyle name="20% - 강조색2 4 4 3 3 2 3" xfId="3984"/>
    <cellStyle name="20% - 강조색2 4 4 3 3 2 4" xfId="3985"/>
    <cellStyle name="20% - 강조색2 4 4 3 3 3" xfId="3986"/>
    <cellStyle name="20% - 강조색2 4 4 3 3 3 2" xfId="3987"/>
    <cellStyle name="20% - 강조색2 4 4 3 3 3 3" xfId="3988"/>
    <cellStyle name="20% - 강조색2 4 4 3 3 4" xfId="3989"/>
    <cellStyle name="20% - 강조색2 4 4 3 3 5" xfId="3990"/>
    <cellStyle name="20% - 강조색2 4 4 3 4" xfId="3991"/>
    <cellStyle name="20% - 강조색2 4 4 3 4 2" xfId="3992"/>
    <cellStyle name="20% - 강조색2 4 4 3 4 2 2" xfId="3993"/>
    <cellStyle name="20% - 강조색2 4 4 3 4 2 3" xfId="3994"/>
    <cellStyle name="20% - 강조색2 4 4 3 4 3" xfId="3995"/>
    <cellStyle name="20% - 강조색2 4 4 3 4 4" xfId="3996"/>
    <cellStyle name="20% - 강조색2 4 4 3 5" xfId="3997"/>
    <cellStyle name="20% - 강조색2 4 4 3 5 2" xfId="3998"/>
    <cellStyle name="20% - 강조색2 4 4 3 5 3" xfId="3999"/>
    <cellStyle name="20% - 강조색2 4 4 3 6" xfId="4000"/>
    <cellStyle name="20% - 강조색2 4 4 3 7" xfId="4001"/>
    <cellStyle name="20% - 강조색2 4 4 4" xfId="4002"/>
    <cellStyle name="20% - 강조색2 4 4 4 2" xfId="4003"/>
    <cellStyle name="20% - 강조색2 4 4 4 2 2" xfId="4004"/>
    <cellStyle name="20% - 강조색2 4 4 4 2 2 2" xfId="4005"/>
    <cellStyle name="20% - 강조색2 4 4 4 2 2 3" xfId="4006"/>
    <cellStyle name="20% - 강조색2 4 4 4 2 3" xfId="4007"/>
    <cellStyle name="20% - 강조색2 4 4 4 2 4" xfId="4008"/>
    <cellStyle name="20% - 강조색2 4 4 4 3" xfId="4009"/>
    <cellStyle name="20% - 강조색2 4 4 4 3 2" xfId="4010"/>
    <cellStyle name="20% - 강조색2 4 4 4 3 3" xfId="4011"/>
    <cellStyle name="20% - 강조색2 4 4 4 4" xfId="4012"/>
    <cellStyle name="20% - 강조색2 4 4 4 5" xfId="4013"/>
    <cellStyle name="20% - 강조색2 4 4 5" xfId="4014"/>
    <cellStyle name="20% - 강조색2 4 4 5 2" xfId="4015"/>
    <cellStyle name="20% - 강조색2 4 4 5 2 2" xfId="4016"/>
    <cellStyle name="20% - 강조색2 4 4 5 2 2 2" xfId="4017"/>
    <cellStyle name="20% - 강조색2 4 4 5 2 2 3" xfId="4018"/>
    <cellStyle name="20% - 강조색2 4 4 5 2 3" xfId="4019"/>
    <cellStyle name="20% - 강조색2 4 4 5 2 4" xfId="4020"/>
    <cellStyle name="20% - 강조색2 4 4 5 3" xfId="4021"/>
    <cellStyle name="20% - 강조색2 4 4 5 3 2" xfId="4022"/>
    <cellStyle name="20% - 강조색2 4 4 5 3 3" xfId="4023"/>
    <cellStyle name="20% - 강조색2 4 4 5 4" xfId="4024"/>
    <cellStyle name="20% - 강조색2 4 4 5 5" xfId="4025"/>
    <cellStyle name="20% - 강조색2 4 4 6" xfId="4026"/>
    <cellStyle name="20% - 강조색2 4 4 6 2" xfId="4027"/>
    <cellStyle name="20% - 강조색2 4 4 6 2 2" xfId="4028"/>
    <cellStyle name="20% - 강조색2 4 4 6 2 2 2" xfId="4029"/>
    <cellStyle name="20% - 강조색2 4 4 6 2 2 3" xfId="4030"/>
    <cellStyle name="20% - 강조색2 4 4 6 2 3" xfId="4031"/>
    <cellStyle name="20% - 강조색2 4 4 6 2 4" xfId="4032"/>
    <cellStyle name="20% - 강조색2 4 4 6 3" xfId="4033"/>
    <cellStyle name="20% - 강조색2 4 4 6 3 2" xfId="4034"/>
    <cellStyle name="20% - 강조색2 4 4 6 3 3" xfId="4035"/>
    <cellStyle name="20% - 강조색2 4 4 6 4" xfId="4036"/>
    <cellStyle name="20% - 강조색2 4 4 6 5" xfId="4037"/>
    <cellStyle name="20% - 강조색2 4 4 7" xfId="4038"/>
    <cellStyle name="20% - 강조색2 4 4 7 2" xfId="4039"/>
    <cellStyle name="20% - 강조색2 4 4 7 2 2" xfId="4040"/>
    <cellStyle name="20% - 강조색2 4 4 7 2 3" xfId="4041"/>
    <cellStyle name="20% - 강조색2 4 4 7 3" xfId="4042"/>
    <cellStyle name="20% - 강조색2 4 4 7 4" xfId="4043"/>
    <cellStyle name="20% - 강조색2 4 4 8" xfId="4044"/>
    <cellStyle name="20% - 강조색2 4 4 8 2" xfId="4045"/>
    <cellStyle name="20% - 강조색2 4 4 8 3" xfId="4046"/>
    <cellStyle name="20% - 강조색2 4 4 9" xfId="4047"/>
    <cellStyle name="20% - 강조색2 4 5" xfId="4048"/>
    <cellStyle name="20% - 강조색2 4 5 2" xfId="4049"/>
    <cellStyle name="20% - 강조색2 4 5 2 2" xfId="4050"/>
    <cellStyle name="20% - 강조색2 4 5 2 2 2" xfId="4051"/>
    <cellStyle name="20% - 강조색2 4 5 2 2 2 2" xfId="4052"/>
    <cellStyle name="20% - 강조색2 4 5 2 2 2 3" xfId="4053"/>
    <cellStyle name="20% - 강조색2 4 5 2 2 3" xfId="4054"/>
    <cellStyle name="20% - 강조색2 4 5 2 2 4" xfId="4055"/>
    <cellStyle name="20% - 강조색2 4 5 2 3" xfId="4056"/>
    <cellStyle name="20% - 강조색2 4 5 2 3 2" xfId="4057"/>
    <cellStyle name="20% - 강조색2 4 5 2 3 3" xfId="4058"/>
    <cellStyle name="20% - 강조색2 4 5 2 4" xfId="4059"/>
    <cellStyle name="20% - 강조색2 4 5 2 5" xfId="4060"/>
    <cellStyle name="20% - 강조색2 4 5 3" xfId="4061"/>
    <cellStyle name="20% - 강조색2 4 5 3 2" xfId="4062"/>
    <cellStyle name="20% - 강조색2 4 5 3 2 2" xfId="4063"/>
    <cellStyle name="20% - 강조색2 4 5 3 2 2 2" xfId="4064"/>
    <cellStyle name="20% - 강조색2 4 5 3 2 2 3" xfId="4065"/>
    <cellStyle name="20% - 강조색2 4 5 3 2 3" xfId="4066"/>
    <cellStyle name="20% - 강조색2 4 5 3 2 4" xfId="4067"/>
    <cellStyle name="20% - 강조색2 4 5 3 3" xfId="4068"/>
    <cellStyle name="20% - 강조색2 4 5 3 3 2" xfId="4069"/>
    <cellStyle name="20% - 강조색2 4 5 3 3 3" xfId="4070"/>
    <cellStyle name="20% - 강조색2 4 5 3 4" xfId="4071"/>
    <cellStyle name="20% - 강조색2 4 5 3 5" xfId="4072"/>
    <cellStyle name="20% - 강조색2 4 5 4" xfId="4073"/>
    <cellStyle name="20% - 강조색2 4 5 4 2" xfId="4074"/>
    <cellStyle name="20% - 강조색2 4 5 4 2 2" xfId="4075"/>
    <cellStyle name="20% - 강조색2 4 5 4 2 3" xfId="4076"/>
    <cellStyle name="20% - 강조색2 4 5 4 3" xfId="4077"/>
    <cellStyle name="20% - 강조색2 4 5 4 4" xfId="4078"/>
    <cellStyle name="20% - 강조색2 4 5 5" xfId="4079"/>
    <cellStyle name="20% - 강조색2 4 5 5 2" xfId="4080"/>
    <cellStyle name="20% - 강조색2 4 5 5 3" xfId="4081"/>
    <cellStyle name="20% - 강조색2 4 5 6" xfId="4082"/>
    <cellStyle name="20% - 강조색2 4 5 7" xfId="4083"/>
    <cellStyle name="20% - 강조색2 4 6" xfId="4084"/>
    <cellStyle name="20% - 강조색2 4 6 2" xfId="4085"/>
    <cellStyle name="20% - 강조색2 4 6 2 2" xfId="4086"/>
    <cellStyle name="20% - 강조색2 4 6 2 2 2" xfId="4087"/>
    <cellStyle name="20% - 강조색2 4 6 2 2 2 2" xfId="4088"/>
    <cellStyle name="20% - 강조색2 4 6 2 2 2 3" xfId="4089"/>
    <cellStyle name="20% - 강조색2 4 6 2 2 3" xfId="4090"/>
    <cellStyle name="20% - 강조색2 4 6 2 2 4" xfId="4091"/>
    <cellStyle name="20% - 강조색2 4 6 2 3" xfId="4092"/>
    <cellStyle name="20% - 강조색2 4 6 2 3 2" xfId="4093"/>
    <cellStyle name="20% - 강조색2 4 6 2 3 3" xfId="4094"/>
    <cellStyle name="20% - 강조색2 4 6 2 4" xfId="4095"/>
    <cellStyle name="20% - 강조색2 4 6 2 5" xfId="4096"/>
    <cellStyle name="20% - 강조색2 4 6 3" xfId="4097"/>
    <cellStyle name="20% - 강조색2 4 6 3 2" xfId="4098"/>
    <cellStyle name="20% - 강조색2 4 6 3 2 2" xfId="4099"/>
    <cellStyle name="20% - 강조색2 4 6 3 2 2 2" xfId="4100"/>
    <cellStyle name="20% - 강조색2 4 6 3 2 2 3" xfId="4101"/>
    <cellStyle name="20% - 강조색2 4 6 3 2 3" xfId="4102"/>
    <cellStyle name="20% - 강조색2 4 6 3 2 4" xfId="4103"/>
    <cellStyle name="20% - 강조색2 4 6 3 3" xfId="4104"/>
    <cellStyle name="20% - 강조색2 4 6 3 3 2" xfId="4105"/>
    <cellStyle name="20% - 강조색2 4 6 3 3 3" xfId="4106"/>
    <cellStyle name="20% - 강조색2 4 6 3 4" xfId="4107"/>
    <cellStyle name="20% - 강조색2 4 6 3 5" xfId="4108"/>
    <cellStyle name="20% - 강조색2 4 6 4" xfId="4109"/>
    <cellStyle name="20% - 강조색2 4 6 4 2" xfId="4110"/>
    <cellStyle name="20% - 강조색2 4 6 4 2 2" xfId="4111"/>
    <cellStyle name="20% - 강조색2 4 6 4 2 3" xfId="4112"/>
    <cellStyle name="20% - 강조색2 4 6 4 3" xfId="4113"/>
    <cellStyle name="20% - 강조색2 4 6 4 4" xfId="4114"/>
    <cellStyle name="20% - 강조색2 4 6 5" xfId="4115"/>
    <cellStyle name="20% - 강조색2 4 6 5 2" xfId="4116"/>
    <cellStyle name="20% - 강조색2 4 6 5 3" xfId="4117"/>
    <cellStyle name="20% - 강조색2 4 6 6" xfId="4118"/>
    <cellStyle name="20% - 강조색2 4 6 7" xfId="4119"/>
    <cellStyle name="20% - 강조색2 4 7" xfId="4120"/>
    <cellStyle name="20% - 강조색2 4 7 2" xfId="4121"/>
    <cellStyle name="20% - 강조색2 4 7 2 2" xfId="4122"/>
    <cellStyle name="20% - 강조색2 4 7 2 2 2" xfId="4123"/>
    <cellStyle name="20% - 강조색2 4 7 2 2 3" xfId="4124"/>
    <cellStyle name="20% - 강조색2 4 7 2 3" xfId="4125"/>
    <cellStyle name="20% - 강조색2 4 7 2 4" xfId="4126"/>
    <cellStyle name="20% - 강조색2 4 7 3" xfId="4127"/>
    <cellStyle name="20% - 강조색2 4 7 3 2" xfId="4128"/>
    <cellStyle name="20% - 강조색2 4 7 3 3" xfId="4129"/>
    <cellStyle name="20% - 강조색2 4 7 4" xfId="4130"/>
    <cellStyle name="20% - 강조색2 4 7 5" xfId="4131"/>
    <cellStyle name="20% - 강조색2 4 8" xfId="4132"/>
    <cellStyle name="20% - 강조색2 4 8 2" xfId="4133"/>
    <cellStyle name="20% - 강조색2 4 8 2 2" xfId="4134"/>
    <cellStyle name="20% - 강조색2 4 8 2 2 2" xfId="4135"/>
    <cellStyle name="20% - 강조색2 4 8 2 2 3" xfId="4136"/>
    <cellStyle name="20% - 강조색2 4 8 2 3" xfId="4137"/>
    <cellStyle name="20% - 강조색2 4 8 2 4" xfId="4138"/>
    <cellStyle name="20% - 강조색2 4 8 3" xfId="4139"/>
    <cellStyle name="20% - 강조색2 4 8 3 2" xfId="4140"/>
    <cellStyle name="20% - 강조색2 4 8 3 3" xfId="4141"/>
    <cellStyle name="20% - 강조색2 4 8 4" xfId="4142"/>
    <cellStyle name="20% - 강조색2 4 8 5" xfId="4143"/>
    <cellStyle name="20% - 강조색2 4 9" xfId="4144"/>
    <cellStyle name="20% - 강조색2 4 9 2" xfId="4145"/>
    <cellStyle name="20% - 강조색2 4 9 2 2" xfId="4146"/>
    <cellStyle name="20% - 강조색2 4 9 2 2 2" xfId="4147"/>
    <cellStyle name="20% - 강조색2 4 9 2 2 3" xfId="4148"/>
    <cellStyle name="20% - 강조색2 4 9 2 3" xfId="4149"/>
    <cellStyle name="20% - 강조색2 4 9 2 4" xfId="4150"/>
    <cellStyle name="20% - 강조색2 4 9 3" xfId="4151"/>
    <cellStyle name="20% - 강조색2 4 9 3 2" xfId="4152"/>
    <cellStyle name="20% - 강조색2 4 9 3 3" xfId="4153"/>
    <cellStyle name="20% - 강조색2 4 9 4" xfId="4154"/>
    <cellStyle name="20% - 강조색2 4 9 5" xfId="4155"/>
    <cellStyle name="20% - 강조색2 40" xfId="4156"/>
    <cellStyle name="20% - 강조색2 41" xfId="4157"/>
    <cellStyle name="20% - 강조색2 42" xfId="4158"/>
    <cellStyle name="20% - 강조색2 43" xfId="4159"/>
    <cellStyle name="20% - 강조색2 44" xfId="4160"/>
    <cellStyle name="20% - 강조색2 45" xfId="4161"/>
    <cellStyle name="20% - 강조색2 46" xfId="4162"/>
    <cellStyle name="20% - 강조색2 47" xfId="4163"/>
    <cellStyle name="20% - 강조색2 48" xfId="4164"/>
    <cellStyle name="20% - 강조색2 49" xfId="4165"/>
    <cellStyle name="20% - 강조색2 5" xfId="4166"/>
    <cellStyle name="20% - 강조색2 5 10" xfId="4167"/>
    <cellStyle name="20% - 강조색2 5 11" xfId="4168"/>
    <cellStyle name="20% - 강조색2 5 2" xfId="4169"/>
    <cellStyle name="20% - 강조색2 5 2 2" xfId="4170"/>
    <cellStyle name="20% - 강조색2 5 2 2 2" xfId="4171"/>
    <cellStyle name="20% - 강조색2 5 2 2 2 2" xfId="4172"/>
    <cellStyle name="20% - 강조색2 5 2 2 2 2 2" xfId="4173"/>
    <cellStyle name="20% - 강조색2 5 2 2 2 2 3" xfId="4174"/>
    <cellStyle name="20% - 강조색2 5 2 2 2 3" xfId="4175"/>
    <cellStyle name="20% - 강조색2 5 2 2 2 4" xfId="4176"/>
    <cellStyle name="20% - 강조색2 5 2 2 3" xfId="4177"/>
    <cellStyle name="20% - 강조색2 5 2 2 3 2" xfId="4178"/>
    <cellStyle name="20% - 강조색2 5 2 2 3 3" xfId="4179"/>
    <cellStyle name="20% - 강조색2 5 2 2 4" xfId="4180"/>
    <cellStyle name="20% - 강조색2 5 2 2 5" xfId="4181"/>
    <cellStyle name="20% - 강조색2 5 2 3" xfId="4182"/>
    <cellStyle name="20% - 강조색2 5 2 3 2" xfId="4183"/>
    <cellStyle name="20% - 강조색2 5 2 3 2 2" xfId="4184"/>
    <cellStyle name="20% - 강조색2 5 2 3 2 2 2" xfId="4185"/>
    <cellStyle name="20% - 강조색2 5 2 3 2 2 3" xfId="4186"/>
    <cellStyle name="20% - 강조색2 5 2 3 2 3" xfId="4187"/>
    <cellStyle name="20% - 강조색2 5 2 3 2 4" xfId="4188"/>
    <cellStyle name="20% - 강조색2 5 2 3 3" xfId="4189"/>
    <cellStyle name="20% - 강조색2 5 2 3 3 2" xfId="4190"/>
    <cellStyle name="20% - 강조색2 5 2 3 3 3" xfId="4191"/>
    <cellStyle name="20% - 강조색2 5 2 3 4" xfId="4192"/>
    <cellStyle name="20% - 강조색2 5 2 3 5" xfId="4193"/>
    <cellStyle name="20% - 강조색2 5 2 4" xfId="4194"/>
    <cellStyle name="20% - 강조색2 5 2 4 2" xfId="4195"/>
    <cellStyle name="20% - 강조색2 5 2 4 2 2" xfId="4196"/>
    <cellStyle name="20% - 강조색2 5 2 4 2 3" xfId="4197"/>
    <cellStyle name="20% - 강조색2 5 2 4 3" xfId="4198"/>
    <cellStyle name="20% - 강조색2 5 2 4 4" xfId="4199"/>
    <cellStyle name="20% - 강조색2 5 2 5" xfId="4200"/>
    <cellStyle name="20% - 강조색2 5 2 5 2" xfId="4201"/>
    <cellStyle name="20% - 강조색2 5 2 5 3" xfId="4202"/>
    <cellStyle name="20% - 강조색2 5 2 6" xfId="4203"/>
    <cellStyle name="20% - 강조색2 5 2 7" xfId="4204"/>
    <cellStyle name="20% - 강조색2 5 3" xfId="4205"/>
    <cellStyle name="20% - 강조색2 5 3 2" xfId="4206"/>
    <cellStyle name="20% - 강조색2 5 3 2 2" xfId="4207"/>
    <cellStyle name="20% - 강조색2 5 3 2 2 2" xfId="4208"/>
    <cellStyle name="20% - 강조색2 5 3 2 2 2 2" xfId="4209"/>
    <cellStyle name="20% - 강조색2 5 3 2 2 2 3" xfId="4210"/>
    <cellStyle name="20% - 강조색2 5 3 2 2 3" xfId="4211"/>
    <cellStyle name="20% - 강조색2 5 3 2 2 4" xfId="4212"/>
    <cellStyle name="20% - 강조색2 5 3 2 3" xfId="4213"/>
    <cellStyle name="20% - 강조색2 5 3 2 3 2" xfId="4214"/>
    <cellStyle name="20% - 강조색2 5 3 2 3 3" xfId="4215"/>
    <cellStyle name="20% - 강조색2 5 3 2 4" xfId="4216"/>
    <cellStyle name="20% - 강조색2 5 3 2 5" xfId="4217"/>
    <cellStyle name="20% - 강조색2 5 3 3" xfId="4218"/>
    <cellStyle name="20% - 강조색2 5 3 3 2" xfId="4219"/>
    <cellStyle name="20% - 강조색2 5 3 3 2 2" xfId="4220"/>
    <cellStyle name="20% - 강조색2 5 3 3 2 2 2" xfId="4221"/>
    <cellStyle name="20% - 강조색2 5 3 3 2 2 3" xfId="4222"/>
    <cellStyle name="20% - 강조색2 5 3 3 2 3" xfId="4223"/>
    <cellStyle name="20% - 강조색2 5 3 3 2 4" xfId="4224"/>
    <cellStyle name="20% - 강조색2 5 3 3 3" xfId="4225"/>
    <cellStyle name="20% - 강조색2 5 3 3 3 2" xfId="4226"/>
    <cellStyle name="20% - 강조색2 5 3 3 3 3" xfId="4227"/>
    <cellStyle name="20% - 강조색2 5 3 3 4" xfId="4228"/>
    <cellStyle name="20% - 강조색2 5 3 3 5" xfId="4229"/>
    <cellStyle name="20% - 강조색2 5 3 4" xfId="4230"/>
    <cellStyle name="20% - 강조색2 5 3 4 2" xfId="4231"/>
    <cellStyle name="20% - 강조색2 5 3 4 2 2" xfId="4232"/>
    <cellStyle name="20% - 강조색2 5 3 4 2 3" xfId="4233"/>
    <cellStyle name="20% - 강조색2 5 3 4 3" xfId="4234"/>
    <cellStyle name="20% - 강조색2 5 3 4 4" xfId="4235"/>
    <cellStyle name="20% - 강조색2 5 3 5" xfId="4236"/>
    <cellStyle name="20% - 강조색2 5 3 5 2" xfId="4237"/>
    <cellStyle name="20% - 강조색2 5 3 5 3" xfId="4238"/>
    <cellStyle name="20% - 강조색2 5 3 6" xfId="4239"/>
    <cellStyle name="20% - 강조색2 5 3 7" xfId="4240"/>
    <cellStyle name="20% - 강조색2 5 4" xfId="4241"/>
    <cellStyle name="20% - 강조색2 5 4 2" xfId="4242"/>
    <cellStyle name="20% - 강조색2 5 4 2 2" xfId="4243"/>
    <cellStyle name="20% - 강조색2 5 4 2 2 2" xfId="4244"/>
    <cellStyle name="20% - 강조색2 5 4 2 2 3" xfId="4245"/>
    <cellStyle name="20% - 강조색2 5 4 2 3" xfId="4246"/>
    <cellStyle name="20% - 강조색2 5 4 2 4" xfId="4247"/>
    <cellStyle name="20% - 강조색2 5 4 3" xfId="4248"/>
    <cellStyle name="20% - 강조색2 5 4 3 2" xfId="4249"/>
    <cellStyle name="20% - 강조색2 5 4 3 3" xfId="4250"/>
    <cellStyle name="20% - 강조색2 5 4 4" xfId="4251"/>
    <cellStyle name="20% - 강조색2 5 4 5" xfId="4252"/>
    <cellStyle name="20% - 강조색2 5 5" xfId="4253"/>
    <cellStyle name="20% - 강조색2 5 5 2" xfId="4254"/>
    <cellStyle name="20% - 강조색2 5 5 2 2" xfId="4255"/>
    <cellStyle name="20% - 강조색2 5 5 2 2 2" xfId="4256"/>
    <cellStyle name="20% - 강조색2 5 5 2 2 3" xfId="4257"/>
    <cellStyle name="20% - 강조색2 5 5 2 3" xfId="4258"/>
    <cellStyle name="20% - 강조색2 5 5 2 4" xfId="4259"/>
    <cellStyle name="20% - 강조색2 5 5 3" xfId="4260"/>
    <cellStyle name="20% - 강조색2 5 5 3 2" xfId="4261"/>
    <cellStyle name="20% - 강조색2 5 5 3 3" xfId="4262"/>
    <cellStyle name="20% - 강조색2 5 5 4" xfId="4263"/>
    <cellStyle name="20% - 강조색2 5 5 5" xfId="4264"/>
    <cellStyle name="20% - 강조색2 5 6" xfId="4265"/>
    <cellStyle name="20% - 강조색2 5 6 2" xfId="4266"/>
    <cellStyle name="20% - 강조색2 5 6 2 2" xfId="4267"/>
    <cellStyle name="20% - 강조색2 5 6 2 2 2" xfId="4268"/>
    <cellStyle name="20% - 강조색2 5 6 2 2 3" xfId="4269"/>
    <cellStyle name="20% - 강조색2 5 6 2 3" xfId="4270"/>
    <cellStyle name="20% - 강조색2 5 6 2 4" xfId="4271"/>
    <cellStyle name="20% - 강조색2 5 6 3" xfId="4272"/>
    <cellStyle name="20% - 강조색2 5 6 3 2" xfId="4273"/>
    <cellStyle name="20% - 강조색2 5 6 3 3" xfId="4274"/>
    <cellStyle name="20% - 강조색2 5 6 4" xfId="4275"/>
    <cellStyle name="20% - 강조색2 5 6 5" xfId="4276"/>
    <cellStyle name="20% - 강조색2 5 7" xfId="4277"/>
    <cellStyle name="20% - 강조색2 5 7 2" xfId="4278"/>
    <cellStyle name="20% - 강조색2 5 7 2 2" xfId="4279"/>
    <cellStyle name="20% - 강조색2 5 7 2 3" xfId="4280"/>
    <cellStyle name="20% - 강조색2 5 7 3" xfId="4281"/>
    <cellStyle name="20% - 강조색2 5 7 4" xfId="4282"/>
    <cellStyle name="20% - 강조색2 5 8" xfId="4283"/>
    <cellStyle name="20% - 강조색2 5 8 2" xfId="4284"/>
    <cellStyle name="20% - 강조색2 5 8 3" xfId="4285"/>
    <cellStyle name="20% - 강조색2 5 9" xfId="4286"/>
    <cellStyle name="20% - 강조색2 50" xfId="4287"/>
    <cellStyle name="20% - 강조색2 51" xfId="4288"/>
    <cellStyle name="20% - 강조색2 52" xfId="4289"/>
    <cellStyle name="20% - 강조색2 53" xfId="4290"/>
    <cellStyle name="20% - 강조색2 54" xfId="4291"/>
    <cellStyle name="20% - 강조색2 55" xfId="4292"/>
    <cellStyle name="20% - 강조색2 56" xfId="4293"/>
    <cellStyle name="20% - 강조색2 57" xfId="4294"/>
    <cellStyle name="20% - 강조색2 58" xfId="4295"/>
    <cellStyle name="20% - 강조색2 59" xfId="4296"/>
    <cellStyle name="20% - 강조색2 6" xfId="4297"/>
    <cellStyle name="20% - 강조색2 6 10" xfId="4298"/>
    <cellStyle name="20% - 강조색2 6 2" xfId="4299"/>
    <cellStyle name="20% - 강조색2 6 2 2" xfId="4300"/>
    <cellStyle name="20% - 강조색2 6 2 2 2" xfId="4301"/>
    <cellStyle name="20% - 강조색2 6 2 2 2 2" xfId="4302"/>
    <cellStyle name="20% - 강조색2 6 2 2 2 2 2" xfId="4303"/>
    <cellStyle name="20% - 강조색2 6 2 2 2 2 3" xfId="4304"/>
    <cellStyle name="20% - 강조색2 6 2 2 2 3" xfId="4305"/>
    <cellStyle name="20% - 강조색2 6 2 2 2 4" xfId="4306"/>
    <cellStyle name="20% - 강조색2 6 2 2 3" xfId="4307"/>
    <cellStyle name="20% - 강조색2 6 2 2 3 2" xfId="4308"/>
    <cellStyle name="20% - 강조색2 6 2 2 3 3" xfId="4309"/>
    <cellStyle name="20% - 강조색2 6 2 2 4" xfId="4310"/>
    <cellStyle name="20% - 강조색2 6 2 2 5" xfId="4311"/>
    <cellStyle name="20% - 강조색2 6 2 3" xfId="4312"/>
    <cellStyle name="20% - 강조색2 6 2 3 2" xfId="4313"/>
    <cellStyle name="20% - 강조색2 6 2 3 2 2" xfId="4314"/>
    <cellStyle name="20% - 강조색2 6 2 3 2 2 2" xfId="4315"/>
    <cellStyle name="20% - 강조색2 6 2 3 2 2 3" xfId="4316"/>
    <cellStyle name="20% - 강조색2 6 2 3 2 3" xfId="4317"/>
    <cellStyle name="20% - 강조색2 6 2 3 2 4" xfId="4318"/>
    <cellStyle name="20% - 강조색2 6 2 3 3" xfId="4319"/>
    <cellStyle name="20% - 강조색2 6 2 3 3 2" xfId="4320"/>
    <cellStyle name="20% - 강조색2 6 2 3 3 3" xfId="4321"/>
    <cellStyle name="20% - 강조색2 6 2 3 4" xfId="4322"/>
    <cellStyle name="20% - 강조색2 6 2 3 5" xfId="4323"/>
    <cellStyle name="20% - 강조색2 6 2 4" xfId="4324"/>
    <cellStyle name="20% - 강조색2 6 2 4 2" xfId="4325"/>
    <cellStyle name="20% - 강조색2 6 2 4 2 2" xfId="4326"/>
    <cellStyle name="20% - 강조색2 6 2 4 2 3" xfId="4327"/>
    <cellStyle name="20% - 강조색2 6 2 4 3" xfId="4328"/>
    <cellStyle name="20% - 강조색2 6 2 4 4" xfId="4329"/>
    <cellStyle name="20% - 강조색2 6 2 5" xfId="4330"/>
    <cellStyle name="20% - 강조색2 6 2 5 2" xfId="4331"/>
    <cellStyle name="20% - 강조색2 6 2 5 3" xfId="4332"/>
    <cellStyle name="20% - 강조색2 6 2 6" xfId="4333"/>
    <cellStyle name="20% - 강조색2 6 2 7" xfId="4334"/>
    <cellStyle name="20% - 강조색2 6 3" xfId="4335"/>
    <cellStyle name="20% - 강조색2 6 3 2" xfId="4336"/>
    <cellStyle name="20% - 강조색2 6 3 2 2" xfId="4337"/>
    <cellStyle name="20% - 강조색2 6 3 2 2 2" xfId="4338"/>
    <cellStyle name="20% - 강조색2 6 3 2 2 2 2" xfId="4339"/>
    <cellStyle name="20% - 강조색2 6 3 2 2 2 3" xfId="4340"/>
    <cellStyle name="20% - 강조색2 6 3 2 2 3" xfId="4341"/>
    <cellStyle name="20% - 강조색2 6 3 2 2 4" xfId="4342"/>
    <cellStyle name="20% - 강조색2 6 3 2 3" xfId="4343"/>
    <cellStyle name="20% - 강조색2 6 3 2 3 2" xfId="4344"/>
    <cellStyle name="20% - 강조색2 6 3 2 3 3" xfId="4345"/>
    <cellStyle name="20% - 강조색2 6 3 2 4" xfId="4346"/>
    <cellStyle name="20% - 강조색2 6 3 2 5" xfId="4347"/>
    <cellStyle name="20% - 강조색2 6 3 3" xfId="4348"/>
    <cellStyle name="20% - 강조색2 6 3 3 2" xfId="4349"/>
    <cellStyle name="20% - 강조색2 6 3 3 2 2" xfId="4350"/>
    <cellStyle name="20% - 강조색2 6 3 3 2 2 2" xfId="4351"/>
    <cellStyle name="20% - 강조색2 6 3 3 2 2 3" xfId="4352"/>
    <cellStyle name="20% - 강조색2 6 3 3 2 3" xfId="4353"/>
    <cellStyle name="20% - 강조색2 6 3 3 2 4" xfId="4354"/>
    <cellStyle name="20% - 강조색2 6 3 3 3" xfId="4355"/>
    <cellStyle name="20% - 강조색2 6 3 3 3 2" xfId="4356"/>
    <cellStyle name="20% - 강조색2 6 3 3 3 3" xfId="4357"/>
    <cellStyle name="20% - 강조색2 6 3 3 4" xfId="4358"/>
    <cellStyle name="20% - 강조색2 6 3 3 5" xfId="4359"/>
    <cellStyle name="20% - 강조색2 6 3 4" xfId="4360"/>
    <cellStyle name="20% - 강조색2 6 3 4 2" xfId="4361"/>
    <cellStyle name="20% - 강조색2 6 3 4 2 2" xfId="4362"/>
    <cellStyle name="20% - 강조색2 6 3 4 2 3" xfId="4363"/>
    <cellStyle name="20% - 강조색2 6 3 4 3" xfId="4364"/>
    <cellStyle name="20% - 강조색2 6 3 4 4" xfId="4365"/>
    <cellStyle name="20% - 강조색2 6 3 5" xfId="4366"/>
    <cellStyle name="20% - 강조색2 6 3 5 2" xfId="4367"/>
    <cellStyle name="20% - 강조색2 6 3 5 3" xfId="4368"/>
    <cellStyle name="20% - 강조색2 6 3 6" xfId="4369"/>
    <cellStyle name="20% - 강조색2 6 3 7" xfId="4370"/>
    <cellStyle name="20% - 강조색2 6 4" xfId="4371"/>
    <cellStyle name="20% - 강조색2 6 4 2" xfId="4372"/>
    <cellStyle name="20% - 강조색2 6 4 2 2" xfId="4373"/>
    <cellStyle name="20% - 강조색2 6 4 2 2 2" xfId="4374"/>
    <cellStyle name="20% - 강조색2 6 4 2 2 3" xfId="4375"/>
    <cellStyle name="20% - 강조색2 6 4 2 3" xfId="4376"/>
    <cellStyle name="20% - 강조색2 6 4 2 4" xfId="4377"/>
    <cellStyle name="20% - 강조색2 6 4 3" xfId="4378"/>
    <cellStyle name="20% - 강조색2 6 4 3 2" xfId="4379"/>
    <cellStyle name="20% - 강조색2 6 4 3 3" xfId="4380"/>
    <cellStyle name="20% - 강조색2 6 4 4" xfId="4381"/>
    <cellStyle name="20% - 강조색2 6 4 5" xfId="4382"/>
    <cellStyle name="20% - 강조색2 6 5" xfId="4383"/>
    <cellStyle name="20% - 강조색2 6 5 2" xfId="4384"/>
    <cellStyle name="20% - 강조색2 6 5 2 2" xfId="4385"/>
    <cellStyle name="20% - 강조색2 6 5 2 2 2" xfId="4386"/>
    <cellStyle name="20% - 강조색2 6 5 2 2 3" xfId="4387"/>
    <cellStyle name="20% - 강조색2 6 5 2 3" xfId="4388"/>
    <cellStyle name="20% - 강조색2 6 5 2 4" xfId="4389"/>
    <cellStyle name="20% - 강조색2 6 5 3" xfId="4390"/>
    <cellStyle name="20% - 강조색2 6 5 3 2" xfId="4391"/>
    <cellStyle name="20% - 강조색2 6 5 3 3" xfId="4392"/>
    <cellStyle name="20% - 강조색2 6 5 4" xfId="4393"/>
    <cellStyle name="20% - 강조색2 6 5 5" xfId="4394"/>
    <cellStyle name="20% - 강조색2 6 6" xfId="4395"/>
    <cellStyle name="20% - 강조색2 6 6 2" xfId="4396"/>
    <cellStyle name="20% - 강조색2 6 6 2 2" xfId="4397"/>
    <cellStyle name="20% - 강조색2 6 6 2 2 2" xfId="4398"/>
    <cellStyle name="20% - 강조색2 6 6 2 2 3" xfId="4399"/>
    <cellStyle name="20% - 강조색2 6 6 2 3" xfId="4400"/>
    <cellStyle name="20% - 강조색2 6 6 2 4" xfId="4401"/>
    <cellStyle name="20% - 강조색2 6 6 3" xfId="4402"/>
    <cellStyle name="20% - 강조색2 6 6 3 2" xfId="4403"/>
    <cellStyle name="20% - 강조색2 6 6 3 3" xfId="4404"/>
    <cellStyle name="20% - 강조색2 6 6 4" xfId="4405"/>
    <cellStyle name="20% - 강조색2 6 6 5" xfId="4406"/>
    <cellStyle name="20% - 강조색2 6 7" xfId="4407"/>
    <cellStyle name="20% - 강조색2 6 7 2" xfId="4408"/>
    <cellStyle name="20% - 강조색2 6 7 2 2" xfId="4409"/>
    <cellStyle name="20% - 강조색2 6 7 2 3" xfId="4410"/>
    <cellStyle name="20% - 강조색2 6 7 3" xfId="4411"/>
    <cellStyle name="20% - 강조색2 6 7 4" xfId="4412"/>
    <cellStyle name="20% - 강조색2 6 8" xfId="4413"/>
    <cellStyle name="20% - 강조색2 6 8 2" xfId="4414"/>
    <cellStyle name="20% - 강조색2 6 8 3" xfId="4415"/>
    <cellStyle name="20% - 강조색2 6 9" xfId="4416"/>
    <cellStyle name="20% - 강조색2 60" xfId="4417"/>
    <cellStyle name="20% - 강조색2 61" xfId="4418"/>
    <cellStyle name="20% - 강조색2 62" xfId="4419"/>
    <cellStyle name="20% - 강조색2 63" xfId="4420"/>
    <cellStyle name="20% - 강조색2 64" xfId="4421"/>
    <cellStyle name="20% - 강조색2 65" xfId="4422"/>
    <cellStyle name="20% - 강조색2 66" xfId="4423"/>
    <cellStyle name="20% - 강조색2 67" xfId="4424"/>
    <cellStyle name="20% - 강조색2 68" xfId="4425"/>
    <cellStyle name="20% - 강조색2 69" xfId="4426"/>
    <cellStyle name="20% - 강조색2 7" xfId="4427"/>
    <cellStyle name="20% - 강조색2 7 10" xfId="4428"/>
    <cellStyle name="20% - 강조색2 7 2" xfId="4429"/>
    <cellStyle name="20% - 강조색2 7 2 2" xfId="4430"/>
    <cellStyle name="20% - 강조색2 7 2 2 2" xfId="4431"/>
    <cellStyle name="20% - 강조색2 7 2 2 2 2" xfId="4432"/>
    <cellStyle name="20% - 강조색2 7 2 2 2 2 2" xfId="4433"/>
    <cellStyle name="20% - 강조색2 7 2 2 2 2 3" xfId="4434"/>
    <cellStyle name="20% - 강조색2 7 2 2 2 3" xfId="4435"/>
    <cellStyle name="20% - 강조색2 7 2 2 2 4" xfId="4436"/>
    <cellStyle name="20% - 강조색2 7 2 2 3" xfId="4437"/>
    <cellStyle name="20% - 강조색2 7 2 2 3 2" xfId="4438"/>
    <cellStyle name="20% - 강조색2 7 2 2 3 3" xfId="4439"/>
    <cellStyle name="20% - 강조색2 7 2 2 4" xfId="4440"/>
    <cellStyle name="20% - 강조색2 7 2 2 5" xfId="4441"/>
    <cellStyle name="20% - 강조색2 7 2 3" xfId="4442"/>
    <cellStyle name="20% - 강조색2 7 2 3 2" xfId="4443"/>
    <cellStyle name="20% - 강조색2 7 2 3 2 2" xfId="4444"/>
    <cellStyle name="20% - 강조색2 7 2 3 2 2 2" xfId="4445"/>
    <cellStyle name="20% - 강조색2 7 2 3 2 2 3" xfId="4446"/>
    <cellStyle name="20% - 강조색2 7 2 3 2 3" xfId="4447"/>
    <cellStyle name="20% - 강조색2 7 2 3 2 4" xfId="4448"/>
    <cellStyle name="20% - 강조색2 7 2 3 3" xfId="4449"/>
    <cellStyle name="20% - 강조색2 7 2 3 3 2" xfId="4450"/>
    <cellStyle name="20% - 강조색2 7 2 3 3 3" xfId="4451"/>
    <cellStyle name="20% - 강조색2 7 2 3 4" xfId="4452"/>
    <cellStyle name="20% - 강조색2 7 2 3 5" xfId="4453"/>
    <cellStyle name="20% - 강조색2 7 2 4" xfId="4454"/>
    <cellStyle name="20% - 강조색2 7 2 4 2" xfId="4455"/>
    <cellStyle name="20% - 강조색2 7 2 4 2 2" xfId="4456"/>
    <cellStyle name="20% - 강조색2 7 2 4 2 3" xfId="4457"/>
    <cellStyle name="20% - 강조색2 7 2 4 3" xfId="4458"/>
    <cellStyle name="20% - 강조색2 7 2 4 4" xfId="4459"/>
    <cellStyle name="20% - 강조색2 7 2 5" xfId="4460"/>
    <cellStyle name="20% - 강조색2 7 2 5 2" xfId="4461"/>
    <cellStyle name="20% - 강조색2 7 2 5 3" xfId="4462"/>
    <cellStyle name="20% - 강조색2 7 2 6" xfId="4463"/>
    <cellStyle name="20% - 강조색2 7 2 7" xfId="4464"/>
    <cellStyle name="20% - 강조색2 7 3" xfId="4465"/>
    <cellStyle name="20% - 강조색2 7 3 2" xfId="4466"/>
    <cellStyle name="20% - 강조색2 7 3 2 2" xfId="4467"/>
    <cellStyle name="20% - 강조색2 7 3 2 2 2" xfId="4468"/>
    <cellStyle name="20% - 강조색2 7 3 2 2 2 2" xfId="4469"/>
    <cellStyle name="20% - 강조색2 7 3 2 2 2 3" xfId="4470"/>
    <cellStyle name="20% - 강조색2 7 3 2 2 3" xfId="4471"/>
    <cellStyle name="20% - 강조색2 7 3 2 2 4" xfId="4472"/>
    <cellStyle name="20% - 강조색2 7 3 2 3" xfId="4473"/>
    <cellStyle name="20% - 강조색2 7 3 2 3 2" xfId="4474"/>
    <cellStyle name="20% - 강조색2 7 3 2 3 3" xfId="4475"/>
    <cellStyle name="20% - 강조색2 7 3 2 4" xfId="4476"/>
    <cellStyle name="20% - 강조색2 7 3 2 5" xfId="4477"/>
    <cellStyle name="20% - 강조색2 7 3 3" xfId="4478"/>
    <cellStyle name="20% - 강조색2 7 3 3 2" xfId="4479"/>
    <cellStyle name="20% - 강조색2 7 3 3 2 2" xfId="4480"/>
    <cellStyle name="20% - 강조색2 7 3 3 2 2 2" xfId="4481"/>
    <cellStyle name="20% - 강조색2 7 3 3 2 2 3" xfId="4482"/>
    <cellStyle name="20% - 강조색2 7 3 3 2 3" xfId="4483"/>
    <cellStyle name="20% - 강조색2 7 3 3 2 4" xfId="4484"/>
    <cellStyle name="20% - 강조색2 7 3 3 3" xfId="4485"/>
    <cellStyle name="20% - 강조색2 7 3 3 3 2" xfId="4486"/>
    <cellStyle name="20% - 강조색2 7 3 3 3 3" xfId="4487"/>
    <cellStyle name="20% - 강조색2 7 3 3 4" xfId="4488"/>
    <cellStyle name="20% - 강조색2 7 3 3 5" xfId="4489"/>
    <cellStyle name="20% - 강조색2 7 3 4" xfId="4490"/>
    <cellStyle name="20% - 강조색2 7 3 4 2" xfId="4491"/>
    <cellStyle name="20% - 강조색2 7 3 4 2 2" xfId="4492"/>
    <cellStyle name="20% - 강조색2 7 3 4 2 3" xfId="4493"/>
    <cellStyle name="20% - 강조색2 7 3 4 3" xfId="4494"/>
    <cellStyle name="20% - 강조색2 7 3 4 4" xfId="4495"/>
    <cellStyle name="20% - 강조색2 7 3 5" xfId="4496"/>
    <cellStyle name="20% - 강조색2 7 3 5 2" xfId="4497"/>
    <cellStyle name="20% - 강조색2 7 3 5 3" xfId="4498"/>
    <cellStyle name="20% - 강조색2 7 3 6" xfId="4499"/>
    <cellStyle name="20% - 강조색2 7 3 7" xfId="4500"/>
    <cellStyle name="20% - 강조색2 7 4" xfId="4501"/>
    <cellStyle name="20% - 강조색2 7 4 2" xfId="4502"/>
    <cellStyle name="20% - 강조색2 7 4 2 2" xfId="4503"/>
    <cellStyle name="20% - 강조색2 7 4 2 2 2" xfId="4504"/>
    <cellStyle name="20% - 강조색2 7 4 2 2 3" xfId="4505"/>
    <cellStyle name="20% - 강조색2 7 4 2 3" xfId="4506"/>
    <cellStyle name="20% - 강조색2 7 4 2 4" xfId="4507"/>
    <cellStyle name="20% - 강조색2 7 4 3" xfId="4508"/>
    <cellStyle name="20% - 강조색2 7 4 3 2" xfId="4509"/>
    <cellStyle name="20% - 강조색2 7 4 3 3" xfId="4510"/>
    <cellStyle name="20% - 강조색2 7 4 4" xfId="4511"/>
    <cellStyle name="20% - 강조색2 7 4 5" xfId="4512"/>
    <cellStyle name="20% - 강조색2 7 5" xfId="4513"/>
    <cellStyle name="20% - 강조색2 7 5 2" xfId="4514"/>
    <cellStyle name="20% - 강조색2 7 5 2 2" xfId="4515"/>
    <cellStyle name="20% - 강조색2 7 5 2 2 2" xfId="4516"/>
    <cellStyle name="20% - 강조색2 7 5 2 2 3" xfId="4517"/>
    <cellStyle name="20% - 강조색2 7 5 2 3" xfId="4518"/>
    <cellStyle name="20% - 강조색2 7 5 2 4" xfId="4519"/>
    <cellStyle name="20% - 강조색2 7 5 3" xfId="4520"/>
    <cellStyle name="20% - 강조색2 7 5 3 2" xfId="4521"/>
    <cellStyle name="20% - 강조색2 7 5 3 3" xfId="4522"/>
    <cellStyle name="20% - 강조색2 7 5 4" xfId="4523"/>
    <cellStyle name="20% - 강조색2 7 5 5" xfId="4524"/>
    <cellStyle name="20% - 강조색2 7 6" xfId="4525"/>
    <cellStyle name="20% - 강조색2 7 6 2" xfId="4526"/>
    <cellStyle name="20% - 강조색2 7 6 2 2" xfId="4527"/>
    <cellStyle name="20% - 강조색2 7 6 2 2 2" xfId="4528"/>
    <cellStyle name="20% - 강조색2 7 6 2 2 3" xfId="4529"/>
    <cellStyle name="20% - 강조색2 7 6 2 3" xfId="4530"/>
    <cellStyle name="20% - 강조색2 7 6 2 4" xfId="4531"/>
    <cellStyle name="20% - 강조색2 7 6 3" xfId="4532"/>
    <cellStyle name="20% - 강조색2 7 6 3 2" xfId="4533"/>
    <cellStyle name="20% - 강조색2 7 6 3 3" xfId="4534"/>
    <cellStyle name="20% - 강조색2 7 6 4" xfId="4535"/>
    <cellStyle name="20% - 강조색2 7 6 5" xfId="4536"/>
    <cellStyle name="20% - 강조색2 7 7" xfId="4537"/>
    <cellStyle name="20% - 강조색2 7 7 2" xfId="4538"/>
    <cellStyle name="20% - 강조색2 7 7 2 2" xfId="4539"/>
    <cellStyle name="20% - 강조색2 7 7 2 3" xfId="4540"/>
    <cellStyle name="20% - 강조색2 7 7 3" xfId="4541"/>
    <cellStyle name="20% - 강조색2 7 7 4" xfId="4542"/>
    <cellStyle name="20% - 강조색2 7 8" xfId="4543"/>
    <cellStyle name="20% - 강조색2 7 8 2" xfId="4544"/>
    <cellStyle name="20% - 강조색2 7 8 3" xfId="4545"/>
    <cellStyle name="20% - 강조색2 7 9" xfId="4546"/>
    <cellStyle name="20% - 강조색2 8" xfId="4547"/>
    <cellStyle name="20% - 강조색2 8 2" xfId="4548"/>
    <cellStyle name="20% - 강조색2 8 2 2" xfId="4549"/>
    <cellStyle name="20% - 강조색2 8 2 2 2" xfId="4550"/>
    <cellStyle name="20% - 강조색2 8 2 2 2 2" xfId="4551"/>
    <cellStyle name="20% - 강조색2 8 2 2 2 3" xfId="4552"/>
    <cellStyle name="20% - 강조색2 8 2 2 3" xfId="4553"/>
    <cellStyle name="20% - 강조색2 8 2 2 4" xfId="4554"/>
    <cellStyle name="20% - 강조색2 8 2 3" xfId="4555"/>
    <cellStyle name="20% - 강조색2 8 2 3 2" xfId="4556"/>
    <cellStyle name="20% - 강조색2 8 2 3 3" xfId="4557"/>
    <cellStyle name="20% - 강조색2 8 2 4" xfId="4558"/>
    <cellStyle name="20% - 강조색2 8 2 5" xfId="4559"/>
    <cellStyle name="20% - 강조색2 8 3" xfId="4560"/>
    <cellStyle name="20% - 강조색2 8 3 2" xfId="4561"/>
    <cellStyle name="20% - 강조색2 8 3 2 2" xfId="4562"/>
    <cellStyle name="20% - 강조색2 8 3 2 2 2" xfId="4563"/>
    <cellStyle name="20% - 강조색2 8 3 2 2 3" xfId="4564"/>
    <cellStyle name="20% - 강조색2 8 3 2 3" xfId="4565"/>
    <cellStyle name="20% - 강조색2 8 3 2 4" xfId="4566"/>
    <cellStyle name="20% - 강조색2 8 3 3" xfId="4567"/>
    <cellStyle name="20% - 강조색2 8 3 3 2" xfId="4568"/>
    <cellStyle name="20% - 강조색2 8 3 3 3" xfId="4569"/>
    <cellStyle name="20% - 강조색2 8 3 4" xfId="4570"/>
    <cellStyle name="20% - 강조색2 8 3 5" xfId="4571"/>
    <cellStyle name="20% - 강조색2 8 4" xfId="4572"/>
    <cellStyle name="20% - 강조색2 8 4 2" xfId="4573"/>
    <cellStyle name="20% - 강조색2 8 4 2 2" xfId="4574"/>
    <cellStyle name="20% - 강조색2 8 4 2 3" xfId="4575"/>
    <cellStyle name="20% - 강조색2 8 4 3" xfId="4576"/>
    <cellStyle name="20% - 강조색2 8 4 4" xfId="4577"/>
    <cellStyle name="20% - 강조색2 8 5" xfId="4578"/>
    <cellStyle name="20% - 강조색2 8 5 2" xfId="4579"/>
    <cellStyle name="20% - 강조색2 8 5 3" xfId="4580"/>
    <cellStyle name="20% - 강조색2 8 6" xfId="4581"/>
    <cellStyle name="20% - 강조색2 8 7" xfId="4582"/>
    <cellStyle name="20% - 강조색2 9" xfId="4583"/>
    <cellStyle name="20% - 강조색2 9 2" xfId="4584"/>
    <cellStyle name="20% - 강조색2 9 2 2" xfId="4585"/>
    <cellStyle name="20% - 강조색2 9 2 2 2" xfId="4586"/>
    <cellStyle name="20% - 강조색2 9 2 2 2 2" xfId="4587"/>
    <cellStyle name="20% - 강조색2 9 2 2 2 3" xfId="4588"/>
    <cellStyle name="20% - 강조색2 9 2 2 3" xfId="4589"/>
    <cellStyle name="20% - 강조색2 9 2 2 4" xfId="4590"/>
    <cellStyle name="20% - 강조색2 9 2 3" xfId="4591"/>
    <cellStyle name="20% - 강조색2 9 2 3 2" xfId="4592"/>
    <cellStyle name="20% - 강조색2 9 2 3 3" xfId="4593"/>
    <cellStyle name="20% - 강조색2 9 2 4" xfId="4594"/>
    <cellStyle name="20% - 강조색2 9 2 5" xfId="4595"/>
    <cellStyle name="20% - 강조색2 9 3" xfId="4596"/>
    <cellStyle name="20% - 강조색2 9 3 2" xfId="4597"/>
    <cellStyle name="20% - 강조색2 9 3 2 2" xfId="4598"/>
    <cellStyle name="20% - 강조색2 9 3 2 2 2" xfId="4599"/>
    <cellStyle name="20% - 강조색2 9 3 2 2 3" xfId="4600"/>
    <cellStyle name="20% - 강조색2 9 3 2 3" xfId="4601"/>
    <cellStyle name="20% - 강조색2 9 3 2 4" xfId="4602"/>
    <cellStyle name="20% - 강조색2 9 3 3" xfId="4603"/>
    <cellStyle name="20% - 강조색2 9 3 3 2" xfId="4604"/>
    <cellStyle name="20% - 강조색2 9 3 3 3" xfId="4605"/>
    <cellStyle name="20% - 강조색2 9 3 4" xfId="4606"/>
    <cellStyle name="20% - 강조색2 9 3 5" xfId="4607"/>
    <cellStyle name="20% - 강조색2 9 4" xfId="4608"/>
    <cellStyle name="20% - 강조색2 9 4 2" xfId="4609"/>
    <cellStyle name="20% - 강조색2 9 4 2 2" xfId="4610"/>
    <cellStyle name="20% - 강조색2 9 4 2 3" xfId="4611"/>
    <cellStyle name="20% - 강조색2 9 4 3" xfId="4612"/>
    <cellStyle name="20% - 강조색2 9 4 4" xfId="4613"/>
    <cellStyle name="20% - 강조색2 9 5" xfId="4614"/>
    <cellStyle name="20% - 강조색2 9 5 2" xfId="4615"/>
    <cellStyle name="20% - 강조색2 9 5 3" xfId="4616"/>
    <cellStyle name="20% - 강조색2 9 6" xfId="4617"/>
    <cellStyle name="20% - 강조색2 9 7" xfId="4618"/>
    <cellStyle name="20% - 강조색3 10" xfId="4619"/>
    <cellStyle name="20% - 강조색3 10 2" xfId="4620"/>
    <cellStyle name="20% - 강조색3 10 2 2" xfId="4621"/>
    <cellStyle name="20% - 강조색3 10 2 2 2" xfId="4622"/>
    <cellStyle name="20% - 강조색3 10 2 2 2 2" xfId="4623"/>
    <cellStyle name="20% - 강조색3 10 2 2 2 3" xfId="4624"/>
    <cellStyle name="20% - 강조색3 10 2 2 3" xfId="4625"/>
    <cellStyle name="20% - 강조색3 10 2 2 4" xfId="4626"/>
    <cellStyle name="20% - 강조색3 10 2 3" xfId="4627"/>
    <cellStyle name="20% - 강조색3 10 2 3 2" xfId="4628"/>
    <cellStyle name="20% - 강조색3 10 2 3 3" xfId="4629"/>
    <cellStyle name="20% - 강조색3 10 2 4" xfId="4630"/>
    <cellStyle name="20% - 강조색3 10 2 5" xfId="4631"/>
    <cellStyle name="20% - 강조색3 10 3" xfId="4632"/>
    <cellStyle name="20% - 강조색3 10 3 2" xfId="4633"/>
    <cellStyle name="20% - 강조색3 10 3 2 2" xfId="4634"/>
    <cellStyle name="20% - 강조색3 10 3 2 2 2" xfId="4635"/>
    <cellStyle name="20% - 강조색3 10 3 2 2 3" xfId="4636"/>
    <cellStyle name="20% - 강조색3 10 3 2 3" xfId="4637"/>
    <cellStyle name="20% - 강조색3 10 3 2 4" xfId="4638"/>
    <cellStyle name="20% - 강조색3 10 3 3" xfId="4639"/>
    <cellStyle name="20% - 강조색3 10 3 3 2" xfId="4640"/>
    <cellStyle name="20% - 강조색3 10 3 3 3" xfId="4641"/>
    <cellStyle name="20% - 강조색3 10 3 4" xfId="4642"/>
    <cellStyle name="20% - 강조색3 10 3 5" xfId="4643"/>
    <cellStyle name="20% - 강조색3 10 4" xfId="4644"/>
    <cellStyle name="20% - 강조색3 10 4 2" xfId="4645"/>
    <cellStyle name="20% - 강조색3 10 4 2 2" xfId="4646"/>
    <cellStyle name="20% - 강조색3 10 4 2 3" xfId="4647"/>
    <cellStyle name="20% - 강조색3 10 4 3" xfId="4648"/>
    <cellStyle name="20% - 강조색3 10 4 4" xfId="4649"/>
    <cellStyle name="20% - 강조색3 10 5" xfId="4650"/>
    <cellStyle name="20% - 강조색3 10 5 2" xfId="4651"/>
    <cellStyle name="20% - 강조색3 10 5 3" xfId="4652"/>
    <cellStyle name="20% - 강조색3 10 6" xfId="4653"/>
    <cellStyle name="20% - 강조색3 10 7" xfId="4654"/>
    <cellStyle name="20% - 강조색3 11" xfId="4655"/>
    <cellStyle name="20% - 강조색3 11 2" xfId="4656"/>
    <cellStyle name="20% - 강조색3 11 2 2" xfId="4657"/>
    <cellStyle name="20% - 강조색3 11 2 2 2" xfId="4658"/>
    <cellStyle name="20% - 강조색3 11 2 2 3" xfId="4659"/>
    <cellStyle name="20% - 강조색3 11 2 3" xfId="4660"/>
    <cellStyle name="20% - 강조색3 11 2 4" xfId="4661"/>
    <cellStyle name="20% - 강조색3 11 3" xfId="4662"/>
    <cellStyle name="20% - 강조색3 11 3 2" xfId="4663"/>
    <cellStyle name="20% - 강조색3 11 3 3" xfId="4664"/>
    <cellStyle name="20% - 강조색3 11 4" xfId="4665"/>
    <cellStyle name="20% - 강조색3 11 5" xfId="4666"/>
    <cellStyle name="20% - 강조색3 12" xfId="4667"/>
    <cellStyle name="20% - 강조색3 12 2" xfId="4668"/>
    <cellStyle name="20% - 강조색3 12 2 2" xfId="4669"/>
    <cellStyle name="20% - 강조색3 12 2 2 2" xfId="4670"/>
    <cellStyle name="20% - 강조색3 12 2 2 3" xfId="4671"/>
    <cellStyle name="20% - 강조색3 12 2 3" xfId="4672"/>
    <cellStyle name="20% - 강조색3 12 2 4" xfId="4673"/>
    <cellStyle name="20% - 강조색3 12 3" xfId="4674"/>
    <cellStyle name="20% - 강조색3 12 3 2" xfId="4675"/>
    <cellStyle name="20% - 강조색3 12 3 3" xfId="4676"/>
    <cellStyle name="20% - 강조색3 12 4" xfId="4677"/>
    <cellStyle name="20% - 강조색3 12 5" xfId="4678"/>
    <cellStyle name="20% - 강조색3 13" xfId="4679"/>
    <cellStyle name="20% - 강조색3 13 2" xfId="4680"/>
    <cellStyle name="20% - 강조색3 13 2 2" xfId="4681"/>
    <cellStyle name="20% - 강조색3 13 2 3" xfId="4682"/>
    <cellStyle name="20% - 강조색3 13 3" xfId="4683"/>
    <cellStyle name="20% - 강조색3 13 4" xfId="4684"/>
    <cellStyle name="20% - 강조색3 14" xfId="4685"/>
    <cellStyle name="20% - 강조색3 14 2" xfId="4686"/>
    <cellStyle name="20% - 강조색3 14 2 2" xfId="4687"/>
    <cellStyle name="20% - 강조색3 14 2 3" xfId="4688"/>
    <cellStyle name="20% - 강조색3 14 3" xfId="4689"/>
    <cellStyle name="20% - 강조색3 14 4" xfId="4690"/>
    <cellStyle name="20% - 강조색3 15" xfId="4691"/>
    <cellStyle name="20% - 강조색3 15 2" xfId="4692"/>
    <cellStyle name="20% - 강조색3 15 3" xfId="4693"/>
    <cellStyle name="20% - 강조색3 16" xfId="4694"/>
    <cellStyle name="20% - 강조색3 16 2" xfId="4695"/>
    <cellStyle name="20% - 강조색3 16 3" xfId="4696"/>
    <cellStyle name="20% - 강조색3 16 4" xfId="4697"/>
    <cellStyle name="20% - 강조색3 17" xfId="4698"/>
    <cellStyle name="20% - 강조색3 17 2" xfId="4699"/>
    <cellStyle name="20% - 강조색3 17 3" xfId="4700"/>
    <cellStyle name="20% - 강조색3 18" xfId="4701"/>
    <cellStyle name="20% - 강조색3 18 2" xfId="4702"/>
    <cellStyle name="20% - 강조색3 18 3" xfId="4703"/>
    <cellStyle name="20% - 강조색3 19" xfId="4704"/>
    <cellStyle name="20% - 강조색3 19 2" xfId="4705"/>
    <cellStyle name="20% - 강조색3 19 3" xfId="4706"/>
    <cellStyle name="20% - 강조색3 2" xfId="4707"/>
    <cellStyle name="20% - 강조색3 2 2" xfId="4708"/>
    <cellStyle name="20% - 강조색3 2 2 2" xfId="4709"/>
    <cellStyle name="20% - 강조색3 2 2 2 2" xfId="4710"/>
    <cellStyle name="20% - 강조색3 2 2 3" xfId="4711"/>
    <cellStyle name="20% - 강조색3 2 3" xfId="4712"/>
    <cellStyle name="20% - 강조색3 2 3 2" xfId="4713"/>
    <cellStyle name="20% - 강조색3 2 3 2 2" xfId="4714"/>
    <cellStyle name="20% - 강조색3 2 3 3" xfId="4715"/>
    <cellStyle name="20% - 강조색3 2 4" xfId="4716"/>
    <cellStyle name="20% - 강조색3 2 4 2" xfId="4717"/>
    <cellStyle name="20% - 강조색3 2 5" xfId="4718"/>
    <cellStyle name="20% - 강조색3 2 6" xfId="4719"/>
    <cellStyle name="20% - 강조색3 20" xfId="4720"/>
    <cellStyle name="20% - 강조색3 20 2" xfId="4721"/>
    <cellStyle name="20% - 강조색3 20 3" xfId="4722"/>
    <cellStyle name="20% - 강조색3 21" xfId="4723"/>
    <cellStyle name="20% - 강조색3 21 2" xfId="4724"/>
    <cellStyle name="20% - 강조색3 21 3" xfId="4725"/>
    <cellStyle name="20% - 강조색3 22" xfId="4726"/>
    <cellStyle name="20% - 강조색3 22 2" xfId="4727"/>
    <cellStyle name="20% - 강조색3 22 3" xfId="4728"/>
    <cellStyle name="20% - 강조색3 23" xfId="4729"/>
    <cellStyle name="20% - 강조색3 23 2" xfId="4730"/>
    <cellStyle name="20% - 강조색3 23 3" xfId="4731"/>
    <cellStyle name="20% - 강조색3 24" xfId="4732"/>
    <cellStyle name="20% - 강조색3 24 2" xfId="4733"/>
    <cellStyle name="20% - 강조색3 25" xfId="4734"/>
    <cellStyle name="20% - 강조색3 25 2" xfId="4735"/>
    <cellStyle name="20% - 강조색3 26" xfId="4736"/>
    <cellStyle name="20% - 강조색3 26 2" xfId="4737"/>
    <cellStyle name="20% - 강조색3 27" xfId="4738"/>
    <cellStyle name="20% - 강조색3 27 2" xfId="4739"/>
    <cellStyle name="20% - 강조색3 28" xfId="4740"/>
    <cellStyle name="20% - 강조색3 28 2" xfId="4741"/>
    <cellStyle name="20% - 강조색3 29" xfId="4742"/>
    <cellStyle name="20% - 강조색3 29 2" xfId="4743"/>
    <cellStyle name="20% - 강조색3 3" xfId="4744"/>
    <cellStyle name="20% - 강조색3 3 10" xfId="4745"/>
    <cellStyle name="20% - 강조색3 3 10 2" xfId="4746"/>
    <cellStyle name="20% - 강조색3 3 10 2 2" xfId="4747"/>
    <cellStyle name="20% - 강조색3 3 10 2 3" xfId="4748"/>
    <cellStyle name="20% - 강조색3 3 10 3" xfId="4749"/>
    <cellStyle name="20% - 강조색3 3 10 4" xfId="4750"/>
    <cellStyle name="20% - 강조색3 3 11" xfId="4751"/>
    <cellStyle name="20% - 강조색3 3 11 2" xfId="4752"/>
    <cellStyle name="20% - 강조색3 3 11 3" xfId="4753"/>
    <cellStyle name="20% - 강조색3 3 12" xfId="4754"/>
    <cellStyle name="20% - 강조색3 3 13" xfId="4755"/>
    <cellStyle name="20% - 강조색3 3 14" xfId="4756"/>
    <cellStyle name="20% - 강조색3 3 15" xfId="4757"/>
    <cellStyle name="20% - 강조색3 3 2" xfId="4758"/>
    <cellStyle name="20% - 강조색3 3 2 10" xfId="4759"/>
    <cellStyle name="20% - 강조색3 3 2 11" xfId="4760"/>
    <cellStyle name="20% - 강조색3 3 2 12" xfId="4761"/>
    <cellStyle name="20% - 강조색3 3 2 2" xfId="4762"/>
    <cellStyle name="20% - 강조색3 3 2 2 2" xfId="4763"/>
    <cellStyle name="20% - 강조색3 3 2 2 2 2" xfId="4764"/>
    <cellStyle name="20% - 강조색3 3 2 2 2 2 2" xfId="4765"/>
    <cellStyle name="20% - 강조색3 3 2 2 2 2 2 2" xfId="4766"/>
    <cellStyle name="20% - 강조색3 3 2 2 2 2 2 3" xfId="4767"/>
    <cellStyle name="20% - 강조색3 3 2 2 2 2 3" xfId="4768"/>
    <cellStyle name="20% - 강조색3 3 2 2 2 2 4" xfId="4769"/>
    <cellStyle name="20% - 강조색3 3 2 2 2 3" xfId="4770"/>
    <cellStyle name="20% - 강조색3 3 2 2 2 3 2" xfId="4771"/>
    <cellStyle name="20% - 강조색3 3 2 2 2 3 3" xfId="4772"/>
    <cellStyle name="20% - 강조색3 3 2 2 2 4" xfId="4773"/>
    <cellStyle name="20% - 강조색3 3 2 2 2 5" xfId="4774"/>
    <cellStyle name="20% - 강조색3 3 2 2 3" xfId="4775"/>
    <cellStyle name="20% - 강조색3 3 2 2 3 2" xfId="4776"/>
    <cellStyle name="20% - 강조색3 3 2 2 3 2 2" xfId="4777"/>
    <cellStyle name="20% - 강조색3 3 2 2 3 2 2 2" xfId="4778"/>
    <cellStyle name="20% - 강조색3 3 2 2 3 2 2 3" xfId="4779"/>
    <cellStyle name="20% - 강조색3 3 2 2 3 2 3" xfId="4780"/>
    <cellStyle name="20% - 강조색3 3 2 2 3 2 4" xfId="4781"/>
    <cellStyle name="20% - 강조색3 3 2 2 3 3" xfId="4782"/>
    <cellStyle name="20% - 강조색3 3 2 2 3 3 2" xfId="4783"/>
    <cellStyle name="20% - 강조색3 3 2 2 3 3 3" xfId="4784"/>
    <cellStyle name="20% - 강조색3 3 2 2 3 4" xfId="4785"/>
    <cellStyle name="20% - 강조색3 3 2 2 3 5" xfId="4786"/>
    <cellStyle name="20% - 강조색3 3 2 2 4" xfId="4787"/>
    <cellStyle name="20% - 강조색3 3 2 2 4 2" xfId="4788"/>
    <cellStyle name="20% - 강조색3 3 2 2 4 2 2" xfId="4789"/>
    <cellStyle name="20% - 강조색3 3 2 2 4 2 3" xfId="4790"/>
    <cellStyle name="20% - 강조색3 3 2 2 4 3" xfId="4791"/>
    <cellStyle name="20% - 강조색3 3 2 2 4 4" xfId="4792"/>
    <cellStyle name="20% - 강조색3 3 2 2 5" xfId="4793"/>
    <cellStyle name="20% - 강조색3 3 2 2 5 2" xfId="4794"/>
    <cellStyle name="20% - 강조색3 3 2 2 5 3" xfId="4795"/>
    <cellStyle name="20% - 강조색3 3 2 2 6" xfId="4796"/>
    <cellStyle name="20% - 강조색3 3 2 2 7" xfId="4797"/>
    <cellStyle name="20% - 강조색3 3 2 2 8" xfId="4798"/>
    <cellStyle name="20% - 강조색3 3 2 2 9" xfId="4799"/>
    <cellStyle name="20% - 강조색3 3 2 3" xfId="4800"/>
    <cellStyle name="20% - 강조색3 3 2 3 2" xfId="4801"/>
    <cellStyle name="20% - 강조색3 3 2 3 2 2" xfId="4802"/>
    <cellStyle name="20% - 강조색3 3 2 3 2 2 2" xfId="4803"/>
    <cellStyle name="20% - 강조색3 3 2 3 2 2 2 2" xfId="4804"/>
    <cellStyle name="20% - 강조색3 3 2 3 2 2 2 3" xfId="4805"/>
    <cellStyle name="20% - 강조색3 3 2 3 2 2 3" xfId="4806"/>
    <cellStyle name="20% - 강조색3 3 2 3 2 2 4" xfId="4807"/>
    <cellStyle name="20% - 강조색3 3 2 3 2 3" xfId="4808"/>
    <cellStyle name="20% - 강조색3 3 2 3 2 3 2" xfId="4809"/>
    <cellStyle name="20% - 강조색3 3 2 3 2 3 3" xfId="4810"/>
    <cellStyle name="20% - 강조색3 3 2 3 2 4" xfId="4811"/>
    <cellStyle name="20% - 강조색3 3 2 3 2 5" xfId="4812"/>
    <cellStyle name="20% - 강조색3 3 2 3 3" xfId="4813"/>
    <cellStyle name="20% - 강조색3 3 2 3 3 2" xfId="4814"/>
    <cellStyle name="20% - 강조색3 3 2 3 3 2 2" xfId="4815"/>
    <cellStyle name="20% - 강조색3 3 2 3 3 2 2 2" xfId="4816"/>
    <cellStyle name="20% - 강조색3 3 2 3 3 2 2 3" xfId="4817"/>
    <cellStyle name="20% - 강조색3 3 2 3 3 2 3" xfId="4818"/>
    <cellStyle name="20% - 강조색3 3 2 3 3 2 4" xfId="4819"/>
    <cellStyle name="20% - 강조색3 3 2 3 3 3" xfId="4820"/>
    <cellStyle name="20% - 강조색3 3 2 3 3 3 2" xfId="4821"/>
    <cellStyle name="20% - 강조색3 3 2 3 3 3 3" xfId="4822"/>
    <cellStyle name="20% - 강조색3 3 2 3 3 4" xfId="4823"/>
    <cellStyle name="20% - 강조색3 3 2 3 3 5" xfId="4824"/>
    <cellStyle name="20% - 강조색3 3 2 3 4" xfId="4825"/>
    <cellStyle name="20% - 강조색3 3 2 3 4 2" xfId="4826"/>
    <cellStyle name="20% - 강조색3 3 2 3 4 2 2" xfId="4827"/>
    <cellStyle name="20% - 강조색3 3 2 3 4 2 3" xfId="4828"/>
    <cellStyle name="20% - 강조색3 3 2 3 4 3" xfId="4829"/>
    <cellStyle name="20% - 강조색3 3 2 3 4 4" xfId="4830"/>
    <cellStyle name="20% - 강조색3 3 2 3 5" xfId="4831"/>
    <cellStyle name="20% - 강조색3 3 2 3 5 2" xfId="4832"/>
    <cellStyle name="20% - 강조색3 3 2 3 5 3" xfId="4833"/>
    <cellStyle name="20% - 강조색3 3 2 3 6" xfId="4834"/>
    <cellStyle name="20% - 강조색3 3 2 3 7" xfId="4835"/>
    <cellStyle name="20% - 강조색3 3 2 4" xfId="4836"/>
    <cellStyle name="20% - 강조색3 3 2 4 2" xfId="4837"/>
    <cellStyle name="20% - 강조색3 3 2 4 2 2" xfId="4838"/>
    <cellStyle name="20% - 강조색3 3 2 4 2 2 2" xfId="4839"/>
    <cellStyle name="20% - 강조색3 3 2 4 2 2 3" xfId="4840"/>
    <cellStyle name="20% - 강조색3 3 2 4 2 3" xfId="4841"/>
    <cellStyle name="20% - 강조색3 3 2 4 2 4" xfId="4842"/>
    <cellStyle name="20% - 강조색3 3 2 4 3" xfId="4843"/>
    <cellStyle name="20% - 강조색3 3 2 4 3 2" xfId="4844"/>
    <cellStyle name="20% - 강조색3 3 2 4 3 3" xfId="4845"/>
    <cellStyle name="20% - 강조색3 3 2 4 4" xfId="4846"/>
    <cellStyle name="20% - 강조색3 3 2 4 5" xfId="4847"/>
    <cellStyle name="20% - 강조색3 3 2 5" xfId="4848"/>
    <cellStyle name="20% - 강조색3 3 2 5 2" xfId="4849"/>
    <cellStyle name="20% - 강조색3 3 2 5 2 2" xfId="4850"/>
    <cellStyle name="20% - 강조색3 3 2 5 2 2 2" xfId="4851"/>
    <cellStyle name="20% - 강조색3 3 2 5 2 2 3" xfId="4852"/>
    <cellStyle name="20% - 강조색3 3 2 5 2 3" xfId="4853"/>
    <cellStyle name="20% - 강조색3 3 2 5 2 4" xfId="4854"/>
    <cellStyle name="20% - 강조색3 3 2 5 3" xfId="4855"/>
    <cellStyle name="20% - 강조색3 3 2 5 3 2" xfId="4856"/>
    <cellStyle name="20% - 강조색3 3 2 5 3 3" xfId="4857"/>
    <cellStyle name="20% - 강조색3 3 2 5 4" xfId="4858"/>
    <cellStyle name="20% - 강조색3 3 2 5 5" xfId="4859"/>
    <cellStyle name="20% - 강조색3 3 2 6" xfId="4860"/>
    <cellStyle name="20% - 강조색3 3 2 6 2" xfId="4861"/>
    <cellStyle name="20% - 강조색3 3 2 6 2 2" xfId="4862"/>
    <cellStyle name="20% - 강조색3 3 2 6 2 2 2" xfId="4863"/>
    <cellStyle name="20% - 강조색3 3 2 6 2 2 3" xfId="4864"/>
    <cellStyle name="20% - 강조색3 3 2 6 2 3" xfId="4865"/>
    <cellStyle name="20% - 강조색3 3 2 6 2 4" xfId="4866"/>
    <cellStyle name="20% - 강조색3 3 2 6 3" xfId="4867"/>
    <cellStyle name="20% - 강조색3 3 2 6 3 2" xfId="4868"/>
    <cellStyle name="20% - 강조색3 3 2 6 3 3" xfId="4869"/>
    <cellStyle name="20% - 강조색3 3 2 6 4" xfId="4870"/>
    <cellStyle name="20% - 강조색3 3 2 6 5" xfId="4871"/>
    <cellStyle name="20% - 강조색3 3 2 7" xfId="4872"/>
    <cellStyle name="20% - 강조색3 3 2 7 2" xfId="4873"/>
    <cellStyle name="20% - 강조색3 3 2 7 2 2" xfId="4874"/>
    <cellStyle name="20% - 강조색3 3 2 7 2 3" xfId="4875"/>
    <cellStyle name="20% - 강조색3 3 2 7 3" xfId="4876"/>
    <cellStyle name="20% - 강조색3 3 2 7 4" xfId="4877"/>
    <cellStyle name="20% - 강조색3 3 2 8" xfId="4878"/>
    <cellStyle name="20% - 강조색3 3 2 8 2" xfId="4879"/>
    <cellStyle name="20% - 강조색3 3 2 8 3" xfId="4880"/>
    <cellStyle name="20% - 강조색3 3 2 9" xfId="4881"/>
    <cellStyle name="20% - 강조색3 3 3" xfId="4882"/>
    <cellStyle name="20% - 강조색3 3 3 10" xfId="4883"/>
    <cellStyle name="20% - 강조색3 3 3 11" xfId="4884"/>
    <cellStyle name="20% - 강조색3 3 3 12" xfId="4885"/>
    <cellStyle name="20% - 강조색3 3 3 2" xfId="4886"/>
    <cellStyle name="20% - 강조색3 3 3 2 2" xfId="4887"/>
    <cellStyle name="20% - 강조색3 3 3 2 2 2" xfId="4888"/>
    <cellStyle name="20% - 강조색3 3 3 2 2 2 2" xfId="4889"/>
    <cellStyle name="20% - 강조색3 3 3 2 2 2 2 2" xfId="4890"/>
    <cellStyle name="20% - 강조색3 3 3 2 2 2 2 3" xfId="4891"/>
    <cellStyle name="20% - 강조색3 3 3 2 2 2 3" xfId="4892"/>
    <cellStyle name="20% - 강조색3 3 3 2 2 2 4" xfId="4893"/>
    <cellStyle name="20% - 강조색3 3 3 2 2 3" xfId="4894"/>
    <cellStyle name="20% - 강조색3 3 3 2 2 3 2" xfId="4895"/>
    <cellStyle name="20% - 강조색3 3 3 2 2 3 3" xfId="4896"/>
    <cellStyle name="20% - 강조색3 3 3 2 2 4" xfId="4897"/>
    <cellStyle name="20% - 강조색3 3 3 2 2 5" xfId="4898"/>
    <cellStyle name="20% - 강조색3 3 3 2 3" xfId="4899"/>
    <cellStyle name="20% - 강조색3 3 3 2 3 2" xfId="4900"/>
    <cellStyle name="20% - 강조색3 3 3 2 3 2 2" xfId="4901"/>
    <cellStyle name="20% - 강조색3 3 3 2 3 2 2 2" xfId="4902"/>
    <cellStyle name="20% - 강조색3 3 3 2 3 2 2 3" xfId="4903"/>
    <cellStyle name="20% - 강조색3 3 3 2 3 2 3" xfId="4904"/>
    <cellStyle name="20% - 강조색3 3 3 2 3 2 4" xfId="4905"/>
    <cellStyle name="20% - 강조색3 3 3 2 3 3" xfId="4906"/>
    <cellStyle name="20% - 강조색3 3 3 2 3 3 2" xfId="4907"/>
    <cellStyle name="20% - 강조색3 3 3 2 3 3 3" xfId="4908"/>
    <cellStyle name="20% - 강조색3 3 3 2 3 4" xfId="4909"/>
    <cellStyle name="20% - 강조색3 3 3 2 3 5" xfId="4910"/>
    <cellStyle name="20% - 강조색3 3 3 2 4" xfId="4911"/>
    <cellStyle name="20% - 강조색3 3 3 2 4 2" xfId="4912"/>
    <cellStyle name="20% - 강조색3 3 3 2 4 2 2" xfId="4913"/>
    <cellStyle name="20% - 강조색3 3 3 2 4 2 3" xfId="4914"/>
    <cellStyle name="20% - 강조색3 3 3 2 4 3" xfId="4915"/>
    <cellStyle name="20% - 강조색3 3 3 2 4 4" xfId="4916"/>
    <cellStyle name="20% - 강조색3 3 3 2 5" xfId="4917"/>
    <cellStyle name="20% - 강조색3 3 3 2 5 2" xfId="4918"/>
    <cellStyle name="20% - 강조색3 3 3 2 5 3" xfId="4919"/>
    <cellStyle name="20% - 강조색3 3 3 2 6" xfId="4920"/>
    <cellStyle name="20% - 강조색3 3 3 2 7" xfId="4921"/>
    <cellStyle name="20% - 강조색3 3 3 2 8" xfId="4922"/>
    <cellStyle name="20% - 강조색3 3 3 2 9" xfId="4923"/>
    <cellStyle name="20% - 강조색3 3 3 3" xfId="4924"/>
    <cellStyle name="20% - 강조색3 3 3 3 2" xfId="4925"/>
    <cellStyle name="20% - 강조색3 3 3 3 2 2" xfId="4926"/>
    <cellStyle name="20% - 강조색3 3 3 3 2 2 2" xfId="4927"/>
    <cellStyle name="20% - 강조색3 3 3 3 2 2 2 2" xfId="4928"/>
    <cellStyle name="20% - 강조색3 3 3 3 2 2 2 3" xfId="4929"/>
    <cellStyle name="20% - 강조색3 3 3 3 2 2 3" xfId="4930"/>
    <cellStyle name="20% - 강조색3 3 3 3 2 2 4" xfId="4931"/>
    <cellStyle name="20% - 강조색3 3 3 3 2 3" xfId="4932"/>
    <cellStyle name="20% - 강조색3 3 3 3 2 3 2" xfId="4933"/>
    <cellStyle name="20% - 강조색3 3 3 3 2 3 3" xfId="4934"/>
    <cellStyle name="20% - 강조색3 3 3 3 2 4" xfId="4935"/>
    <cellStyle name="20% - 강조색3 3 3 3 2 5" xfId="4936"/>
    <cellStyle name="20% - 강조색3 3 3 3 3" xfId="4937"/>
    <cellStyle name="20% - 강조색3 3 3 3 3 2" xfId="4938"/>
    <cellStyle name="20% - 강조색3 3 3 3 3 2 2" xfId="4939"/>
    <cellStyle name="20% - 강조색3 3 3 3 3 2 2 2" xfId="4940"/>
    <cellStyle name="20% - 강조색3 3 3 3 3 2 2 3" xfId="4941"/>
    <cellStyle name="20% - 강조색3 3 3 3 3 2 3" xfId="4942"/>
    <cellStyle name="20% - 강조색3 3 3 3 3 2 4" xfId="4943"/>
    <cellStyle name="20% - 강조색3 3 3 3 3 3" xfId="4944"/>
    <cellStyle name="20% - 강조색3 3 3 3 3 3 2" xfId="4945"/>
    <cellStyle name="20% - 강조색3 3 3 3 3 3 3" xfId="4946"/>
    <cellStyle name="20% - 강조색3 3 3 3 3 4" xfId="4947"/>
    <cellStyle name="20% - 강조색3 3 3 3 3 5" xfId="4948"/>
    <cellStyle name="20% - 강조색3 3 3 3 4" xfId="4949"/>
    <cellStyle name="20% - 강조색3 3 3 3 4 2" xfId="4950"/>
    <cellStyle name="20% - 강조색3 3 3 3 4 2 2" xfId="4951"/>
    <cellStyle name="20% - 강조색3 3 3 3 4 2 3" xfId="4952"/>
    <cellStyle name="20% - 강조색3 3 3 3 4 3" xfId="4953"/>
    <cellStyle name="20% - 강조색3 3 3 3 4 4" xfId="4954"/>
    <cellStyle name="20% - 강조색3 3 3 3 5" xfId="4955"/>
    <cellStyle name="20% - 강조색3 3 3 3 5 2" xfId="4956"/>
    <cellStyle name="20% - 강조색3 3 3 3 5 3" xfId="4957"/>
    <cellStyle name="20% - 강조색3 3 3 3 6" xfId="4958"/>
    <cellStyle name="20% - 강조색3 3 3 3 7" xfId="4959"/>
    <cellStyle name="20% - 강조색3 3 3 4" xfId="4960"/>
    <cellStyle name="20% - 강조색3 3 3 4 2" xfId="4961"/>
    <cellStyle name="20% - 강조색3 3 3 4 2 2" xfId="4962"/>
    <cellStyle name="20% - 강조색3 3 3 4 2 2 2" xfId="4963"/>
    <cellStyle name="20% - 강조색3 3 3 4 2 2 3" xfId="4964"/>
    <cellStyle name="20% - 강조색3 3 3 4 2 3" xfId="4965"/>
    <cellStyle name="20% - 강조색3 3 3 4 2 4" xfId="4966"/>
    <cellStyle name="20% - 강조색3 3 3 4 3" xfId="4967"/>
    <cellStyle name="20% - 강조색3 3 3 4 3 2" xfId="4968"/>
    <cellStyle name="20% - 강조색3 3 3 4 3 3" xfId="4969"/>
    <cellStyle name="20% - 강조색3 3 3 4 4" xfId="4970"/>
    <cellStyle name="20% - 강조색3 3 3 4 5" xfId="4971"/>
    <cellStyle name="20% - 강조색3 3 3 5" xfId="4972"/>
    <cellStyle name="20% - 강조색3 3 3 5 2" xfId="4973"/>
    <cellStyle name="20% - 강조색3 3 3 5 2 2" xfId="4974"/>
    <cellStyle name="20% - 강조색3 3 3 5 2 2 2" xfId="4975"/>
    <cellStyle name="20% - 강조색3 3 3 5 2 2 3" xfId="4976"/>
    <cellStyle name="20% - 강조색3 3 3 5 2 3" xfId="4977"/>
    <cellStyle name="20% - 강조색3 3 3 5 2 4" xfId="4978"/>
    <cellStyle name="20% - 강조색3 3 3 5 3" xfId="4979"/>
    <cellStyle name="20% - 강조색3 3 3 5 3 2" xfId="4980"/>
    <cellStyle name="20% - 강조색3 3 3 5 3 3" xfId="4981"/>
    <cellStyle name="20% - 강조색3 3 3 5 4" xfId="4982"/>
    <cellStyle name="20% - 강조색3 3 3 5 5" xfId="4983"/>
    <cellStyle name="20% - 강조색3 3 3 6" xfId="4984"/>
    <cellStyle name="20% - 강조색3 3 3 6 2" xfId="4985"/>
    <cellStyle name="20% - 강조색3 3 3 6 2 2" xfId="4986"/>
    <cellStyle name="20% - 강조색3 3 3 6 2 2 2" xfId="4987"/>
    <cellStyle name="20% - 강조색3 3 3 6 2 2 3" xfId="4988"/>
    <cellStyle name="20% - 강조색3 3 3 6 2 3" xfId="4989"/>
    <cellStyle name="20% - 강조색3 3 3 6 2 4" xfId="4990"/>
    <cellStyle name="20% - 강조색3 3 3 6 3" xfId="4991"/>
    <cellStyle name="20% - 강조색3 3 3 6 3 2" xfId="4992"/>
    <cellStyle name="20% - 강조색3 3 3 6 3 3" xfId="4993"/>
    <cellStyle name="20% - 강조색3 3 3 6 4" xfId="4994"/>
    <cellStyle name="20% - 강조색3 3 3 6 5" xfId="4995"/>
    <cellStyle name="20% - 강조색3 3 3 7" xfId="4996"/>
    <cellStyle name="20% - 강조색3 3 3 7 2" xfId="4997"/>
    <cellStyle name="20% - 강조색3 3 3 7 2 2" xfId="4998"/>
    <cellStyle name="20% - 강조색3 3 3 7 2 3" xfId="4999"/>
    <cellStyle name="20% - 강조색3 3 3 7 3" xfId="5000"/>
    <cellStyle name="20% - 강조색3 3 3 7 4" xfId="5001"/>
    <cellStyle name="20% - 강조색3 3 3 8" xfId="5002"/>
    <cellStyle name="20% - 강조색3 3 3 8 2" xfId="5003"/>
    <cellStyle name="20% - 강조색3 3 3 8 3" xfId="5004"/>
    <cellStyle name="20% - 강조색3 3 3 9" xfId="5005"/>
    <cellStyle name="20% - 강조색3 3 4" xfId="5006"/>
    <cellStyle name="20% - 강조색3 3 4 10" xfId="5007"/>
    <cellStyle name="20% - 강조색3 3 4 11" xfId="5008"/>
    <cellStyle name="20% - 강조색3 3 4 12" xfId="5009"/>
    <cellStyle name="20% - 강조색3 3 4 2" xfId="5010"/>
    <cellStyle name="20% - 강조색3 3 4 2 2" xfId="5011"/>
    <cellStyle name="20% - 강조색3 3 4 2 2 2" xfId="5012"/>
    <cellStyle name="20% - 강조색3 3 4 2 2 2 2" xfId="5013"/>
    <cellStyle name="20% - 강조색3 3 4 2 2 2 2 2" xfId="5014"/>
    <cellStyle name="20% - 강조색3 3 4 2 2 2 2 3" xfId="5015"/>
    <cellStyle name="20% - 강조색3 3 4 2 2 2 3" xfId="5016"/>
    <cellStyle name="20% - 강조색3 3 4 2 2 2 4" xfId="5017"/>
    <cellStyle name="20% - 강조색3 3 4 2 2 3" xfId="5018"/>
    <cellStyle name="20% - 강조색3 3 4 2 2 3 2" xfId="5019"/>
    <cellStyle name="20% - 강조색3 3 4 2 2 3 3" xfId="5020"/>
    <cellStyle name="20% - 강조색3 3 4 2 2 4" xfId="5021"/>
    <cellStyle name="20% - 강조색3 3 4 2 2 5" xfId="5022"/>
    <cellStyle name="20% - 강조색3 3 4 2 3" xfId="5023"/>
    <cellStyle name="20% - 강조색3 3 4 2 3 2" xfId="5024"/>
    <cellStyle name="20% - 강조색3 3 4 2 3 2 2" xfId="5025"/>
    <cellStyle name="20% - 강조색3 3 4 2 3 2 2 2" xfId="5026"/>
    <cellStyle name="20% - 강조색3 3 4 2 3 2 2 3" xfId="5027"/>
    <cellStyle name="20% - 강조색3 3 4 2 3 2 3" xfId="5028"/>
    <cellStyle name="20% - 강조색3 3 4 2 3 2 4" xfId="5029"/>
    <cellStyle name="20% - 강조색3 3 4 2 3 3" xfId="5030"/>
    <cellStyle name="20% - 강조색3 3 4 2 3 3 2" xfId="5031"/>
    <cellStyle name="20% - 강조색3 3 4 2 3 3 3" xfId="5032"/>
    <cellStyle name="20% - 강조색3 3 4 2 3 4" xfId="5033"/>
    <cellStyle name="20% - 강조색3 3 4 2 3 5" xfId="5034"/>
    <cellStyle name="20% - 강조색3 3 4 2 4" xfId="5035"/>
    <cellStyle name="20% - 강조색3 3 4 2 4 2" xfId="5036"/>
    <cellStyle name="20% - 강조색3 3 4 2 4 2 2" xfId="5037"/>
    <cellStyle name="20% - 강조색3 3 4 2 4 2 3" xfId="5038"/>
    <cellStyle name="20% - 강조색3 3 4 2 4 3" xfId="5039"/>
    <cellStyle name="20% - 강조색3 3 4 2 4 4" xfId="5040"/>
    <cellStyle name="20% - 강조색3 3 4 2 5" xfId="5041"/>
    <cellStyle name="20% - 강조색3 3 4 2 5 2" xfId="5042"/>
    <cellStyle name="20% - 강조색3 3 4 2 5 3" xfId="5043"/>
    <cellStyle name="20% - 강조색3 3 4 2 6" xfId="5044"/>
    <cellStyle name="20% - 강조색3 3 4 2 7" xfId="5045"/>
    <cellStyle name="20% - 강조색3 3 4 3" xfId="5046"/>
    <cellStyle name="20% - 강조색3 3 4 3 2" xfId="5047"/>
    <cellStyle name="20% - 강조색3 3 4 3 2 2" xfId="5048"/>
    <cellStyle name="20% - 강조색3 3 4 3 2 2 2" xfId="5049"/>
    <cellStyle name="20% - 강조색3 3 4 3 2 2 2 2" xfId="5050"/>
    <cellStyle name="20% - 강조색3 3 4 3 2 2 2 3" xfId="5051"/>
    <cellStyle name="20% - 강조색3 3 4 3 2 2 3" xfId="5052"/>
    <cellStyle name="20% - 강조색3 3 4 3 2 2 4" xfId="5053"/>
    <cellStyle name="20% - 강조색3 3 4 3 2 3" xfId="5054"/>
    <cellStyle name="20% - 강조색3 3 4 3 2 3 2" xfId="5055"/>
    <cellStyle name="20% - 강조색3 3 4 3 2 3 3" xfId="5056"/>
    <cellStyle name="20% - 강조색3 3 4 3 2 4" xfId="5057"/>
    <cellStyle name="20% - 강조색3 3 4 3 2 5" xfId="5058"/>
    <cellStyle name="20% - 강조색3 3 4 3 3" xfId="5059"/>
    <cellStyle name="20% - 강조색3 3 4 3 3 2" xfId="5060"/>
    <cellStyle name="20% - 강조색3 3 4 3 3 2 2" xfId="5061"/>
    <cellStyle name="20% - 강조색3 3 4 3 3 2 2 2" xfId="5062"/>
    <cellStyle name="20% - 강조색3 3 4 3 3 2 2 3" xfId="5063"/>
    <cellStyle name="20% - 강조색3 3 4 3 3 2 3" xfId="5064"/>
    <cellStyle name="20% - 강조색3 3 4 3 3 2 4" xfId="5065"/>
    <cellStyle name="20% - 강조색3 3 4 3 3 3" xfId="5066"/>
    <cellStyle name="20% - 강조색3 3 4 3 3 3 2" xfId="5067"/>
    <cellStyle name="20% - 강조색3 3 4 3 3 3 3" xfId="5068"/>
    <cellStyle name="20% - 강조색3 3 4 3 3 4" xfId="5069"/>
    <cellStyle name="20% - 강조색3 3 4 3 3 5" xfId="5070"/>
    <cellStyle name="20% - 강조색3 3 4 3 4" xfId="5071"/>
    <cellStyle name="20% - 강조색3 3 4 3 4 2" xfId="5072"/>
    <cellStyle name="20% - 강조색3 3 4 3 4 2 2" xfId="5073"/>
    <cellStyle name="20% - 강조색3 3 4 3 4 2 3" xfId="5074"/>
    <cellStyle name="20% - 강조색3 3 4 3 4 3" xfId="5075"/>
    <cellStyle name="20% - 강조색3 3 4 3 4 4" xfId="5076"/>
    <cellStyle name="20% - 강조색3 3 4 3 5" xfId="5077"/>
    <cellStyle name="20% - 강조색3 3 4 3 5 2" xfId="5078"/>
    <cellStyle name="20% - 강조색3 3 4 3 5 3" xfId="5079"/>
    <cellStyle name="20% - 강조색3 3 4 3 6" xfId="5080"/>
    <cellStyle name="20% - 강조색3 3 4 3 7" xfId="5081"/>
    <cellStyle name="20% - 강조색3 3 4 4" xfId="5082"/>
    <cellStyle name="20% - 강조색3 3 4 4 2" xfId="5083"/>
    <cellStyle name="20% - 강조색3 3 4 4 2 2" xfId="5084"/>
    <cellStyle name="20% - 강조색3 3 4 4 2 2 2" xfId="5085"/>
    <cellStyle name="20% - 강조색3 3 4 4 2 2 3" xfId="5086"/>
    <cellStyle name="20% - 강조색3 3 4 4 2 3" xfId="5087"/>
    <cellStyle name="20% - 강조색3 3 4 4 2 4" xfId="5088"/>
    <cellStyle name="20% - 강조색3 3 4 4 3" xfId="5089"/>
    <cellStyle name="20% - 강조색3 3 4 4 3 2" xfId="5090"/>
    <cellStyle name="20% - 강조색3 3 4 4 3 3" xfId="5091"/>
    <cellStyle name="20% - 강조색3 3 4 4 4" xfId="5092"/>
    <cellStyle name="20% - 강조색3 3 4 4 5" xfId="5093"/>
    <cellStyle name="20% - 강조색3 3 4 5" xfId="5094"/>
    <cellStyle name="20% - 강조색3 3 4 5 2" xfId="5095"/>
    <cellStyle name="20% - 강조색3 3 4 5 2 2" xfId="5096"/>
    <cellStyle name="20% - 강조색3 3 4 5 2 2 2" xfId="5097"/>
    <cellStyle name="20% - 강조색3 3 4 5 2 2 3" xfId="5098"/>
    <cellStyle name="20% - 강조색3 3 4 5 2 3" xfId="5099"/>
    <cellStyle name="20% - 강조색3 3 4 5 2 4" xfId="5100"/>
    <cellStyle name="20% - 강조색3 3 4 5 3" xfId="5101"/>
    <cellStyle name="20% - 강조색3 3 4 5 3 2" xfId="5102"/>
    <cellStyle name="20% - 강조색3 3 4 5 3 3" xfId="5103"/>
    <cellStyle name="20% - 강조색3 3 4 5 4" xfId="5104"/>
    <cellStyle name="20% - 강조색3 3 4 5 5" xfId="5105"/>
    <cellStyle name="20% - 강조색3 3 4 6" xfId="5106"/>
    <cellStyle name="20% - 강조색3 3 4 6 2" xfId="5107"/>
    <cellStyle name="20% - 강조색3 3 4 6 2 2" xfId="5108"/>
    <cellStyle name="20% - 강조색3 3 4 6 2 2 2" xfId="5109"/>
    <cellStyle name="20% - 강조색3 3 4 6 2 2 3" xfId="5110"/>
    <cellStyle name="20% - 강조색3 3 4 6 2 3" xfId="5111"/>
    <cellStyle name="20% - 강조색3 3 4 6 2 4" xfId="5112"/>
    <cellStyle name="20% - 강조색3 3 4 6 3" xfId="5113"/>
    <cellStyle name="20% - 강조색3 3 4 6 3 2" xfId="5114"/>
    <cellStyle name="20% - 강조색3 3 4 6 3 3" xfId="5115"/>
    <cellStyle name="20% - 강조색3 3 4 6 4" xfId="5116"/>
    <cellStyle name="20% - 강조색3 3 4 6 5" xfId="5117"/>
    <cellStyle name="20% - 강조색3 3 4 7" xfId="5118"/>
    <cellStyle name="20% - 강조색3 3 4 7 2" xfId="5119"/>
    <cellStyle name="20% - 강조색3 3 4 7 2 2" xfId="5120"/>
    <cellStyle name="20% - 강조색3 3 4 7 2 3" xfId="5121"/>
    <cellStyle name="20% - 강조색3 3 4 7 3" xfId="5122"/>
    <cellStyle name="20% - 강조색3 3 4 7 4" xfId="5123"/>
    <cellStyle name="20% - 강조색3 3 4 8" xfId="5124"/>
    <cellStyle name="20% - 강조색3 3 4 8 2" xfId="5125"/>
    <cellStyle name="20% - 강조색3 3 4 8 3" xfId="5126"/>
    <cellStyle name="20% - 강조색3 3 4 9" xfId="5127"/>
    <cellStyle name="20% - 강조색3 3 5" xfId="5128"/>
    <cellStyle name="20% - 강조색3 3 5 2" xfId="5129"/>
    <cellStyle name="20% - 강조색3 3 5 2 2" xfId="5130"/>
    <cellStyle name="20% - 강조색3 3 5 2 2 2" xfId="5131"/>
    <cellStyle name="20% - 강조색3 3 5 2 2 2 2" xfId="5132"/>
    <cellStyle name="20% - 강조색3 3 5 2 2 2 3" xfId="5133"/>
    <cellStyle name="20% - 강조색3 3 5 2 2 3" xfId="5134"/>
    <cellStyle name="20% - 강조색3 3 5 2 2 4" xfId="5135"/>
    <cellStyle name="20% - 강조색3 3 5 2 3" xfId="5136"/>
    <cellStyle name="20% - 강조색3 3 5 2 3 2" xfId="5137"/>
    <cellStyle name="20% - 강조색3 3 5 2 3 3" xfId="5138"/>
    <cellStyle name="20% - 강조색3 3 5 2 4" xfId="5139"/>
    <cellStyle name="20% - 강조색3 3 5 2 5" xfId="5140"/>
    <cellStyle name="20% - 강조색3 3 5 3" xfId="5141"/>
    <cellStyle name="20% - 강조색3 3 5 3 2" xfId="5142"/>
    <cellStyle name="20% - 강조색3 3 5 3 2 2" xfId="5143"/>
    <cellStyle name="20% - 강조색3 3 5 3 2 2 2" xfId="5144"/>
    <cellStyle name="20% - 강조색3 3 5 3 2 2 3" xfId="5145"/>
    <cellStyle name="20% - 강조색3 3 5 3 2 3" xfId="5146"/>
    <cellStyle name="20% - 강조색3 3 5 3 2 4" xfId="5147"/>
    <cellStyle name="20% - 강조색3 3 5 3 3" xfId="5148"/>
    <cellStyle name="20% - 강조색3 3 5 3 3 2" xfId="5149"/>
    <cellStyle name="20% - 강조색3 3 5 3 3 3" xfId="5150"/>
    <cellStyle name="20% - 강조색3 3 5 3 4" xfId="5151"/>
    <cellStyle name="20% - 강조색3 3 5 3 5" xfId="5152"/>
    <cellStyle name="20% - 강조색3 3 5 4" xfId="5153"/>
    <cellStyle name="20% - 강조색3 3 5 4 2" xfId="5154"/>
    <cellStyle name="20% - 강조색3 3 5 4 2 2" xfId="5155"/>
    <cellStyle name="20% - 강조색3 3 5 4 2 3" xfId="5156"/>
    <cellStyle name="20% - 강조색3 3 5 4 3" xfId="5157"/>
    <cellStyle name="20% - 강조색3 3 5 4 4" xfId="5158"/>
    <cellStyle name="20% - 강조색3 3 5 5" xfId="5159"/>
    <cellStyle name="20% - 강조색3 3 5 5 2" xfId="5160"/>
    <cellStyle name="20% - 강조색3 3 5 5 3" xfId="5161"/>
    <cellStyle name="20% - 강조색3 3 5 6" xfId="5162"/>
    <cellStyle name="20% - 강조색3 3 5 7" xfId="5163"/>
    <cellStyle name="20% - 강조색3 3 5 8" xfId="5164"/>
    <cellStyle name="20% - 강조색3 3 6" xfId="5165"/>
    <cellStyle name="20% - 강조색3 3 6 2" xfId="5166"/>
    <cellStyle name="20% - 강조색3 3 6 2 2" xfId="5167"/>
    <cellStyle name="20% - 강조색3 3 6 2 2 2" xfId="5168"/>
    <cellStyle name="20% - 강조색3 3 6 2 2 2 2" xfId="5169"/>
    <cellStyle name="20% - 강조색3 3 6 2 2 2 3" xfId="5170"/>
    <cellStyle name="20% - 강조색3 3 6 2 2 3" xfId="5171"/>
    <cellStyle name="20% - 강조색3 3 6 2 2 4" xfId="5172"/>
    <cellStyle name="20% - 강조색3 3 6 2 3" xfId="5173"/>
    <cellStyle name="20% - 강조색3 3 6 2 3 2" xfId="5174"/>
    <cellStyle name="20% - 강조색3 3 6 2 3 3" xfId="5175"/>
    <cellStyle name="20% - 강조색3 3 6 2 4" xfId="5176"/>
    <cellStyle name="20% - 강조색3 3 6 2 5" xfId="5177"/>
    <cellStyle name="20% - 강조색3 3 6 3" xfId="5178"/>
    <cellStyle name="20% - 강조색3 3 6 3 2" xfId="5179"/>
    <cellStyle name="20% - 강조색3 3 6 3 2 2" xfId="5180"/>
    <cellStyle name="20% - 강조색3 3 6 3 2 2 2" xfId="5181"/>
    <cellStyle name="20% - 강조색3 3 6 3 2 2 3" xfId="5182"/>
    <cellStyle name="20% - 강조색3 3 6 3 2 3" xfId="5183"/>
    <cellStyle name="20% - 강조색3 3 6 3 2 4" xfId="5184"/>
    <cellStyle name="20% - 강조색3 3 6 3 3" xfId="5185"/>
    <cellStyle name="20% - 강조색3 3 6 3 3 2" xfId="5186"/>
    <cellStyle name="20% - 강조색3 3 6 3 3 3" xfId="5187"/>
    <cellStyle name="20% - 강조색3 3 6 3 4" xfId="5188"/>
    <cellStyle name="20% - 강조색3 3 6 3 5" xfId="5189"/>
    <cellStyle name="20% - 강조색3 3 6 4" xfId="5190"/>
    <cellStyle name="20% - 강조색3 3 6 4 2" xfId="5191"/>
    <cellStyle name="20% - 강조색3 3 6 4 2 2" xfId="5192"/>
    <cellStyle name="20% - 강조색3 3 6 4 2 3" xfId="5193"/>
    <cellStyle name="20% - 강조색3 3 6 4 3" xfId="5194"/>
    <cellStyle name="20% - 강조색3 3 6 4 4" xfId="5195"/>
    <cellStyle name="20% - 강조색3 3 6 5" xfId="5196"/>
    <cellStyle name="20% - 강조색3 3 6 5 2" xfId="5197"/>
    <cellStyle name="20% - 강조색3 3 6 5 3" xfId="5198"/>
    <cellStyle name="20% - 강조색3 3 6 6" xfId="5199"/>
    <cellStyle name="20% - 강조색3 3 6 7" xfId="5200"/>
    <cellStyle name="20% - 강조색3 3 7" xfId="5201"/>
    <cellStyle name="20% - 강조색3 3 7 2" xfId="5202"/>
    <cellStyle name="20% - 강조색3 3 7 2 2" xfId="5203"/>
    <cellStyle name="20% - 강조색3 3 7 2 2 2" xfId="5204"/>
    <cellStyle name="20% - 강조색3 3 7 2 2 3" xfId="5205"/>
    <cellStyle name="20% - 강조색3 3 7 2 3" xfId="5206"/>
    <cellStyle name="20% - 강조색3 3 7 2 4" xfId="5207"/>
    <cellStyle name="20% - 강조색3 3 7 3" xfId="5208"/>
    <cellStyle name="20% - 강조색3 3 7 3 2" xfId="5209"/>
    <cellStyle name="20% - 강조색3 3 7 3 3" xfId="5210"/>
    <cellStyle name="20% - 강조색3 3 7 4" xfId="5211"/>
    <cellStyle name="20% - 강조색3 3 7 5" xfId="5212"/>
    <cellStyle name="20% - 강조색3 3 8" xfId="5213"/>
    <cellStyle name="20% - 강조색3 3 8 2" xfId="5214"/>
    <cellStyle name="20% - 강조색3 3 8 2 2" xfId="5215"/>
    <cellStyle name="20% - 강조색3 3 8 2 2 2" xfId="5216"/>
    <cellStyle name="20% - 강조색3 3 8 2 2 3" xfId="5217"/>
    <cellStyle name="20% - 강조색3 3 8 2 3" xfId="5218"/>
    <cellStyle name="20% - 강조색3 3 8 2 4" xfId="5219"/>
    <cellStyle name="20% - 강조색3 3 8 3" xfId="5220"/>
    <cellStyle name="20% - 강조색3 3 8 3 2" xfId="5221"/>
    <cellStyle name="20% - 강조색3 3 8 3 3" xfId="5222"/>
    <cellStyle name="20% - 강조색3 3 8 4" xfId="5223"/>
    <cellStyle name="20% - 강조색3 3 8 5" xfId="5224"/>
    <cellStyle name="20% - 강조색3 3 9" xfId="5225"/>
    <cellStyle name="20% - 강조색3 3 9 2" xfId="5226"/>
    <cellStyle name="20% - 강조색3 3 9 2 2" xfId="5227"/>
    <cellStyle name="20% - 강조색3 3 9 2 2 2" xfId="5228"/>
    <cellStyle name="20% - 강조색3 3 9 2 2 3" xfId="5229"/>
    <cellStyle name="20% - 강조색3 3 9 2 3" xfId="5230"/>
    <cellStyle name="20% - 강조색3 3 9 2 4" xfId="5231"/>
    <cellStyle name="20% - 강조색3 3 9 3" xfId="5232"/>
    <cellStyle name="20% - 강조색3 3 9 3 2" xfId="5233"/>
    <cellStyle name="20% - 강조색3 3 9 3 3" xfId="5234"/>
    <cellStyle name="20% - 강조색3 3 9 4" xfId="5235"/>
    <cellStyle name="20% - 강조색3 3 9 5" xfId="5236"/>
    <cellStyle name="20% - 강조색3 30" xfId="5237"/>
    <cellStyle name="20% - 강조색3 30 2" xfId="5238"/>
    <cellStyle name="20% - 강조색3 31" xfId="5239"/>
    <cellStyle name="20% - 강조색3 31 2" xfId="5240"/>
    <cellStyle name="20% - 강조색3 32" xfId="5241"/>
    <cellStyle name="20% - 강조색3 32 2" xfId="5242"/>
    <cellStyle name="20% - 강조색3 33" xfId="5243"/>
    <cellStyle name="20% - 강조색3 33 2" xfId="5244"/>
    <cellStyle name="20% - 강조색3 34" xfId="5245"/>
    <cellStyle name="20% - 강조색3 34 2" xfId="5246"/>
    <cellStyle name="20% - 강조색3 35" xfId="5247"/>
    <cellStyle name="20% - 강조색3 36" xfId="5248"/>
    <cellStyle name="20% - 강조색3 37" xfId="5249"/>
    <cellStyle name="20% - 강조색3 38" xfId="5250"/>
    <cellStyle name="20% - 강조색3 39" xfId="5251"/>
    <cellStyle name="20% - 강조색3 4" xfId="5252"/>
    <cellStyle name="20% - 강조색3 4 10" xfId="5253"/>
    <cellStyle name="20% - 강조색3 4 10 2" xfId="5254"/>
    <cellStyle name="20% - 강조색3 4 10 2 2" xfId="5255"/>
    <cellStyle name="20% - 강조색3 4 10 2 3" xfId="5256"/>
    <cellStyle name="20% - 강조색3 4 10 3" xfId="5257"/>
    <cellStyle name="20% - 강조색3 4 10 4" xfId="5258"/>
    <cellStyle name="20% - 강조색3 4 11" xfId="5259"/>
    <cellStyle name="20% - 강조색3 4 11 2" xfId="5260"/>
    <cellStyle name="20% - 강조색3 4 11 3" xfId="5261"/>
    <cellStyle name="20% - 강조색3 4 12" xfId="5262"/>
    <cellStyle name="20% - 강조색3 4 13" xfId="5263"/>
    <cellStyle name="20% - 강조색3 4 14" xfId="5264"/>
    <cellStyle name="20% - 강조색3 4 2" xfId="5265"/>
    <cellStyle name="20% - 강조색3 4 2 10" xfId="5266"/>
    <cellStyle name="20% - 강조색3 4 2 2" xfId="5267"/>
    <cellStyle name="20% - 강조색3 4 2 2 2" xfId="5268"/>
    <cellStyle name="20% - 강조색3 4 2 2 2 2" xfId="5269"/>
    <cellStyle name="20% - 강조색3 4 2 2 2 2 2" xfId="5270"/>
    <cellStyle name="20% - 강조색3 4 2 2 2 2 2 2" xfId="5271"/>
    <cellStyle name="20% - 강조색3 4 2 2 2 2 2 3" xfId="5272"/>
    <cellStyle name="20% - 강조색3 4 2 2 2 2 3" xfId="5273"/>
    <cellStyle name="20% - 강조색3 4 2 2 2 2 4" xfId="5274"/>
    <cellStyle name="20% - 강조색3 4 2 2 2 3" xfId="5275"/>
    <cellStyle name="20% - 강조색3 4 2 2 2 3 2" xfId="5276"/>
    <cellStyle name="20% - 강조색3 4 2 2 2 3 3" xfId="5277"/>
    <cellStyle name="20% - 강조색3 4 2 2 2 4" xfId="5278"/>
    <cellStyle name="20% - 강조색3 4 2 2 2 5" xfId="5279"/>
    <cellStyle name="20% - 강조색3 4 2 2 3" xfId="5280"/>
    <cellStyle name="20% - 강조색3 4 2 2 3 2" xfId="5281"/>
    <cellStyle name="20% - 강조색3 4 2 2 3 2 2" xfId="5282"/>
    <cellStyle name="20% - 강조색3 4 2 2 3 2 2 2" xfId="5283"/>
    <cellStyle name="20% - 강조색3 4 2 2 3 2 2 3" xfId="5284"/>
    <cellStyle name="20% - 강조색3 4 2 2 3 2 3" xfId="5285"/>
    <cellStyle name="20% - 강조색3 4 2 2 3 2 4" xfId="5286"/>
    <cellStyle name="20% - 강조색3 4 2 2 3 3" xfId="5287"/>
    <cellStyle name="20% - 강조색3 4 2 2 3 3 2" xfId="5288"/>
    <cellStyle name="20% - 강조색3 4 2 2 3 3 3" xfId="5289"/>
    <cellStyle name="20% - 강조색3 4 2 2 3 4" xfId="5290"/>
    <cellStyle name="20% - 강조색3 4 2 2 3 5" xfId="5291"/>
    <cellStyle name="20% - 강조색3 4 2 2 4" xfId="5292"/>
    <cellStyle name="20% - 강조색3 4 2 2 4 2" xfId="5293"/>
    <cellStyle name="20% - 강조색3 4 2 2 4 2 2" xfId="5294"/>
    <cellStyle name="20% - 강조색3 4 2 2 4 2 3" xfId="5295"/>
    <cellStyle name="20% - 강조색3 4 2 2 4 3" xfId="5296"/>
    <cellStyle name="20% - 강조색3 4 2 2 4 4" xfId="5297"/>
    <cellStyle name="20% - 강조색3 4 2 2 5" xfId="5298"/>
    <cellStyle name="20% - 강조색3 4 2 2 5 2" xfId="5299"/>
    <cellStyle name="20% - 강조색3 4 2 2 5 3" xfId="5300"/>
    <cellStyle name="20% - 강조색3 4 2 2 6" xfId="5301"/>
    <cellStyle name="20% - 강조색3 4 2 2 7" xfId="5302"/>
    <cellStyle name="20% - 강조색3 4 2 3" xfId="5303"/>
    <cellStyle name="20% - 강조색3 4 2 3 2" xfId="5304"/>
    <cellStyle name="20% - 강조색3 4 2 3 2 2" xfId="5305"/>
    <cellStyle name="20% - 강조색3 4 2 3 2 2 2" xfId="5306"/>
    <cellStyle name="20% - 강조색3 4 2 3 2 2 2 2" xfId="5307"/>
    <cellStyle name="20% - 강조색3 4 2 3 2 2 2 3" xfId="5308"/>
    <cellStyle name="20% - 강조색3 4 2 3 2 2 3" xfId="5309"/>
    <cellStyle name="20% - 강조색3 4 2 3 2 2 4" xfId="5310"/>
    <cellStyle name="20% - 강조색3 4 2 3 2 3" xfId="5311"/>
    <cellStyle name="20% - 강조색3 4 2 3 2 3 2" xfId="5312"/>
    <cellStyle name="20% - 강조색3 4 2 3 2 3 3" xfId="5313"/>
    <cellStyle name="20% - 강조색3 4 2 3 2 4" xfId="5314"/>
    <cellStyle name="20% - 강조색3 4 2 3 2 5" xfId="5315"/>
    <cellStyle name="20% - 강조색3 4 2 3 3" xfId="5316"/>
    <cellStyle name="20% - 강조색3 4 2 3 3 2" xfId="5317"/>
    <cellStyle name="20% - 강조색3 4 2 3 3 2 2" xfId="5318"/>
    <cellStyle name="20% - 강조색3 4 2 3 3 2 2 2" xfId="5319"/>
    <cellStyle name="20% - 강조색3 4 2 3 3 2 2 3" xfId="5320"/>
    <cellStyle name="20% - 강조색3 4 2 3 3 2 3" xfId="5321"/>
    <cellStyle name="20% - 강조색3 4 2 3 3 2 4" xfId="5322"/>
    <cellStyle name="20% - 강조색3 4 2 3 3 3" xfId="5323"/>
    <cellStyle name="20% - 강조색3 4 2 3 3 3 2" xfId="5324"/>
    <cellStyle name="20% - 강조색3 4 2 3 3 3 3" xfId="5325"/>
    <cellStyle name="20% - 강조색3 4 2 3 3 4" xfId="5326"/>
    <cellStyle name="20% - 강조색3 4 2 3 3 5" xfId="5327"/>
    <cellStyle name="20% - 강조색3 4 2 3 4" xfId="5328"/>
    <cellStyle name="20% - 강조색3 4 2 3 4 2" xfId="5329"/>
    <cellStyle name="20% - 강조색3 4 2 3 4 2 2" xfId="5330"/>
    <cellStyle name="20% - 강조색3 4 2 3 4 2 3" xfId="5331"/>
    <cellStyle name="20% - 강조색3 4 2 3 4 3" xfId="5332"/>
    <cellStyle name="20% - 강조색3 4 2 3 4 4" xfId="5333"/>
    <cellStyle name="20% - 강조색3 4 2 3 5" xfId="5334"/>
    <cellStyle name="20% - 강조색3 4 2 3 5 2" xfId="5335"/>
    <cellStyle name="20% - 강조색3 4 2 3 5 3" xfId="5336"/>
    <cellStyle name="20% - 강조색3 4 2 3 6" xfId="5337"/>
    <cellStyle name="20% - 강조색3 4 2 3 7" xfId="5338"/>
    <cellStyle name="20% - 강조색3 4 2 4" xfId="5339"/>
    <cellStyle name="20% - 강조색3 4 2 4 2" xfId="5340"/>
    <cellStyle name="20% - 강조색3 4 2 4 2 2" xfId="5341"/>
    <cellStyle name="20% - 강조색3 4 2 4 2 2 2" xfId="5342"/>
    <cellStyle name="20% - 강조색3 4 2 4 2 2 3" xfId="5343"/>
    <cellStyle name="20% - 강조색3 4 2 4 2 3" xfId="5344"/>
    <cellStyle name="20% - 강조색3 4 2 4 2 4" xfId="5345"/>
    <cellStyle name="20% - 강조색3 4 2 4 3" xfId="5346"/>
    <cellStyle name="20% - 강조색3 4 2 4 3 2" xfId="5347"/>
    <cellStyle name="20% - 강조색3 4 2 4 3 3" xfId="5348"/>
    <cellStyle name="20% - 강조색3 4 2 4 4" xfId="5349"/>
    <cellStyle name="20% - 강조색3 4 2 4 5" xfId="5350"/>
    <cellStyle name="20% - 강조색3 4 2 5" xfId="5351"/>
    <cellStyle name="20% - 강조색3 4 2 5 2" xfId="5352"/>
    <cellStyle name="20% - 강조색3 4 2 5 2 2" xfId="5353"/>
    <cellStyle name="20% - 강조색3 4 2 5 2 2 2" xfId="5354"/>
    <cellStyle name="20% - 강조색3 4 2 5 2 2 3" xfId="5355"/>
    <cellStyle name="20% - 강조색3 4 2 5 2 3" xfId="5356"/>
    <cellStyle name="20% - 강조색3 4 2 5 2 4" xfId="5357"/>
    <cellStyle name="20% - 강조색3 4 2 5 3" xfId="5358"/>
    <cellStyle name="20% - 강조색3 4 2 5 3 2" xfId="5359"/>
    <cellStyle name="20% - 강조색3 4 2 5 3 3" xfId="5360"/>
    <cellStyle name="20% - 강조색3 4 2 5 4" xfId="5361"/>
    <cellStyle name="20% - 강조색3 4 2 5 5" xfId="5362"/>
    <cellStyle name="20% - 강조색3 4 2 6" xfId="5363"/>
    <cellStyle name="20% - 강조색3 4 2 6 2" xfId="5364"/>
    <cellStyle name="20% - 강조색3 4 2 6 2 2" xfId="5365"/>
    <cellStyle name="20% - 강조색3 4 2 6 2 2 2" xfId="5366"/>
    <cellStyle name="20% - 강조색3 4 2 6 2 2 3" xfId="5367"/>
    <cellStyle name="20% - 강조색3 4 2 6 2 3" xfId="5368"/>
    <cellStyle name="20% - 강조색3 4 2 6 2 4" xfId="5369"/>
    <cellStyle name="20% - 강조색3 4 2 6 3" xfId="5370"/>
    <cellStyle name="20% - 강조색3 4 2 6 3 2" xfId="5371"/>
    <cellStyle name="20% - 강조색3 4 2 6 3 3" xfId="5372"/>
    <cellStyle name="20% - 강조색3 4 2 6 4" xfId="5373"/>
    <cellStyle name="20% - 강조색3 4 2 6 5" xfId="5374"/>
    <cellStyle name="20% - 강조색3 4 2 7" xfId="5375"/>
    <cellStyle name="20% - 강조색3 4 2 7 2" xfId="5376"/>
    <cellStyle name="20% - 강조색3 4 2 7 2 2" xfId="5377"/>
    <cellStyle name="20% - 강조색3 4 2 7 2 3" xfId="5378"/>
    <cellStyle name="20% - 강조색3 4 2 7 3" xfId="5379"/>
    <cellStyle name="20% - 강조색3 4 2 7 4" xfId="5380"/>
    <cellStyle name="20% - 강조색3 4 2 8" xfId="5381"/>
    <cellStyle name="20% - 강조색3 4 2 8 2" xfId="5382"/>
    <cellStyle name="20% - 강조색3 4 2 8 3" xfId="5383"/>
    <cellStyle name="20% - 강조색3 4 2 9" xfId="5384"/>
    <cellStyle name="20% - 강조색3 4 3" xfId="5385"/>
    <cellStyle name="20% - 강조색3 4 3 10" xfId="5386"/>
    <cellStyle name="20% - 강조색3 4 3 2" xfId="5387"/>
    <cellStyle name="20% - 강조색3 4 3 2 2" xfId="5388"/>
    <cellStyle name="20% - 강조색3 4 3 2 2 2" xfId="5389"/>
    <cellStyle name="20% - 강조색3 4 3 2 2 2 2" xfId="5390"/>
    <cellStyle name="20% - 강조색3 4 3 2 2 2 2 2" xfId="5391"/>
    <cellStyle name="20% - 강조색3 4 3 2 2 2 2 3" xfId="5392"/>
    <cellStyle name="20% - 강조색3 4 3 2 2 2 3" xfId="5393"/>
    <cellStyle name="20% - 강조색3 4 3 2 2 2 4" xfId="5394"/>
    <cellStyle name="20% - 강조색3 4 3 2 2 3" xfId="5395"/>
    <cellStyle name="20% - 강조색3 4 3 2 2 3 2" xfId="5396"/>
    <cellStyle name="20% - 강조색3 4 3 2 2 3 3" xfId="5397"/>
    <cellStyle name="20% - 강조색3 4 3 2 2 4" xfId="5398"/>
    <cellStyle name="20% - 강조색3 4 3 2 2 5" xfId="5399"/>
    <cellStyle name="20% - 강조색3 4 3 2 3" xfId="5400"/>
    <cellStyle name="20% - 강조색3 4 3 2 3 2" xfId="5401"/>
    <cellStyle name="20% - 강조색3 4 3 2 3 2 2" xfId="5402"/>
    <cellStyle name="20% - 강조색3 4 3 2 3 2 2 2" xfId="5403"/>
    <cellStyle name="20% - 강조색3 4 3 2 3 2 2 3" xfId="5404"/>
    <cellStyle name="20% - 강조색3 4 3 2 3 2 3" xfId="5405"/>
    <cellStyle name="20% - 강조색3 4 3 2 3 2 4" xfId="5406"/>
    <cellStyle name="20% - 강조색3 4 3 2 3 3" xfId="5407"/>
    <cellStyle name="20% - 강조색3 4 3 2 3 3 2" xfId="5408"/>
    <cellStyle name="20% - 강조색3 4 3 2 3 3 3" xfId="5409"/>
    <cellStyle name="20% - 강조색3 4 3 2 3 4" xfId="5410"/>
    <cellStyle name="20% - 강조색3 4 3 2 3 5" xfId="5411"/>
    <cellStyle name="20% - 강조색3 4 3 2 4" xfId="5412"/>
    <cellStyle name="20% - 강조색3 4 3 2 4 2" xfId="5413"/>
    <cellStyle name="20% - 강조색3 4 3 2 4 2 2" xfId="5414"/>
    <cellStyle name="20% - 강조색3 4 3 2 4 2 3" xfId="5415"/>
    <cellStyle name="20% - 강조색3 4 3 2 4 3" xfId="5416"/>
    <cellStyle name="20% - 강조색3 4 3 2 4 4" xfId="5417"/>
    <cellStyle name="20% - 강조색3 4 3 2 5" xfId="5418"/>
    <cellStyle name="20% - 강조색3 4 3 2 5 2" xfId="5419"/>
    <cellStyle name="20% - 강조색3 4 3 2 5 3" xfId="5420"/>
    <cellStyle name="20% - 강조색3 4 3 2 6" xfId="5421"/>
    <cellStyle name="20% - 강조색3 4 3 2 7" xfId="5422"/>
    <cellStyle name="20% - 강조색3 4 3 3" xfId="5423"/>
    <cellStyle name="20% - 강조색3 4 3 3 2" xfId="5424"/>
    <cellStyle name="20% - 강조색3 4 3 3 2 2" xfId="5425"/>
    <cellStyle name="20% - 강조색3 4 3 3 2 2 2" xfId="5426"/>
    <cellStyle name="20% - 강조색3 4 3 3 2 2 2 2" xfId="5427"/>
    <cellStyle name="20% - 강조색3 4 3 3 2 2 2 3" xfId="5428"/>
    <cellStyle name="20% - 강조색3 4 3 3 2 2 3" xfId="5429"/>
    <cellStyle name="20% - 강조색3 4 3 3 2 2 4" xfId="5430"/>
    <cellStyle name="20% - 강조색3 4 3 3 2 3" xfId="5431"/>
    <cellStyle name="20% - 강조색3 4 3 3 2 3 2" xfId="5432"/>
    <cellStyle name="20% - 강조색3 4 3 3 2 3 3" xfId="5433"/>
    <cellStyle name="20% - 강조색3 4 3 3 2 4" xfId="5434"/>
    <cellStyle name="20% - 강조색3 4 3 3 2 5" xfId="5435"/>
    <cellStyle name="20% - 강조색3 4 3 3 3" xfId="5436"/>
    <cellStyle name="20% - 강조색3 4 3 3 3 2" xfId="5437"/>
    <cellStyle name="20% - 강조색3 4 3 3 3 2 2" xfId="5438"/>
    <cellStyle name="20% - 강조색3 4 3 3 3 2 2 2" xfId="5439"/>
    <cellStyle name="20% - 강조색3 4 3 3 3 2 2 3" xfId="5440"/>
    <cellStyle name="20% - 강조색3 4 3 3 3 2 3" xfId="5441"/>
    <cellStyle name="20% - 강조색3 4 3 3 3 2 4" xfId="5442"/>
    <cellStyle name="20% - 강조색3 4 3 3 3 3" xfId="5443"/>
    <cellStyle name="20% - 강조색3 4 3 3 3 3 2" xfId="5444"/>
    <cellStyle name="20% - 강조색3 4 3 3 3 3 3" xfId="5445"/>
    <cellStyle name="20% - 강조색3 4 3 3 3 4" xfId="5446"/>
    <cellStyle name="20% - 강조색3 4 3 3 3 5" xfId="5447"/>
    <cellStyle name="20% - 강조색3 4 3 3 4" xfId="5448"/>
    <cellStyle name="20% - 강조색3 4 3 3 4 2" xfId="5449"/>
    <cellStyle name="20% - 강조색3 4 3 3 4 2 2" xfId="5450"/>
    <cellStyle name="20% - 강조색3 4 3 3 4 2 3" xfId="5451"/>
    <cellStyle name="20% - 강조색3 4 3 3 4 3" xfId="5452"/>
    <cellStyle name="20% - 강조색3 4 3 3 4 4" xfId="5453"/>
    <cellStyle name="20% - 강조색3 4 3 3 5" xfId="5454"/>
    <cellStyle name="20% - 강조색3 4 3 3 5 2" xfId="5455"/>
    <cellStyle name="20% - 강조색3 4 3 3 5 3" xfId="5456"/>
    <cellStyle name="20% - 강조색3 4 3 3 6" xfId="5457"/>
    <cellStyle name="20% - 강조색3 4 3 3 7" xfId="5458"/>
    <cellStyle name="20% - 강조색3 4 3 4" xfId="5459"/>
    <cellStyle name="20% - 강조색3 4 3 4 2" xfId="5460"/>
    <cellStyle name="20% - 강조색3 4 3 4 2 2" xfId="5461"/>
    <cellStyle name="20% - 강조색3 4 3 4 2 2 2" xfId="5462"/>
    <cellStyle name="20% - 강조색3 4 3 4 2 2 3" xfId="5463"/>
    <cellStyle name="20% - 강조색3 4 3 4 2 3" xfId="5464"/>
    <cellStyle name="20% - 강조색3 4 3 4 2 4" xfId="5465"/>
    <cellStyle name="20% - 강조색3 4 3 4 3" xfId="5466"/>
    <cellStyle name="20% - 강조색3 4 3 4 3 2" xfId="5467"/>
    <cellStyle name="20% - 강조색3 4 3 4 3 3" xfId="5468"/>
    <cellStyle name="20% - 강조색3 4 3 4 4" xfId="5469"/>
    <cellStyle name="20% - 강조색3 4 3 4 5" xfId="5470"/>
    <cellStyle name="20% - 강조색3 4 3 5" xfId="5471"/>
    <cellStyle name="20% - 강조색3 4 3 5 2" xfId="5472"/>
    <cellStyle name="20% - 강조색3 4 3 5 2 2" xfId="5473"/>
    <cellStyle name="20% - 강조색3 4 3 5 2 2 2" xfId="5474"/>
    <cellStyle name="20% - 강조색3 4 3 5 2 2 3" xfId="5475"/>
    <cellStyle name="20% - 강조색3 4 3 5 2 3" xfId="5476"/>
    <cellStyle name="20% - 강조색3 4 3 5 2 4" xfId="5477"/>
    <cellStyle name="20% - 강조색3 4 3 5 3" xfId="5478"/>
    <cellStyle name="20% - 강조색3 4 3 5 3 2" xfId="5479"/>
    <cellStyle name="20% - 강조색3 4 3 5 3 3" xfId="5480"/>
    <cellStyle name="20% - 강조색3 4 3 5 4" xfId="5481"/>
    <cellStyle name="20% - 강조색3 4 3 5 5" xfId="5482"/>
    <cellStyle name="20% - 강조색3 4 3 6" xfId="5483"/>
    <cellStyle name="20% - 강조색3 4 3 6 2" xfId="5484"/>
    <cellStyle name="20% - 강조색3 4 3 6 2 2" xfId="5485"/>
    <cellStyle name="20% - 강조색3 4 3 6 2 2 2" xfId="5486"/>
    <cellStyle name="20% - 강조색3 4 3 6 2 2 3" xfId="5487"/>
    <cellStyle name="20% - 강조색3 4 3 6 2 3" xfId="5488"/>
    <cellStyle name="20% - 강조색3 4 3 6 2 4" xfId="5489"/>
    <cellStyle name="20% - 강조색3 4 3 6 3" xfId="5490"/>
    <cellStyle name="20% - 강조색3 4 3 6 3 2" xfId="5491"/>
    <cellStyle name="20% - 강조색3 4 3 6 3 3" xfId="5492"/>
    <cellStyle name="20% - 강조색3 4 3 6 4" xfId="5493"/>
    <cellStyle name="20% - 강조색3 4 3 6 5" xfId="5494"/>
    <cellStyle name="20% - 강조색3 4 3 7" xfId="5495"/>
    <cellStyle name="20% - 강조색3 4 3 7 2" xfId="5496"/>
    <cellStyle name="20% - 강조색3 4 3 7 2 2" xfId="5497"/>
    <cellStyle name="20% - 강조색3 4 3 7 2 3" xfId="5498"/>
    <cellStyle name="20% - 강조색3 4 3 7 3" xfId="5499"/>
    <cellStyle name="20% - 강조색3 4 3 7 4" xfId="5500"/>
    <cellStyle name="20% - 강조색3 4 3 8" xfId="5501"/>
    <cellStyle name="20% - 강조색3 4 3 8 2" xfId="5502"/>
    <cellStyle name="20% - 강조색3 4 3 8 3" xfId="5503"/>
    <cellStyle name="20% - 강조색3 4 3 9" xfId="5504"/>
    <cellStyle name="20% - 강조색3 4 4" xfId="5505"/>
    <cellStyle name="20% - 강조색3 4 4 10" xfId="5506"/>
    <cellStyle name="20% - 강조색3 4 4 2" xfId="5507"/>
    <cellStyle name="20% - 강조색3 4 4 2 2" xfId="5508"/>
    <cellStyle name="20% - 강조색3 4 4 2 2 2" xfId="5509"/>
    <cellStyle name="20% - 강조색3 4 4 2 2 2 2" xfId="5510"/>
    <cellStyle name="20% - 강조색3 4 4 2 2 2 2 2" xfId="5511"/>
    <cellStyle name="20% - 강조색3 4 4 2 2 2 2 3" xfId="5512"/>
    <cellStyle name="20% - 강조색3 4 4 2 2 2 3" xfId="5513"/>
    <cellStyle name="20% - 강조색3 4 4 2 2 2 4" xfId="5514"/>
    <cellStyle name="20% - 강조색3 4 4 2 2 3" xfId="5515"/>
    <cellStyle name="20% - 강조색3 4 4 2 2 3 2" xfId="5516"/>
    <cellStyle name="20% - 강조색3 4 4 2 2 3 3" xfId="5517"/>
    <cellStyle name="20% - 강조색3 4 4 2 2 4" xfId="5518"/>
    <cellStyle name="20% - 강조색3 4 4 2 2 5" xfId="5519"/>
    <cellStyle name="20% - 강조색3 4 4 2 3" xfId="5520"/>
    <cellStyle name="20% - 강조색3 4 4 2 3 2" xfId="5521"/>
    <cellStyle name="20% - 강조색3 4 4 2 3 2 2" xfId="5522"/>
    <cellStyle name="20% - 강조색3 4 4 2 3 2 2 2" xfId="5523"/>
    <cellStyle name="20% - 강조색3 4 4 2 3 2 2 3" xfId="5524"/>
    <cellStyle name="20% - 강조색3 4 4 2 3 2 3" xfId="5525"/>
    <cellStyle name="20% - 강조색3 4 4 2 3 2 4" xfId="5526"/>
    <cellStyle name="20% - 강조색3 4 4 2 3 3" xfId="5527"/>
    <cellStyle name="20% - 강조색3 4 4 2 3 3 2" xfId="5528"/>
    <cellStyle name="20% - 강조색3 4 4 2 3 3 3" xfId="5529"/>
    <cellStyle name="20% - 강조색3 4 4 2 3 4" xfId="5530"/>
    <cellStyle name="20% - 강조색3 4 4 2 3 5" xfId="5531"/>
    <cellStyle name="20% - 강조색3 4 4 2 4" xfId="5532"/>
    <cellStyle name="20% - 강조색3 4 4 2 4 2" xfId="5533"/>
    <cellStyle name="20% - 강조색3 4 4 2 4 2 2" xfId="5534"/>
    <cellStyle name="20% - 강조색3 4 4 2 4 2 3" xfId="5535"/>
    <cellStyle name="20% - 강조색3 4 4 2 4 3" xfId="5536"/>
    <cellStyle name="20% - 강조색3 4 4 2 4 4" xfId="5537"/>
    <cellStyle name="20% - 강조색3 4 4 2 5" xfId="5538"/>
    <cellStyle name="20% - 강조색3 4 4 2 5 2" xfId="5539"/>
    <cellStyle name="20% - 강조색3 4 4 2 5 3" xfId="5540"/>
    <cellStyle name="20% - 강조색3 4 4 2 6" xfId="5541"/>
    <cellStyle name="20% - 강조색3 4 4 2 7" xfId="5542"/>
    <cellStyle name="20% - 강조색3 4 4 3" xfId="5543"/>
    <cellStyle name="20% - 강조색3 4 4 3 2" xfId="5544"/>
    <cellStyle name="20% - 강조색3 4 4 3 2 2" xfId="5545"/>
    <cellStyle name="20% - 강조색3 4 4 3 2 2 2" xfId="5546"/>
    <cellStyle name="20% - 강조색3 4 4 3 2 2 2 2" xfId="5547"/>
    <cellStyle name="20% - 강조색3 4 4 3 2 2 2 3" xfId="5548"/>
    <cellStyle name="20% - 강조색3 4 4 3 2 2 3" xfId="5549"/>
    <cellStyle name="20% - 강조색3 4 4 3 2 2 4" xfId="5550"/>
    <cellStyle name="20% - 강조색3 4 4 3 2 3" xfId="5551"/>
    <cellStyle name="20% - 강조색3 4 4 3 2 3 2" xfId="5552"/>
    <cellStyle name="20% - 강조색3 4 4 3 2 3 3" xfId="5553"/>
    <cellStyle name="20% - 강조색3 4 4 3 2 4" xfId="5554"/>
    <cellStyle name="20% - 강조색3 4 4 3 2 5" xfId="5555"/>
    <cellStyle name="20% - 강조색3 4 4 3 3" xfId="5556"/>
    <cellStyle name="20% - 강조색3 4 4 3 3 2" xfId="5557"/>
    <cellStyle name="20% - 강조색3 4 4 3 3 2 2" xfId="5558"/>
    <cellStyle name="20% - 강조색3 4 4 3 3 2 2 2" xfId="5559"/>
    <cellStyle name="20% - 강조색3 4 4 3 3 2 2 3" xfId="5560"/>
    <cellStyle name="20% - 강조색3 4 4 3 3 2 3" xfId="5561"/>
    <cellStyle name="20% - 강조색3 4 4 3 3 2 4" xfId="5562"/>
    <cellStyle name="20% - 강조색3 4 4 3 3 3" xfId="5563"/>
    <cellStyle name="20% - 강조색3 4 4 3 3 3 2" xfId="5564"/>
    <cellStyle name="20% - 강조색3 4 4 3 3 3 3" xfId="5565"/>
    <cellStyle name="20% - 강조색3 4 4 3 3 4" xfId="5566"/>
    <cellStyle name="20% - 강조색3 4 4 3 3 5" xfId="5567"/>
    <cellStyle name="20% - 강조색3 4 4 3 4" xfId="5568"/>
    <cellStyle name="20% - 강조색3 4 4 3 4 2" xfId="5569"/>
    <cellStyle name="20% - 강조색3 4 4 3 4 2 2" xfId="5570"/>
    <cellStyle name="20% - 강조색3 4 4 3 4 2 3" xfId="5571"/>
    <cellStyle name="20% - 강조색3 4 4 3 4 3" xfId="5572"/>
    <cellStyle name="20% - 강조색3 4 4 3 4 4" xfId="5573"/>
    <cellStyle name="20% - 강조색3 4 4 3 5" xfId="5574"/>
    <cellStyle name="20% - 강조색3 4 4 3 5 2" xfId="5575"/>
    <cellStyle name="20% - 강조색3 4 4 3 5 3" xfId="5576"/>
    <cellStyle name="20% - 강조색3 4 4 3 6" xfId="5577"/>
    <cellStyle name="20% - 강조색3 4 4 3 7" xfId="5578"/>
    <cellStyle name="20% - 강조색3 4 4 4" xfId="5579"/>
    <cellStyle name="20% - 강조색3 4 4 4 2" xfId="5580"/>
    <cellStyle name="20% - 강조색3 4 4 4 2 2" xfId="5581"/>
    <cellStyle name="20% - 강조색3 4 4 4 2 2 2" xfId="5582"/>
    <cellStyle name="20% - 강조색3 4 4 4 2 2 3" xfId="5583"/>
    <cellStyle name="20% - 강조색3 4 4 4 2 3" xfId="5584"/>
    <cellStyle name="20% - 강조색3 4 4 4 2 4" xfId="5585"/>
    <cellStyle name="20% - 강조색3 4 4 4 3" xfId="5586"/>
    <cellStyle name="20% - 강조색3 4 4 4 3 2" xfId="5587"/>
    <cellStyle name="20% - 강조색3 4 4 4 3 3" xfId="5588"/>
    <cellStyle name="20% - 강조색3 4 4 4 4" xfId="5589"/>
    <cellStyle name="20% - 강조색3 4 4 4 5" xfId="5590"/>
    <cellStyle name="20% - 강조색3 4 4 5" xfId="5591"/>
    <cellStyle name="20% - 강조색3 4 4 5 2" xfId="5592"/>
    <cellStyle name="20% - 강조색3 4 4 5 2 2" xfId="5593"/>
    <cellStyle name="20% - 강조색3 4 4 5 2 2 2" xfId="5594"/>
    <cellStyle name="20% - 강조색3 4 4 5 2 2 3" xfId="5595"/>
    <cellStyle name="20% - 강조색3 4 4 5 2 3" xfId="5596"/>
    <cellStyle name="20% - 강조색3 4 4 5 2 4" xfId="5597"/>
    <cellStyle name="20% - 강조색3 4 4 5 3" xfId="5598"/>
    <cellStyle name="20% - 강조색3 4 4 5 3 2" xfId="5599"/>
    <cellStyle name="20% - 강조색3 4 4 5 3 3" xfId="5600"/>
    <cellStyle name="20% - 강조색3 4 4 5 4" xfId="5601"/>
    <cellStyle name="20% - 강조색3 4 4 5 5" xfId="5602"/>
    <cellStyle name="20% - 강조색3 4 4 6" xfId="5603"/>
    <cellStyle name="20% - 강조색3 4 4 6 2" xfId="5604"/>
    <cellStyle name="20% - 강조색3 4 4 6 2 2" xfId="5605"/>
    <cellStyle name="20% - 강조색3 4 4 6 2 2 2" xfId="5606"/>
    <cellStyle name="20% - 강조색3 4 4 6 2 2 3" xfId="5607"/>
    <cellStyle name="20% - 강조색3 4 4 6 2 3" xfId="5608"/>
    <cellStyle name="20% - 강조색3 4 4 6 2 4" xfId="5609"/>
    <cellStyle name="20% - 강조색3 4 4 6 3" xfId="5610"/>
    <cellStyle name="20% - 강조색3 4 4 6 3 2" xfId="5611"/>
    <cellStyle name="20% - 강조색3 4 4 6 3 3" xfId="5612"/>
    <cellStyle name="20% - 강조색3 4 4 6 4" xfId="5613"/>
    <cellStyle name="20% - 강조색3 4 4 6 5" xfId="5614"/>
    <cellStyle name="20% - 강조색3 4 4 7" xfId="5615"/>
    <cellStyle name="20% - 강조색3 4 4 7 2" xfId="5616"/>
    <cellStyle name="20% - 강조색3 4 4 7 2 2" xfId="5617"/>
    <cellStyle name="20% - 강조색3 4 4 7 2 3" xfId="5618"/>
    <cellStyle name="20% - 강조색3 4 4 7 3" xfId="5619"/>
    <cellStyle name="20% - 강조색3 4 4 7 4" xfId="5620"/>
    <cellStyle name="20% - 강조색3 4 4 8" xfId="5621"/>
    <cellStyle name="20% - 강조색3 4 4 8 2" xfId="5622"/>
    <cellStyle name="20% - 강조색3 4 4 8 3" xfId="5623"/>
    <cellStyle name="20% - 강조색3 4 4 9" xfId="5624"/>
    <cellStyle name="20% - 강조색3 4 5" xfId="5625"/>
    <cellStyle name="20% - 강조색3 4 5 2" xfId="5626"/>
    <cellStyle name="20% - 강조색3 4 5 2 2" xfId="5627"/>
    <cellStyle name="20% - 강조색3 4 5 2 2 2" xfId="5628"/>
    <cellStyle name="20% - 강조색3 4 5 2 2 2 2" xfId="5629"/>
    <cellStyle name="20% - 강조색3 4 5 2 2 2 3" xfId="5630"/>
    <cellStyle name="20% - 강조색3 4 5 2 2 3" xfId="5631"/>
    <cellStyle name="20% - 강조색3 4 5 2 2 4" xfId="5632"/>
    <cellStyle name="20% - 강조색3 4 5 2 3" xfId="5633"/>
    <cellStyle name="20% - 강조색3 4 5 2 3 2" xfId="5634"/>
    <cellStyle name="20% - 강조색3 4 5 2 3 3" xfId="5635"/>
    <cellStyle name="20% - 강조색3 4 5 2 4" xfId="5636"/>
    <cellStyle name="20% - 강조색3 4 5 2 5" xfId="5637"/>
    <cellStyle name="20% - 강조색3 4 5 3" xfId="5638"/>
    <cellStyle name="20% - 강조색3 4 5 3 2" xfId="5639"/>
    <cellStyle name="20% - 강조색3 4 5 3 2 2" xfId="5640"/>
    <cellStyle name="20% - 강조색3 4 5 3 2 2 2" xfId="5641"/>
    <cellStyle name="20% - 강조색3 4 5 3 2 2 3" xfId="5642"/>
    <cellStyle name="20% - 강조색3 4 5 3 2 3" xfId="5643"/>
    <cellStyle name="20% - 강조색3 4 5 3 2 4" xfId="5644"/>
    <cellStyle name="20% - 강조색3 4 5 3 3" xfId="5645"/>
    <cellStyle name="20% - 강조색3 4 5 3 3 2" xfId="5646"/>
    <cellStyle name="20% - 강조색3 4 5 3 3 3" xfId="5647"/>
    <cellStyle name="20% - 강조색3 4 5 3 4" xfId="5648"/>
    <cellStyle name="20% - 강조색3 4 5 3 5" xfId="5649"/>
    <cellStyle name="20% - 강조색3 4 5 4" xfId="5650"/>
    <cellStyle name="20% - 강조색3 4 5 4 2" xfId="5651"/>
    <cellStyle name="20% - 강조색3 4 5 4 2 2" xfId="5652"/>
    <cellStyle name="20% - 강조색3 4 5 4 2 3" xfId="5653"/>
    <cellStyle name="20% - 강조색3 4 5 4 3" xfId="5654"/>
    <cellStyle name="20% - 강조색3 4 5 4 4" xfId="5655"/>
    <cellStyle name="20% - 강조색3 4 5 5" xfId="5656"/>
    <cellStyle name="20% - 강조색3 4 5 5 2" xfId="5657"/>
    <cellStyle name="20% - 강조색3 4 5 5 3" xfId="5658"/>
    <cellStyle name="20% - 강조색3 4 5 6" xfId="5659"/>
    <cellStyle name="20% - 강조색3 4 5 7" xfId="5660"/>
    <cellStyle name="20% - 강조색3 4 6" xfId="5661"/>
    <cellStyle name="20% - 강조색3 4 6 2" xfId="5662"/>
    <cellStyle name="20% - 강조색3 4 6 2 2" xfId="5663"/>
    <cellStyle name="20% - 강조색3 4 6 2 2 2" xfId="5664"/>
    <cellStyle name="20% - 강조색3 4 6 2 2 2 2" xfId="5665"/>
    <cellStyle name="20% - 강조색3 4 6 2 2 2 3" xfId="5666"/>
    <cellStyle name="20% - 강조색3 4 6 2 2 3" xfId="5667"/>
    <cellStyle name="20% - 강조색3 4 6 2 2 4" xfId="5668"/>
    <cellStyle name="20% - 강조색3 4 6 2 3" xfId="5669"/>
    <cellStyle name="20% - 강조색3 4 6 2 3 2" xfId="5670"/>
    <cellStyle name="20% - 강조색3 4 6 2 3 3" xfId="5671"/>
    <cellStyle name="20% - 강조색3 4 6 2 4" xfId="5672"/>
    <cellStyle name="20% - 강조색3 4 6 2 5" xfId="5673"/>
    <cellStyle name="20% - 강조색3 4 6 3" xfId="5674"/>
    <cellStyle name="20% - 강조색3 4 6 3 2" xfId="5675"/>
    <cellStyle name="20% - 강조색3 4 6 3 2 2" xfId="5676"/>
    <cellStyle name="20% - 강조색3 4 6 3 2 2 2" xfId="5677"/>
    <cellStyle name="20% - 강조색3 4 6 3 2 2 3" xfId="5678"/>
    <cellStyle name="20% - 강조색3 4 6 3 2 3" xfId="5679"/>
    <cellStyle name="20% - 강조색3 4 6 3 2 4" xfId="5680"/>
    <cellStyle name="20% - 강조색3 4 6 3 3" xfId="5681"/>
    <cellStyle name="20% - 강조색3 4 6 3 3 2" xfId="5682"/>
    <cellStyle name="20% - 강조색3 4 6 3 3 3" xfId="5683"/>
    <cellStyle name="20% - 강조색3 4 6 3 4" xfId="5684"/>
    <cellStyle name="20% - 강조색3 4 6 3 5" xfId="5685"/>
    <cellStyle name="20% - 강조색3 4 6 4" xfId="5686"/>
    <cellStyle name="20% - 강조색3 4 6 4 2" xfId="5687"/>
    <cellStyle name="20% - 강조색3 4 6 4 2 2" xfId="5688"/>
    <cellStyle name="20% - 강조색3 4 6 4 2 3" xfId="5689"/>
    <cellStyle name="20% - 강조색3 4 6 4 3" xfId="5690"/>
    <cellStyle name="20% - 강조색3 4 6 4 4" xfId="5691"/>
    <cellStyle name="20% - 강조색3 4 6 5" xfId="5692"/>
    <cellStyle name="20% - 강조색3 4 6 5 2" xfId="5693"/>
    <cellStyle name="20% - 강조색3 4 6 5 3" xfId="5694"/>
    <cellStyle name="20% - 강조색3 4 6 6" xfId="5695"/>
    <cellStyle name="20% - 강조색3 4 6 7" xfId="5696"/>
    <cellStyle name="20% - 강조색3 4 7" xfId="5697"/>
    <cellStyle name="20% - 강조색3 4 7 2" xfId="5698"/>
    <cellStyle name="20% - 강조색3 4 7 2 2" xfId="5699"/>
    <cellStyle name="20% - 강조색3 4 7 2 2 2" xfId="5700"/>
    <cellStyle name="20% - 강조색3 4 7 2 2 3" xfId="5701"/>
    <cellStyle name="20% - 강조색3 4 7 2 3" xfId="5702"/>
    <cellStyle name="20% - 강조색3 4 7 2 4" xfId="5703"/>
    <cellStyle name="20% - 강조색3 4 7 3" xfId="5704"/>
    <cellStyle name="20% - 강조색3 4 7 3 2" xfId="5705"/>
    <cellStyle name="20% - 강조색3 4 7 3 3" xfId="5706"/>
    <cellStyle name="20% - 강조색3 4 7 4" xfId="5707"/>
    <cellStyle name="20% - 강조색3 4 7 5" xfId="5708"/>
    <cellStyle name="20% - 강조색3 4 8" xfId="5709"/>
    <cellStyle name="20% - 강조색3 4 8 2" xfId="5710"/>
    <cellStyle name="20% - 강조색3 4 8 2 2" xfId="5711"/>
    <cellStyle name="20% - 강조색3 4 8 2 2 2" xfId="5712"/>
    <cellStyle name="20% - 강조색3 4 8 2 2 3" xfId="5713"/>
    <cellStyle name="20% - 강조색3 4 8 2 3" xfId="5714"/>
    <cellStyle name="20% - 강조색3 4 8 2 4" xfId="5715"/>
    <cellStyle name="20% - 강조색3 4 8 3" xfId="5716"/>
    <cellStyle name="20% - 강조색3 4 8 3 2" xfId="5717"/>
    <cellStyle name="20% - 강조색3 4 8 3 3" xfId="5718"/>
    <cellStyle name="20% - 강조색3 4 8 4" xfId="5719"/>
    <cellStyle name="20% - 강조색3 4 8 5" xfId="5720"/>
    <cellStyle name="20% - 강조색3 4 9" xfId="5721"/>
    <cellStyle name="20% - 강조색3 4 9 2" xfId="5722"/>
    <cellStyle name="20% - 강조색3 4 9 2 2" xfId="5723"/>
    <cellStyle name="20% - 강조색3 4 9 2 2 2" xfId="5724"/>
    <cellStyle name="20% - 강조색3 4 9 2 2 3" xfId="5725"/>
    <cellStyle name="20% - 강조색3 4 9 2 3" xfId="5726"/>
    <cellStyle name="20% - 강조색3 4 9 2 4" xfId="5727"/>
    <cellStyle name="20% - 강조색3 4 9 3" xfId="5728"/>
    <cellStyle name="20% - 강조색3 4 9 3 2" xfId="5729"/>
    <cellStyle name="20% - 강조색3 4 9 3 3" xfId="5730"/>
    <cellStyle name="20% - 강조색3 4 9 4" xfId="5731"/>
    <cellStyle name="20% - 강조색3 4 9 5" xfId="5732"/>
    <cellStyle name="20% - 강조색3 40" xfId="5733"/>
    <cellStyle name="20% - 강조색3 41" xfId="5734"/>
    <cellStyle name="20% - 강조색3 42" xfId="5735"/>
    <cellStyle name="20% - 강조색3 43" xfId="5736"/>
    <cellStyle name="20% - 강조색3 44" xfId="5737"/>
    <cellStyle name="20% - 강조색3 45" xfId="5738"/>
    <cellStyle name="20% - 강조색3 46" xfId="5739"/>
    <cellStyle name="20% - 강조색3 47" xfId="5740"/>
    <cellStyle name="20% - 강조색3 48" xfId="5741"/>
    <cellStyle name="20% - 강조색3 49" xfId="5742"/>
    <cellStyle name="20% - 강조색3 5" xfId="5743"/>
    <cellStyle name="20% - 강조색3 5 10" xfId="5744"/>
    <cellStyle name="20% - 강조색3 5 11" xfId="5745"/>
    <cellStyle name="20% - 강조색3 5 2" xfId="5746"/>
    <cellStyle name="20% - 강조색3 5 2 2" xfId="5747"/>
    <cellStyle name="20% - 강조색3 5 2 2 2" xfId="5748"/>
    <cellStyle name="20% - 강조색3 5 2 2 2 2" xfId="5749"/>
    <cellStyle name="20% - 강조색3 5 2 2 2 2 2" xfId="5750"/>
    <cellStyle name="20% - 강조색3 5 2 2 2 2 3" xfId="5751"/>
    <cellStyle name="20% - 강조색3 5 2 2 2 3" xfId="5752"/>
    <cellStyle name="20% - 강조색3 5 2 2 2 4" xfId="5753"/>
    <cellStyle name="20% - 강조색3 5 2 2 3" xfId="5754"/>
    <cellStyle name="20% - 강조색3 5 2 2 3 2" xfId="5755"/>
    <cellStyle name="20% - 강조색3 5 2 2 3 3" xfId="5756"/>
    <cellStyle name="20% - 강조색3 5 2 2 4" xfId="5757"/>
    <cellStyle name="20% - 강조색3 5 2 2 5" xfId="5758"/>
    <cellStyle name="20% - 강조색3 5 2 3" xfId="5759"/>
    <cellStyle name="20% - 강조색3 5 2 3 2" xfId="5760"/>
    <cellStyle name="20% - 강조색3 5 2 3 2 2" xfId="5761"/>
    <cellStyle name="20% - 강조색3 5 2 3 2 2 2" xfId="5762"/>
    <cellStyle name="20% - 강조색3 5 2 3 2 2 3" xfId="5763"/>
    <cellStyle name="20% - 강조색3 5 2 3 2 3" xfId="5764"/>
    <cellStyle name="20% - 강조색3 5 2 3 2 4" xfId="5765"/>
    <cellStyle name="20% - 강조색3 5 2 3 3" xfId="5766"/>
    <cellStyle name="20% - 강조색3 5 2 3 3 2" xfId="5767"/>
    <cellStyle name="20% - 강조색3 5 2 3 3 3" xfId="5768"/>
    <cellStyle name="20% - 강조색3 5 2 3 4" xfId="5769"/>
    <cellStyle name="20% - 강조색3 5 2 3 5" xfId="5770"/>
    <cellStyle name="20% - 강조색3 5 2 4" xfId="5771"/>
    <cellStyle name="20% - 강조색3 5 2 4 2" xfId="5772"/>
    <cellStyle name="20% - 강조색3 5 2 4 2 2" xfId="5773"/>
    <cellStyle name="20% - 강조색3 5 2 4 2 3" xfId="5774"/>
    <cellStyle name="20% - 강조색3 5 2 4 3" xfId="5775"/>
    <cellStyle name="20% - 강조색3 5 2 4 4" xfId="5776"/>
    <cellStyle name="20% - 강조색3 5 2 5" xfId="5777"/>
    <cellStyle name="20% - 강조색3 5 2 5 2" xfId="5778"/>
    <cellStyle name="20% - 강조색3 5 2 5 3" xfId="5779"/>
    <cellStyle name="20% - 강조색3 5 2 6" xfId="5780"/>
    <cellStyle name="20% - 강조색3 5 2 7" xfId="5781"/>
    <cellStyle name="20% - 강조색3 5 3" xfId="5782"/>
    <cellStyle name="20% - 강조색3 5 3 2" xfId="5783"/>
    <cellStyle name="20% - 강조색3 5 3 2 2" xfId="5784"/>
    <cellStyle name="20% - 강조색3 5 3 2 2 2" xfId="5785"/>
    <cellStyle name="20% - 강조색3 5 3 2 2 2 2" xfId="5786"/>
    <cellStyle name="20% - 강조색3 5 3 2 2 2 3" xfId="5787"/>
    <cellStyle name="20% - 강조색3 5 3 2 2 3" xfId="5788"/>
    <cellStyle name="20% - 강조색3 5 3 2 2 4" xfId="5789"/>
    <cellStyle name="20% - 강조색3 5 3 2 3" xfId="5790"/>
    <cellStyle name="20% - 강조색3 5 3 2 3 2" xfId="5791"/>
    <cellStyle name="20% - 강조색3 5 3 2 3 3" xfId="5792"/>
    <cellStyle name="20% - 강조색3 5 3 2 4" xfId="5793"/>
    <cellStyle name="20% - 강조색3 5 3 2 5" xfId="5794"/>
    <cellStyle name="20% - 강조색3 5 3 3" xfId="5795"/>
    <cellStyle name="20% - 강조색3 5 3 3 2" xfId="5796"/>
    <cellStyle name="20% - 강조색3 5 3 3 2 2" xfId="5797"/>
    <cellStyle name="20% - 강조색3 5 3 3 2 2 2" xfId="5798"/>
    <cellStyle name="20% - 강조색3 5 3 3 2 2 3" xfId="5799"/>
    <cellStyle name="20% - 강조색3 5 3 3 2 3" xfId="5800"/>
    <cellStyle name="20% - 강조색3 5 3 3 2 4" xfId="5801"/>
    <cellStyle name="20% - 강조색3 5 3 3 3" xfId="5802"/>
    <cellStyle name="20% - 강조색3 5 3 3 3 2" xfId="5803"/>
    <cellStyle name="20% - 강조색3 5 3 3 3 3" xfId="5804"/>
    <cellStyle name="20% - 강조색3 5 3 3 4" xfId="5805"/>
    <cellStyle name="20% - 강조색3 5 3 3 5" xfId="5806"/>
    <cellStyle name="20% - 강조색3 5 3 4" xfId="5807"/>
    <cellStyle name="20% - 강조색3 5 3 4 2" xfId="5808"/>
    <cellStyle name="20% - 강조색3 5 3 4 2 2" xfId="5809"/>
    <cellStyle name="20% - 강조색3 5 3 4 2 3" xfId="5810"/>
    <cellStyle name="20% - 강조색3 5 3 4 3" xfId="5811"/>
    <cellStyle name="20% - 강조색3 5 3 4 4" xfId="5812"/>
    <cellStyle name="20% - 강조색3 5 3 5" xfId="5813"/>
    <cellStyle name="20% - 강조색3 5 3 5 2" xfId="5814"/>
    <cellStyle name="20% - 강조색3 5 3 5 3" xfId="5815"/>
    <cellStyle name="20% - 강조색3 5 3 6" xfId="5816"/>
    <cellStyle name="20% - 강조색3 5 3 7" xfId="5817"/>
    <cellStyle name="20% - 강조색3 5 4" xfId="5818"/>
    <cellStyle name="20% - 강조색3 5 4 2" xfId="5819"/>
    <cellStyle name="20% - 강조색3 5 4 2 2" xfId="5820"/>
    <cellStyle name="20% - 강조색3 5 4 2 2 2" xfId="5821"/>
    <cellStyle name="20% - 강조색3 5 4 2 2 3" xfId="5822"/>
    <cellStyle name="20% - 강조색3 5 4 2 3" xfId="5823"/>
    <cellStyle name="20% - 강조색3 5 4 2 4" xfId="5824"/>
    <cellStyle name="20% - 강조색3 5 4 3" xfId="5825"/>
    <cellStyle name="20% - 강조색3 5 4 3 2" xfId="5826"/>
    <cellStyle name="20% - 강조색3 5 4 3 3" xfId="5827"/>
    <cellStyle name="20% - 강조색3 5 4 4" xfId="5828"/>
    <cellStyle name="20% - 강조색3 5 4 5" xfId="5829"/>
    <cellStyle name="20% - 강조색3 5 5" xfId="5830"/>
    <cellStyle name="20% - 강조색3 5 5 2" xfId="5831"/>
    <cellStyle name="20% - 강조색3 5 5 2 2" xfId="5832"/>
    <cellStyle name="20% - 강조색3 5 5 2 2 2" xfId="5833"/>
    <cellStyle name="20% - 강조색3 5 5 2 2 3" xfId="5834"/>
    <cellStyle name="20% - 강조색3 5 5 2 3" xfId="5835"/>
    <cellStyle name="20% - 강조색3 5 5 2 4" xfId="5836"/>
    <cellStyle name="20% - 강조색3 5 5 3" xfId="5837"/>
    <cellStyle name="20% - 강조색3 5 5 3 2" xfId="5838"/>
    <cellStyle name="20% - 강조색3 5 5 3 3" xfId="5839"/>
    <cellStyle name="20% - 강조색3 5 5 4" xfId="5840"/>
    <cellStyle name="20% - 강조색3 5 5 5" xfId="5841"/>
    <cellStyle name="20% - 강조색3 5 6" xfId="5842"/>
    <cellStyle name="20% - 강조색3 5 6 2" xfId="5843"/>
    <cellStyle name="20% - 강조색3 5 6 2 2" xfId="5844"/>
    <cellStyle name="20% - 강조색3 5 6 2 2 2" xfId="5845"/>
    <cellStyle name="20% - 강조색3 5 6 2 2 3" xfId="5846"/>
    <cellStyle name="20% - 강조색3 5 6 2 3" xfId="5847"/>
    <cellStyle name="20% - 강조색3 5 6 2 4" xfId="5848"/>
    <cellStyle name="20% - 강조색3 5 6 3" xfId="5849"/>
    <cellStyle name="20% - 강조색3 5 6 3 2" xfId="5850"/>
    <cellStyle name="20% - 강조색3 5 6 3 3" xfId="5851"/>
    <cellStyle name="20% - 강조색3 5 6 4" xfId="5852"/>
    <cellStyle name="20% - 강조색3 5 6 5" xfId="5853"/>
    <cellStyle name="20% - 강조색3 5 7" xfId="5854"/>
    <cellStyle name="20% - 강조색3 5 7 2" xfId="5855"/>
    <cellStyle name="20% - 강조색3 5 7 2 2" xfId="5856"/>
    <cellStyle name="20% - 강조색3 5 7 2 3" xfId="5857"/>
    <cellStyle name="20% - 강조색3 5 7 3" xfId="5858"/>
    <cellStyle name="20% - 강조색3 5 7 4" xfId="5859"/>
    <cellStyle name="20% - 강조색3 5 8" xfId="5860"/>
    <cellStyle name="20% - 강조색3 5 8 2" xfId="5861"/>
    <cellStyle name="20% - 강조색3 5 8 3" xfId="5862"/>
    <cellStyle name="20% - 강조색3 5 9" xfId="5863"/>
    <cellStyle name="20% - 강조색3 50" xfId="5864"/>
    <cellStyle name="20% - 강조색3 51" xfId="5865"/>
    <cellStyle name="20% - 강조색3 52" xfId="5866"/>
    <cellStyle name="20% - 강조색3 53" xfId="5867"/>
    <cellStyle name="20% - 강조색3 54" xfId="5868"/>
    <cellStyle name="20% - 강조색3 55" xfId="5869"/>
    <cellStyle name="20% - 강조색3 56" xfId="5870"/>
    <cellStyle name="20% - 강조색3 57" xfId="5871"/>
    <cellStyle name="20% - 강조색3 58" xfId="5872"/>
    <cellStyle name="20% - 강조색3 59" xfId="5873"/>
    <cellStyle name="20% - 강조색3 6" xfId="5874"/>
    <cellStyle name="20% - 강조색3 6 10" xfId="5875"/>
    <cellStyle name="20% - 강조색3 6 2" xfId="5876"/>
    <cellStyle name="20% - 강조색3 6 2 2" xfId="5877"/>
    <cellStyle name="20% - 강조색3 6 2 2 2" xfId="5878"/>
    <cellStyle name="20% - 강조색3 6 2 2 2 2" xfId="5879"/>
    <cellStyle name="20% - 강조색3 6 2 2 2 2 2" xfId="5880"/>
    <cellStyle name="20% - 강조색3 6 2 2 2 2 3" xfId="5881"/>
    <cellStyle name="20% - 강조색3 6 2 2 2 3" xfId="5882"/>
    <cellStyle name="20% - 강조색3 6 2 2 2 4" xfId="5883"/>
    <cellStyle name="20% - 강조색3 6 2 2 3" xfId="5884"/>
    <cellStyle name="20% - 강조색3 6 2 2 3 2" xfId="5885"/>
    <cellStyle name="20% - 강조색3 6 2 2 3 3" xfId="5886"/>
    <cellStyle name="20% - 강조색3 6 2 2 4" xfId="5887"/>
    <cellStyle name="20% - 강조색3 6 2 2 5" xfId="5888"/>
    <cellStyle name="20% - 강조색3 6 2 3" xfId="5889"/>
    <cellStyle name="20% - 강조색3 6 2 3 2" xfId="5890"/>
    <cellStyle name="20% - 강조색3 6 2 3 2 2" xfId="5891"/>
    <cellStyle name="20% - 강조색3 6 2 3 2 2 2" xfId="5892"/>
    <cellStyle name="20% - 강조색3 6 2 3 2 2 3" xfId="5893"/>
    <cellStyle name="20% - 강조색3 6 2 3 2 3" xfId="5894"/>
    <cellStyle name="20% - 강조색3 6 2 3 2 4" xfId="5895"/>
    <cellStyle name="20% - 강조색3 6 2 3 3" xfId="5896"/>
    <cellStyle name="20% - 강조색3 6 2 3 3 2" xfId="5897"/>
    <cellStyle name="20% - 강조색3 6 2 3 3 3" xfId="5898"/>
    <cellStyle name="20% - 강조색3 6 2 3 4" xfId="5899"/>
    <cellStyle name="20% - 강조색3 6 2 3 5" xfId="5900"/>
    <cellStyle name="20% - 강조색3 6 2 4" xfId="5901"/>
    <cellStyle name="20% - 강조색3 6 2 4 2" xfId="5902"/>
    <cellStyle name="20% - 강조색3 6 2 4 2 2" xfId="5903"/>
    <cellStyle name="20% - 강조색3 6 2 4 2 3" xfId="5904"/>
    <cellStyle name="20% - 강조색3 6 2 4 3" xfId="5905"/>
    <cellStyle name="20% - 강조색3 6 2 4 4" xfId="5906"/>
    <cellStyle name="20% - 강조색3 6 2 5" xfId="5907"/>
    <cellStyle name="20% - 강조색3 6 2 5 2" xfId="5908"/>
    <cellStyle name="20% - 강조색3 6 2 5 3" xfId="5909"/>
    <cellStyle name="20% - 강조색3 6 2 6" xfId="5910"/>
    <cellStyle name="20% - 강조색3 6 2 7" xfId="5911"/>
    <cellStyle name="20% - 강조색3 6 3" xfId="5912"/>
    <cellStyle name="20% - 강조색3 6 3 2" xfId="5913"/>
    <cellStyle name="20% - 강조색3 6 3 2 2" xfId="5914"/>
    <cellStyle name="20% - 강조색3 6 3 2 2 2" xfId="5915"/>
    <cellStyle name="20% - 강조색3 6 3 2 2 2 2" xfId="5916"/>
    <cellStyle name="20% - 강조색3 6 3 2 2 2 3" xfId="5917"/>
    <cellStyle name="20% - 강조색3 6 3 2 2 3" xfId="5918"/>
    <cellStyle name="20% - 강조색3 6 3 2 2 4" xfId="5919"/>
    <cellStyle name="20% - 강조색3 6 3 2 3" xfId="5920"/>
    <cellStyle name="20% - 강조색3 6 3 2 3 2" xfId="5921"/>
    <cellStyle name="20% - 강조색3 6 3 2 3 3" xfId="5922"/>
    <cellStyle name="20% - 강조색3 6 3 2 4" xfId="5923"/>
    <cellStyle name="20% - 강조색3 6 3 2 5" xfId="5924"/>
    <cellStyle name="20% - 강조색3 6 3 3" xfId="5925"/>
    <cellStyle name="20% - 강조색3 6 3 3 2" xfId="5926"/>
    <cellStyle name="20% - 강조색3 6 3 3 2 2" xfId="5927"/>
    <cellStyle name="20% - 강조색3 6 3 3 2 2 2" xfId="5928"/>
    <cellStyle name="20% - 강조색3 6 3 3 2 2 3" xfId="5929"/>
    <cellStyle name="20% - 강조색3 6 3 3 2 3" xfId="5930"/>
    <cellStyle name="20% - 강조색3 6 3 3 2 4" xfId="5931"/>
    <cellStyle name="20% - 강조색3 6 3 3 3" xfId="5932"/>
    <cellStyle name="20% - 강조색3 6 3 3 3 2" xfId="5933"/>
    <cellStyle name="20% - 강조색3 6 3 3 3 3" xfId="5934"/>
    <cellStyle name="20% - 강조색3 6 3 3 4" xfId="5935"/>
    <cellStyle name="20% - 강조색3 6 3 3 5" xfId="5936"/>
    <cellStyle name="20% - 강조색3 6 3 4" xfId="5937"/>
    <cellStyle name="20% - 강조색3 6 3 4 2" xfId="5938"/>
    <cellStyle name="20% - 강조색3 6 3 4 2 2" xfId="5939"/>
    <cellStyle name="20% - 강조색3 6 3 4 2 3" xfId="5940"/>
    <cellStyle name="20% - 강조색3 6 3 4 3" xfId="5941"/>
    <cellStyle name="20% - 강조색3 6 3 4 4" xfId="5942"/>
    <cellStyle name="20% - 강조색3 6 3 5" xfId="5943"/>
    <cellStyle name="20% - 강조색3 6 3 5 2" xfId="5944"/>
    <cellStyle name="20% - 강조색3 6 3 5 3" xfId="5945"/>
    <cellStyle name="20% - 강조색3 6 3 6" xfId="5946"/>
    <cellStyle name="20% - 강조색3 6 3 7" xfId="5947"/>
    <cellStyle name="20% - 강조색3 6 4" xfId="5948"/>
    <cellStyle name="20% - 강조색3 6 4 2" xfId="5949"/>
    <cellStyle name="20% - 강조색3 6 4 2 2" xfId="5950"/>
    <cellStyle name="20% - 강조색3 6 4 2 2 2" xfId="5951"/>
    <cellStyle name="20% - 강조색3 6 4 2 2 3" xfId="5952"/>
    <cellStyle name="20% - 강조색3 6 4 2 3" xfId="5953"/>
    <cellStyle name="20% - 강조색3 6 4 2 4" xfId="5954"/>
    <cellStyle name="20% - 강조색3 6 4 3" xfId="5955"/>
    <cellStyle name="20% - 강조색3 6 4 3 2" xfId="5956"/>
    <cellStyle name="20% - 강조색3 6 4 3 3" xfId="5957"/>
    <cellStyle name="20% - 강조색3 6 4 4" xfId="5958"/>
    <cellStyle name="20% - 강조색3 6 4 5" xfId="5959"/>
    <cellStyle name="20% - 강조색3 6 5" xfId="5960"/>
    <cellStyle name="20% - 강조색3 6 5 2" xfId="5961"/>
    <cellStyle name="20% - 강조색3 6 5 2 2" xfId="5962"/>
    <cellStyle name="20% - 강조색3 6 5 2 2 2" xfId="5963"/>
    <cellStyle name="20% - 강조색3 6 5 2 2 3" xfId="5964"/>
    <cellStyle name="20% - 강조색3 6 5 2 3" xfId="5965"/>
    <cellStyle name="20% - 강조색3 6 5 2 4" xfId="5966"/>
    <cellStyle name="20% - 강조색3 6 5 3" xfId="5967"/>
    <cellStyle name="20% - 강조색3 6 5 3 2" xfId="5968"/>
    <cellStyle name="20% - 강조색3 6 5 3 3" xfId="5969"/>
    <cellStyle name="20% - 강조색3 6 5 4" xfId="5970"/>
    <cellStyle name="20% - 강조색3 6 5 5" xfId="5971"/>
    <cellStyle name="20% - 강조색3 6 6" xfId="5972"/>
    <cellStyle name="20% - 강조색3 6 6 2" xfId="5973"/>
    <cellStyle name="20% - 강조색3 6 6 2 2" xfId="5974"/>
    <cellStyle name="20% - 강조색3 6 6 2 2 2" xfId="5975"/>
    <cellStyle name="20% - 강조색3 6 6 2 2 3" xfId="5976"/>
    <cellStyle name="20% - 강조색3 6 6 2 3" xfId="5977"/>
    <cellStyle name="20% - 강조색3 6 6 2 4" xfId="5978"/>
    <cellStyle name="20% - 강조색3 6 6 3" xfId="5979"/>
    <cellStyle name="20% - 강조색3 6 6 3 2" xfId="5980"/>
    <cellStyle name="20% - 강조색3 6 6 3 3" xfId="5981"/>
    <cellStyle name="20% - 강조색3 6 6 4" xfId="5982"/>
    <cellStyle name="20% - 강조색3 6 6 5" xfId="5983"/>
    <cellStyle name="20% - 강조색3 6 7" xfId="5984"/>
    <cellStyle name="20% - 강조색3 6 7 2" xfId="5985"/>
    <cellStyle name="20% - 강조색3 6 7 2 2" xfId="5986"/>
    <cellStyle name="20% - 강조색3 6 7 2 3" xfId="5987"/>
    <cellStyle name="20% - 강조색3 6 7 3" xfId="5988"/>
    <cellStyle name="20% - 강조색3 6 7 4" xfId="5989"/>
    <cellStyle name="20% - 강조색3 6 8" xfId="5990"/>
    <cellStyle name="20% - 강조색3 6 8 2" xfId="5991"/>
    <cellStyle name="20% - 강조색3 6 8 3" xfId="5992"/>
    <cellStyle name="20% - 강조색3 6 9" xfId="5993"/>
    <cellStyle name="20% - 강조색3 60" xfId="5994"/>
    <cellStyle name="20% - 강조색3 61" xfId="5995"/>
    <cellStyle name="20% - 강조색3 62" xfId="5996"/>
    <cellStyle name="20% - 강조색3 63" xfId="5997"/>
    <cellStyle name="20% - 강조색3 64" xfId="5998"/>
    <cellStyle name="20% - 강조색3 65" xfId="5999"/>
    <cellStyle name="20% - 강조색3 66" xfId="6000"/>
    <cellStyle name="20% - 강조색3 67" xfId="6001"/>
    <cellStyle name="20% - 강조색3 68" xfId="6002"/>
    <cellStyle name="20% - 강조색3 69" xfId="6003"/>
    <cellStyle name="20% - 강조색3 7" xfId="6004"/>
    <cellStyle name="20% - 강조색3 7 10" xfId="6005"/>
    <cellStyle name="20% - 강조색3 7 2" xfId="6006"/>
    <cellStyle name="20% - 강조색3 7 2 2" xfId="6007"/>
    <cellStyle name="20% - 강조색3 7 2 2 2" xfId="6008"/>
    <cellStyle name="20% - 강조색3 7 2 2 2 2" xfId="6009"/>
    <cellStyle name="20% - 강조색3 7 2 2 2 2 2" xfId="6010"/>
    <cellStyle name="20% - 강조색3 7 2 2 2 2 3" xfId="6011"/>
    <cellStyle name="20% - 강조색3 7 2 2 2 3" xfId="6012"/>
    <cellStyle name="20% - 강조색3 7 2 2 2 4" xfId="6013"/>
    <cellStyle name="20% - 강조색3 7 2 2 3" xfId="6014"/>
    <cellStyle name="20% - 강조색3 7 2 2 3 2" xfId="6015"/>
    <cellStyle name="20% - 강조색3 7 2 2 3 3" xfId="6016"/>
    <cellStyle name="20% - 강조색3 7 2 2 4" xfId="6017"/>
    <cellStyle name="20% - 강조색3 7 2 2 5" xfId="6018"/>
    <cellStyle name="20% - 강조색3 7 2 3" xfId="6019"/>
    <cellStyle name="20% - 강조색3 7 2 3 2" xfId="6020"/>
    <cellStyle name="20% - 강조색3 7 2 3 2 2" xfId="6021"/>
    <cellStyle name="20% - 강조색3 7 2 3 2 2 2" xfId="6022"/>
    <cellStyle name="20% - 강조색3 7 2 3 2 2 3" xfId="6023"/>
    <cellStyle name="20% - 강조색3 7 2 3 2 3" xfId="6024"/>
    <cellStyle name="20% - 강조색3 7 2 3 2 4" xfId="6025"/>
    <cellStyle name="20% - 강조색3 7 2 3 3" xfId="6026"/>
    <cellStyle name="20% - 강조색3 7 2 3 3 2" xfId="6027"/>
    <cellStyle name="20% - 강조색3 7 2 3 3 3" xfId="6028"/>
    <cellStyle name="20% - 강조색3 7 2 3 4" xfId="6029"/>
    <cellStyle name="20% - 강조색3 7 2 3 5" xfId="6030"/>
    <cellStyle name="20% - 강조색3 7 2 4" xfId="6031"/>
    <cellStyle name="20% - 강조색3 7 2 4 2" xfId="6032"/>
    <cellStyle name="20% - 강조색3 7 2 4 2 2" xfId="6033"/>
    <cellStyle name="20% - 강조색3 7 2 4 2 3" xfId="6034"/>
    <cellStyle name="20% - 강조색3 7 2 4 3" xfId="6035"/>
    <cellStyle name="20% - 강조색3 7 2 4 4" xfId="6036"/>
    <cellStyle name="20% - 강조색3 7 2 5" xfId="6037"/>
    <cellStyle name="20% - 강조색3 7 2 5 2" xfId="6038"/>
    <cellStyle name="20% - 강조색3 7 2 5 3" xfId="6039"/>
    <cellStyle name="20% - 강조색3 7 2 6" xfId="6040"/>
    <cellStyle name="20% - 강조색3 7 2 7" xfId="6041"/>
    <cellStyle name="20% - 강조색3 7 3" xfId="6042"/>
    <cellStyle name="20% - 강조색3 7 3 2" xfId="6043"/>
    <cellStyle name="20% - 강조색3 7 3 2 2" xfId="6044"/>
    <cellStyle name="20% - 강조색3 7 3 2 2 2" xfId="6045"/>
    <cellStyle name="20% - 강조색3 7 3 2 2 2 2" xfId="6046"/>
    <cellStyle name="20% - 강조색3 7 3 2 2 2 3" xfId="6047"/>
    <cellStyle name="20% - 강조색3 7 3 2 2 3" xfId="6048"/>
    <cellStyle name="20% - 강조색3 7 3 2 2 4" xfId="6049"/>
    <cellStyle name="20% - 강조색3 7 3 2 3" xfId="6050"/>
    <cellStyle name="20% - 강조색3 7 3 2 3 2" xfId="6051"/>
    <cellStyle name="20% - 강조색3 7 3 2 3 3" xfId="6052"/>
    <cellStyle name="20% - 강조색3 7 3 2 4" xfId="6053"/>
    <cellStyle name="20% - 강조색3 7 3 2 5" xfId="6054"/>
    <cellStyle name="20% - 강조색3 7 3 3" xfId="6055"/>
    <cellStyle name="20% - 강조색3 7 3 3 2" xfId="6056"/>
    <cellStyle name="20% - 강조색3 7 3 3 2 2" xfId="6057"/>
    <cellStyle name="20% - 강조색3 7 3 3 2 2 2" xfId="6058"/>
    <cellStyle name="20% - 강조색3 7 3 3 2 2 3" xfId="6059"/>
    <cellStyle name="20% - 강조색3 7 3 3 2 3" xfId="6060"/>
    <cellStyle name="20% - 강조색3 7 3 3 2 4" xfId="6061"/>
    <cellStyle name="20% - 강조색3 7 3 3 3" xfId="6062"/>
    <cellStyle name="20% - 강조색3 7 3 3 3 2" xfId="6063"/>
    <cellStyle name="20% - 강조색3 7 3 3 3 3" xfId="6064"/>
    <cellStyle name="20% - 강조색3 7 3 3 4" xfId="6065"/>
    <cellStyle name="20% - 강조색3 7 3 3 5" xfId="6066"/>
    <cellStyle name="20% - 강조색3 7 3 4" xfId="6067"/>
    <cellStyle name="20% - 강조색3 7 3 4 2" xfId="6068"/>
    <cellStyle name="20% - 강조색3 7 3 4 2 2" xfId="6069"/>
    <cellStyle name="20% - 강조색3 7 3 4 2 3" xfId="6070"/>
    <cellStyle name="20% - 강조색3 7 3 4 3" xfId="6071"/>
    <cellStyle name="20% - 강조색3 7 3 4 4" xfId="6072"/>
    <cellStyle name="20% - 강조색3 7 3 5" xfId="6073"/>
    <cellStyle name="20% - 강조색3 7 3 5 2" xfId="6074"/>
    <cellStyle name="20% - 강조색3 7 3 5 3" xfId="6075"/>
    <cellStyle name="20% - 강조색3 7 3 6" xfId="6076"/>
    <cellStyle name="20% - 강조색3 7 3 7" xfId="6077"/>
    <cellStyle name="20% - 강조색3 7 4" xfId="6078"/>
    <cellStyle name="20% - 강조색3 7 4 2" xfId="6079"/>
    <cellStyle name="20% - 강조색3 7 4 2 2" xfId="6080"/>
    <cellStyle name="20% - 강조색3 7 4 2 2 2" xfId="6081"/>
    <cellStyle name="20% - 강조색3 7 4 2 2 3" xfId="6082"/>
    <cellStyle name="20% - 강조색3 7 4 2 3" xfId="6083"/>
    <cellStyle name="20% - 강조색3 7 4 2 4" xfId="6084"/>
    <cellStyle name="20% - 강조색3 7 4 3" xfId="6085"/>
    <cellStyle name="20% - 강조색3 7 4 3 2" xfId="6086"/>
    <cellStyle name="20% - 강조색3 7 4 3 3" xfId="6087"/>
    <cellStyle name="20% - 강조색3 7 4 4" xfId="6088"/>
    <cellStyle name="20% - 강조색3 7 4 5" xfId="6089"/>
    <cellStyle name="20% - 강조색3 7 5" xfId="6090"/>
    <cellStyle name="20% - 강조색3 7 5 2" xfId="6091"/>
    <cellStyle name="20% - 강조색3 7 5 2 2" xfId="6092"/>
    <cellStyle name="20% - 강조색3 7 5 2 2 2" xfId="6093"/>
    <cellStyle name="20% - 강조색3 7 5 2 2 3" xfId="6094"/>
    <cellStyle name="20% - 강조색3 7 5 2 3" xfId="6095"/>
    <cellStyle name="20% - 강조색3 7 5 2 4" xfId="6096"/>
    <cellStyle name="20% - 강조색3 7 5 3" xfId="6097"/>
    <cellStyle name="20% - 강조색3 7 5 3 2" xfId="6098"/>
    <cellStyle name="20% - 강조색3 7 5 3 3" xfId="6099"/>
    <cellStyle name="20% - 강조색3 7 5 4" xfId="6100"/>
    <cellStyle name="20% - 강조색3 7 5 5" xfId="6101"/>
    <cellStyle name="20% - 강조색3 7 6" xfId="6102"/>
    <cellStyle name="20% - 강조색3 7 6 2" xfId="6103"/>
    <cellStyle name="20% - 강조색3 7 6 2 2" xfId="6104"/>
    <cellStyle name="20% - 강조색3 7 6 2 2 2" xfId="6105"/>
    <cellStyle name="20% - 강조색3 7 6 2 2 3" xfId="6106"/>
    <cellStyle name="20% - 강조색3 7 6 2 3" xfId="6107"/>
    <cellStyle name="20% - 강조색3 7 6 2 4" xfId="6108"/>
    <cellStyle name="20% - 강조색3 7 6 3" xfId="6109"/>
    <cellStyle name="20% - 강조색3 7 6 3 2" xfId="6110"/>
    <cellStyle name="20% - 강조색3 7 6 3 3" xfId="6111"/>
    <cellStyle name="20% - 강조색3 7 6 4" xfId="6112"/>
    <cellStyle name="20% - 강조색3 7 6 5" xfId="6113"/>
    <cellStyle name="20% - 강조색3 7 7" xfId="6114"/>
    <cellStyle name="20% - 강조색3 7 7 2" xfId="6115"/>
    <cellStyle name="20% - 강조색3 7 7 2 2" xfId="6116"/>
    <cellStyle name="20% - 강조색3 7 7 2 3" xfId="6117"/>
    <cellStyle name="20% - 강조색3 7 7 3" xfId="6118"/>
    <cellStyle name="20% - 강조색3 7 7 4" xfId="6119"/>
    <cellStyle name="20% - 강조색3 7 8" xfId="6120"/>
    <cellStyle name="20% - 강조색3 7 8 2" xfId="6121"/>
    <cellStyle name="20% - 강조색3 7 8 3" xfId="6122"/>
    <cellStyle name="20% - 강조색3 7 9" xfId="6123"/>
    <cellStyle name="20% - 강조색3 8" xfId="6124"/>
    <cellStyle name="20% - 강조색3 8 2" xfId="6125"/>
    <cellStyle name="20% - 강조색3 8 2 2" xfId="6126"/>
    <cellStyle name="20% - 강조색3 8 2 2 2" xfId="6127"/>
    <cellStyle name="20% - 강조색3 8 2 2 2 2" xfId="6128"/>
    <cellStyle name="20% - 강조색3 8 2 2 2 3" xfId="6129"/>
    <cellStyle name="20% - 강조색3 8 2 2 3" xfId="6130"/>
    <cellStyle name="20% - 강조색3 8 2 2 4" xfId="6131"/>
    <cellStyle name="20% - 강조색3 8 2 3" xfId="6132"/>
    <cellStyle name="20% - 강조색3 8 2 3 2" xfId="6133"/>
    <cellStyle name="20% - 강조색3 8 2 3 3" xfId="6134"/>
    <cellStyle name="20% - 강조색3 8 2 4" xfId="6135"/>
    <cellStyle name="20% - 강조색3 8 2 5" xfId="6136"/>
    <cellStyle name="20% - 강조색3 8 3" xfId="6137"/>
    <cellStyle name="20% - 강조색3 8 3 2" xfId="6138"/>
    <cellStyle name="20% - 강조색3 8 3 2 2" xfId="6139"/>
    <cellStyle name="20% - 강조색3 8 3 2 2 2" xfId="6140"/>
    <cellStyle name="20% - 강조색3 8 3 2 2 3" xfId="6141"/>
    <cellStyle name="20% - 강조색3 8 3 2 3" xfId="6142"/>
    <cellStyle name="20% - 강조색3 8 3 2 4" xfId="6143"/>
    <cellStyle name="20% - 강조색3 8 3 3" xfId="6144"/>
    <cellStyle name="20% - 강조색3 8 3 3 2" xfId="6145"/>
    <cellStyle name="20% - 강조색3 8 3 3 3" xfId="6146"/>
    <cellStyle name="20% - 강조색3 8 3 4" xfId="6147"/>
    <cellStyle name="20% - 강조색3 8 3 5" xfId="6148"/>
    <cellStyle name="20% - 강조색3 8 4" xfId="6149"/>
    <cellStyle name="20% - 강조색3 8 4 2" xfId="6150"/>
    <cellStyle name="20% - 강조색3 8 4 2 2" xfId="6151"/>
    <cellStyle name="20% - 강조색3 8 4 2 3" xfId="6152"/>
    <cellStyle name="20% - 강조색3 8 4 3" xfId="6153"/>
    <cellStyle name="20% - 강조색3 8 4 4" xfId="6154"/>
    <cellStyle name="20% - 강조색3 8 5" xfId="6155"/>
    <cellStyle name="20% - 강조색3 8 5 2" xfId="6156"/>
    <cellStyle name="20% - 강조색3 8 5 3" xfId="6157"/>
    <cellStyle name="20% - 강조색3 8 6" xfId="6158"/>
    <cellStyle name="20% - 강조색3 8 7" xfId="6159"/>
    <cellStyle name="20% - 강조색3 9" xfId="6160"/>
    <cellStyle name="20% - 강조색3 9 2" xfId="6161"/>
    <cellStyle name="20% - 강조색3 9 2 2" xfId="6162"/>
    <cellStyle name="20% - 강조색3 9 2 2 2" xfId="6163"/>
    <cellStyle name="20% - 강조색3 9 2 2 2 2" xfId="6164"/>
    <cellStyle name="20% - 강조색3 9 2 2 2 3" xfId="6165"/>
    <cellStyle name="20% - 강조색3 9 2 2 3" xfId="6166"/>
    <cellStyle name="20% - 강조색3 9 2 2 4" xfId="6167"/>
    <cellStyle name="20% - 강조색3 9 2 3" xfId="6168"/>
    <cellStyle name="20% - 강조색3 9 2 3 2" xfId="6169"/>
    <cellStyle name="20% - 강조색3 9 2 3 3" xfId="6170"/>
    <cellStyle name="20% - 강조색3 9 2 4" xfId="6171"/>
    <cellStyle name="20% - 강조색3 9 2 5" xfId="6172"/>
    <cellStyle name="20% - 강조색3 9 3" xfId="6173"/>
    <cellStyle name="20% - 강조색3 9 3 2" xfId="6174"/>
    <cellStyle name="20% - 강조색3 9 3 2 2" xfId="6175"/>
    <cellStyle name="20% - 강조색3 9 3 2 2 2" xfId="6176"/>
    <cellStyle name="20% - 강조색3 9 3 2 2 3" xfId="6177"/>
    <cellStyle name="20% - 강조색3 9 3 2 3" xfId="6178"/>
    <cellStyle name="20% - 강조색3 9 3 2 4" xfId="6179"/>
    <cellStyle name="20% - 강조색3 9 3 3" xfId="6180"/>
    <cellStyle name="20% - 강조색3 9 3 3 2" xfId="6181"/>
    <cellStyle name="20% - 강조색3 9 3 3 3" xfId="6182"/>
    <cellStyle name="20% - 강조색3 9 3 4" xfId="6183"/>
    <cellStyle name="20% - 강조색3 9 3 5" xfId="6184"/>
    <cellStyle name="20% - 강조색3 9 4" xfId="6185"/>
    <cellStyle name="20% - 강조색3 9 4 2" xfId="6186"/>
    <cellStyle name="20% - 강조색3 9 4 2 2" xfId="6187"/>
    <cellStyle name="20% - 강조색3 9 4 2 3" xfId="6188"/>
    <cellStyle name="20% - 강조색3 9 4 3" xfId="6189"/>
    <cellStyle name="20% - 강조색3 9 4 4" xfId="6190"/>
    <cellStyle name="20% - 강조색3 9 5" xfId="6191"/>
    <cellStyle name="20% - 강조색3 9 5 2" xfId="6192"/>
    <cellStyle name="20% - 강조색3 9 5 3" xfId="6193"/>
    <cellStyle name="20% - 강조색3 9 6" xfId="6194"/>
    <cellStyle name="20% - 강조색3 9 7" xfId="6195"/>
    <cellStyle name="20% - 강조색4 10" xfId="6196"/>
    <cellStyle name="20% - 강조색4 10 2" xfId="6197"/>
    <cellStyle name="20% - 강조색4 10 2 2" xfId="6198"/>
    <cellStyle name="20% - 강조색4 10 2 2 2" xfId="6199"/>
    <cellStyle name="20% - 강조색4 10 2 2 2 2" xfId="6200"/>
    <cellStyle name="20% - 강조색4 10 2 2 2 3" xfId="6201"/>
    <cellStyle name="20% - 강조색4 10 2 2 3" xfId="6202"/>
    <cellStyle name="20% - 강조색4 10 2 2 4" xfId="6203"/>
    <cellStyle name="20% - 강조색4 10 2 3" xfId="6204"/>
    <cellStyle name="20% - 강조색4 10 2 3 2" xfId="6205"/>
    <cellStyle name="20% - 강조색4 10 2 3 3" xfId="6206"/>
    <cellStyle name="20% - 강조색4 10 2 4" xfId="6207"/>
    <cellStyle name="20% - 강조색4 10 2 5" xfId="6208"/>
    <cellStyle name="20% - 강조색4 10 3" xfId="6209"/>
    <cellStyle name="20% - 강조색4 10 3 2" xfId="6210"/>
    <cellStyle name="20% - 강조색4 10 3 2 2" xfId="6211"/>
    <cellStyle name="20% - 강조색4 10 3 2 2 2" xfId="6212"/>
    <cellStyle name="20% - 강조색4 10 3 2 2 3" xfId="6213"/>
    <cellStyle name="20% - 강조색4 10 3 2 3" xfId="6214"/>
    <cellStyle name="20% - 강조색4 10 3 2 4" xfId="6215"/>
    <cellStyle name="20% - 강조색4 10 3 3" xfId="6216"/>
    <cellStyle name="20% - 강조색4 10 3 3 2" xfId="6217"/>
    <cellStyle name="20% - 강조색4 10 3 3 3" xfId="6218"/>
    <cellStyle name="20% - 강조색4 10 3 4" xfId="6219"/>
    <cellStyle name="20% - 강조색4 10 3 5" xfId="6220"/>
    <cellStyle name="20% - 강조색4 10 4" xfId="6221"/>
    <cellStyle name="20% - 강조색4 10 4 2" xfId="6222"/>
    <cellStyle name="20% - 강조색4 10 4 2 2" xfId="6223"/>
    <cellStyle name="20% - 강조색4 10 4 2 3" xfId="6224"/>
    <cellStyle name="20% - 강조색4 10 4 3" xfId="6225"/>
    <cellStyle name="20% - 강조색4 10 4 4" xfId="6226"/>
    <cellStyle name="20% - 강조색4 10 5" xfId="6227"/>
    <cellStyle name="20% - 강조색4 10 5 2" xfId="6228"/>
    <cellStyle name="20% - 강조색4 10 5 3" xfId="6229"/>
    <cellStyle name="20% - 강조색4 10 6" xfId="6230"/>
    <cellStyle name="20% - 강조색4 10 7" xfId="6231"/>
    <cellStyle name="20% - 강조색4 11" xfId="6232"/>
    <cellStyle name="20% - 강조색4 11 2" xfId="6233"/>
    <cellStyle name="20% - 강조색4 11 2 2" xfId="6234"/>
    <cellStyle name="20% - 강조색4 11 2 2 2" xfId="6235"/>
    <cellStyle name="20% - 강조색4 11 2 2 3" xfId="6236"/>
    <cellStyle name="20% - 강조색4 11 2 3" xfId="6237"/>
    <cellStyle name="20% - 강조색4 11 2 4" xfId="6238"/>
    <cellStyle name="20% - 강조색4 11 3" xfId="6239"/>
    <cellStyle name="20% - 강조색4 11 3 2" xfId="6240"/>
    <cellStyle name="20% - 강조색4 11 3 3" xfId="6241"/>
    <cellStyle name="20% - 강조색4 11 4" xfId="6242"/>
    <cellStyle name="20% - 강조색4 11 5" xfId="6243"/>
    <cellStyle name="20% - 강조색4 12" xfId="6244"/>
    <cellStyle name="20% - 강조색4 12 2" xfId="6245"/>
    <cellStyle name="20% - 강조색4 12 2 2" xfId="6246"/>
    <cellStyle name="20% - 강조색4 12 2 2 2" xfId="6247"/>
    <cellStyle name="20% - 강조색4 12 2 2 3" xfId="6248"/>
    <cellStyle name="20% - 강조색4 12 2 3" xfId="6249"/>
    <cellStyle name="20% - 강조색4 12 2 4" xfId="6250"/>
    <cellStyle name="20% - 강조색4 12 3" xfId="6251"/>
    <cellStyle name="20% - 강조색4 12 3 2" xfId="6252"/>
    <cellStyle name="20% - 강조색4 12 3 3" xfId="6253"/>
    <cellStyle name="20% - 강조색4 12 4" xfId="6254"/>
    <cellStyle name="20% - 강조색4 12 5" xfId="6255"/>
    <cellStyle name="20% - 강조색4 13" xfId="6256"/>
    <cellStyle name="20% - 강조색4 13 2" xfId="6257"/>
    <cellStyle name="20% - 강조색4 13 2 2" xfId="6258"/>
    <cellStyle name="20% - 강조색4 13 2 3" xfId="6259"/>
    <cellStyle name="20% - 강조색4 13 3" xfId="6260"/>
    <cellStyle name="20% - 강조색4 13 4" xfId="6261"/>
    <cellStyle name="20% - 강조색4 14" xfId="6262"/>
    <cellStyle name="20% - 강조색4 14 2" xfId="6263"/>
    <cellStyle name="20% - 강조색4 14 2 2" xfId="6264"/>
    <cellStyle name="20% - 강조색4 14 2 3" xfId="6265"/>
    <cellStyle name="20% - 강조색4 14 3" xfId="6266"/>
    <cellStyle name="20% - 강조색4 14 4" xfId="6267"/>
    <cellStyle name="20% - 강조색4 15" xfId="6268"/>
    <cellStyle name="20% - 강조색4 15 2" xfId="6269"/>
    <cellStyle name="20% - 강조색4 15 3" xfId="6270"/>
    <cellStyle name="20% - 강조색4 16" xfId="6271"/>
    <cellStyle name="20% - 강조색4 16 2" xfId="6272"/>
    <cellStyle name="20% - 강조색4 16 3" xfId="6273"/>
    <cellStyle name="20% - 강조색4 16 4" xfId="6274"/>
    <cellStyle name="20% - 강조색4 17" xfId="6275"/>
    <cellStyle name="20% - 강조색4 17 2" xfId="6276"/>
    <cellStyle name="20% - 강조색4 17 3" xfId="6277"/>
    <cellStyle name="20% - 강조색4 18" xfId="6278"/>
    <cellStyle name="20% - 강조색4 18 2" xfId="6279"/>
    <cellStyle name="20% - 강조색4 18 3" xfId="6280"/>
    <cellStyle name="20% - 강조색4 19" xfId="6281"/>
    <cellStyle name="20% - 강조색4 19 2" xfId="6282"/>
    <cellStyle name="20% - 강조색4 19 3" xfId="6283"/>
    <cellStyle name="20% - 강조색4 2" xfId="6284"/>
    <cellStyle name="20% - 강조색4 2 2" xfId="6285"/>
    <cellStyle name="20% - 강조색4 2 2 2" xfId="6286"/>
    <cellStyle name="20% - 강조색4 2 2 2 2" xfId="6287"/>
    <cellStyle name="20% - 강조색4 2 2 3" xfId="6288"/>
    <cellStyle name="20% - 강조색4 2 3" xfId="6289"/>
    <cellStyle name="20% - 강조색4 2 3 2" xfId="6290"/>
    <cellStyle name="20% - 강조색4 2 3 2 2" xfId="6291"/>
    <cellStyle name="20% - 강조색4 2 3 3" xfId="6292"/>
    <cellStyle name="20% - 강조색4 2 4" xfId="6293"/>
    <cellStyle name="20% - 강조색4 2 4 2" xfId="6294"/>
    <cellStyle name="20% - 강조색4 2 5" xfId="6295"/>
    <cellStyle name="20% - 강조색4 2 6" xfId="6296"/>
    <cellStyle name="20% - 강조색4 20" xfId="6297"/>
    <cellStyle name="20% - 강조색4 20 2" xfId="6298"/>
    <cellStyle name="20% - 강조색4 20 3" xfId="6299"/>
    <cellStyle name="20% - 강조색4 21" xfId="6300"/>
    <cellStyle name="20% - 강조색4 21 2" xfId="6301"/>
    <cellStyle name="20% - 강조색4 21 3" xfId="6302"/>
    <cellStyle name="20% - 강조색4 22" xfId="6303"/>
    <cellStyle name="20% - 강조색4 22 2" xfId="6304"/>
    <cellStyle name="20% - 강조색4 22 3" xfId="6305"/>
    <cellStyle name="20% - 강조색4 23" xfId="6306"/>
    <cellStyle name="20% - 강조색4 23 2" xfId="6307"/>
    <cellStyle name="20% - 강조색4 23 3" xfId="6308"/>
    <cellStyle name="20% - 강조색4 24" xfId="6309"/>
    <cellStyle name="20% - 강조색4 24 2" xfId="6310"/>
    <cellStyle name="20% - 강조색4 25" xfId="6311"/>
    <cellStyle name="20% - 강조색4 25 2" xfId="6312"/>
    <cellStyle name="20% - 강조색4 26" xfId="6313"/>
    <cellStyle name="20% - 강조색4 26 2" xfId="6314"/>
    <cellStyle name="20% - 강조색4 27" xfId="6315"/>
    <cellStyle name="20% - 강조색4 27 2" xfId="6316"/>
    <cellStyle name="20% - 강조색4 28" xfId="6317"/>
    <cellStyle name="20% - 강조색4 28 2" xfId="6318"/>
    <cellStyle name="20% - 강조색4 29" xfId="6319"/>
    <cellStyle name="20% - 강조색4 29 2" xfId="6320"/>
    <cellStyle name="20% - 강조색4 3" xfId="6321"/>
    <cellStyle name="20% - 강조색4 3 10" xfId="6322"/>
    <cellStyle name="20% - 강조색4 3 10 2" xfId="6323"/>
    <cellStyle name="20% - 강조색4 3 10 2 2" xfId="6324"/>
    <cellStyle name="20% - 강조색4 3 10 2 3" xfId="6325"/>
    <cellStyle name="20% - 강조색4 3 10 3" xfId="6326"/>
    <cellStyle name="20% - 강조색4 3 10 4" xfId="6327"/>
    <cellStyle name="20% - 강조색4 3 11" xfId="6328"/>
    <cellStyle name="20% - 강조색4 3 11 2" xfId="6329"/>
    <cellStyle name="20% - 강조색4 3 11 3" xfId="6330"/>
    <cellStyle name="20% - 강조색4 3 12" xfId="6331"/>
    <cellStyle name="20% - 강조색4 3 13" xfId="6332"/>
    <cellStyle name="20% - 강조색4 3 14" xfId="6333"/>
    <cellStyle name="20% - 강조색4 3 15" xfId="6334"/>
    <cellStyle name="20% - 강조색4 3 2" xfId="6335"/>
    <cellStyle name="20% - 강조색4 3 2 10" xfId="6336"/>
    <cellStyle name="20% - 강조색4 3 2 11" xfId="6337"/>
    <cellStyle name="20% - 강조색4 3 2 12" xfId="6338"/>
    <cellStyle name="20% - 강조색4 3 2 2" xfId="6339"/>
    <cellStyle name="20% - 강조색4 3 2 2 2" xfId="6340"/>
    <cellStyle name="20% - 강조색4 3 2 2 2 2" xfId="6341"/>
    <cellStyle name="20% - 강조색4 3 2 2 2 2 2" xfId="6342"/>
    <cellStyle name="20% - 강조색4 3 2 2 2 2 2 2" xfId="6343"/>
    <cellStyle name="20% - 강조색4 3 2 2 2 2 2 3" xfId="6344"/>
    <cellStyle name="20% - 강조색4 3 2 2 2 2 3" xfId="6345"/>
    <cellStyle name="20% - 강조색4 3 2 2 2 2 4" xfId="6346"/>
    <cellStyle name="20% - 강조색4 3 2 2 2 3" xfId="6347"/>
    <cellStyle name="20% - 강조색4 3 2 2 2 3 2" xfId="6348"/>
    <cellStyle name="20% - 강조색4 3 2 2 2 3 3" xfId="6349"/>
    <cellStyle name="20% - 강조색4 3 2 2 2 4" xfId="6350"/>
    <cellStyle name="20% - 강조색4 3 2 2 2 5" xfId="6351"/>
    <cellStyle name="20% - 강조색4 3 2 2 3" xfId="6352"/>
    <cellStyle name="20% - 강조색4 3 2 2 3 2" xfId="6353"/>
    <cellStyle name="20% - 강조색4 3 2 2 3 2 2" xfId="6354"/>
    <cellStyle name="20% - 강조색4 3 2 2 3 2 2 2" xfId="6355"/>
    <cellStyle name="20% - 강조색4 3 2 2 3 2 2 3" xfId="6356"/>
    <cellStyle name="20% - 강조색4 3 2 2 3 2 3" xfId="6357"/>
    <cellStyle name="20% - 강조색4 3 2 2 3 2 4" xfId="6358"/>
    <cellStyle name="20% - 강조색4 3 2 2 3 3" xfId="6359"/>
    <cellStyle name="20% - 강조색4 3 2 2 3 3 2" xfId="6360"/>
    <cellStyle name="20% - 강조색4 3 2 2 3 3 3" xfId="6361"/>
    <cellStyle name="20% - 강조색4 3 2 2 3 4" xfId="6362"/>
    <cellStyle name="20% - 강조색4 3 2 2 3 5" xfId="6363"/>
    <cellStyle name="20% - 강조색4 3 2 2 4" xfId="6364"/>
    <cellStyle name="20% - 강조색4 3 2 2 4 2" xfId="6365"/>
    <cellStyle name="20% - 강조색4 3 2 2 4 2 2" xfId="6366"/>
    <cellStyle name="20% - 강조색4 3 2 2 4 2 3" xfId="6367"/>
    <cellStyle name="20% - 강조색4 3 2 2 4 3" xfId="6368"/>
    <cellStyle name="20% - 강조색4 3 2 2 4 4" xfId="6369"/>
    <cellStyle name="20% - 강조색4 3 2 2 5" xfId="6370"/>
    <cellStyle name="20% - 강조색4 3 2 2 5 2" xfId="6371"/>
    <cellStyle name="20% - 강조색4 3 2 2 5 3" xfId="6372"/>
    <cellStyle name="20% - 강조색4 3 2 2 6" xfId="6373"/>
    <cellStyle name="20% - 강조색4 3 2 2 7" xfId="6374"/>
    <cellStyle name="20% - 강조색4 3 2 2 8" xfId="6375"/>
    <cellStyle name="20% - 강조색4 3 2 2 9" xfId="6376"/>
    <cellStyle name="20% - 강조색4 3 2 3" xfId="6377"/>
    <cellStyle name="20% - 강조색4 3 2 3 2" xfId="6378"/>
    <cellStyle name="20% - 강조색4 3 2 3 2 2" xfId="6379"/>
    <cellStyle name="20% - 강조색4 3 2 3 2 2 2" xfId="6380"/>
    <cellStyle name="20% - 강조색4 3 2 3 2 2 2 2" xfId="6381"/>
    <cellStyle name="20% - 강조색4 3 2 3 2 2 2 3" xfId="6382"/>
    <cellStyle name="20% - 강조색4 3 2 3 2 2 3" xfId="6383"/>
    <cellStyle name="20% - 강조색4 3 2 3 2 2 4" xfId="6384"/>
    <cellStyle name="20% - 강조색4 3 2 3 2 3" xfId="6385"/>
    <cellStyle name="20% - 강조색4 3 2 3 2 3 2" xfId="6386"/>
    <cellStyle name="20% - 강조색4 3 2 3 2 3 3" xfId="6387"/>
    <cellStyle name="20% - 강조색4 3 2 3 2 4" xfId="6388"/>
    <cellStyle name="20% - 강조색4 3 2 3 2 5" xfId="6389"/>
    <cellStyle name="20% - 강조색4 3 2 3 3" xfId="6390"/>
    <cellStyle name="20% - 강조색4 3 2 3 3 2" xfId="6391"/>
    <cellStyle name="20% - 강조색4 3 2 3 3 2 2" xfId="6392"/>
    <cellStyle name="20% - 강조색4 3 2 3 3 2 2 2" xfId="6393"/>
    <cellStyle name="20% - 강조색4 3 2 3 3 2 2 3" xfId="6394"/>
    <cellStyle name="20% - 강조색4 3 2 3 3 2 3" xfId="6395"/>
    <cellStyle name="20% - 강조색4 3 2 3 3 2 4" xfId="6396"/>
    <cellStyle name="20% - 강조색4 3 2 3 3 3" xfId="6397"/>
    <cellStyle name="20% - 강조색4 3 2 3 3 3 2" xfId="6398"/>
    <cellStyle name="20% - 강조색4 3 2 3 3 3 3" xfId="6399"/>
    <cellStyle name="20% - 강조색4 3 2 3 3 4" xfId="6400"/>
    <cellStyle name="20% - 강조색4 3 2 3 3 5" xfId="6401"/>
    <cellStyle name="20% - 강조색4 3 2 3 4" xfId="6402"/>
    <cellStyle name="20% - 강조색4 3 2 3 4 2" xfId="6403"/>
    <cellStyle name="20% - 강조색4 3 2 3 4 2 2" xfId="6404"/>
    <cellStyle name="20% - 강조색4 3 2 3 4 2 3" xfId="6405"/>
    <cellStyle name="20% - 강조색4 3 2 3 4 3" xfId="6406"/>
    <cellStyle name="20% - 강조색4 3 2 3 4 4" xfId="6407"/>
    <cellStyle name="20% - 강조색4 3 2 3 5" xfId="6408"/>
    <cellStyle name="20% - 강조색4 3 2 3 5 2" xfId="6409"/>
    <cellStyle name="20% - 강조색4 3 2 3 5 3" xfId="6410"/>
    <cellStyle name="20% - 강조색4 3 2 3 6" xfId="6411"/>
    <cellStyle name="20% - 강조색4 3 2 3 7" xfId="6412"/>
    <cellStyle name="20% - 강조색4 3 2 4" xfId="6413"/>
    <cellStyle name="20% - 강조색4 3 2 4 2" xfId="6414"/>
    <cellStyle name="20% - 강조색4 3 2 4 2 2" xfId="6415"/>
    <cellStyle name="20% - 강조색4 3 2 4 2 2 2" xfId="6416"/>
    <cellStyle name="20% - 강조색4 3 2 4 2 2 3" xfId="6417"/>
    <cellStyle name="20% - 강조색4 3 2 4 2 3" xfId="6418"/>
    <cellStyle name="20% - 강조색4 3 2 4 2 4" xfId="6419"/>
    <cellStyle name="20% - 강조색4 3 2 4 3" xfId="6420"/>
    <cellStyle name="20% - 강조색4 3 2 4 3 2" xfId="6421"/>
    <cellStyle name="20% - 강조색4 3 2 4 3 3" xfId="6422"/>
    <cellStyle name="20% - 강조색4 3 2 4 4" xfId="6423"/>
    <cellStyle name="20% - 강조색4 3 2 4 5" xfId="6424"/>
    <cellStyle name="20% - 강조색4 3 2 5" xfId="6425"/>
    <cellStyle name="20% - 강조색4 3 2 5 2" xfId="6426"/>
    <cellStyle name="20% - 강조색4 3 2 5 2 2" xfId="6427"/>
    <cellStyle name="20% - 강조색4 3 2 5 2 2 2" xfId="6428"/>
    <cellStyle name="20% - 강조색4 3 2 5 2 2 3" xfId="6429"/>
    <cellStyle name="20% - 강조색4 3 2 5 2 3" xfId="6430"/>
    <cellStyle name="20% - 강조색4 3 2 5 2 4" xfId="6431"/>
    <cellStyle name="20% - 강조색4 3 2 5 3" xfId="6432"/>
    <cellStyle name="20% - 강조색4 3 2 5 3 2" xfId="6433"/>
    <cellStyle name="20% - 강조색4 3 2 5 3 3" xfId="6434"/>
    <cellStyle name="20% - 강조색4 3 2 5 4" xfId="6435"/>
    <cellStyle name="20% - 강조색4 3 2 5 5" xfId="6436"/>
    <cellStyle name="20% - 강조색4 3 2 6" xfId="6437"/>
    <cellStyle name="20% - 강조색4 3 2 6 2" xfId="6438"/>
    <cellStyle name="20% - 강조색4 3 2 6 2 2" xfId="6439"/>
    <cellStyle name="20% - 강조색4 3 2 6 2 2 2" xfId="6440"/>
    <cellStyle name="20% - 강조색4 3 2 6 2 2 3" xfId="6441"/>
    <cellStyle name="20% - 강조색4 3 2 6 2 3" xfId="6442"/>
    <cellStyle name="20% - 강조색4 3 2 6 2 4" xfId="6443"/>
    <cellStyle name="20% - 강조색4 3 2 6 3" xfId="6444"/>
    <cellStyle name="20% - 강조색4 3 2 6 3 2" xfId="6445"/>
    <cellStyle name="20% - 강조색4 3 2 6 3 3" xfId="6446"/>
    <cellStyle name="20% - 강조색4 3 2 6 4" xfId="6447"/>
    <cellStyle name="20% - 강조색4 3 2 6 5" xfId="6448"/>
    <cellStyle name="20% - 강조색4 3 2 7" xfId="6449"/>
    <cellStyle name="20% - 강조색4 3 2 7 2" xfId="6450"/>
    <cellStyle name="20% - 강조색4 3 2 7 2 2" xfId="6451"/>
    <cellStyle name="20% - 강조색4 3 2 7 2 3" xfId="6452"/>
    <cellStyle name="20% - 강조색4 3 2 7 3" xfId="6453"/>
    <cellStyle name="20% - 강조색4 3 2 7 4" xfId="6454"/>
    <cellStyle name="20% - 강조색4 3 2 8" xfId="6455"/>
    <cellStyle name="20% - 강조색4 3 2 8 2" xfId="6456"/>
    <cellStyle name="20% - 강조색4 3 2 8 3" xfId="6457"/>
    <cellStyle name="20% - 강조색4 3 2 9" xfId="6458"/>
    <cellStyle name="20% - 강조색4 3 3" xfId="6459"/>
    <cellStyle name="20% - 강조색4 3 3 10" xfId="6460"/>
    <cellStyle name="20% - 강조색4 3 3 11" xfId="6461"/>
    <cellStyle name="20% - 강조색4 3 3 12" xfId="6462"/>
    <cellStyle name="20% - 강조색4 3 3 2" xfId="6463"/>
    <cellStyle name="20% - 강조색4 3 3 2 2" xfId="6464"/>
    <cellStyle name="20% - 강조색4 3 3 2 2 2" xfId="6465"/>
    <cellStyle name="20% - 강조색4 3 3 2 2 2 2" xfId="6466"/>
    <cellStyle name="20% - 강조색4 3 3 2 2 2 2 2" xfId="6467"/>
    <cellStyle name="20% - 강조색4 3 3 2 2 2 2 3" xfId="6468"/>
    <cellStyle name="20% - 강조색4 3 3 2 2 2 3" xfId="6469"/>
    <cellStyle name="20% - 강조색4 3 3 2 2 2 4" xfId="6470"/>
    <cellStyle name="20% - 강조색4 3 3 2 2 3" xfId="6471"/>
    <cellStyle name="20% - 강조색4 3 3 2 2 3 2" xfId="6472"/>
    <cellStyle name="20% - 강조색4 3 3 2 2 3 3" xfId="6473"/>
    <cellStyle name="20% - 강조색4 3 3 2 2 4" xfId="6474"/>
    <cellStyle name="20% - 강조색4 3 3 2 2 5" xfId="6475"/>
    <cellStyle name="20% - 강조색4 3 3 2 3" xfId="6476"/>
    <cellStyle name="20% - 강조색4 3 3 2 3 2" xfId="6477"/>
    <cellStyle name="20% - 강조색4 3 3 2 3 2 2" xfId="6478"/>
    <cellStyle name="20% - 강조색4 3 3 2 3 2 2 2" xfId="6479"/>
    <cellStyle name="20% - 강조색4 3 3 2 3 2 2 3" xfId="6480"/>
    <cellStyle name="20% - 강조색4 3 3 2 3 2 3" xfId="6481"/>
    <cellStyle name="20% - 강조색4 3 3 2 3 2 4" xfId="6482"/>
    <cellStyle name="20% - 강조색4 3 3 2 3 3" xfId="6483"/>
    <cellStyle name="20% - 강조색4 3 3 2 3 3 2" xfId="6484"/>
    <cellStyle name="20% - 강조색4 3 3 2 3 3 3" xfId="6485"/>
    <cellStyle name="20% - 강조색4 3 3 2 3 4" xfId="6486"/>
    <cellStyle name="20% - 강조색4 3 3 2 3 5" xfId="6487"/>
    <cellStyle name="20% - 강조색4 3 3 2 4" xfId="6488"/>
    <cellStyle name="20% - 강조색4 3 3 2 4 2" xfId="6489"/>
    <cellStyle name="20% - 강조색4 3 3 2 4 2 2" xfId="6490"/>
    <cellStyle name="20% - 강조색4 3 3 2 4 2 3" xfId="6491"/>
    <cellStyle name="20% - 강조색4 3 3 2 4 3" xfId="6492"/>
    <cellStyle name="20% - 강조색4 3 3 2 4 4" xfId="6493"/>
    <cellStyle name="20% - 강조색4 3 3 2 5" xfId="6494"/>
    <cellStyle name="20% - 강조색4 3 3 2 5 2" xfId="6495"/>
    <cellStyle name="20% - 강조색4 3 3 2 5 3" xfId="6496"/>
    <cellStyle name="20% - 강조색4 3 3 2 6" xfId="6497"/>
    <cellStyle name="20% - 강조색4 3 3 2 7" xfId="6498"/>
    <cellStyle name="20% - 강조색4 3 3 2 8" xfId="6499"/>
    <cellStyle name="20% - 강조색4 3 3 2 9" xfId="6500"/>
    <cellStyle name="20% - 강조색4 3 3 3" xfId="6501"/>
    <cellStyle name="20% - 강조색4 3 3 3 2" xfId="6502"/>
    <cellStyle name="20% - 강조색4 3 3 3 2 2" xfId="6503"/>
    <cellStyle name="20% - 강조색4 3 3 3 2 2 2" xfId="6504"/>
    <cellStyle name="20% - 강조색4 3 3 3 2 2 2 2" xfId="6505"/>
    <cellStyle name="20% - 강조색4 3 3 3 2 2 2 3" xfId="6506"/>
    <cellStyle name="20% - 강조색4 3 3 3 2 2 3" xfId="6507"/>
    <cellStyle name="20% - 강조색4 3 3 3 2 2 4" xfId="6508"/>
    <cellStyle name="20% - 강조색4 3 3 3 2 3" xfId="6509"/>
    <cellStyle name="20% - 강조색4 3 3 3 2 3 2" xfId="6510"/>
    <cellStyle name="20% - 강조색4 3 3 3 2 3 3" xfId="6511"/>
    <cellStyle name="20% - 강조색4 3 3 3 2 4" xfId="6512"/>
    <cellStyle name="20% - 강조색4 3 3 3 2 5" xfId="6513"/>
    <cellStyle name="20% - 강조색4 3 3 3 3" xfId="6514"/>
    <cellStyle name="20% - 강조색4 3 3 3 3 2" xfId="6515"/>
    <cellStyle name="20% - 강조색4 3 3 3 3 2 2" xfId="6516"/>
    <cellStyle name="20% - 강조색4 3 3 3 3 2 2 2" xfId="6517"/>
    <cellStyle name="20% - 강조색4 3 3 3 3 2 2 3" xfId="6518"/>
    <cellStyle name="20% - 강조색4 3 3 3 3 2 3" xfId="6519"/>
    <cellStyle name="20% - 강조색4 3 3 3 3 2 4" xfId="6520"/>
    <cellStyle name="20% - 강조색4 3 3 3 3 3" xfId="6521"/>
    <cellStyle name="20% - 강조색4 3 3 3 3 3 2" xfId="6522"/>
    <cellStyle name="20% - 강조색4 3 3 3 3 3 3" xfId="6523"/>
    <cellStyle name="20% - 강조색4 3 3 3 3 4" xfId="6524"/>
    <cellStyle name="20% - 강조색4 3 3 3 3 5" xfId="6525"/>
    <cellStyle name="20% - 강조색4 3 3 3 4" xfId="6526"/>
    <cellStyle name="20% - 강조색4 3 3 3 4 2" xfId="6527"/>
    <cellStyle name="20% - 강조색4 3 3 3 4 2 2" xfId="6528"/>
    <cellStyle name="20% - 강조색4 3 3 3 4 2 3" xfId="6529"/>
    <cellStyle name="20% - 강조색4 3 3 3 4 3" xfId="6530"/>
    <cellStyle name="20% - 강조색4 3 3 3 4 4" xfId="6531"/>
    <cellStyle name="20% - 강조색4 3 3 3 5" xfId="6532"/>
    <cellStyle name="20% - 강조색4 3 3 3 5 2" xfId="6533"/>
    <cellStyle name="20% - 강조색4 3 3 3 5 3" xfId="6534"/>
    <cellStyle name="20% - 강조색4 3 3 3 6" xfId="6535"/>
    <cellStyle name="20% - 강조색4 3 3 3 7" xfId="6536"/>
    <cellStyle name="20% - 강조색4 3 3 4" xfId="6537"/>
    <cellStyle name="20% - 강조색4 3 3 4 2" xfId="6538"/>
    <cellStyle name="20% - 강조색4 3 3 4 2 2" xfId="6539"/>
    <cellStyle name="20% - 강조색4 3 3 4 2 2 2" xfId="6540"/>
    <cellStyle name="20% - 강조색4 3 3 4 2 2 3" xfId="6541"/>
    <cellStyle name="20% - 강조색4 3 3 4 2 3" xfId="6542"/>
    <cellStyle name="20% - 강조색4 3 3 4 2 4" xfId="6543"/>
    <cellStyle name="20% - 강조색4 3 3 4 3" xfId="6544"/>
    <cellStyle name="20% - 강조색4 3 3 4 3 2" xfId="6545"/>
    <cellStyle name="20% - 강조색4 3 3 4 3 3" xfId="6546"/>
    <cellStyle name="20% - 강조색4 3 3 4 4" xfId="6547"/>
    <cellStyle name="20% - 강조색4 3 3 4 5" xfId="6548"/>
    <cellStyle name="20% - 강조색4 3 3 5" xfId="6549"/>
    <cellStyle name="20% - 강조색4 3 3 5 2" xfId="6550"/>
    <cellStyle name="20% - 강조색4 3 3 5 2 2" xfId="6551"/>
    <cellStyle name="20% - 강조색4 3 3 5 2 2 2" xfId="6552"/>
    <cellStyle name="20% - 강조색4 3 3 5 2 2 3" xfId="6553"/>
    <cellStyle name="20% - 강조색4 3 3 5 2 3" xfId="6554"/>
    <cellStyle name="20% - 강조색4 3 3 5 2 4" xfId="6555"/>
    <cellStyle name="20% - 강조색4 3 3 5 3" xfId="6556"/>
    <cellStyle name="20% - 강조색4 3 3 5 3 2" xfId="6557"/>
    <cellStyle name="20% - 강조색4 3 3 5 3 3" xfId="6558"/>
    <cellStyle name="20% - 강조색4 3 3 5 4" xfId="6559"/>
    <cellStyle name="20% - 강조색4 3 3 5 5" xfId="6560"/>
    <cellStyle name="20% - 강조색4 3 3 6" xfId="6561"/>
    <cellStyle name="20% - 강조색4 3 3 6 2" xfId="6562"/>
    <cellStyle name="20% - 강조색4 3 3 6 2 2" xfId="6563"/>
    <cellStyle name="20% - 강조색4 3 3 6 2 2 2" xfId="6564"/>
    <cellStyle name="20% - 강조색4 3 3 6 2 2 3" xfId="6565"/>
    <cellStyle name="20% - 강조색4 3 3 6 2 3" xfId="6566"/>
    <cellStyle name="20% - 강조색4 3 3 6 2 4" xfId="6567"/>
    <cellStyle name="20% - 강조색4 3 3 6 3" xfId="6568"/>
    <cellStyle name="20% - 강조색4 3 3 6 3 2" xfId="6569"/>
    <cellStyle name="20% - 강조색4 3 3 6 3 3" xfId="6570"/>
    <cellStyle name="20% - 강조색4 3 3 6 4" xfId="6571"/>
    <cellStyle name="20% - 강조색4 3 3 6 5" xfId="6572"/>
    <cellStyle name="20% - 강조색4 3 3 7" xfId="6573"/>
    <cellStyle name="20% - 강조색4 3 3 7 2" xfId="6574"/>
    <cellStyle name="20% - 강조색4 3 3 7 2 2" xfId="6575"/>
    <cellStyle name="20% - 강조색4 3 3 7 2 3" xfId="6576"/>
    <cellStyle name="20% - 강조색4 3 3 7 3" xfId="6577"/>
    <cellStyle name="20% - 강조색4 3 3 7 4" xfId="6578"/>
    <cellStyle name="20% - 강조색4 3 3 8" xfId="6579"/>
    <cellStyle name="20% - 강조색4 3 3 8 2" xfId="6580"/>
    <cellStyle name="20% - 강조색4 3 3 8 3" xfId="6581"/>
    <cellStyle name="20% - 강조색4 3 3 9" xfId="6582"/>
    <cellStyle name="20% - 강조색4 3 4" xfId="6583"/>
    <cellStyle name="20% - 강조색4 3 4 10" xfId="6584"/>
    <cellStyle name="20% - 강조색4 3 4 11" xfId="6585"/>
    <cellStyle name="20% - 강조색4 3 4 12" xfId="6586"/>
    <cellStyle name="20% - 강조색4 3 4 2" xfId="6587"/>
    <cellStyle name="20% - 강조색4 3 4 2 2" xfId="6588"/>
    <cellStyle name="20% - 강조색4 3 4 2 2 2" xfId="6589"/>
    <cellStyle name="20% - 강조색4 3 4 2 2 2 2" xfId="6590"/>
    <cellStyle name="20% - 강조색4 3 4 2 2 2 2 2" xfId="6591"/>
    <cellStyle name="20% - 강조색4 3 4 2 2 2 2 3" xfId="6592"/>
    <cellStyle name="20% - 강조색4 3 4 2 2 2 3" xfId="6593"/>
    <cellStyle name="20% - 강조색4 3 4 2 2 2 4" xfId="6594"/>
    <cellStyle name="20% - 강조색4 3 4 2 2 3" xfId="6595"/>
    <cellStyle name="20% - 강조색4 3 4 2 2 3 2" xfId="6596"/>
    <cellStyle name="20% - 강조색4 3 4 2 2 3 3" xfId="6597"/>
    <cellStyle name="20% - 강조색4 3 4 2 2 4" xfId="6598"/>
    <cellStyle name="20% - 강조색4 3 4 2 2 5" xfId="6599"/>
    <cellStyle name="20% - 강조색4 3 4 2 3" xfId="6600"/>
    <cellStyle name="20% - 강조색4 3 4 2 3 2" xfId="6601"/>
    <cellStyle name="20% - 강조색4 3 4 2 3 2 2" xfId="6602"/>
    <cellStyle name="20% - 강조색4 3 4 2 3 2 2 2" xfId="6603"/>
    <cellStyle name="20% - 강조색4 3 4 2 3 2 2 3" xfId="6604"/>
    <cellStyle name="20% - 강조색4 3 4 2 3 2 3" xfId="6605"/>
    <cellStyle name="20% - 강조색4 3 4 2 3 2 4" xfId="6606"/>
    <cellStyle name="20% - 강조색4 3 4 2 3 3" xfId="6607"/>
    <cellStyle name="20% - 강조색4 3 4 2 3 3 2" xfId="6608"/>
    <cellStyle name="20% - 강조색4 3 4 2 3 3 3" xfId="6609"/>
    <cellStyle name="20% - 강조색4 3 4 2 3 4" xfId="6610"/>
    <cellStyle name="20% - 강조색4 3 4 2 3 5" xfId="6611"/>
    <cellStyle name="20% - 강조색4 3 4 2 4" xfId="6612"/>
    <cellStyle name="20% - 강조색4 3 4 2 4 2" xfId="6613"/>
    <cellStyle name="20% - 강조색4 3 4 2 4 2 2" xfId="6614"/>
    <cellStyle name="20% - 강조색4 3 4 2 4 2 3" xfId="6615"/>
    <cellStyle name="20% - 강조색4 3 4 2 4 3" xfId="6616"/>
    <cellStyle name="20% - 강조색4 3 4 2 4 4" xfId="6617"/>
    <cellStyle name="20% - 강조색4 3 4 2 5" xfId="6618"/>
    <cellStyle name="20% - 강조색4 3 4 2 5 2" xfId="6619"/>
    <cellStyle name="20% - 강조색4 3 4 2 5 3" xfId="6620"/>
    <cellStyle name="20% - 강조색4 3 4 2 6" xfId="6621"/>
    <cellStyle name="20% - 강조색4 3 4 2 7" xfId="6622"/>
    <cellStyle name="20% - 강조색4 3 4 3" xfId="6623"/>
    <cellStyle name="20% - 강조색4 3 4 3 2" xfId="6624"/>
    <cellStyle name="20% - 강조색4 3 4 3 2 2" xfId="6625"/>
    <cellStyle name="20% - 강조색4 3 4 3 2 2 2" xfId="6626"/>
    <cellStyle name="20% - 강조색4 3 4 3 2 2 2 2" xfId="6627"/>
    <cellStyle name="20% - 강조색4 3 4 3 2 2 2 3" xfId="6628"/>
    <cellStyle name="20% - 강조색4 3 4 3 2 2 3" xfId="6629"/>
    <cellStyle name="20% - 강조색4 3 4 3 2 2 4" xfId="6630"/>
    <cellStyle name="20% - 강조색4 3 4 3 2 3" xfId="6631"/>
    <cellStyle name="20% - 강조색4 3 4 3 2 3 2" xfId="6632"/>
    <cellStyle name="20% - 강조색4 3 4 3 2 3 3" xfId="6633"/>
    <cellStyle name="20% - 강조색4 3 4 3 2 4" xfId="6634"/>
    <cellStyle name="20% - 강조색4 3 4 3 2 5" xfId="6635"/>
    <cellStyle name="20% - 강조색4 3 4 3 3" xfId="6636"/>
    <cellStyle name="20% - 강조색4 3 4 3 3 2" xfId="6637"/>
    <cellStyle name="20% - 강조색4 3 4 3 3 2 2" xfId="6638"/>
    <cellStyle name="20% - 강조색4 3 4 3 3 2 2 2" xfId="6639"/>
    <cellStyle name="20% - 강조색4 3 4 3 3 2 2 3" xfId="6640"/>
    <cellStyle name="20% - 강조색4 3 4 3 3 2 3" xfId="6641"/>
    <cellStyle name="20% - 강조색4 3 4 3 3 2 4" xfId="6642"/>
    <cellStyle name="20% - 강조색4 3 4 3 3 3" xfId="6643"/>
    <cellStyle name="20% - 강조색4 3 4 3 3 3 2" xfId="6644"/>
    <cellStyle name="20% - 강조색4 3 4 3 3 3 3" xfId="6645"/>
    <cellStyle name="20% - 강조색4 3 4 3 3 4" xfId="6646"/>
    <cellStyle name="20% - 강조색4 3 4 3 3 5" xfId="6647"/>
    <cellStyle name="20% - 강조색4 3 4 3 4" xfId="6648"/>
    <cellStyle name="20% - 강조색4 3 4 3 4 2" xfId="6649"/>
    <cellStyle name="20% - 강조색4 3 4 3 4 2 2" xfId="6650"/>
    <cellStyle name="20% - 강조색4 3 4 3 4 2 3" xfId="6651"/>
    <cellStyle name="20% - 강조색4 3 4 3 4 3" xfId="6652"/>
    <cellStyle name="20% - 강조색4 3 4 3 4 4" xfId="6653"/>
    <cellStyle name="20% - 강조색4 3 4 3 5" xfId="6654"/>
    <cellStyle name="20% - 강조색4 3 4 3 5 2" xfId="6655"/>
    <cellStyle name="20% - 강조색4 3 4 3 5 3" xfId="6656"/>
    <cellStyle name="20% - 강조색4 3 4 3 6" xfId="6657"/>
    <cellStyle name="20% - 강조색4 3 4 3 7" xfId="6658"/>
    <cellStyle name="20% - 강조색4 3 4 4" xfId="6659"/>
    <cellStyle name="20% - 강조색4 3 4 4 2" xfId="6660"/>
    <cellStyle name="20% - 강조색4 3 4 4 2 2" xfId="6661"/>
    <cellStyle name="20% - 강조색4 3 4 4 2 2 2" xfId="6662"/>
    <cellStyle name="20% - 강조색4 3 4 4 2 2 3" xfId="6663"/>
    <cellStyle name="20% - 강조색4 3 4 4 2 3" xfId="6664"/>
    <cellStyle name="20% - 강조색4 3 4 4 2 4" xfId="6665"/>
    <cellStyle name="20% - 강조색4 3 4 4 3" xfId="6666"/>
    <cellStyle name="20% - 강조색4 3 4 4 3 2" xfId="6667"/>
    <cellStyle name="20% - 강조색4 3 4 4 3 3" xfId="6668"/>
    <cellStyle name="20% - 강조색4 3 4 4 4" xfId="6669"/>
    <cellStyle name="20% - 강조색4 3 4 4 5" xfId="6670"/>
    <cellStyle name="20% - 강조색4 3 4 5" xfId="6671"/>
    <cellStyle name="20% - 강조색4 3 4 5 2" xfId="6672"/>
    <cellStyle name="20% - 강조색4 3 4 5 2 2" xfId="6673"/>
    <cellStyle name="20% - 강조색4 3 4 5 2 2 2" xfId="6674"/>
    <cellStyle name="20% - 강조색4 3 4 5 2 2 3" xfId="6675"/>
    <cellStyle name="20% - 강조색4 3 4 5 2 3" xfId="6676"/>
    <cellStyle name="20% - 강조색4 3 4 5 2 4" xfId="6677"/>
    <cellStyle name="20% - 강조색4 3 4 5 3" xfId="6678"/>
    <cellStyle name="20% - 강조색4 3 4 5 3 2" xfId="6679"/>
    <cellStyle name="20% - 강조색4 3 4 5 3 3" xfId="6680"/>
    <cellStyle name="20% - 강조색4 3 4 5 4" xfId="6681"/>
    <cellStyle name="20% - 강조색4 3 4 5 5" xfId="6682"/>
    <cellStyle name="20% - 강조색4 3 4 6" xfId="6683"/>
    <cellStyle name="20% - 강조색4 3 4 6 2" xfId="6684"/>
    <cellStyle name="20% - 강조색4 3 4 6 2 2" xfId="6685"/>
    <cellStyle name="20% - 강조색4 3 4 6 2 2 2" xfId="6686"/>
    <cellStyle name="20% - 강조색4 3 4 6 2 2 3" xfId="6687"/>
    <cellStyle name="20% - 강조색4 3 4 6 2 3" xfId="6688"/>
    <cellStyle name="20% - 강조색4 3 4 6 2 4" xfId="6689"/>
    <cellStyle name="20% - 강조색4 3 4 6 3" xfId="6690"/>
    <cellStyle name="20% - 강조색4 3 4 6 3 2" xfId="6691"/>
    <cellStyle name="20% - 강조색4 3 4 6 3 3" xfId="6692"/>
    <cellStyle name="20% - 강조색4 3 4 6 4" xfId="6693"/>
    <cellStyle name="20% - 강조색4 3 4 6 5" xfId="6694"/>
    <cellStyle name="20% - 강조색4 3 4 7" xfId="6695"/>
    <cellStyle name="20% - 강조색4 3 4 7 2" xfId="6696"/>
    <cellStyle name="20% - 강조색4 3 4 7 2 2" xfId="6697"/>
    <cellStyle name="20% - 강조색4 3 4 7 2 3" xfId="6698"/>
    <cellStyle name="20% - 강조색4 3 4 7 3" xfId="6699"/>
    <cellStyle name="20% - 강조색4 3 4 7 4" xfId="6700"/>
    <cellStyle name="20% - 강조색4 3 4 8" xfId="6701"/>
    <cellStyle name="20% - 강조색4 3 4 8 2" xfId="6702"/>
    <cellStyle name="20% - 강조색4 3 4 8 3" xfId="6703"/>
    <cellStyle name="20% - 강조색4 3 4 9" xfId="6704"/>
    <cellStyle name="20% - 강조색4 3 5" xfId="6705"/>
    <cellStyle name="20% - 강조색4 3 5 2" xfId="6706"/>
    <cellStyle name="20% - 강조색4 3 5 2 2" xfId="6707"/>
    <cellStyle name="20% - 강조색4 3 5 2 2 2" xfId="6708"/>
    <cellStyle name="20% - 강조색4 3 5 2 2 2 2" xfId="6709"/>
    <cellStyle name="20% - 강조색4 3 5 2 2 2 3" xfId="6710"/>
    <cellStyle name="20% - 강조색4 3 5 2 2 3" xfId="6711"/>
    <cellStyle name="20% - 강조색4 3 5 2 2 4" xfId="6712"/>
    <cellStyle name="20% - 강조색4 3 5 2 3" xfId="6713"/>
    <cellStyle name="20% - 강조색4 3 5 2 3 2" xfId="6714"/>
    <cellStyle name="20% - 강조색4 3 5 2 3 3" xfId="6715"/>
    <cellStyle name="20% - 강조색4 3 5 2 4" xfId="6716"/>
    <cellStyle name="20% - 강조색4 3 5 2 5" xfId="6717"/>
    <cellStyle name="20% - 강조색4 3 5 3" xfId="6718"/>
    <cellStyle name="20% - 강조색4 3 5 3 2" xfId="6719"/>
    <cellStyle name="20% - 강조색4 3 5 3 2 2" xfId="6720"/>
    <cellStyle name="20% - 강조색4 3 5 3 2 2 2" xfId="6721"/>
    <cellStyle name="20% - 강조색4 3 5 3 2 2 3" xfId="6722"/>
    <cellStyle name="20% - 강조색4 3 5 3 2 3" xfId="6723"/>
    <cellStyle name="20% - 강조색4 3 5 3 2 4" xfId="6724"/>
    <cellStyle name="20% - 강조색4 3 5 3 3" xfId="6725"/>
    <cellStyle name="20% - 강조색4 3 5 3 3 2" xfId="6726"/>
    <cellStyle name="20% - 강조색4 3 5 3 3 3" xfId="6727"/>
    <cellStyle name="20% - 강조색4 3 5 3 4" xfId="6728"/>
    <cellStyle name="20% - 강조색4 3 5 3 5" xfId="6729"/>
    <cellStyle name="20% - 강조색4 3 5 4" xfId="6730"/>
    <cellStyle name="20% - 강조색4 3 5 4 2" xfId="6731"/>
    <cellStyle name="20% - 강조색4 3 5 4 2 2" xfId="6732"/>
    <cellStyle name="20% - 강조색4 3 5 4 2 3" xfId="6733"/>
    <cellStyle name="20% - 강조색4 3 5 4 3" xfId="6734"/>
    <cellStyle name="20% - 강조색4 3 5 4 4" xfId="6735"/>
    <cellStyle name="20% - 강조색4 3 5 5" xfId="6736"/>
    <cellStyle name="20% - 강조색4 3 5 5 2" xfId="6737"/>
    <cellStyle name="20% - 강조색4 3 5 5 3" xfId="6738"/>
    <cellStyle name="20% - 강조색4 3 5 6" xfId="6739"/>
    <cellStyle name="20% - 강조색4 3 5 7" xfId="6740"/>
    <cellStyle name="20% - 강조색4 3 5 8" xfId="6741"/>
    <cellStyle name="20% - 강조색4 3 6" xfId="6742"/>
    <cellStyle name="20% - 강조색4 3 6 2" xfId="6743"/>
    <cellStyle name="20% - 강조색4 3 6 2 2" xfId="6744"/>
    <cellStyle name="20% - 강조색4 3 6 2 2 2" xfId="6745"/>
    <cellStyle name="20% - 강조색4 3 6 2 2 2 2" xfId="6746"/>
    <cellStyle name="20% - 강조색4 3 6 2 2 2 3" xfId="6747"/>
    <cellStyle name="20% - 강조색4 3 6 2 2 3" xfId="6748"/>
    <cellStyle name="20% - 강조색4 3 6 2 2 4" xfId="6749"/>
    <cellStyle name="20% - 강조색4 3 6 2 3" xfId="6750"/>
    <cellStyle name="20% - 강조색4 3 6 2 3 2" xfId="6751"/>
    <cellStyle name="20% - 강조색4 3 6 2 3 3" xfId="6752"/>
    <cellStyle name="20% - 강조색4 3 6 2 4" xfId="6753"/>
    <cellStyle name="20% - 강조색4 3 6 2 5" xfId="6754"/>
    <cellStyle name="20% - 강조색4 3 6 3" xfId="6755"/>
    <cellStyle name="20% - 강조색4 3 6 3 2" xfId="6756"/>
    <cellStyle name="20% - 강조색4 3 6 3 2 2" xfId="6757"/>
    <cellStyle name="20% - 강조색4 3 6 3 2 2 2" xfId="6758"/>
    <cellStyle name="20% - 강조색4 3 6 3 2 2 3" xfId="6759"/>
    <cellStyle name="20% - 강조색4 3 6 3 2 3" xfId="6760"/>
    <cellStyle name="20% - 강조색4 3 6 3 2 4" xfId="6761"/>
    <cellStyle name="20% - 강조색4 3 6 3 3" xfId="6762"/>
    <cellStyle name="20% - 강조색4 3 6 3 3 2" xfId="6763"/>
    <cellStyle name="20% - 강조색4 3 6 3 3 3" xfId="6764"/>
    <cellStyle name="20% - 강조색4 3 6 3 4" xfId="6765"/>
    <cellStyle name="20% - 강조색4 3 6 3 5" xfId="6766"/>
    <cellStyle name="20% - 강조색4 3 6 4" xfId="6767"/>
    <cellStyle name="20% - 강조색4 3 6 4 2" xfId="6768"/>
    <cellStyle name="20% - 강조색4 3 6 4 2 2" xfId="6769"/>
    <cellStyle name="20% - 강조색4 3 6 4 2 3" xfId="6770"/>
    <cellStyle name="20% - 강조색4 3 6 4 3" xfId="6771"/>
    <cellStyle name="20% - 강조색4 3 6 4 4" xfId="6772"/>
    <cellStyle name="20% - 강조색4 3 6 5" xfId="6773"/>
    <cellStyle name="20% - 강조색4 3 6 5 2" xfId="6774"/>
    <cellStyle name="20% - 강조색4 3 6 5 3" xfId="6775"/>
    <cellStyle name="20% - 강조색4 3 6 6" xfId="6776"/>
    <cellStyle name="20% - 강조색4 3 6 7" xfId="6777"/>
    <cellStyle name="20% - 강조색4 3 7" xfId="6778"/>
    <cellStyle name="20% - 강조색4 3 7 2" xfId="6779"/>
    <cellStyle name="20% - 강조색4 3 7 2 2" xfId="6780"/>
    <cellStyle name="20% - 강조색4 3 7 2 2 2" xfId="6781"/>
    <cellStyle name="20% - 강조색4 3 7 2 2 3" xfId="6782"/>
    <cellStyle name="20% - 강조색4 3 7 2 3" xfId="6783"/>
    <cellStyle name="20% - 강조색4 3 7 2 4" xfId="6784"/>
    <cellStyle name="20% - 강조색4 3 7 3" xfId="6785"/>
    <cellStyle name="20% - 강조색4 3 7 3 2" xfId="6786"/>
    <cellStyle name="20% - 강조색4 3 7 3 3" xfId="6787"/>
    <cellStyle name="20% - 강조색4 3 7 4" xfId="6788"/>
    <cellStyle name="20% - 강조색4 3 7 5" xfId="6789"/>
    <cellStyle name="20% - 강조색4 3 8" xfId="6790"/>
    <cellStyle name="20% - 강조색4 3 8 2" xfId="6791"/>
    <cellStyle name="20% - 강조색4 3 8 2 2" xfId="6792"/>
    <cellStyle name="20% - 강조색4 3 8 2 2 2" xfId="6793"/>
    <cellStyle name="20% - 강조색4 3 8 2 2 3" xfId="6794"/>
    <cellStyle name="20% - 강조색4 3 8 2 3" xfId="6795"/>
    <cellStyle name="20% - 강조색4 3 8 2 4" xfId="6796"/>
    <cellStyle name="20% - 강조색4 3 8 3" xfId="6797"/>
    <cellStyle name="20% - 강조색4 3 8 3 2" xfId="6798"/>
    <cellStyle name="20% - 강조색4 3 8 3 3" xfId="6799"/>
    <cellStyle name="20% - 강조색4 3 8 4" xfId="6800"/>
    <cellStyle name="20% - 강조색4 3 8 5" xfId="6801"/>
    <cellStyle name="20% - 강조색4 3 9" xfId="6802"/>
    <cellStyle name="20% - 강조색4 3 9 2" xfId="6803"/>
    <cellStyle name="20% - 강조색4 3 9 2 2" xfId="6804"/>
    <cellStyle name="20% - 강조색4 3 9 2 2 2" xfId="6805"/>
    <cellStyle name="20% - 강조색4 3 9 2 2 3" xfId="6806"/>
    <cellStyle name="20% - 강조색4 3 9 2 3" xfId="6807"/>
    <cellStyle name="20% - 강조색4 3 9 2 4" xfId="6808"/>
    <cellStyle name="20% - 강조색4 3 9 3" xfId="6809"/>
    <cellStyle name="20% - 강조색4 3 9 3 2" xfId="6810"/>
    <cellStyle name="20% - 강조색4 3 9 3 3" xfId="6811"/>
    <cellStyle name="20% - 강조색4 3 9 4" xfId="6812"/>
    <cellStyle name="20% - 강조색4 3 9 5" xfId="6813"/>
    <cellStyle name="20% - 강조색4 30" xfId="6814"/>
    <cellStyle name="20% - 강조색4 30 2" xfId="6815"/>
    <cellStyle name="20% - 강조색4 31" xfId="6816"/>
    <cellStyle name="20% - 강조색4 31 2" xfId="6817"/>
    <cellStyle name="20% - 강조색4 32" xfId="6818"/>
    <cellStyle name="20% - 강조색4 32 2" xfId="6819"/>
    <cellStyle name="20% - 강조색4 33" xfId="6820"/>
    <cellStyle name="20% - 강조색4 33 2" xfId="6821"/>
    <cellStyle name="20% - 강조색4 34" xfId="6822"/>
    <cellStyle name="20% - 강조색4 34 2" xfId="6823"/>
    <cellStyle name="20% - 강조색4 35" xfId="6824"/>
    <cellStyle name="20% - 강조색4 36" xfId="6825"/>
    <cellStyle name="20% - 강조색4 37" xfId="6826"/>
    <cellStyle name="20% - 강조색4 38" xfId="6827"/>
    <cellStyle name="20% - 강조색4 39" xfId="6828"/>
    <cellStyle name="20% - 강조색4 4" xfId="6829"/>
    <cellStyle name="20% - 강조색4 4 10" xfId="6830"/>
    <cellStyle name="20% - 강조색4 4 10 2" xfId="6831"/>
    <cellStyle name="20% - 강조색4 4 10 2 2" xfId="6832"/>
    <cellStyle name="20% - 강조색4 4 10 2 3" xfId="6833"/>
    <cellStyle name="20% - 강조색4 4 10 3" xfId="6834"/>
    <cellStyle name="20% - 강조색4 4 10 4" xfId="6835"/>
    <cellStyle name="20% - 강조색4 4 11" xfId="6836"/>
    <cellStyle name="20% - 강조색4 4 11 2" xfId="6837"/>
    <cellStyle name="20% - 강조색4 4 11 3" xfId="6838"/>
    <cellStyle name="20% - 강조색4 4 12" xfId="6839"/>
    <cellStyle name="20% - 강조색4 4 13" xfId="6840"/>
    <cellStyle name="20% - 강조색4 4 14" xfId="6841"/>
    <cellStyle name="20% - 강조색4 4 2" xfId="6842"/>
    <cellStyle name="20% - 강조색4 4 2 10" xfId="6843"/>
    <cellStyle name="20% - 강조색4 4 2 2" xfId="6844"/>
    <cellStyle name="20% - 강조색4 4 2 2 2" xfId="6845"/>
    <cellStyle name="20% - 강조색4 4 2 2 2 2" xfId="6846"/>
    <cellStyle name="20% - 강조색4 4 2 2 2 2 2" xfId="6847"/>
    <cellStyle name="20% - 강조색4 4 2 2 2 2 2 2" xfId="6848"/>
    <cellStyle name="20% - 강조색4 4 2 2 2 2 2 3" xfId="6849"/>
    <cellStyle name="20% - 강조색4 4 2 2 2 2 3" xfId="6850"/>
    <cellStyle name="20% - 강조색4 4 2 2 2 2 4" xfId="6851"/>
    <cellStyle name="20% - 강조색4 4 2 2 2 3" xfId="6852"/>
    <cellStyle name="20% - 강조색4 4 2 2 2 3 2" xfId="6853"/>
    <cellStyle name="20% - 강조색4 4 2 2 2 3 3" xfId="6854"/>
    <cellStyle name="20% - 강조색4 4 2 2 2 4" xfId="6855"/>
    <cellStyle name="20% - 강조색4 4 2 2 2 5" xfId="6856"/>
    <cellStyle name="20% - 강조색4 4 2 2 3" xfId="6857"/>
    <cellStyle name="20% - 강조색4 4 2 2 3 2" xfId="6858"/>
    <cellStyle name="20% - 강조색4 4 2 2 3 2 2" xfId="6859"/>
    <cellStyle name="20% - 강조색4 4 2 2 3 2 2 2" xfId="6860"/>
    <cellStyle name="20% - 강조색4 4 2 2 3 2 2 3" xfId="6861"/>
    <cellStyle name="20% - 강조색4 4 2 2 3 2 3" xfId="6862"/>
    <cellStyle name="20% - 강조색4 4 2 2 3 2 4" xfId="6863"/>
    <cellStyle name="20% - 강조색4 4 2 2 3 3" xfId="6864"/>
    <cellStyle name="20% - 강조색4 4 2 2 3 3 2" xfId="6865"/>
    <cellStyle name="20% - 강조색4 4 2 2 3 3 3" xfId="6866"/>
    <cellStyle name="20% - 강조색4 4 2 2 3 4" xfId="6867"/>
    <cellStyle name="20% - 강조색4 4 2 2 3 5" xfId="6868"/>
    <cellStyle name="20% - 강조색4 4 2 2 4" xfId="6869"/>
    <cellStyle name="20% - 강조색4 4 2 2 4 2" xfId="6870"/>
    <cellStyle name="20% - 강조색4 4 2 2 4 2 2" xfId="6871"/>
    <cellStyle name="20% - 강조색4 4 2 2 4 2 3" xfId="6872"/>
    <cellStyle name="20% - 강조색4 4 2 2 4 3" xfId="6873"/>
    <cellStyle name="20% - 강조색4 4 2 2 4 4" xfId="6874"/>
    <cellStyle name="20% - 강조색4 4 2 2 5" xfId="6875"/>
    <cellStyle name="20% - 강조색4 4 2 2 5 2" xfId="6876"/>
    <cellStyle name="20% - 강조색4 4 2 2 5 3" xfId="6877"/>
    <cellStyle name="20% - 강조색4 4 2 2 6" xfId="6878"/>
    <cellStyle name="20% - 강조색4 4 2 2 7" xfId="6879"/>
    <cellStyle name="20% - 강조색4 4 2 3" xfId="6880"/>
    <cellStyle name="20% - 강조색4 4 2 3 2" xfId="6881"/>
    <cellStyle name="20% - 강조색4 4 2 3 2 2" xfId="6882"/>
    <cellStyle name="20% - 강조색4 4 2 3 2 2 2" xfId="6883"/>
    <cellStyle name="20% - 강조색4 4 2 3 2 2 2 2" xfId="6884"/>
    <cellStyle name="20% - 강조색4 4 2 3 2 2 2 3" xfId="6885"/>
    <cellStyle name="20% - 강조색4 4 2 3 2 2 3" xfId="6886"/>
    <cellStyle name="20% - 강조색4 4 2 3 2 2 4" xfId="6887"/>
    <cellStyle name="20% - 강조색4 4 2 3 2 3" xfId="6888"/>
    <cellStyle name="20% - 강조색4 4 2 3 2 3 2" xfId="6889"/>
    <cellStyle name="20% - 강조색4 4 2 3 2 3 3" xfId="6890"/>
    <cellStyle name="20% - 강조색4 4 2 3 2 4" xfId="6891"/>
    <cellStyle name="20% - 강조색4 4 2 3 2 5" xfId="6892"/>
    <cellStyle name="20% - 강조색4 4 2 3 3" xfId="6893"/>
    <cellStyle name="20% - 강조색4 4 2 3 3 2" xfId="6894"/>
    <cellStyle name="20% - 강조색4 4 2 3 3 2 2" xfId="6895"/>
    <cellStyle name="20% - 강조색4 4 2 3 3 2 2 2" xfId="6896"/>
    <cellStyle name="20% - 강조색4 4 2 3 3 2 2 3" xfId="6897"/>
    <cellStyle name="20% - 강조색4 4 2 3 3 2 3" xfId="6898"/>
    <cellStyle name="20% - 강조색4 4 2 3 3 2 4" xfId="6899"/>
    <cellStyle name="20% - 강조색4 4 2 3 3 3" xfId="6900"/>
    <cellStyle name="20% - 강조색4 4 2 3 3 3 2" xfId="6901"/>
    <cellStyle name="20% - 강조색4 4 2 3 3 3 3" xfId="6902"/>
    <cellStyle name="20% - 강조색4 4 2 3 3 4" xfId="6903"/>
    <cellStyle name="20% - 강조색4 4 2 3 3 5" xfId="6904"/>
    <cellStyle name="20% - 강조색4 4 2 3 4" xfId="6905"/>
    <cellStyle name="20% - 강조색4 4 2 3 4 2" xfId="6906"/>
    <cellStyle name="20% - 강조색4 4 2 3 4 2 2" xfId="6907"/>
    <cellStyle name="20% - 강조색4 4 2 3 4 2 3" xfId="6908"/>
    <cellStyle name="20% - 강조색4 4 2 3 4 3" xfId="6909"/>
    <cellStyle name="20% - 강조색4 4 2 3 4 4" xfId="6910"/>
    <cellStyle name="20% - 강조색4 4 2 3 5" xfId="6911"/>
    <cellStyle name="20% - 강조색4 4 2 3 5 2" xfId="6912"/>
    <cellStyle name="20% - 강조색4 4 2 3 5 3" xfId="6913"/>
    <cellStyle name="20% - 강조색4 4 2 3 6" xfId="6914"/>
    <cellStyle name="20% - 강조색4 4 2 3 7" xfId="6915"/>
    <cellStyle name="20% - 강조색4 4 2 4" xfId="6916"/>
    <cellStyle name="20% - 강조색4 4 2 4 2" xfId="6917"/>
    <cellStyle name="20% - 강조색4 4 2 4 2 2" xfId="6918"/>
    <cellStyle name="20% - 강조색4 4 2 4 2 2 2" xfId="6919"/>
    <cellStyle name="20% - 강조색4 4 2 4 2 2 3" xfId="6920"/>
    <cellStyle name="20% - 강조색4 4 2 4 2 3" xfId="6921"/>
    <cellStyle name="20% - 강조색4 4 2 4 2 4" xfId="6922"/>
    <cellStyle name="20% - 강조색4 4 2 4 3" xfId="6923"/>
    <cellStyle name="20% - 강조색4 4 2 4 3 2" xfId="6924"/>
    <cellStyle name="20% - 강조색4 4 2 4 3 3" xfId="6925"/>
    <cellStyle name="20% - 강조색4 4 2 4 4" xfId="6926"/>
    <cellStyle name="20% - 강조색4 4 2 4 5" xfId="6927"/>
    <cellStyle name="20% - 강조색4 4 2 5" xfId="6928"/>
    <cellStyle name="20% - 강조색4 4 2 5 2" xfId="6929"/>
    <cellStyle name="20% - 강조색4 4 2 5 2 2" xfId="6930"/>
    <cellStyle name="20% - 강조색4 4 2 5 2 2 2" xfId="6931"/>
    <cellStyle name="20% - 강조색4 4 2 5 2 2 3" xfId="6932"/>
    <cellStyle name="20% - 강조색4 4 2 5 2 3" xfId="6933"/>
    <cellStyle name="20% - 강조색4 4 2 5 2 4" xfId="6934"/>
    <cellStyle name="20% - 강조색4 4 2 5 3" xfId="6935"/>
    <cellStyle name="20% - 강조색4 4 2 5 3 2" xfId="6936"/>
    <cellStyle name="20% - 강조색4 4 2 5 3 3" xfId="6937"/>
    <cellStyle name="20% - 강조색4 4 2 5 4" xfId="6938"/>
    <cellStyle name="20% - 강조색4 4 2 5 5" xfId="6939"/>
    <cellStyle name="20% - 강조색4 4 2 6" xfId="6940"/>
    <cellStyle name="20% - 강조색4 4 2 6 2" xfId="6941"/>
    <cellStyle name="20% - 강조색4 4 2 6 2 2" xfId="6942"/>
    <cellStyle name="20% - 강조색4 4 2 6 2 2 2" xfId="6943"/>
    <cellStyle name="20% - 강조색4 4 2 6 2 2 3" xfId="6944"/>
    <cellStyle name="20% - 강조색4 4 2 6 2 3" xfId="6945"/>
    <cellStyle name="20% - 강조색4 4 2 6 2 4" xfId="6946"/>
    <cellStyle name="20% - 강조색4 4 2 6 3" xfId="6947"/>
    <cellStyle name="20% - 강조색4 4 2 6 3 2" xfId="6948"/>
    <cellStyle name="20% - 강조색4 4 2 6 3 3" xfId="6949"/>
    <cellStyle name="20% - 강조색4 4 2 6 4" xfId="6950"/>
    <cellStyle name="20% - 강조색4 4 2 6 5" xfId="6951"/>
    <cellStyle name="20% - 강조색4 4 2 7" xfId="6952"/>
    <cellStyle name="20% - 강조색4 4 2 7 2" xfId="6953"/>
    <cellStyle name="20% - 강조색4 4 2 7 2 2" xfId="6954"/>
    <cellStyle name="20% - 강조색4 4 2 7 2 3" xfId="6955"/>
    <cellStyle name="20% - 강조색4 4 2 7 3" xfId="6956"/>
    <cellStyle name="20% - 강조색4 4 2 7 4" xfId="6957"/>
    <cellStyle name="20% - 강조색4 4 2 8" xfId="6958"/>
    <cellStyle name="20% - 강조색4 4 2 8 2" xfId="6959"/>
    <cellStyle name="20% - 강조색4 4 2 8 3" xfId="6960"/>
    <cellStyle name="20% - 강조색4 4 2 9" xfId="6961"/>
    <cellStyle name="20% - 강조색4 4 3" xfId="6962"/>
    <cellStyle name="20% - 강조색4 4 3 10" xfId="6963"/>
    <cellStyle name="20% - 강조색4 4 3 2" xfId="6964"/>
    <cellStyle name="20% - 강조색4 4 3 2 2" xfId="6965"/>
    <cellStyle name="20% - 강조색4 4 3 2 2 2" xfId="6966"/>
    <cellStyle name="20% - 강조색4 4 3 2 2 2 2" xfId="6967"/>
    <cellStyle name="20% - 강조색4 4 3 2 2 2 2 2" xfId="6968"/>
    <cellStyle name="20% - 강조색4 4 3 2 2 2 2 3" xfId="6969"/>
    <cellStyle name="20% - 강조색4 4 3 2 2 2 3" xfId="6970"/>
    <cellStyle name="20% - 강조색4 4 3 2 2 2 4" xfId="6971"/>
    <cellStyle name="20% - 강조색4 4 3 2 2 3" xfId="6972"/>
    <cellStyle name="20% - 강조색4 4 3 2 2 3 2" xfId="6973"/>
    <cellStyle name="20% - 강조색4 4 3 2 2 3 3" xfId="6974"/>
    <cellStyle name="20% - 강조색4 4 3 2 2 4" xfId="6975"/>
    <cellStyle name="20% - 강조색4 4 3 2 2 5" xfId="6976"/>
    <cellStyle name="20% - 강조색4 4 3 2 3" xfId="6977"/>
    <cellStyle name="20% - 강조색4 4 3 2 3 2" xfId="6978"/>
    <cellStyle name="20% - 강조색4 4 3 2 3 2 2" xfId="6979"/>
    <cellStyle name="20% - 강조색4 4 3 2 3 2 2 2" xfId="6980"/>
    <cellStyle name="20% - 강조색4 4 3 2 3 2 2 3" xfId="6981"/>
    <cellStyle name="20% - 강조색4 4 3 2 3 2 3" xfId="6982"/>
    <cellStyle name="20% - 강조색4 4 3 2 3 2 4" xfId="6983"/>
    <cellStyle name="20% - 강조색4 4 3 2 3 3" xfId="6984"/>
    <cellStyle name="20% - 강조색4 4 3 2 3 3 2" xfId="6985"/>
    <cellStyle name="20% - 강조색4 4 3 2 3 3 3" xfId="6986"/>
    <cellStyle name="20% - 강조색4 4 3 2 3 4" xfId="6987"/>
    <cellStyle name="20% - 강조색4 4 3 2 3 5" xfId="6988"/>
    <cellStyle name="20% - 강조색4 4 3 2 4" xfId="6989"/>
    <cellStyle name="20% - 강조색4 4 3 2 4 2" xfId="6990"/>
    <cellStyle name="20% - 강조색4 4 3 2 4 2 2" xfId="6991"/>
    <cellStyle name="20% - 강조색4 4 3 2 4 2 3" xfId="6992"/>
    <cellStyle name="20% - 강조색4 4 3 2 4 3" xfId="6993"/>
    <cellStyle name="20% - 강조색4 4 3 2 4 4" xfId="6994"/>
    <cellStyle name="20% - 강조색4 4 3 2 5" xfId="6995"/>
    <cellStyle name="20% - 강조색4 4 3 2 5 2" xfId="6996"/>
    <cellStyle name="20% - 강조색4 4 3 2 5 3" xfId="6997"/>
    <cellStyle name="20% - 강조색4 4 3 2 6" xfId="6998"/>
    <cellStyle name="20% - 강조색4 4 3 2 7" xfId="6999"/>
    <cellStyle name="20% - 강조색4 4 3 3" xfId="7000"/>
    <cellStyle name="20% - 강조색4 4 3 3 2" xfId="7001"/>
    <cellStyle name="20% - 강조색4 4 3 3 2 2" xfId="7002"/>
    <cellStyle name="20% - 강조색4 4 3 3 2 2 2" xfId="7003"/>
    <cellStyle name="20% - 강조색4 4 3 3 2 2 2 2" xfId="7004"/>
    <cellStyle name="20% - 강조색4 4 3 3 2 2 2 3" xfId="7005"/>
    <cellStyle name="20% - 강조색4 4 3 3 2 2 3" xfId="7006"/>
    <cellStyle name="20% - 강조색4 4 3 3 2 2 4" xfId="7007"/>
    <cellStyle name="20% - 강조색4 4 3 3 2 3" xfId="7008"/>
    <cellStyle name="20% - 강조색4 4 3 3 2 3 2" xfId="7009"/>
    <cellStyle name="20% - 강조색4 4 3 3 2 3 3" xfId="7010"/>
    <cellStyle name="20% - 강조색4 4 3 3 2 4" xfId="7011"/>
    <cellStyle name="20% - 강조색4 4 3 3 2 5" xfId="7012"/>
    <cellStyle name="20% - 강조색4 4 3 3 3" xfId="7013"/>
    <cellStyle name="20% - 강조색4 4 3 3 3 2" xfId="7014"/>
    <cellStyle name="20% - 강조색4 4 3 3 3 2 2" xfId="7015"/>
    <cellStyle name="20% - 강조색4 4 3 3 3 2 2 2" xfId="7016"/>
    <cellStyle name="20% - 강조색4 4 3 3 3 2 2 3" xfId="7017"/>
    <cellStyle name="20% - 강조색4 4 3 3 3 2 3" xfId="7018"/>
    <cellStyle name="20% - 강조색4 4 3 3 3 2 4" xfId="7019"/>
    <cellStyle name="20% - 강조색4 4 3 3 3 3" xfId="7020"/>
    <cellStyle name="20% - 강조색4 4 3 3 3 3 2" xfId="7021"/>
    <cellStyle name="20% - 강조색4 4 3 3 3 3 3" xfId="7022"/>
    <cellStyle name="20% - 강조색4 4 3 3 3 4" xfId="7023"/>
    <cellStyle name="20% - 강조색4 4 3 3 3 5" xfId="7024"/>
    <cellStyle name="20% - 강조색4 4 3 3 4" xfId="7025"/>
    <cellStyle name="20% - 강조색4 4 3 3 4 2" xfId="7026"/>
    <cellStyle name="20% - 강조색4 4 3 3 4 2 2" xfId="7027"/>
    <cellStyle name="20% - 강조색4 4 3 3 4 2 3" xfId="7028"/>
    <cellStyle name="20% - 강조색4 4 3 3 4 3" xfId="7029"/>
    <cellStyle name="20% - 강조색4 4 3 3 4 4" xfId="7030"/>
    <cellStyle name="20% - 강조색4 4 3 3 5" xfId="7031"/>
    <cellStyle name="20% - 강조색4 4 3 3 5 2" xfId="7032"/>
    <cellStyle name="20% - 강조색4 4 3 3 5 3" xfId="7033"/>
    <cellStyle name="20% - 강조색4 4 3 3 6" xfId="7034"/>
    <cellStyle name="20% - 강조색4 4 3 3 7" xfId="7035"/>
    <cellStyle name="20% - 강조색4 4 3 4" xfId="7036"/>
    <cellStyle name="20% - 강조색4 4 3 4 2" xfId="7037"/>
    <cellStyle name="20% - 강조색4 4 3 4 2 2" xfId="7038"/>
    <cellStyle name="20% - 강조색4 4 3 4 2 2 2" xfId="7039"/>
    <cellStyle name="20% - 강조색4 4 3 4 2 2 3" xfId="7040"/>
    <cellStyle name="20% - 강조색4 4 3 4 2 3" xfId="7041"/>
    <cellStyle name="20% - 강조색4 4 3 4 2 4" xfId="7042"/>
    <cellStyle name="20% - 강조색4 4 3 4 3" xfId="7043"/>
    <cellStyle name="20% - 강조색4 4 3 4 3 2" xfId="7044"/>
    <cellStyle name="20% - 강조색4 4 3 4 3 3" xfId="7045"/>
    <cellStyle name="20% - 강조색4 4 3 4 4" xfId="7046"/>
    <cellStyle name="20% - 강조색4 4 3 4 5" xfId="7047"/>
    <cellStyle name="20% - 강조색4 4 3 5" xfId="7048"/>
    <cellStyle name="20% - 강조색4 4 3 5 2" xfId="7049"/>
    <cellStyle name="20% - 강조색4 4 3 5 2 2" xfId="7050"/>
    <cellStyle name="20% - 강조색4 4 3 5 2 2 2" xfId="7051"/>
    <cellStyle name="20% - 강조색4 4 3 5 2 2 3" xfId="7052"/>
    <cellStyle name="20% - 강조색4 4 3 5 2 3" xfId="7053"/>
    <cellStyle name="20% - 강조색4 4 3 5 2 4" xfId="7054"/>
    <cellStyle name="20% - 강조색4 4 3 5 3" xfId="7055"/>
    <cellStyle name="20% - 강조색4 4 3 5 3 2" xfId="7056"/>
    <cellStyle name="20% - 강조색4 4 3 5 3 3" xfId="7057"/>
    <cellStyle name="20% - 강조색4 4 3 5 4" xfId="7058"/>
    <cellStyle name="20% - 강조색4 4 3 5 5" xfId="7059"/>
    <cellStyle name="20% - 강조색4 4 3 6" xfId="7060"/>
    <cellStyle name="20% - 강조색4 4 3 6 2" xfId="7061"/>
    <cellStyle name="20% - 강조색4 4 3 6 2 2" xfId="7062"/>
    <cellStyle name="20% - 강조색4 4 3 6 2 2 2" xfId="7063"/>
    <cellStyle name="20% - 강조색4 4 3 6 2 2 3" xfId="7064"/>
    <cellStyle name="20% - 강조색4 4 3 6 2 3" xfId="7065"/>
    <cellStyle name="20% - 강조색4 4 3 6 2 4" xfId="7066"/>
    <cellStyle name="20% - 강조색4 4 3 6 3" xfId="7067"/>
    <cellStyle name="20% - 강조색4 4 3 6 3 2" xfId="7068"/>
    <cellStyle name="20% - 강조색4 4 3 6 3 3" xfId="7069"/>
    <cellStyle name="20% - 강조색4 4 3 6 4" xfId="7070"/>
    <cellStyle name="20% - 강조색4 4 3 6 5" xfId="7071"/>
    <cellStyle name="20% - 강조색4 4 3 7" xfId="7072"/>
    <cellStyle name="20% - 강조색4 4 3 7 2" xfId="7073"/>
    <cellStyle name="20% - 강조색4 4 3 7 2 2" xfId="7074"/>
    <cellStyle name="20% - 강조색4 4 3 7 2 3" xfId="7075"/>
    <cellStyle name="20% - 강조색4 4 3 7 3" xfId="7076"/>
    <cellStyle name="20% - 강조색4 4 3 7 4" xfId="7077"/>
    <cellStyle name="20% - 강조색4 4 3 8" xfId="7078"/>
    <cellStyle name="20% - 강조색4 4 3 8 2" xfId="7079"/>
    <cellStyle name="20% - 강조색4 4 3 8 3" xfId="7080"/>
    <cellStyle name="20% - 강조색4 4 3 9" xfId="7081"/>
    <cellStyle name="20% - 강조색4 4 4" xfId="7082"/>
    <cellStyle name="20% - 강조색4 4 4 10" xfId="7083"/>
    <cellStyle name="20% - 강조색4 4 4 2" xfId="7084"/>
    <cellStyle name="20% - 강조색4 4 4 2 2" xfId="7085"/>
    <cellStyle name="20% - 강조색4 4 4 2 2 2" xfId="7086"/>
    <cellStyle name="20% - 강조색4 4 4 2 2 2 2" xfId="7087"/>
    <cellStyle name="20% - 강조색4 4 4 2 2 2 2 2" xfId="7088"/>
    <cellStyle name="20% - 강조색4 4 4 2 2 2 2 3" xfId="7089"/>
    <cellStyle name="20% - 강조색4 4 4 2 2 2 3" xfId="7090"/>
    <cellStyle name="20% - 강조색4 4 4 2 2 2 4" xfId="7091"/>
    <cellStyle name="20% - 강조색4 4 4 2 2 3" xfId="7092"/>
    <cellStyle name="20% - 강조색4 4 4 2 2 3 2" xfId="7093"/>
    <cellStyle name="20% - 강조색4 4 4 2 2 3 3" xfId="7094"/>
    <cellStyle name="20% - 강조색4 4 4 2 2 4" xfId="7095"/>
    <cellStyle name="20% - 강조색4 4 4 2 2 5" xfId="7096"/>
    <cellStyle name="20% - 강조색4 4 4 2 3" xfId="7097"/>
    <cellStyle name="20% - 강조색4 4 4 2 3 2" xfId="7098"/>
    <cellStyle name="20% - 강조색4 4 4 2 3 2 2" xfId="7099"/>
    <cellStyle name="20% - 강조색4 4 4 2 3 2 2 2" xfId="7100"/>
    <cellStyle name="20% - 강조색4 4 4 2 3 2 2 3" xfId="7101"/>
    <cellStyle name="20% - 강조색4 4 4 2 3 2 3" xfId="7102"/>
    <cellStyle name="20% - 강조색4 4 4 2 3 2 4" xfId="7103"/>
    <cellStyle name="20% - 강조색4 4 4 2 3 3" xfId="7104"/>
    <cellStyle name="20% - 강조색4 4 4 2 3 3 2" xfId="7105"/>
    <cellStyle name="20% - 강조색4 4 4 2 3 3 3" xfId="7106"/>
    <cellStyle name="20% - 강조색4 4 4 2 3 4" xfId="7107"/>
    <cellStyle name="20% - 강조색4 4 4 2 3 5" xfId="7108"/>
    <cellStyle name="20% - 강조색4 4 4 2 4" xfId="7109"/>
    <cellStyle name="20% - 강조색4 4 4 2 4 2" xfId="7110"/>
    <cellStyle name="20% - 강조색4 4 4 2 4 2 2" xfId="7111"/>
    <cellStyle name="20% - 강조색4 4 4 2 4 2 3" xfId="7112"/>
    <cellStyle name="20% - 강조색4 4 4 2 4 3" xfId="7113"/>
    <cellStyle name="20% - 강조색4 4 4 2 4 4" xfId="7114"/>
    <cellStyle name="20% - 강조색4 4 4 2 5" xfId="7115"/>
    <cellStyle name="20% - 강조색4 4 4 2 5 2" xfId="7116"/>
    <cellStyle name="20% - 강조색4 4 4 2 5 3" xfId="7117"/>
    <cellStyle name="20% - 강조색4 4 4 2 6" xfId="7118"/>
    <cellStyle name="20% - 강조색4 4 4 2 7" xfId="7119"/>
    <cellStyle name="20% - 강조색4 4 4 3" xfId="7120"/>
    <cellStyle name="20% - 강조색4 4 4 3 2" xfId="7121"/>
    <cellStyle name="20% - 강조색4 4 4 3 2 2" xfId="7122"/>
    <cellStyle name="20% - 강조색4 4 4 3 2 2 2" xfId="7123"/>
    <cellStyle name="20% - 강조색4 4 4 3 2 2 2 2" xfId="7124"/>
    <cellStyle name="20% - 강조색4 4 4 3 2 2 2 3" xfId="7125"/>
    <cellStyle name="20% - 강조색4 4 4 3 2 2 3" xfId="7126"/>
    <cellStyle name="20% - 강조색4 4 4 3 2 2 4" xfId="7127"/>
    <cellStyle name="20% - 강조색4 4 4 3 2 3" xfId="7128"/>
    <cellStyle name="20% - 강조색4 4 4 3 2 3 2" xfId="7129"/>
    <cellStyle name="20% - 강조색4 4 4 3 2 3 3" xfId="7130"/>
    <cellStyle name="20% - 강조색4 4 4 3 2 4" xfId="7131"/>
    <cellStyle name="20% - 강조색4 4 4 3 2 5" xfId="7132"/>
    <cellStyle name="20% - 강조색4 4 4 3 3" xfId="7133"/>
    <cellStyle name="20% - 강조색4 4 4 3 3 2" xfId="7134"/>
    <cellStyle name="20% - 강조색4 4 4 3 3 2 2" xfId="7135"/>
    <cellStyle name="20% - 강조색4 4 4 3 3 2 2 2" xfId="7136"/>
    <cellStyle name="20% - 강조색4 4 4 3 3 2 2 3" xfId="7137"/>
    <cellStyle name="20% - 강조색4 4 4 3 3 2 3" xfId="7138"/>
    <cellStyle name="20% - 강조색4 4 4 3 3 2 4" xfId="7139"/>
    <cellStyle name="20% - 강조색4 4 4 3 3 3" xfId="7140"/>
    <cellStyle name="20% - 강조색4 4 4 3 3 3 2" xfId="7141"/>
    <cellStyle name="20% - 강조색4 4 4 3 3 3 3" xfId="7142"/>
    <cellStyle name="20% - 강조색4 4 4 3 3 4" xfId="7143"/>
    <cellStyle name="20% - 강조색4 4 4 3 3 5" xfId="7144"/>
    <cellStyle name="20% - 강조색4 4 4 3 4" xfId="7145"/>
    <cellStyle name="20% - 강조색4 4 4 3 4 2" xfId="7146"/>
    <cellStyle name="20% - 강조색4 4 4 3 4 2 2" xfId="7147"/>
    <cellStyle name="20% - 강조색4 4 4 3 4 2 3" xfId="7148"/>
    <cellStyle name="20% - 강조색4 4 4 3 4 3" xfId="7149"/>
    <cellStyle name="20% - 강조색4 4 4 3 4 4" xfId="7150"/>
    <cellStyle name="20% - 강조색4 4 4 3 5" xfId="7151"/>
    <cellStyle name="20% - 강조색4 4 4 3 5 2" xfId="7152"/>
    <cellStyle name="20% - 강조색4 4 4 3 5 3" xfId="7153"/>
    <cellStyle name="20% - 강조색4 4 4 3 6" xfId="7154"/>
    <cellStyle name="20% - 강조색4 4 4 3 7" xfId="7155"/>
    <cellStyle name="20% - 강조색4 4 4 4" xfId="7156"/>
    <cellStyle name="20% - 강조색4 4 4 4 2" xfId="7157"/>
    <cellStyle name="20% - 강조색4 4 4 4 2 2" xfId="7158"/>
    <cellStyle name="20% - 강조색4 4 4 4 2 2 2" xfId="7159"/>
    <cellStyle name="20% - 강조색4 4 4 4 2 2 3" xfId="7160"/>
    <cellStyle name="20% - 강조색4 4 4 4 2 3" xfId="7161"/>
    <cellStyle name="20% - 강조색4 4 4 4 2 4" xfId="7162"/>
    <cellStyle name="20% - 강조색4 4 4 4 3" xfId="7163"/>
    <cellStyle name="20% - 강조색4 4 4 4 3 2" xfId="7164"/>
    <cellStyle name="20% - 강조색4 4 4 4 3 3" xfId="7165"/>
    <cellStyle name="20% - 강조색4 4 4 4 4" xfId="7166"/>
    <cellStyle name="20% - 강조색4 4 4 4 5" xfId="7167"/>
    <cellStyle name="20% - 강조색4 4 4 5" xfId="7168"/>
    <cellStyle name="20% - 강조색4 4 4 5 2" xfId="7169"/>
    <cellStyle name="20% - 강조색4 4 4 5 2 2" xfId="7170"/>
    <cellStyle name="20% - 강조색4 4 4 5 2 2 2" xfId="7171"/>
    <cellStyle name="20% - 강조색4 4 4 5 2 2 3" xfId="7172"/>
    <cellStyle name="20% - 강조색4 4 4 5 2 3" xfId="7173"/>
    <cellStyle name="20% - 강조색4 4 4 5 2 4" xfId="7174"/>
    <cellStyle name="20% - 강조색4 4 4 5 3" xfId="7175"/>
    <cellStyle name="20% - 강조색4 4 4 5 3 2" xfId="7176"/>
    <cellStyle name="20% - 강조색4 4 4 5 3 3" xfId="7177"/>
    <cellStyle name="20% - 강조색4 4 4 5 4" xfId="7178"/>
    <cellStyle name="20% - 강조색4 4 4 5 5" xfId="7179"/>
    <cellStyle name="20% - 강조색4 4 4 6" xfId="7180"/>
    <cellStyle name="20% - 강조색4 4 4 6 2" xfId="7181"/>
    <cellStyle name="20% - 강조색4 4 4 6 2 2" xfId="7182"/>
    <cellStyle name="20% - 강조색4 4 4 6 2 2 2" xfId="7183"/>
    <cellStyle name="20% - 강조색4 4 4 6 2 2 3" xfId="7184"/>
    <cellStyle name="20% - 강조색4 4 4 6 2 3" xfId="7185"/>
    <cellStyle name="20% - 강조색4 4 4 6 2 4" xfId="7186"/>
    <cellStyle name="20% - 강조색4 4 4 6 3" xfId="7187"/>
    <cellStyle name="20% - 강조색4 4 4 6 3 2" xfId="7188"/>
    <cellStyle name="20% - 강조색4 4 4 6 3 3" xfId="7189"/>
    <cellStyle name="20% - 강조색4 4 4 6 4" xfId="7190"/>
    <cellStyle name="20% - 강조색4 4 4 6 5" xfId="7191"/>
    <cellStyle name="20% - 강조색4 4 4 7" xfId="7192"/>
    <cellStyle name="20% - 강조색4 4 4 7 2" xfId="7193"/>
    <cellStyle name="20% - 강조색4 4 4 7 2 2" xfId="7194"/>
    <cellStyle name="20% - 강조색4 4 4 7 2 3" xfId="7195"/>
    <cellStyle name="20% - 강조색4 4 4 7 3" xfId="7196"/>
    <cellStyle name="20% - 강조색4 4 4 7 4" xfId="7197"/>
    <cellStyle name="20% - 강조색4 4 4 8" xfId="7198"/>
    <cellStyle name="20% - 강조색4 4 4 8 2" xfId="7199"/>
    <cellStyle name="20% - 강조색4 4 4 8 3" xfId="7200"/>
    <cellStyle name="20% - 강조색4 4 4 9" xfId="7201"/>
    <cellStyle name="20% - 강조색4 4 5" xfId="7202"/>
    <cellStyle name="20% - 강조색4 4 5 2" xfId="7203"/>
    <cellStyle name="20% - 강조색4 4 5 2 2" xfId="7204"/>
    <cellStyle name="20% - 강조색4 4 5 2 2 2" xfId="7205"/>
    <cellStyle name="20% - 강조색4 4 5 2 2 2 2" xfId="7206"/>
    <cellStyle name="20% - 강조색4 4 5 2 2 2 3" xfId="7207"/>
    <cellStyle name="20% - 강조색4 4 5 2 2 3" xfId="7208"/>
    <cellStyle name="20% - 강조색4 4 5 2 2 4" xfId="7209"/>
    <cellStyle name="20% - 강조색4 4 5 2 3" xfId="7210"/>
    <cellStyle name="20% - 강조색4 4 5 2 3 2" xfId="7211"/>
    <cellStyle name="20% - 강조색4 4 5 2 3 3" xfId="7212"/>
    <cellStyle name="20% - 강조색4 4 5 2 4" xfId="7213"/>
    <cellStyle name="20% - 강조색4 4 5 2 5" xfId="7214"/>
    <cellStyle name="20% - 강조색4 4 5 3" xfId="7215"/>
    <cellStyle name="20% - 강조색4 4 5 3 2" xfId="7216"/>
    <cellStyle name="20% - 강조색4 4 5 3 2 2" xfId="7217"/>
    <cellStyle name="20% - 강조색4 4 5 3 2 2 2" xfId="7218"/>
    <cellStyle name="20% - 강조색4 4 5 3 2 2 3" xfId="7219"/>
    <cellStyle name="20% - 강조색4 4 5 3 2 3" xfId="7220"/>
    <cellStyle name="20% - 강조색4 4 5 3 2 4" xfId="7221"/>
    <cellStyle name="20% - 강조색4 4 5 3 3" xfId="7222"/>
    <cellStyle name="20% - 강조색4 4 5 3 3 2" xfId="7223"/>
    <cellStyle name="20% - 강조색4 4 5 3 3 3" xfId="7224"/>
    <cellStyle name="20% - 강조색4 4 5 3 4" xfId="7225"/>
    <cellStyle name="20% - 강조색4 4 5 3 5" xfId="7226"/>
    <cellStyle name="20% - 강조색4 4 5 4" xfId="7227"/>
    <cellStyle name="20% - 강조색4 4 5 4 2" xfId="7228"/>
    <cellStyle name="20% - 강조색4 4 5 4 2 2" xfId="7229"/>
    <cellStyle name="20% - 강조색4 4 5 4 2 3" xfId="7230"/>
    <cellStyle name="20% - 강조색4 4 5 4 3" xfId="7231"/>
    <cellStyle name="20% - 강조색4 4 5 4 4" xfId="7232"/>
    <cellStyle name="20% - 강조색4 4 5 5" xfId="7233"/>
    <cellStyle name="20% - 강조색4 4 5 5 2" xfId="7234"/>
    <cellStyle name="20% - 강조색4 4 5 5 3" xfId="7235"/>
    <cellStyle name="20% - 강조색4 4 5 6" xfId="7236"/>
    <cellStyle name="20% - 강조색4 4 5 7" xfId="7237"/>
    <cellStyle name="20% - 강조색4 4 6" xfId="7238"/>
    <cellStyle name="20% - 강조색4 4 6 2" xfId="7239"/>
    <cellStyle name="20% - 강조색4 4 6 2 2" xfId="7240"/>
    <cellStyle name="20% - 강조색4 4 6 2 2 2" xfId="7241"/>
    <cellStyle name="20% - 강조색4 4 6 2 2 2 2" xfId="7242"/>
    <cellStyle name="20% - 강조색4 4 6 2 2 2 3" xfId="7243"/>
    <cellStyle name="20% - 강조색4 4 6 2 2 3" xfId="7244"/>
    <cellStyle name="20% - 강조색4 4 6 2 2 4" xfId="7245"/>
    <cellStyle name="20% - 강조색4 4 6 2 3" xfId="7246"/>
    <cellStyle name="20% - 강조색4 4 6 2 3 2" xfId="7247"/>
    <cellStyle name="20% - 강조색4 4 6 2 3 3" xfId="7248"/>
    <cellStyle name="20% - 강조색4 4 6 2 4" xfId="7249"/>
    <cellStyle name="20% - 강조색4 4 6 2 5" xfId="7250"/>
    <cellStyle name="20% - 강조색4 4 6 3" xfId="7251"/>
    <cellStyle name="20% - 강조색4 4 6 3 2" xfId="7252"/>
    <cellStyle name="20% - 강조색4 4 6 3 2 2" xfId="7253"/>
    <cellStyle name="20% - 강조색4 4 6 3 2 2 2" xfId="7254"/>
    <cellStyle name="20% - 강조색4 4 6 3 2 2 3" xfId="7255"/>
    <cellStyle name="20% - 강조색4 4 6 3 2 3" xfId="7256"/>
    <cellStyle name="20% - 강조색4 4 6 3 2 4" xfId="7257"/>
    <cellStyle name="20% - 강조색4 4 6 3 3" xfId="7258"/>
    <cellStyle name="20% - 강조색4 4 6 3 3 2" xfId="7259"/>
    <cellStyle name="20% - 강조색4 4 6 3 3 3" xfId="7260"/>
    <cellStyle name="20% - 강조색4 4 6 3 4" xfId="7261"/>
    <cellStyle name="20% - 강조색4 4 6 3 5" xfId="7262"/>
    <cellStyle name="20% - 강조색4 4 6 4" xfId="7263"/>
    <cellStyle name="20% - 강조색4 4 6 4 2" xfId="7264"/>
    <cellStyle name="20% - 강조색4 4 6 4 2 2" xfId="7265"/>
    <cellStyle name="20% - 강조색4 4 6 4 2 3" xfId="7266"/>
    <cellStyle name="20% - 강조색4 4 6 4 3" xfId="7267"/>
    <cellStyle name="20% - 강조색4 4 6 4 4" xfId="7268"/>
    <cellStyle name="20% - 강조색4 4 6 5" xfId="7269"/>
    <cellStyle name="20% - 강조색4 4 6 5 2" xfId="7270"/>
    <cellStyle name="20% - 강조색4 4 6 5 3" xfId="7271"/>
    <cellStyle name="20% - 강조색4 4 6 6" xfId="7272"/>
    <cellStyle name="20% - 강조색4 4 6 7" xfId="7273"/>
    <cellStyle name="20% - 강조색4 4 7" xfId="7274"/>
    <cellStyle name="20% - 강조색4 4 7 2" xfId="7275"/>
    <cellStyle name="20% - 강조색4 4 7 2 2" xfId="7276"/>
    <cellStyle name="20% - 강조색4 4 7 2 2 2" xfId="7277"/>
    <cellStyle name="20% - 강조색4 4 7 2 2 3" xfId="7278"/>
    <cellStyle name="20% - 강조색4 4 7 2 3" xfId="7279"/>
    <cellStyle name="20% - 강조색4 4 7 2 4" xfId="7280"/>
    <cellStyle name="20% - 강조색4 4 7 3" xfId="7281"/>
    <cellStyle name="20% - 강조색4 4 7 3 2" xfId="7282"/>
    <cellStyle name="20% - 강조색4 4 7 3 3" xfId="7283"/>
    <cellStyle name="20% - 강조색4 4 7 4" xfId="7284"/>
    <cellStyle name="20% - 강조색4 4 7 5" xfId="7285"/>
    <cellStyle name="20% - 강조색4 4 8" xfId="7286"/>
    <cellStyle name="20% - 강조색4 4 8 2" xfId="7287"/>
    <cellStyle name="20% - 강조색4 4 8 2 2" xfId="7288"/>
    <cellStyle name="20% - 강조색4 4 8 2 2 2" xfId="7289"/>
    <cellStyle name="20% - 강조색4 4 8 2 2 3" xfId="7290"/>
    <cellStyle name="20% - 강조색4 4 8 2 3" xfId="7291"/>
    <cellStyle name="20% - 강조색4 4 8 2 4" xfId="7292"/>
    <cellStyle name="20% - 강조색4 4 8 3" xfId="7293"/>
    <cellStyle name="20% - 강조색4 4 8 3 2" xfId="7294"/>
    <cellStyle name="20% - 강조색4 4 8 3 3" xfId="7295"/>
    <cellStyle name="20% - 강조색4 4 8 4" xfId="7296"/>
    <cellStyle name="20% - 강조색4 4 8 5" xfId="7297"/>
    <cellStyle name="20% - 강조색4 4 9" xfId="7298"/>
    <cellStyle name="20% - 강조색4 4 9 2" xfId="7299"/>
    <cellStyle name="20% - 강조색4 4 9 2 2" xfId="7300"/>
    <cellStyle name="20% - 강조색4 4 9 2 2 2" xfId="7301"/>
    <cellStyle name="20% - 강조색4 4 9 2 2 3" xfId="7302"/>
    <cellStyle name="20% - 강조색4 4 9 2 3" xfId="7303"/>
    <cellStyle name="20% - 강조색4 4 9 2 4" xfId="7304"/>
    <cellStyle name="20% - 강조색4 4 9 3" xfId="7305"/>
    <cellStyle name="20% - 강조색4 4 9 3 2" xfId="7306"/>
    <cellStyle name="20% - 강조색4 4 9 3 3" xfId="7307"/>
    <cellStyle name="20% - 강조색4 4 9 4" xfId="7308"/>
    <cellStyle name="20% - 강조색4 4 9 5" xfId="7309"/>
    <cellStyle name="20% - 강조색4 40" xfId="7310"/>
    <cellStyle name="20% - 강조색4 41" xfId="7311"/>
    <cellStyle name="20% - 강조색4 42" xfId="7312"/>
    <cellStyle name="20% - 강조색4 43" xfId="7313"/>
    <cellStyle name="20% - 강조색4 44" xfId="7314"/>
    <cellStyle name="20% - 강조색4 45" xfId="7315"/>
    <cellStyle name="20% - 강조색4 46" xfId="7316"/>
    <cellStyle name="20% - 강조색4 47" xfId="7317"/>
    <cellStyle name="20% - 강조색4 48" xfId="7318"/>
    <cellStyle name="20% - 강조색4 49" xfId="7319"/>
    <cellStyle name="20% - 강조색4 5" xfId="7320"/>
    <cellStyle name="20% - 강조색4 5 10" xfId="7321"/>
    <cellStyle name="20% - 강조색4 5 11" xfId="7322"/>
    <cellStyle name="20% - 강조색4 5 2" xfId="7323"/>
    <cellStyle name="20% - 강조색4 5 2 2" xfId="7324"/>
    <cellStyle name="20% - 강조색4 5 2 2 2" xfId="7325"/>
    <cellStyle name="20% - 강조색4 5 2 2 2 2" xfId="7326"/>
    <cellStyle name="20% - 강조색4 5 2 2 2 2 2" xfId="7327"/>
    <cellStyle name="20% - 강조색4 5 2 2 2 2 3" xfId="7328"/>
    <cellStyle name="20% - 강조색4 5 2 2 2 3" xfId="7329"/>
    <cellStyle name="20% - 강조색4 5 2 2 2 4" xfId="7330"/>
    <cellStyle name="20% - 강조색4 5 2 2 3" xfId="7331"/>
    <cellStyle name="20% - 강조색4 5 2 2 3 2" xfId="7332"/>
    <cellStyle name="20% - 강조색4 5 2 2 3 3" xfId="7333"/>
    <cellStyle name="20% - 강조색4 5 2 2 4" xfId="7334"/>
    <cellStyle name="20% - 강조색4 5 2 2 5" xfId="7335"/>
    <cellStyle name="20% - 강조색4 5 2 3" xfId="7336"/>
    <cellStyle name="20% - 강조색4 5 2 3 2" xfId="7337"/>
    <cellStyle name="20% - 강조색4 5 2 3 2 2" xfId="7338"/>
    <cellStyle name="20% - 강조색4 5 2 3 2 2 2" xfId="7339"/>
    <cellStyle name="20% - 강조색4 5 2 3 2 2 3" xfId="7340"/>
    <cellStyle name="20% - 강조색4 5 2 3 2 3" xfId="7341"/>
    <cellStyle name="20% - 강조색4 5 2 3 2 4" xfId="7342"/>
    <cellStyle name="20% - 강조색4 5 2 3 3" xfId="7343"/>
    <cellStyle name="20% - 강조색4 5 2 3 3 2" xfId="7344"/>
    <cellStyle name="20% - 강조색4 5 2 3 3 3" xfId="7345"/>
    <cellStyle name="20% - 강조색4 5 2 3 4" xfId="7346"/>
    <cellStyle name="20% - 강조색4 5 2 3 5" xfId="7347"/>
    <cellStyle name="20% - 강조색4 5 2 4" xfId="7348"/>
    <cellStyle name="20% - 강조색4 5 2 4 2" xfId="7349"/>
    <cellStyle name="20% - 강조색4 5 2 4 2 2" xfId="7350"/>
    <cellStyle name="20% - 강조색4 5 2 4 2 3" xfId="7351"/>
    <cellStyle name="20% - 강조색4 5 2 4 3" xfId="7352"/>
    <cellStyle name="20% - 강조색4 5 2 4 4" xfId="7353"/>
    <cellStyle name="20% - 강조색4 5 2 5" xfId="7354"/>
    <cellStyle name="20% - 강조색4 5 2 5 2" xfId="7355"/>
    <cellStyle name="20% - 강조색4 5 2 5 3" xfId="7356"/>
    <cellStyle name="20% - 강조색4 5 2 6" xfId="7357"/>
    <cellStyle name="20% - 강조색4 5 2 7" xfId="7358"/>
    <cellStyle name="20% - 강조색4 5 3" xfId="7359"/>
    <cellStyle name="20% - 강조색4 5 3 2" xfId="7360"/>
    <cellStyle name="20% - 강조색4 5 3 2 2" xfId="7361"/>
    <cellStyle name="20% - 강조색4 5 3 2 2 2" xfId="7362"/>
    <cellStyle name="20% - 강조색4 5 3 2 2 2 2" xfId="7363"/>
    <cellStyle name="20% - 강조색4 5 3 2 2 2 3" xfId="7364"/>
    <cellStyle name="20% - 강조색4 5 3 2 2 3" xfId="7365"/>
    <cellStyle name="20% - 강조색4 5 3 2 2 4" xfId="7366"/>
    <cellStyle name="20% - 강조색4 5 3 2 3" xfId="7367"/>
    <cellStyle name="20% - 강조색4 5 3 2 3 2" xfId="7368"/>
    <cellStyle name="20% - 강조색4 5 3 2 3 3" xfId="7369"/>
    <cellStyle name="20% - 강조색4 5 3 2 4" xfId="7370"/>
    <cellStyle name="20% - 강조색4 5 3 2 5" xfId="7371"/>
    <cellStyle name="20% - 강조색4 5 3 3" xfId="7372"/>
    <cellStyle name="20% - 강조색4 5 3 3 2" xfId="7373"/>
    <cellStyle name="20% - 강조색4 5 3 3 2 2" xfId="7374"/>
    <cellStyle name="20% - 강조색4 5 3 3 2 2 2" xfId="7375"/>
    <cellStyle name="20% - 강조색4 5 3 3 2 2 3" xfId="7376"/>
    <cellStyle name="20% - 강조색4 5 3 3 2 3" xfId="7377"/>
    <cellStyle name="20% - 강조색4 5 3 3 2 4" xfId="7378"/>
    <cellStyle name="20% - 강조색4 5 3 3 3" xfId="7379"/>
    <cellStyle name="20% - 강조색4 5 3 3 3 2" xfId="7380"/>
    <cellStyle name="20% - 강조색4 5 3 3 3 3" xfId="7381"/>
    <cellStyle name="20% - 강조색4 5 3 3 4" xfId="7382"/>
    <cellStyle name="20% - 강조색4 5 3 3 5" xfId="7383"/>
    <cellStyle name="20% - 강조색4 5 3 4" xfId="7384"/>
    <cellStyle name="20% - 강조색4 5 3 4 2" xfId="7385"/>
    <cellStyle name="20% - 강조색4 5 3 4 2 2" xfId="7386"/>
    <cellStyle name="20% - 강조색4 5 3 4 2 3" xfId="7387"/>
    <cellStyle name="20% - 강조색4 5 3 4 3" xfId="7388"/>
    <cellStyle name="20% - 강조색4 5 3 4 4" xfId="7389"/>
    <cellStyle name="20% - 강조색4 5 3 5" xfId="7390"/>
    <cellStyle name="20% - 강조색4 5 3 5 2" xfId="7391"/>
    <cellStyle name="20% - 강조색4 5 3 5 3" xfId="7392"/>
    <cellStyle name="20% - 강조색4 5 3 6" xfId="7393"/>
    <cellStyle name="20% - 강조색4 5 3 7" xfId="7394"/>
    <cellStyle name="20% - 강조색4 5 4" xfId="7395"/>
    <cellStyle name="20% - 강조색4 5 4 2" xfId="7396"/>
    <cellStyle name="20% - 강조색4 5 4 2 2" xfId="7397"/>
    <cellStyle name="20% - 강조색4 5 4 2 2 2" xfId="7398"/>
    <cellStyle name="20% - 강조색4 5 4 2 2 3" xfId="7399"/>
    <cellStyle name="20% - 강조색4 5 4 2 3" xfId="7400"/>
    <cellStyle name="20% - 강조색4 5 4 2 4" xfId="7401"/>
    <cellStyle name="20% - 강조색4 5 4 3" xfId="7402"/>
    <cellStyle name="20% - 강조색4 5 4 3 2" xfId="7403"/>
    <cellStyle name="20% - 강조색4 5 4 3 3" xfId="7404"/>
    <cellStyle name="20% - 강조색4 5 4 4" xfId="7405"/>
    <cellStyle name="20% - 강조색4 5 4 5" xfId="7406"/>
    <cellStyle name="20% - 강조색4 5 5" xfId="7407"/>
    <cellStyle name="20% - 강조색4 5 5 2" xfId="7408"/>
    <cellStyle name="20% - 강조색4 5 5 2 2" xfId="7409"/>
    <cellStyle name="20% - 강조색4 5 5 2 2 2" xfId="7410"/>
    <cellStyle name="20% - 강조색4 5 5 2 2 3" xfId="7411"/>
    <cellStyle name="20% - 강조색4 5 5 2 3" xfId="7412"/>
    <cellStyle name="20% - 강조색4 5 5 2 4" xfId="7413"/>
    <cellStyle name="20% - 강조색4 5 5 3" xfId="7414"/>
    <cellStyle name="20% - 강조색4 5 5 3 2" xfId="7415"/>
    <cellStyle name="20% - 강조색4 5 5 3 3" xfId="7416"/>
    <cellStyle name="20% - 강조색4 5 5 4" xfId="7417"/>
    <cellStyle name="20% - 강조색4 5 5 5" xfId="7418"/>
    <cellStyle name="20% - 강조색4 5 6" xfId="7419"/>
    <cellStyle name="20% - 강조색4 5 6 2" xfId="7420"/>
    <cellStyle name="20% - 강조색4 5 6 2 2" xfId="7421"/>
    <cellStyle name="20% - 강조색4 5 6 2 2 2" xfId="7422"/>
    <cellStyle name="20% - 강조색4 5 6 2 2 3" xfId="7423"/>
    <cellStyle name="20% - 강조색4 5 6 2 3" xfId="7424"/>
    <cellStyle name="20% - 강조색4 5 6 2 4" xfId="7425"/>
    <cellStyle name="20% - 강조색4 5 6 3" xfId="7426"/>
    <cellStyle name="20% - 강조색4 5 6 3 2" xfId="7427"/>
    <cellStyle name="20% - 강조색4 5 6 3 3" xfId="7428"/>
    <cellStyle name="20% - 강조색4 5 6 4" xfId="7429"/>
    <cellStyle name="20% - 강조색4 5 6 5" xfId="7430"/>
    <cellStyle name="20% - 강조색4 5 7" xfId="7431"/>
    <cellStyle name="20% - 강조색4 5 7 2" xfId="7432"/>
    <cellStyle name="20% - 강조색4 5 7 2 2" xfId="7433"/>
    <cellStyle name="20% - 강조색4 5 7 2 3" xfId="7434"/>
    <cellStyle name="20% - 강조색4 5 7 3" xfId="7435"/>
    <cellStyle name="20% - 강조색4 5 7 4" xfId="7436"/>
    <cellStyle name="20% - 강조색4 5 8" xfId="7437"/>
    <cellStyle name="20% - 강조색4 5 8 2" xfId="7438"/>
    <cellStyle name="20% - 강조색4 5 8 3" xfId="7439"/>
    <cellStyle name="20% - 강조색4 5 9" xfId="7440"/>
    <cellStyle name="20% - 강조색4 50" xfId="7441"/>
    <cellStyle name="20% - 강조색4 51" xfId="7442"/>
    <cellStyle name="20% - 강조색4 52" xfId="7443"/>
    <cellStyle name="20% - 강조색4 53" xfId="7444"/>
    <cellStyle name="20% - 강조색4 54" xfId="7445"/>
    <cellStyle name="20% - 강조색4 55" xfId="7446"/>
    <cellStyle name="20% - 강조색4 56" xfId="7447"/>
    <cellStyle name="20% - 강조색4 57" xfId="7448"/>
    <cellStyle name="20% - 강조색4 58" xfId="7449"/>
    <cellStyle name="20% - 강조색4 59" xfId="7450"/>
    <cellStyle name="20% - 강조색4 6" xfId="7451"/>
    <cellStyle name="20% - 강조색4 6 10" xfId="7452"/>
    <cellStyle name="20% - 강조색4 6 2" xfId="7453"/>
    <cellStyle name="20% - 강조색4 6 2 2" xfId="7454"/>
    <cellStyle name="20% - 강조색4 6 2 2 2" xfId="7455"/>
    <cellStyle name="20% - 강조색4 6 2 2 2 2" xfId="7456"/>
    <cellStyle name="20% - 강조색4 6 2 2 2 2 2" xfId="7457"/>
    <cellStyle name="20% - 강조색4 6 2 2 2 2 3" xfId="7458"/>
    <cellStyle name="20% - 강조색4 6 2 2 2 3" xfId="7459"/>
    <cellStyle name="20% - 강조색4 6 2 2 2 4" xfId="7460"/>
    <cellStyle name="20% - 강조색4 6 2 2 3" xfId="7461"/>
    <cellStyle name="20% - 강조색4 6 2 2 3 2" xfId="7462"/>
    <cellStyle name="20% - 강조색4 6 2 2 3 3" xfId="7463"/>
    <cellStyle name="20% - 강조색4 6 2 2 4" xfId="7464"/>
    <cellStyle name="20% - 강조색4 6 2 2 5" xfId="7465"/>
    <cellStyle name="20% - 강조색4 6 2 3" xfId="7466"/>
    <cellStyle name="20% - 강조색4 6 2 3 2" xfId="7467"/>
    <cellStyle name="20% - 강조색4 6 2 3 2 2" xfId="7468"/>
    <cellStyle name="20% - 강조색4 6 2 3 2 2 2" xfId="7469"/>
    <cellStyle name="20% - 강조색4 6 2 3 2 2 3" xfId="7470"/>
    <cellStyle name="20% - 강조색4 6 2 3 2 3" xfId="7471"/>
    <cellStyle name="20% - 강조색4 6 2 3 2 4" xfId="7472"/>
    <cellStyle name="20% - 강조색4 6 2 3 3" xfId="7473"/>
    <cellStyle name="20% - 강조색4 6 2 3 3 2" xfId="7474"/>
    <cellStyle name="20% - 강조색4 6 2 3 3 3" xfId="7475"/>
    <cellStyle name="20% - 강조색4 6 2 3 4" xfId="7476"/>
    <cellStyle name="20% - 강조색4 6 2 3 5" xfId="7477"/>
    <cellStyle name="20% - 강조색4 6 2 4" xfId="7478"/>
    <cellStyle name="20% - 강조색4 6 2 4 2" xfId="7479"/>
    <cellStyle name="20% - 강조색4 6 2 4 2 2" xfId="7480"/>
    <cellStyle name="20% - 강조색4 6 2 4 2 3" xfId="7481"/>
    <cellStyle name="20% - 강조색4 6 2 4 3" xfId="7482"/>
    <cellStyle name="20% - 강조색4 6 2 4 4" xfId="7483"/>
    <cellStyle name="20% - 강조색4 6 2 5" xfId="7484"/>
    <cellStyle name="20% - 강조색4 6 2 5 2" xfId="7485"/>
    <cellStyle name="20% - 강조색4 6 2 5 3" xfId="7486"/>
    <cellStyle name="20% - 강조색4 6 2 6" xfId="7487"/>
    <cellStyle name="20% - 강조색4 6 2 7" xfId="7488"/>
    <cellStyle name="20% - 강조색4 6 3" xfId="7489"/>
    <cellStyle name="20% - 강조색4 6 3 2" xfId="7490"/>
    <cellStyle name="20% - 강조색4 6 3 2 2" xfId="7491"/>
    <cellStyle name="20% - 강조색4 6 3 2 2 2" xfId="7492"/>
    <cellStyle name="20% - 강조색4 6 3 2 2 2 2" xfId="7493"/>
    <cellStyle name="20% - 강조색4 6 3 2 2 2 3" xfId="7494"/>
    <cellStyle name="20% - 강조색4 6 3 2 2 3" xfId="7495"/>
    <cellStyle name="20% - 강조색4 6 3 2 2 4" xfId="7496"/>
    <cellStyle name="20% - 강조색4 6 3 2 3" xfId="7497"/>
    <cellStyle name="20% - 강조색4 6 3 2 3 2" xfId="7498"/>
    <cellStyle name="20% - 강조색4 6 3 2 3 3" xfId="7499"/>
    <cellStyle name="20% - 강조색4 6 3 2 4" xfId="7500"/>
    <cellStyle name="20% - 강조색4 6 3 2 5" xfId="7501"/>
    <cellStyle name="20% - 강조색4 6 3 3" xfId="7502"/>
    <cellStyle name="20% - 강조색4 6 3 3 2" xfId="7503"/>
    <cellStyle name="20% - 강조색4 6 3 3 2 2" xfId="7504"/>
    <cellStyle name="20% - 강조색4 6 3 3 2 2 2" xfId="7505"/>
    <cellStyle name="20% - 강조색4 6 3 3 2 2 3" xfId="7506"/>
    <cellStyle name="20% - 강조색4 6 3 3 2 3" xfId="7507"/>
    <cellStyle name="20% - 강조색4 6 3 3 2 4" xfId="7508"/>
    <cellStyle name="20% - 강조색4 6 3 3 3" xfId="7509"/>
    <cellStyle name="20% - 강조색4 6 3 3 3 2" xfId="7510"/>
    <cellStyle name="20% - 강조색4 6 3 3 3 3" xfId="7511"/>
    <cellStyle name="20% - 강조색4 6 3 3 4" xfId="7512"/>
    <cellStyle name="20% - 강조색4 6 3 3 5" xfId="7513"/>
    <cellStyle name="20% - 강조색4 6 3 4" xfId="7514"/>
    <cellStyle name="20% - 강조색4 6 3 4 2" xfId="7515"/>
    <cellStyle name="20% - 강조색4 6 3 4 2 2" xfId="7516"/>
    <cellStyle name="20% - 강조색4 6 3 4 2 3" xfId="7517"/>
    <cellStyle name="20% - 강조색4 6 3 4 3" xfId="7518"/>
    <cellStyle name="20% - 강조색4 6 3 4 4" xfId="7519"/>
    <cellStyle name="20% - 강조색4 6 3 5" xfId="7520"/>
    <cellStyle name="20% - 강조색4 6 3 5 2" xfId="7521"/>
    <cellStyle name="20% - 강조색4 6 3 5 3" xfId="7522"/>
    <cellStyle name="20% - 강조색4 6 3 6" xfId="7523"/>
    <cellStyle name="20% - 강조색4 6 3 7" xfId="7524"/>
    <cellStyle name="20% - 강조색4 6 4" xfId="7525"/>
    <cellStyle name="20% - 강조색4 6 4 2" xfId="7526"/>
    <cellStyle name="20% - 강조색4 6 4 2 2" xfId="7527"/>
    <cellStyle name="20% - 강조색4 6 4 2 2 2" xfId="7528"/>
    <cellStyle name="20% - 강조색4 6 4 2 2 3" xfId="7529"/>
    <cellStyle name="20% - 강조색4 6 4 2 3" xfId="7530"/>
    <cellStyle name="20% - 강조색4 6 4 2 4" xfId="7531"/>
    <cellStyle name="20% - 강조색4 6 4 3" xfId="7532"/>
    <cellStyle name="20% - 강조색4 6 4 3 2" xfId="7533"/>
    <cellStyle name="20% - 강조색4 6 4 3 3" xfId="7534"/>
    <cellStyle name="20% - 강조색4 6 4 4" xfId="7535"/>
    <cellStyle name="20% - 강조색4 6 4 5" xfId="7536"/>
    <cellStyle name="20% - 강조색4 6 5" xfId="7537"/>
    <cellStyle name="20% - 강조색4 6 5 2" xfId="7538"/>
    <cellStyle name="20% - 강조색4 6 5 2 2" xfId="7539"/>
    <cellStyle name="20% - 강조색4 6 5 2 2 2" xfId="7540"/>
    <cellStyle name="20% - 강조색4 6 5 2 2 3" xfId="7541"/>
    <cellStyle name="20% - 강조색4 6 5 2 3" xfId="7542"/>
    <cellStyle name="20% - 강조색4 6 5 2 4" xfId="7543"/>
    <cellStyle name="20% - 강조색4 6 5 3" xfId="7544"/>
    <cellStyle name="20% - 강조색4 6 5 3 2" xfId="7545"/>
    <cellStyle name="20% - 강조색4 6 5 3 3" xfId="7546"/>
    <cellStyle name="20% - 강조색4 6 5 4" xfId="7547"/>
    <cellStyle name="20% - 강조색4 6 5 5" xfId="7548"/>
    <cellStyle name="20% - 강조색4 6 6" xfId="7549"/>
    <cellStyle name="20% - 강조색4 6 6 2" xfId="7550"/>
    <cellStyle name="20% - 강조색4 6 6 2 2" xfId="7551"/>
    <cellStyle name="20% - 강조색4 6 6 2 2 2" xfId="7552"/>
    <cellStyle name="20% - 강조색4 6 6 2 2 3" xfId="7553"/>
    <cellStyle name="20% - 강조색4 6 6 2 3" xfId="7554"/>
    <cellStyle name="20% - 강조색4 6 6 2 4" xfId="7555"/>
    <cellStyle name="20% - 강조색4 6 6 3" xfId="7556"/>
    <cellStyle name="20% - 강조색4 6 6 3 2" xfId="7557"/>
    <cellStyle name="20% - 강조색4 6 6 3 3" xfId="7558"/>
    <cellStyle name="20% - 강조색4 6 6 4" xfId="7559"/>
    <cellStyle name="20% - 강조색4 6 6 5" xfId="7560"/>
    <cellStyle name="20% - 강조색4 6 7" xfId="7561"/>
    <cellStyle name="20% - 강조색4 6 7 2" xfId="7562"/>
    <cellStyle name="20% - 강조색4 6 7 2 2" xfId="7563"/>
    <cellStyle name="20% - 강조색4 6 7 2 3" xfId="7564"/>
    <cellStyle name="20% - 강조색4 6 7 3" xfId="7565"/>
    <cellStyle name="20% - 강조색4 6 7 4" xfId="7566"/>
    <cellStyle name="20% - 강조색4 6 8" xfId="7567"/>
    <cellStyle name="20% - 강조색4 6 8 2" xfId="7568"/>
    <cellStyle name="20% - 강조색4 6 8 3" xfId="7569"/>
    <cellStyle name="20% - 강조색4 6 9" xfId="7570"/>
    <cellStyle name="20% - 강조색4 60" xfId="7571"/>
    <cellStyle name="20% - 강조색4 61" xfId="7572"/>
    <cellStyle name="20% - 강조색4 62" xfId="7573"/>
    <cellStyle name="20% - 강조색4 63" xfId="7574"/>
    <cellStyle name="20% - 강조색4 64" xfId="7575"/>
    <cellStyle name="20% - 강조색4 65" xfId="7576"/>
    <cellStyle name="20% - 강조색4 66" xfId="7577"/>
    <cellStyle name="20% - 강조색4 67" xfId="7578"/>
    <cellStyle name="20% - 강조색4 68" xfId="7579"/>
    <cellStyle name="20% - 강조색4 69" xfId="7580"/>
    <cellStyle name="20% - 강조색4 7" xfId="7581"/>
    <cellStyle name="20% - 강조색4 7 10" xfId="7582"/>
    <cellStyle name="20% - 강조색4 7 2" xfId="7583"/>
    <cellStyle name="20% - 강조색4 7 2 2" xfId="7584"/>
    <cellStyle name="20% - 강조색4 7 2 2 2" xfId="7585"/>
    <cellStyle name="20% - 강조색4 7 2 2 2 2" xfId="7586"/>
    <cellStyle name="20% - 강조색4 7 2 2 2 2 2" xfId="7587"/>
    <cellStyle name="20% - 강조색4 7 2 2 2 2 3" xfId="7588"/>
    <cellStyle name="20% - 강조색4 7 2 2 2 3" xfId="7589"/>
    <cellStyle name="20% - 강조색4 7 2 2 2 4" xfId="7590"/>
    <cellStyle name="20% - 강조색4 7 2 2 3" xfId="7591"/>
    <cellStyle name="20% - 강조색4 7 2 2 3 2" xfId="7592"/>
    <cellStyle name="20% - 강조색4 7 2 2 3 3" xfId="7593"/>
    <cellStyle name="20% - 강조색4 7 2 2 4" xfId="7594"/>
    <cellStyle name="20% - 강조색4 7 2 2 5" xfId="7595"/>
    <cellStyle name="20% - 강조색4 7 2 3" xfId="7596"/>
    <cellStyle name="20% - 강조색4 7 2 3 2" xfId="7597"/>
    <cellStyle name="20% - 강조색4 7 2 3 2 2" xfId="7598"/>
    <cellStyle name="20% - 강조색4 7 2 3 2 2 2" xfId="7599"/>
    <cellStyle name="20% - 강조색4 7 2 3 2 2 3" xfId="7600"/>
    <cellStyle name="20% - 강조색4 7 2 3 2 3" xfId="7601"/>
    <cellStyle name="20% - 강조색4 7 2 3 2 4" xfId="7602"/>
    <cellStyle name="20% - 강조색4 7 2 3 3" xfId="7603"/>
    <cellStyle name="20% - 강조색4 7 2 3 3 2" xfId="7604"/>
    <cellStyle name="20% - 강조색4 7 2 3 3 3" xfId="7605"/>
    <cellStyle name="20% - 강조색4 7 2 3 4" xfId="7606"/>
    <cellStyle name="20% - 강조색4 7 2 3 5" xfId="7607"/>
    <cellStyle name="20% - 강조색4 7 2 4" xfId="7608"/>
    <cellStyle name="20% - 강조색4 7 2 4 2" xfId="7609"/>
    <cellStyle name="20% - 강조색4 7 2 4 2 2" xfId="7610"/>
    <cellStyle name="20% - 강조색4 7 2 4 2 3" xfId="7611"/>
    <cellStyle name="20% - 강조색4 7 2 4 3" xfId="7612"/>
    <cellStyle name="20% - 강조색4 7 2 4 4" xfId="7613"/>
    <cellStyle name="20% - 강조색4 7 2 5" xfId="7614"/>
    <cellStyle name="20% - 강조색4 7 2 5 2" xfId="7615"/>
    <cellStyle name="20% - 강조색4 7 2 5 3" xfId="7616"/>
    <cellStyle name="20% - 강조색4 7 2 6" xfId="7617"/>
    <cellStyle name="20% - 강조색4 7 2 7" xfId="7618"/>
    <cellStyle name="20% - 강조색4 7 3" xfId="7619"/>
    <cellStyle name="20% - 강조색4 7 3 2" xfId="7620"/>
    <cellStyle name="20% - 강조색4 7 3 2 2" xfId="7621"/>
    <cellStyle name="20% - 강조색4 7 3 2 2 2" xfId="7622"/>
    <cellStyle name="20% - 강조색4 7 3 2 2 2 2" xfId="7623"/>
    <cellStyle name="20% - 강조색4 7 3 2 2 2 3" xfId="7624"/>
    <cellStyle name="20% - 강조색4 7 3 2 2 3" xfId="7625"/>
    <cellStyle name="20% - 강조색4 7 3 2 2 4" xfId="7626"/>
    <cellStyle name="20% - 강조색4 7 3 2 3" xfId="7627"/>
    <cellStyle name="20% - 강조색4 7 3 2 3 2" xfId="7628"/>
    <cellStyle name="20% - 강조색4 7 3 2 3 3" xfId="7629"/>
    <cellStyle name="20% - 강조색4 7 3 2 4" xfId="7630"/>
    <cellStyle name="20% - 강조색4 7 3 2 5" xfId="7631"/>
    <cellStyle name="20% - 강조색4 7 3 3" xfId="7632"/>
    <cellStyle name="20% - 강조색4 7 3 3 2" xfId="7633"/>
    <cellStyle name="20% - 강조색4 7 3 3 2 2" xfId="7634"/>
    <cellStyle name="20% - 강조색4 7 3 3 2 2 2" xfId="7635"/>
    <cellStyle name="20% - 강조색4 7 3 3 2 2 3" xfId="7636"/>
    <cellStyle name="20% - 강조색4 7 3 3 2 3" xfId="7637"/>
    <cellStyle name="20% - 강조색4 7 3 3 2 4" xfId="7638"/>
    <cellStyle name="20% - 강조색4 7 3 3 3" xfId="7639"/>
    <cellStyle name="20% - 강조색4 7 3 3 3 2" xfId="7640"/>
    <cellStyle name="20% - 강조색4 7 3 3 3 3" xfId="7641"/>
    <cellStyle name="20% - 강조색4 7 3 3 4" xfId="7642"/>
    <cellStyle name="20% - 강조색4 7 3 3 5" xfId="7643"/>
    <cellStyle name="20% - 강조색4 7 3 4" xfId="7644"/>
    <cellStyle name="20% - 강조색4 7 3 4 2" xfId="7645"/>
    <cellStyle name="20% - 강조색4 7 3 4 2 2" xfId="7646"/>
    <cellStyle name="20% - 강조색4 7 3 4 2 3" xfId="7647"/>
    <cellStyle name="20% - 강조색4 7 3 4 3" xfId="7648"/>
    <cellStyle name="20% - 강조색4 7 3 4 4" xfId="7649"/>
    <cellStyle name="20% - 강조색4 7 3 5" xfId="7650"/>
    <cellStyle name="20% - 강조색4 7 3 5 2" xfId="7651"/>
    <cellStyle name="20% - 강조색4 7 3 5 3" xfId="7652"/>
    <cellStyle name="20% - 강조색4 7 3 6" xfId="7653"/>
    <cellStyle name="20% - 강조색4 7 3 7" xfId="7654"/>
    <cellStyle name="20% - 강조색4 7 4" xfId="7655"/>
    <cellStyle name="20% - 강조색4 7 4 2" xfId="7656"/>
    <cellStyle name="20% - 강조색4 7 4 2 2" xfId="7657"/>
    <cellStyle name="20% - 강조색4 7 4 2 2 2" xfId="7658"/>
    <cellStyle name="20% - 강조색4 7 4 2 2 3" xfId="7659"/>
    <cellStyle name="20% - 강조색4 7 4 2 3" xfId="7660"/>
    <cellStyle name="20% - 강조색4 7 4 2 4" xfId="7661"/>
    <cellStyle name="20% - 강조색4 7 4 3" xfId="7662"/>
    <cellStyle name="20% - 강조색4 7 4 3 2" xfId="7663"/>
    <cellStyle name="20% - 강조색4 7 4 3 3" xfId="7664"/>
    <cellStyle name="20% - 강조색4 7 4 4" xfId="7665"/>
    <cellStyle name="20% - 강조색4 7 4 5" xfId="7666"/>
    <cellStyle name="20% - 강조색4 7 5" xfId="7667"/>
    <cellStyle name="20% - 강조색4 7 5 2" xfId="7668"/>
    <cellStyle name="20% - 강조색4 7 5 2 2" xfId="7669"/>
    <cellStyle name="20% - 강조색4 7 5 2 2 2" xfId="7670"/>
    <cellStyle name="20% - 강조색4 7 5 2 2 3" xfId="7671"/>
    <cellStyle name="20% - 강조색4 7 5 2 3" xfId="7672"/>
    <cellStyle name="20% - 강조색4 7 5 2 4" xfId="7673"/>
    <cellStyle name="20% - 강조색4 7 5 3" xfId="7674"/>
    <cellStyle name="20% - 강조색4 7 5 3 2" xfId="7675"/>
    <cellStyle name="20% - 강조색4 7 5 3 3" xfId="7676"/>
    <cellStyle name="20% - 강조색4 7 5 4" xfId="7677"/>
    <cellStyle name="20% - 강조색4 7 5 5" xfId="7678"/>
    <cellStyle name="20% - 강조색4 7 6" xfId="7679"/>
    <cellStyle name="20% - 강조색4 7 6 2" xfId="7680"/>
    <cellStyle name="20% - 강조색4 7 6 2 2" xfId="7681"/>
    <cellStyle name="20% - 강조색4 7 6 2 2 2" xfId="7682"/>
    <cellStyle name="20% - 강조색4 7 6 2 2 3" xfId="7683"/>
    <cellStyle name="20% - 강조색4 7 6 2 3" xfId="7684"/>
    <cellStyle name="20% - 강조색4 7 6 2 4" xfId="7685"/>
    <cellStyle name="20% - 강조색4 7 6 3" xfId="7686"/>
    <cellStyle name="20% - 강조색4 7 6 3 2" xfId="7687"/>
    <cellStyle name="20% - 강조색4 7 6 3 3" xfId="7688"/>
    <cellStyle name="20% - 강조색4 7 6 4" xfId="7689"/>
    <cellStyle name="20% - 강조색4 7 6 5" xfId="7690"/>
    <cellStyle name="20% - 강조색4 7 7" xfId="7691"/>
    <cellStyle name="20% - 강조색4 7 7 2" xfId="7692"/>
    <cellStyle name="20% - 강조색4 7 7 2 2" xfId="7693"/>
    <cellStyle name="20% - 강조색4 7 7 2 3" xfId="7694"/>
    <cellStyle name="20% - 강조색4 7 7 3" xfId="7695"/>
    <cellStyle name="20% - 강조색4 7 7 4" xfId="7696"/>
    <cellStyle name="20% - 강조색4 7 8" xfId="7697"/>
    <cellStyle name="20% - 강조색4 7 8 2" xfId="7698"/>
    <cellStyle name="20% - 강조색4 7 8 3" xfId="7699"/>
    <cellStyle name="20% - 강조색4 7 9" xfId="7700"/>
    <cellStyle name="20% - 강조색4 8" xfId="7701"/>
    <cellStyle name="20% - 강조색4 8 2" xfId="7702"/>
    <cellStyle name="20% - 강조색4 8 2 2" xfId="7703"/>
    <cellStyle name="20% - 강조색4 8 2 2 2" xfId="7704"/>
    <cellStyle name="20% - 강조색4 8 2 2 2 2" xfId="7705"/>
    <cellStyle name="20% - 강조색4 8 2 2 2 3" xfId="7706"/>
    <cellStyle name="20% - 강조색4 8 2 2 3" xfId="7707"/>
    <cellStyle name="20% - 강조색4 8 2 2 4" xfId="7708"/>
    <cellStyle name="20% - 강조색4 8 2 3" xfId="7709"/>
    <cellStyle name="20% - 강조색4 8 2 3 2" xfId="7710"/>
    <cellStyle name="20% - 강조색4 8 2 3 3" xfId="7711"/>
    <cellStyle name="20% - 강조색4 8 2 4" xfId="7712"/>
    <cellStyle name="20% - 강조색4 8 2 5" xfId="7713"/>
    <cellStyle name="20% - 강조색4 8 3" xfId="7714"/>
    <cellStyle name="20% - 강조색4 8 3 2" xfId="7715"/>
    <cellStyle name="20% - 강조색4 8 3 2 2" xfId="7716"/>
    <cellStyle name="20% - 강조색4 8 3 2 2 2" xfId="7717"/>
    <cellStyle name="20% - 강조색4 8 3 2 2 3" xfId="7718"/>
    <cellStyle name="20% - 강조색4 8 3 2 3" xfId="7719"/>
    <cellStyle name="20% - 강조색4 8 3 2 4" xfId="7720"/>
    <cellStyle name="20% - 강조색4 8 3 3" xfId="7721"/>
    <cellStyle name="20% - 강조색4 8 3 3 2" xfId="7722"/>
    <cellStyle name="20% - 강조색4 8 3 3 3" xfId="7723"/>
    <cellStyle name="20% - 강조색4 8 3 4" xfId="7724"/>
    <cellStyle name="20% - 강조색4 8 3 5" xfId="7725"/>
    <cellStyle name="20% - 강조색4 8 4" xfId="7726"/>
    <cellStyle name="20% - 강조색4 8 4 2" xfId="7727"/>
    <cellStyle name="20% - 강조색4 8 4 2 2" xfId="7728"/>
    <cellStyle name="20% - 강조색4 8 4 2 3" xfId="7729"/>
    <cellStyle name="20% - 강조색4 8 4 3" xfId="7730"/>
    <cellStyle name="20% - 강조색4 8 4 4" xfId="7731"/>
    <cellStyle name="20% - 강조색4 8 5" xfId="7732"/>
    <cellStyle name="20% - 강조색4 8 5 2" xfId="7733"/>
    <cellStyle name="20% - 강조색4 8 5 3" xfId="7734"/>
    <cellStyle name="20% - 강조색4 8 6" xfId="7735"/>
    <cellStyle name="20% - 강조색4 8 7" xfId="7736"/>
    <cellStyle name="20% - 강조색4 9" xfId="7737"/>
    <cellStyle name="20% - 강조색4 9 2" xfId="7738"/>
    <cellStyle name="20% - 강조색4 9 2 2" xfId="7739"/>
    <cellStyle name="20% - 강조색4 9 2 2 2" xfId="7740"/>
    <cellStyle name="20% - 강조색4 9 2 2 2 2" xfId="7741"/>
    <cellStyle name="20% - 강조색4 9 2 2 2 3" xfId="7742"/>
    <cellStyle name="20% - 강조색4 9 2 2 3" xfId="7743"/>
    <cellStyle name="20% - 강조색4 9 2 2 4" xfId="7744"/>
    <cellStyle name="20% - 강조색4 9 2 3" xfId="7745"/>
    <cellStyle name="20% - 강조색4 9 2 3 2" xfId="7746"/>
    <cellStyle name="20% - 강조색4 9 2 3 3" xfId="7747"/>
    <cellStyle name="20% - 강조색4 9 2 4" xfId="7748"/>
    <cellStyle name="20% - 강조색4 9 2 5" xfId="7749"/>
    <cellStyle name="20% - 강조색4 9 3" xfId="7750"/>
    <cellStyle name="20% - 강조색4 9 3 2" xfId="7751"/>
    <cellStyle name="20% - 강조색4 9 3 2 2" xfId="7752"/>
    <cellStyle name="20% - 강조색4 9 3 2 2 2" xfId="7753"/>
    <cellStyle name="20% - 강조색4 9 3 2 2 3" xfId="7754"/>
    <cellStyle name="20% - 강조색4 9 3 2 3" xfId="7755"/>
    <cellStyle name="20% - 강조색4 9 3 2 4" xfId="7756"/>
    <cellStyle name="20% - 강조색4 9 3 3" xfId="7757"/>
    <cellStyle name="20% - 강조색4 9 3 3 2" xfId="7758"/>
    <cellStyle name="20% - 강조색4 9 3 3 3" xfId="7759"/>
    <cellStyle name="20% - 강조색4 9 3 4" xfId="7760"/>
    <cellStyle name="20% - 강조색4 9 3 5" xfId="7761"/>
    <cellStyle name="20% - 강조색4 9 4" xfId="7762"/>
    <cellStyle name="20% - 강조색4 9 4 2" xfId="7763"/>
    <cellStyle name="20% - 강조색4 9 4 2 2" xfId="7764"/>
    <cellStyle name="20% - 강조색4 9 4 2 3" xfId="7765"/>
    <cellStyle name="20% - 강조색4 9 4 3" xfId="7766"/>
    <cellStyle name="20% - 강조색4 9 4 4" xfId="7767"/>
    <cellStyle name="20% - 강조색4 9 5" xfId="7768"/>
    <cellStyle name="20% - 강조색4 9 5 2" xfId="7769"/>
    <cellStyle name="20% - 강조색4 9 5 3" xfId="7770"/>
    <cellStyle name="20% - 강조색4 9 6" xfId="7771"/>
    <cellStyle name="20% - 강조색4 9 7" xfId="7772"/>
    <cellStyle name="20% - 강조색5 10" xfId="7773"/>
    <cellStyle name="20% - 강조색5 10 2" xfId="7774"/>
    <cellStyle name="20% - 강조색5 10 2 2" xfId="7775"/>
    <cellStyle name="20% - 강조색5 10 2 2 2" xfId="7776"/>
    <cellStyle name="20% - 강조색5 10 2 2 2 2" xfId="7777"/>
    <cellStyle name="20% - 강조색5 10 2 2 2 3" xfId="7778"/>
    <cellStyle name="20% - 강조색5 10 2 2 3" xfId="7779"/>
    <cellStyle name="20% - 강조색5 10 2 2 4" xfId="7780"/>
    <cellStyle name="20% - 강조색5 10 2 3" xfId="7781"/>
    <cellStyle name="20% - 강조색5 10 2 3 2" xfId="7782"/>
    <cellStyle name="20% - 강조색5 10 2 3 3" xfId="7783"/>
    <cellStyle name="20% - 강조색5 10 2 4" xfId="7784"/>
    <cellStyle name="20% - 강조색5 10 2 5" xfId="7785"/>
    <cellStyle name="20% - 강조색5 10 3" xfId="7786"/>
    <cellStyle name="20% - 강조색5 10 3 2" xfId="7787"/>
    <cellStyle name="20% - 강조색5 10 3 2 2" xfId="7788"/>
    <cellStyle name="20% - 강조색5 10 3 2 2 2" xfId="7789"/>
    <cellStyle name="20% - 강조색5 10 3 2 2 3" xfId="7790"/>
    <cellStyle name="20% - 강조색5 10 3 2 3" xfId="7791"/>
    <cellStyle name="20% - 강조색5 10 3 2 4" xfId="7792"/>
    <cellStyle name="20% - 강조색5 10 3 3" xfId="7793"/>
    <cellStyle name="20% - 강조색5 10 3 3 2" xfId="7794"/>
    <cellStyle name="20% - 강조색5 10 3 3 3" xfId="7795"/>
    <cellStyle name="20% - 강조색5 10 3 4" xfId="7796"/>
    <cellStyle name="20% - 강조색5 10 3 5" xfId="7797"/>
    <cellStyle name="20% - 강조색5 10 4" xfId="7798"/>
    <cellStyle name="20% - 강조색5 10 4 2" xfId="7799"/>
    <cellStyle name="20% - 강조색5 10 4 2 2" xfId="7800"/>
    <cellStyle name="20% - 강조색5 10 4 2 3" xfId="7801"/>
    <cellStyle name="20% - 강조색5 10 4 3" xfId="7802"/>
    <cellStyle name="20% - 강조색5 10 4 4" xfId="7803"/>
    <cellStyle name="20% - 강조색5 10 5" xfId="7804"/>
    <cellStyle name="20% - 강조색5 10 5 2" xfId="7805"/>
    <cellStyle name="20% - 강조색5 10 5 3" xfId="7806"/>
    <cellStyle name="20% - 강조색5 10 6" xfId="7807"/>
    <cellStyle name="20% - 강조색5 10 7" xfId="7808"/>
    <cellStyle name="20% - 강조색5 11" xfId="7809"/>
    <cellStyle name="20% - 강조색5 11 2" xfId="7810"/>
    <cellStyle name="20% - 강조색5 11 2 2" xfId="7811"/>
    <cellStyle name="20% - 강조색5 11 2 2 2" xfId="7812"/>
    <cellStyle name="20% - 강조색5 11 2 2 3" xfId="7813"/>
    <cellStyle name="20% - 강조색5 11 2 3" xfId="7814"/>
    <cellStyle name="20% - 강조색5 11 2 4" xfId="7815"/>
    <cellStyle name="20% - 강조색5 11 3" xfId="7816"/>
    <cellStyle name="20% - 강조색5 11 3 2" xfId="7817"/>
    <cellStyle name="20% - 강조색5 11 3 3" xfId="7818"/>
    <cellStyle name="20% - 강조색5 11 4" xfId="7819"/>
    <cellStyle name="20% - 강조색5 11 5" xfId="7820"/>
    <cellStyle name="20% - 강조색5 12" xfId="7821"/>
    <cellStyle name="20% - 강조색5 12 2" xfId="7822"/>
    <cellStyle name="20% - 강조색5 12 2 2" xfId="7823"/>
    <cellStyle name="20% - 강조색5 12 2 2 2" xfId="7824"/>
    <cellStyle name="20% - 강조색5 12 2 2 3" xfId="7825"/>
    <cellStyle name="20% - 강조색5 12 2 3" xfId="7826"/>
    <cellStyle name="20% - 강조색5 12 2 4" xfId="7827"/>
    <cellStyle name="20% - 강조색5 12 3" xfId="7828"/>
    <cellStyle name="20% - 강조색5 12 3 2" xfId="7829"/>
    <cellStyle name="20% - 강조색5 12 3 3" xfId="7830"/>
    <cellStyle name="20% - 강조색5 12 4" xfId="7831"/>
    <cellStyle name="20% - 강조색5 12 5" xfId="7832"/>
    <cellStyle name="20% - 강조색5 13" xfId="7833"/>
    <cellStyle name="20% - 강조색5 13 2" xfId="7834"/>
    <cellStyle name="20% - 강조색5 13 2 2" xfId="7835"/>
    <cellStyle name="20% - 강조색5 13 2 3" xfId="7836"/>
    <cellStyle name="20% - 강조색5 13 3" xfId="7837"/>
    <cellStyle name="20% - 강조색5 13 4" xfId="7838"/>
    <cellStyle name="20% - 강조색5 14" xfId="7839"/>
    <cellStyle name="20% - 강조색5 14 2" xfId="7840"/>
    <cellStyle name="20% - 강조색5 14 2 2" xfId="7841"/>
    <cellStyle name="20% - 강조색5 14 2 3" xfId="7842"/>
    <cellStyle name="20% - 강조색5 14 3" xfId="7843"/>
    <cellStyle name="20% - 강조색5 14 4" xfId="7844"/>
    <cellStyle name="20% - 강조색5 15" xfId="7845"/>
    <cellStyle name="20% - 강조색5 15 2" xfId="7846"/>
    <cellStyle name="20% - 강조색5 15 3" xfId="7847"/>
    <cellStyle name="20% - 강조색5 16" xfId="7848"/>
    <cellStyle name="20% - 강조색5 16 2" xfId="7849"/>
    <cellStyle name="20% - 강조색5 16 3" xfId="7850"/>
    <cellStyle name="20% - 강조색5 16 4" xfId="7851"/>
    <cellStyle name="20% - 강조색5 17" xfId="7852"/>
    <cellStyle name="20% - 강조색5 17 2" xfId="7853"/>
    <cellStyle name="20% - 강조색5 17 3" xfId="7854"/>
    <cellStyle name="20% - 강조색5 18" xfId="7855"/>
    <cellStyle name="20% - 강조색5 18 2" xfId="7856"/>
    <cellStyle name="20% - 강조색5 18 3" xfId="7857"/>
    <cellStyle name="20% - 강조색5 19" xfId="7858"/>
    <cellStyle name="20% - 강조색5 19 2" xfId="7859"/>
    <cellStyle name="20% - 강조색5 19 3" xfId="7860"/>
    <cellStyle name="20% - 강조색5 2" xfId="7861"/>
    <cellStyle name="20% - 강조색5 2 2" xfId="7862"/>
    <cellStyle name="20% - 강조색5 2 2 2" xfId="7863"/>
    <cellStyle name="20% - 강조색5 2 2 2 2" xfId="7864"/>
    <cellStyle name="20% - 강조색5 2 2 3" xfId="7865"/>
    <cellStyle name="20% - 강조색5 2 3" xfId="7866"/>
    <cellStyle name="20% - 강조색5 2 3 2" xfId="7867"/>
    <cellStyle name="20% - 강조색5 2 3 2 2" xfId="7868"/>
    <cellStyle name="20% - 강조색5 2 3 3" xfId="7869"/>
    <cellStyle name="20% - 강조색5 2 4" xfId="7870"/>
    <cellStyle name="20% - 강조색5 2 4 2" xfId="7871"/>
    <cellStyle name="20% - 강조색5 2 5" xfId="7872"/>
    <cellStyle name="20% - 강조색5 2 6" xfId="7873"/>
    <cellStyle name="20% - 강조색5 20" xfId="7874"/>
    <cellStyle name="20% - 강조색5 20 2" xfId="7875"/>
    <cellStyle name="20% - 강조색5 20 3" xfId="7876"/>
    <cellStyle name="20% - 강조색5 21" xfId="7877"/>
    <cellStyle name="20% - 강조색5 21 2" xfId="7878"/>
    <cellStyle name="20% - 강조색5 21 3" xfId="7879"/>
    <cellStyle name="20% - 강조색5 22" xfId="7880"/>
    <cellStyle name="20% - 강조색5 22 2" xfId="7881"/>
    <cellStyle name="20% - 강조색5 22 3" xfId="7882"/>
    <cellStyle name="20% - 강조색5 23" xfId="7883"/>
    <cellStyle name="20% - 강조색5 23 2" xfId="7884"/>
    <cellStyle name="20% - 강조색5 23 3" xfId="7885"/>
    <cellStyle name="20% - 강조색5 24" xfId="7886"/>
    <cellStyle name="20% - 강조색5 24 2" xfId="7887"/>
    <cellStyle name="20% - 강조색5 25" xfId="7888"/>
    <cellStyle name="20% - 강조색5 25 2" xfId="7889"/>
    <cellStyle name="20% - 강조색5 26" xfId="7890"/>
    <cellStyle name="20% - 강조색5 26 2" xfId="7891"/>
    <cellStyle name="20% - 강조색5 27" xfId="7892"/>
    <cellStyle name="20% - 강조색5 27 2" xfId="7893"/>
    <cellStyle name="20% - 강조색5 28" xfId="7894"/>
    <cellStyle name="20% - 강조색5 28 2" xfId="7895"/>
    <cellStyle name="20% - 강조색5 29" xfId="7896"/>
    <cellStyle name="20% - 강조색5 29 2" xfId="7897"/>
    <cellStyle name="20% - 강조색5 3" xfId="7898"/>
    <cellStyle name="20% - 강조색5 3 10" xfId="7899"/>
    <cellStyle name="20% - 강조색5 3 10 2" xfId="7900"/>
    <cellStyle name="20% - 강조색5 3 10 2 2" xfId="7901"/>
    <cellStyle name="20% - 강조색5 3 10 2 3" xfId="7902"/>
    <cellStyle name="20% - 강조색5 3 10 3" xfId="7903"/>
    <cellStyle name="20% - 강조색5 3 10 4" xfId="7904"/>
    <cellStyle name="20% - 강조색5 3 11" xfId="7905"/>
    <cellStyle name="20% - 강조색5 3 11 2" xfId="7906"/>
    <cellStyle name="20% - 강조색5 3 11 3" xfId="7907"/>
    <cellStyle name="20% - 강조색5 3 12" xfId="7908"/>
    <cellStyle name="20% - 강조색5 3 13" xfId="7909"/>
    <cellStyle name="20% - 강조색5 3 14" xfId="7910"/>
    <cellStyle name="20% - 강조색5 3 15" xfId="7911"/>
    <cellStyle name="20% - 강조색5 3 2" xfId="7912"/>
    <cellStyle name="20% - 강조색5 3 2 10" xfId="7913"/>
    <cellStyle name="20% - 강조색5 3 2 11" xfId="7914"/>
    <cellStyle name="20% - 강조색5 3 2 12" xfId="7915"/>
    <cellStyle name="20% - 강조색5 3 2 2" xfId="7916"/>
    <cellStyle name="20% - 강조색5 3 2 2 2" xfId="7917"/>
    <cellStyle name="20% - 강조색5 3 2 2 2 2" xfId="7918"/>
    <cellStyle name="20% - 강조색5 3 2 2 2 2 2" xfId="7919"/>
    <cellStyle name="20% - 강조색5 3 2 2 2 2 2 2" xfId="7920"/>
    <cellStyle name="20% - 강조색5 3 2 2 2 2 2 3" xfId="7921"/>
    <cellStyle name="20% - 강조색5 3 2 2 2 2 3" xfId="7922"/>
    <cellStyle name="20% - 강조색5 3 2 2 2 2 4" xfId="7923"/>
    <cellStyle name="20% - 강조색5 3 2 2 2 3" xfId="7924"/>
    <cellStyle name="20% - 강조색5 3 2 2 2 3 2" xfId="7925"/>
    <cellStyle name="20% - 강조색5 3 2 2 2 3 3" xfId="7926"/>
    <cellStyle name="20% - 강조색5 3 2 2 2 4" xfId="7927"/>
    <cellStyle name="20% - 강조색5 3 2 2 2 5" xfId="7928"/>
    <cellStyle name="20% - 강조색5 3 2 2 3" xfId="7929"/>
    <cellStyle name="20% - 강조색5 3 2 2 3 2" xfId="7930"/>
    <cellStyle name="20% - 강조색5 3 2 2 3 2 2" xfId="7931"/>
    <cellStyle name="20% - 강조색5 3 2 2 3 2 2 2" xfId="7932"/>
    <cellStyle name="20% - 강조색5 3 2 2 3 2 2 3" xfId="7933"/>
    <cellStyle name="20% - 강조색5 3 2 2 3 2 3" xfId="7934"/>
    <cellStyle name="20% - 강조색5 3 2 2 3 2 4" xfId="7935"/>
    <cellStyle name="20% - 강조색5 3 2 2 3 3" xfId="7936"/>
    <cellStyle name="20% - 강조색5 3 2 2 3 3 2" xfId="7937"/>
    <cellStyle name="20% - 강조색5 3 2 2 3 3 3" xfId="7938"/>
    <cellStyle name="20% - 강조색5 3 2 2 3 4" xfId="7939"/>
    <cellStyle name="20% - 강조색5 3 2 2 3 5" xfId="7940"/>
    <cellStyle name="20% - 강조색5 3 2 2 4" xfId="7941"/>
    <cellStyle name="20% - 강조색5 3 2 2 4 2" xfId="7942"/>
    <cellStyle name="20% - 강조색5 3 2 2 4 2 2" xfId="7943"/>
    <cellStyle name="20% - 강조색5 3 2 2 4 2 3" xfId="7944"/>
    <cellStyle name="20% - 강조색5 3 2 2 4 3" xfId="7945"/>
    <cellStyle name="20% - 강조색5 3 2 2 4 4" xfId="7946"/>
    <cellStyle name="20% - 강조색5 3 2 2 5" xfId="7947"/>
    <cellStyle name="20% - 강조색5 3 2 2 5 2" xfId="7948"/>
    <cellStyle name="20% - 강조색5 3 2 2 5 3" xfId="7949"/>
    <cellStyle name="20% - 강조색5 3 2 2 6" xfId="7950"/>
    <cellStyle name="20% - 강조색5 3 2 2 7" xfId="7951"/>
    <cellStyle name="20% - 강조색5 3 2 2 8" xfId="7952"/>
    <cellStyle name="20% - 강조색5 3 2 2 9" xfId="7953"/>
    <cellStyle name="20% - 강조색5 3 2 3" xfId="7954"/>
    <cellStyle name="20% - 강조색5 3 2 3 2" xfId="7955"/>
    <cellStyle name="20% - 강조색5 3 2 3 2 2" xfId="7956"/>
    <cellStyle name="20% - 강조색5 3 2 3 2 2 2" xfId="7957"/>
    <cellStyle name="20% - 강조색5 3 2 3 2 2 2 2" xfId="7958"/>
    <cellStyle name="20% - 강조색5 3 2 3 2 2 2 3" xfId="7959"/>
    <cellStyle name="20% - 강조색5 3 2 3 2 2 3" xfId="7960"/>
    <cellStyle name="20% - 강조색5 3 2 3 2 2 4" xfId="7961"/>
    <cellStyle name="20% - 강조색5 3 2 3 2 3" xfId="7962"/>
    <cellStyle name="20% - 강조색5 3 2 3 2 3 2" xfId="7963"/>
    <cellStyle name="20% - 강조색5 3 2 3 2 3 3" xfId="7964"/>
    <cellStyle name="20% - 강조색5 3 2 3 2 4" xfId="7965"/>
    <cellStyle name="20% - 강조색5 3 2 3 2 5" xfId="7966"/>
    <cellStyle name="20% - 강조색5 3 2 3 3" xfId="7967"/>
    <cellStyle name="20% - 강조색5 3 2 3 3 2" xfId="7968"/>
    <cellStyle name="20% - 강조색5 3 2 3 3 2 2" xfId="7969"/>
    <cellStyle name="20% - 강조색5 3 2 3 3 2 2 2" xfId="7970"/>
    <cellStyle name="20% - 강조색5 3 2 3 3 2 2 3" xfId="7971"/>
    <cellStyle name="20% - 강조색5 3 2 3 3 2 3" xfId="7972"/>
    <cellStyle name="20% - 강조색5 3 2 3 3 2 4" xfId="7973"/>
    <cellStyle name="20% - 강조색5 3 2 3 3 3" xfId="7974"/>
    <cellStyle name="20% - 강조색5 3 2 3 3 3 2" xfId="7975"/>
    <cellStyle name="20% - 강조색5 3 2 3 3 3 3" xfId="7976"/>
    <cellStyle name="20% - 강조색5 3 2 3 3 4" xfId="7977"/>
    <cellStyle name="20% - 강조색5 3 2 3 3 5" xfId="7978"/>
    <cellStyle name="20% - 강조색5 3 2 3 4" xfId="7979"/>
    <cellStyle name="20% - 강조색5 3 2 3 4 2" xfId="7980"/>
    <cellStyle name="20% - 강조색5 3 2 3 4 2 2" xfId="7981"/>
    <cellStyle name="20% - 강조색5 3 2 3 4 2 3" xfId="7982"/>
    <cellStyle name="20% - 강조색5 3 2 3 4 3" xfId="7983"/>
    <cellStyle name="20% - 강조색5 3 2 3 4 4" xfId="7984"/>
    <cellStyle name="20% - 강조색5 3 2 3 5" xfId="7985"/>
    <cellStyle name="20% - 강조색5 3 2 3 5 2" xfId="7986"/>
    <cellStyle name="20% - 강조색5 3 2 3 5 3" xfId="7987"/>
    <cellStyle name="20% - 강조색5 3 2 3 6" xfId="7988"/>
    <cellStyle name="20% - 강조색5 3 2 3 7" xfId="7989"/>
    <cellStyle name="20% - 강조색5 3 2 4" xfId="7990"/>
    <cellStyle name="20% - 강조색5 3 2 4 2" xfId="7991"/>
    <cellStyle name="20% - 강조색5 3 2 4 2 2" xfId="7992"/>
    <cellStyle name="20% - 강조색5 3 2 4 2 2 2" xfId="7993"/>
    <cellStyle name="20% - 강조색5 3 2 4 2 2 3" xfId="7994"/>
    <cellStyle name="20% - 강조색5 3 2 4 2 3" xfId="7995"/>
    <cellStyle name="20% - 강조색5 3 2 4 2 4" xfId="7996"/>
    <cellStyle name="20% - 강조색5 3 2 4 3" xfId="7997"/>
    <cellStyle name="20% - 강조색5 3 2 4 3 2" xfId="7998"/>
    <cellStyle name="20% - 강조색5 3 2 4 3 3" xfId="7999"/>
    <cellStyle name="20% - 강조색5 3 2 4 4" xfId="8000"/>
    <cellStyle name="20% - 강조색5 3 2 4 5" xfId="8001"/>
    <cellStyle name="20% - 강조색5 3 2 5" xfId="8002"/>
    <cellStyle name="20% - 강조색5 3 2 5 2" xfId="8003"/>
    <cellStyle name="20% - 강조색5 3 2 5 2 2" xfId="8004"/>
    <cellStyle name="20% - 강조색5 3 2 5 2 2 2" xfId="8005"/>
    <cellStyle name="20% - 강조색5 3 2 5 2 2 3" xfId="8006"/>
    <cellStyle name="20% - 강조색5 3 2 5 2 3" xfId="8007"/>
    <cellStyle name="20% - 강조색5 3 2 5 2 4" xfId="8008"/>
    <cellStyle name="20% - 강조색5 3 2 5 3" xfId="8009"/>
    <cellStyle name="20% - 강조색5 3 2 5 3 2" xfId="8010"/>
    <cellStyle name="20% - 강조색5 3 2 5 3 3" xfId="8011"/>
    <cellStyle name="20% - 강조색5 3 2 5 4" xfId="8012"/>
    <cellStyle name="20% - 강조색5 3 2 5 5" xfId="8013"/>
    <cellStyle name="20% - 강조색5 3 2 6" xfId="8014"/>
    <cellStyle name="20% - 강조색5 3 2 6 2" xfId="8015"/>
    <cellStyle name="20% - 강조색5 3 2 6 2 2" xfId="8016"/>
    <cellStyle name="20% - 강조색5 3 2 6 2 2 2" xfId="8017"/>
    <cellStyle name="20% - 강조색5 3 2 6 2 2 3" xfId="8018"/>
    <cellStyle name="20% - 강조색5 3 2 6 2 3" xfId="8019"/>
    <cellStyle name="20% - 강조색5 3 2 6 2 4" xfId="8020"/>
    <cellStyle name="20% - 강조색5 3 2 6 3" xfId="8021"/>
    <cellStyle name="20% - 강조색5 3 2 6 3 2" xfId="8022"/>
    <cellStyle name="20% - 강조색5 3 2 6 3 3" xfId="8023"/>
    <cellStyle name="20% - 강조색5 3 2 6 4" xfId="8024"/>
    <cellStyle name="20% - 강조색5 3 2 6 5" xfId="8025"/>
    <cellStyle name="20% - 강조색5 3 2 7" xfId="8026"/>
    <cellStyle name="20% - 강조색5 3 2 7 2" xfId="8027"/>
    <cellStyle name="20% - 강조색5 3 2 7 2 2" xfId="8028"/>
    <cellStyle name="20% - 강조색5 3 2 7 2 3" xfId="8029"/>
    <cellStyle name="20% - 강조색5 3 2 7 3" xfId="8030"/>
    <cellStyle name="20% - 강조색5 3 2 7 4" xfId="8031"/>
    <cellStyle name="20% - 강조색5 3 2 8" xfId="8032"/>
    <cellStyle name="20% - 강조색5 3 2 8 2" xfId="8033"/>
    <cellStyle name="20% - 강조색5 3 2 8 3" xfId="8034"/>
    <cellStyle name="20% - 강조색5 3 2 9" xfId="8035"/>
    <cellStyle name="20% - 강조색5 3 3" xfId="8036"/>
    <cellStyle name="20% - 강조색5 3 3 10" xfId="8037"/>
    <cellStyle name="20% - 강조색5 3 3 11" xfId="8038"/>
    <cellStyle name="20% - 강조색5 3 3 12" xfId="8039"/>
    <cellStyle name="20% - 강조색5 3 3 2" xfId="8040"/>
    <cellStyle name="20% - 강조색5 3 3 2 2" xfId="8041"/>
    <cellStyle name="20% - 강조색5 3 3 2 2 2" xfId="8042"/>
    <cellStyle name="20% - 강조색5 3 3 2 2 2 2" xfId="8043"/>
    <cellStyle name="20% - 강조색5 3 3 2 2 2 2 2" xfId="8044"/>
    <cellStyle name="20% - 강조색5 3 3 2 2 2 2 3" xfId="8045"/>
    <cellStyle name="20% - 강조색5 3 3 2 2 2 3" xfId="8046"/>
    <cellStyle name="20% - 강조색5 3 3 2 2 2 4" xfId="8047"/>
    <cellStyle name="20% - 강조색5 3 3 2 2 3" xfId="8048"/>
    <cellStyle name="20% - 강조색5 3 3 2 2 3 2" xfId="8049"/>
    <cellStyle name="20% - 강조색5 3 3 2 2 3 3" xfId="8050"/>
    <cellStyle name="20% - 강조색5 3 3 2 2 4" xfId="8051"/>
    <cellStyle name="20% - 강조색5 3 3 2 2 5" xfId="8052"/>
    <cellStyle name="20% - 강조색5 3 3 2 3" xfId="8053"/>
    <cellStyle name="20% - 강조색5 3 3 2 3 2" xfId="8054"/>
    <cellStyle name="20% - 강조색5 3 3 2 3 2 2" xfId="8055"/>
    <cellStyle name="20% - 강조색5 3 3 2 3 2 2 2" xfId="8056"/>
    <cellStyle name="20% - 강조색5 3 3 2 3 2 2 3" xfId="8057"/>
    <cellStyle name="20% - 강조색5 3 3 2 3 2 3" xfId="8058"/>
    <cellStyle name="20% - 강조색5 3 3 2 3 2 4" xfId="8059"/>
    <cellStyle name="20% - 강조색5 3 3 2 3 3" xfId="8060"/>
    <cellStyle name="20% - 강조색5 3 3 2 3 3 2" xfId="8061"/>
    <cellStyle name="20% - 강조색5 3 3 2 3 3 3" xfId="8062"/>
    <cellStyle name="20% - 강조색5 3 3 2 3 4" xfId="8063"/>
    <cellStyle name="20% - 강조색5 3 3 2 3 5" xfId="8064"/>
    <cellStyle name="20% - 강조색5 3 3 2 4" xfId="8065"/>
    <cellStyle name="20% - 강조색5 3 3 2 4 2" xfId="8066"/>
    <cellStyle name="20% - 강조색5 3 3 2 4 2 2" xfId="8067"/>
    <cellStyle name="20% - 강조색5 3 3 2 4 2 3" xfId="8068"/>
    <cellStyle name="20% - 강조색5 3 3 2 4 3" xfId="8069"/>
    <cellStyle name="20% - 강조색5 3 3 2 4 4" xfId="8070"/>
    <cellStyle name="20% - 강조색5 3 3 2 5" xfId="8071"/>
    <cellStyle name="20% - 강조색5 3 3 2 5 2" xfId="8072"/>
    <cellStyle name="20% - 강조색5 3 3 2 5 3" xfId="8073"/>
    <cellStyle name="20% - 강조색5 3 3 2 6" xfId="8074"/>
    <cellStyle name="20% - 강조색5 3 3 2 7" xfId="8075"/>
    <cellStyle name="20% - 강조색5 3 3 2 8" xfId="8076"/>
    <cellStyle name="20% - 강조색5 3 3 2 9" xfId="8077"/>
    <cellStyle name="20% - 강조색5 3 3 3" xfId="8078"/>
    <cellStyle name="20% - 강조색5 3 3 3 2" xfId="8079"/>
    <cellStyle name="20% - 강조색5 3 3 3 2 2" xfId="8080"/>
    <cellStyle name="20% - 강조색5 3 3 3 2 2 2" xfId="8081"/>
    <cellStyle name="20% - 강조색5 3 3 3 2 2 2 2" xfId="8082"/>
    <cellStyle name="20% - 강조색5 3 3 3 2 2 2 3" xfId="8083"/>
    <cellStyle name="20% - 강조색5 3 3 3 2 2 3" xfId="8084"/>
    <cellStyle name="20% - 강조색5 3 3 3 2 2 4" xfId="8085"/>
    <cellStyle name="20% - 강조색5 3 3 3 2 3" xfId="8086"/>
    <cellStyle name="20% - 강조색5 3 3 3 2 3 2" xfId="8087"/>
    <cellStyle name="20% - 강조색5 3 3 3 2 3 3" xfId="8088"/>
    <cellStyle name="20% - 강조색5 3 3 3 2 4" xfId="8089"/>
    <cellStyle name="20% - 강조색5 3 3 3 2 5" xfId="8090"/>
    <cellStyle name="20% - 강조색5 3 3 3 3" xfId="8091"/>
    <cellStyle name="20% - 강조색5 3 3 3 3 2" xfId="8092"/>
    <cellStyle name="20% - 강조색5 3 3 3 3 2 2" xfId="8093"/>
    <cellStyle name="20% - 강조색5 3 3 3 3 2 2 2" xfId="8094"/>
    <cellStyle name="20% - 강조색5 3 3 3 3 2 2 3" xfId="8095"/>
    <cellStyle name="20% - 강조색5 3 3 3 3 2 3" xfId="8096"/>
    <cellStyle name="20% - 강조색5 3 3 3 3 2 4" xfId="8097"/>
    <cellStyle name="20% - 강조색5 3 3 3 3 3" xfId="8098"/>
    <cellStyle name="20% - 강조색5 3 3 3 3 3 2" xfId="8099"/>
    <cellStyle name="20% - 강조색5 3 3 3 3 3 3" xfId="8100"/>
    <cellStyle name="20% - 강조색5 3 3 3 3 4" xfId="8101"/>
    <cellStyle name="20% - 강조색5 3 3 3 3 5" xfId="8102"/>
    <cellStyle name="20% - 강조색5 3 3 3 4" xfId="8103"/>
    <cellStyle name="20% - 강조색5 3 3 3 4 2" xfId="8104"/>
    <cellStyle name="20% - 강조색5 3 3 3 4 2 2" xfId="8105"/>
    <cellStyle name="20% - 강조색5 3 3 3 4 2 3" xfId="8106"/>
    <cellStyle name="20% - 강조색5 3 3 3 4 3" xfId="8107"/>
    <cellStyle name="20% - 강조색5 3 3 3 4 4" xfId="8108"/>
    <cellStyle name="20% - 강조색5 3 3 3 5" xfId="8109"/>
    <cellStyle name="20% - 강조색5 3 3 3 5 2" xfId="8110"/>
    <cellStyle name="20% - 강조색5 3 3 3 5 3" xfId="8111"/>
    <cellStyle name="20% - 강조색5 3 3 3 6" xfId="8112"/>
    <cellStyle name="20% - 강조색5 3 3 3 7" xfId="8113"/>
    <cellStyle name="20% - 강조색5 3 3 4" xfId="8114"/>
    <cellStyle name="20% - 강조색5 3 3 4 2" xfId="8115"/>
    <cellStyle name="20% - 강조색5 3 3 4 2 2" xfId="8116"/>
    <cellStyle name="20% - 강조색5 3 3 4 2 2 2" xfId="8117"/>
    <cellStyle name="20% - 강조색5 3 3 4 2 2 3" xfId="8118"/>
    <cellStyle name="20% - 강조색5 3 3 4 2 3" xfId="8119"/>
    <cellStyle name="20% - 강조색5 3 3 4 2 4" xfId="8120"/>
    <cellStyle name="20% - 강조색5 3 3 4 3" xfId="8121"/>
    <cellStyle name="20% - 강조색5 3 3 4 3 2" xfId="8122"/>
    <cellStyle name="20% - 강조색5 3 3 4 3 3" xfId="8123"/>
    <cellStyle name="20% - 강조색5 3 3 4 4" xfId="8124"/>
    <cellStyle name="20% - 강조색5 3 3 4 5" xfId="8125"/>
    <cellStyle name="20% - 강조색5 3 3 5" xfId="8126"/>
    <cellStyle name="20% - 강조색5 3 3 5 2" xfId="8127"/>
    <cellStyle name="20% - 강조색5 3 3 5 2 2" xfId="8128"/>
    <cellStyle name="20% - 강조색5 3 3 5 2 2 2" xfId="8129"/>
    <cellStyle name="20% - 강조색5 3 3 5 2 2 3" xfId="8130"/>
    <cellStyle name="20% - 강조색5 3 3 5 2 3" xfId="8131"/>
    <cellStyle name="20% - 강조색5 3 3 5 2 4" xfId="8132"/>
    <cellStyle name="20% - 강조색5 3 3 5 3" xfId="8133"/>
    <cellStyle name="20% - 강조색5 3 3 5 3 2" xfId="8134"/>
    <cellStyle name="20% - 강조색5 3 3 5 3 3" xfId="8135"/>
    <cellStyle name="20% - 강조색5 3 3 5 4" xfId="8136"/>
    <cellStyle name="20% - 강조색5 3 3 5 5" xfId="8137"/>
    <cellStyle name="20% - 강조색5 3 3 6" xfId="8138"/>
    <cellStyle name="20% - 강조색5 3 3 6 2" xfId="8139"/>
    <cellStyle name="20% - 강조색5 3 3 6 2 2" xfId="8140"/>
    <cellStyle name="20% - 강조색5 3 3 6 2 2 2" xfId="8141"/>
    <cellStyle name="20% - 강조색5 3 3 6 2 2 3" xfId="8142"/>
    <cellStyle name="20% - 강조색5 3 3 6 2 3" xfId="8143"/>
    <cellStyle name="20% - 강조색5 3 3 6 2 4" xfId="8144"/>
    <cellStyle name="20% - 강조색5 3 3 6 3" xfId="8145"/>
    <cellStyle name="20% - 강조색5 3 3 6 3 2" xfId="8146"/>
    <cellStyle name="20% - 강조색5 3 3 6 3 3" xfId="8147"/>
    <cellStyle name="20% - 강조색5 3 3 6 4" xfId="8148"/>
    <cellStyle name="20% - 강조색5 3 3 6 5" xfId="8149"/>
    <cellStyle name="20% - 강조색5 3 3 7" xfId="8150"/>
    <cellStyle name="20% - 강조색5 3 3 7 2" xfId="8151"/>
    <cellStyle name="20% - 강조색5 3 3 7 2 2" xfId="8152"/>
    <cellStyle name="20% - 강조색5 3 3 7 2 3" xfId="8153"/>
    <cellStyle name="20% - 강조색5 3 3 7 3" xfId="8154"/>
    <cellStyle name="20% - 강조색5 3 3 7 4" xfId="8155"/>
    <cellStyle name="20% - 강조색5 3 3 8" xfId="8156"/>
    <cellStyle name="20% - 강조색5 3 3 8 2" xfId="8157"/>
    <cellStyle name="20% - 강조색5 3 3 8 3" xfId="8158"/>
    <cellStyle name="20% - 강조색5 3 3 9" xfId="8159"/>
    <cellStyle name="20% - 강조색5 3 4" xfId="8160"/>
    <cellStyle name="20% - 강조색5 3 4 10" xfId="8161"/>
    <cellStyle name="20% - 강조색5 3 4 11" xfId="8162"/>
    <cellStyle name="20% - 강조색5 3 4 12" xfId="8163"/>
    <cellStyle name="20% - 강조색5 3 4 2" xfId="8164"/>
    <cellStyle name="20% - 강조색5 3 4 2 2" xfId="8165"/>
    <cellStyle name="20% - 강조색5 3 4 2 2 2" xfId="8166"/>
    <cellStyle name="20% - 강조색5 3 4 2 2 2 2" xfId="8167"/>
    <cellStyle name="20% - 강조색5 3 4 2 2 2 2 2" xfId="8168"/>
    <cellStyle name="20% - 강조색5 3 4 2 2 2 2 3" xfId="8169"/>
    <cellStyle name="20% - 강조색5 3 4 2 2 2 3" xfId="8170"/>
    <cellStyle name="20% - 강조색5 3 4 2 2 2 4" xfId="8171"/>
    <cellStyle name="20% - 강조색5 3 4 2 2 3" xfId="8172"/>
    <cellStyle name="20% - 강조색5 3 4 2 2 3 2" xfId="8173"/>
    <cellStyle name="20% - 강조색5 3 4 2 2 3 3" xfId="8174"/>
    <cellStyle name="20% - 강조색5 3 4 2 2 4" xfId="8175"/>
    <cellStyle name="20% - 강조색5 3 4 2 2 5" xfId="8176"/>
    <cellStyle name="20% - 강조색5 3 4 2 3" xfId="8177"/>
    <cellStyle name="20% - 강조색5 3 4 2 3 2" xfId="8178"/>
    <cellStyle name="20% - 강조색5 3 4 2 3 2 2" xfId="8179"/>
    <cellStyle name="20% - 강조색5 3 4 2 3 2 2 2" xfId="8180"/>
    <cellStyle name="20% - 강조색5 3 4 2 3 2 2 3" xfId="8181"/>
    <cellStyle name="20% - 강조색5 3 4 2 3 2 3" xfId="8182"/>
    <cellStyle name="20% - 강조색5 3 4 2 3 2 4" xfId="8183"/>
    <cellStyle name="20% - 강조색5 3 4 2 3 3" xfId="8184"/>
    <cellStyle name="20% - 강조색5 3 4 2 3 3 2" xfId="8185"/>
    <cellStyle name="20% - 강조색5 3 4 2 3 3 3" xfId="8186"/>
    <cellStyle name="20% - 강조색5 3 4 2 3 4" xfId="8187"/>
    <cellStyle name="20% - 강조색5 3 4 2 3 5" xfId="8188"/>
    <cellStyle name="20% - 강조색5 3 4 2 4" xfId="8189"/>
    <cellStyle name="20% - 강조색5 3 4 2 4 2" xfId="8190"/>
    <cellStyle name="20% - 강조색5 3 4 2 4 2 2" xfId="8191"/>
    <cellStyle name="20% - 강조색5 3 4 2 4 2 3" xfId="8192"/>
    <cellStyle name="20% - 강조색5 3 4 2 4 3" xfId="8193"/>
    <cellStyle name="20% - 강조색5 3 4 2 4 4" xfId="8194"/>
    <cellStyle name="20% - 강조색5 3 4 2 5" xfId="8195"/>
    <cellStyle name="20% - 강조색5 3 4 2 5 2" xfId="8196"/>
    <cellStyle name="20% - 강조색5 3 4 2 5 3" xfId="8197"/>
    <cellStyle name="20% - 강조색5 3 4 2 6" xfId="8198"/>
    <cellStyle name="20% - 강조색5 3 4 2 7" xfId="8199"/>
    <cellStyle name="20% - 강조색5 3 4 3" xfId="8200"/>
    <cellStyle name="20% - 강조색5 3 4 3 2" xfId="8201"/>
    <cellStyle name="20% - 강조색5 3 4 3 2 2" xfId="8202"/>
    <cellStyle name="20% - 강조색5 3 4 3 2 2 2" xfId="8203"/>
    <cellStyle name="20% - 강조색5 3 4 3 2 2 2 2" xfId="8204"/>
    <cellStyle name="20% - 강조색5 3 4 3 2 2 2 3" xfId="8205"/>
    <cellStyle name="20% - 강조색5 3 4 3 2 2 3" xfId="8206"/>
    <cellStyle name="20% - 강조색5 3 4 3 2 2 4" xfId="8207"/>
    <cellStyle name="20% - 강조색5 3 4 3 2 3" xfId="8208"/>
    <cellStyle name="20% - 강조색5 3 4 3 2 3 2" xfId="8209"/>
    <cellStyle name="20% - 강조색5 3 4 3 2 3 3" xfId="8210"/>
    <cellStyle name="20% - 강조색5 3 4 3 2 4" xfId="8211"/>
    <cellStyle name="20% - 강조색5 3 4 3 2 5" xfId="8212"/>
    <cellStyle name="20% - 강조색5 3 4 3 3" xfId="8213"/>
    <cellStyle name="20% - 강조색5 3 4 3 3 2" xfId="8214"/>
    <cellStyle name="20% - 강조색5 3 4 3 3 2 2" xfId="8215"/>
    <cellStyle name="20% - 강조색5 3 4 3 3 2 2 2" xfId="8216"/>
    <cellStyle name="20% - 강조색5 3 4 3 3 2 2 3" xfId="8217"/>
    <cellStyle name="20% - 강조색5 3 4 3 3 2 3" xfId="8218"/>
    <cellStyle name="20% - 강조색5 3 4 3 3 2 4" xfId="8219"/>
    <cellStyle name="20% - 강조색5 3 4 3 3 3" xfId="8220"/>
    <cellStyle name="20% - 강조색5 3 4 3 3 3 2" xfId="8221"/>
    <cellStyle name="20% - 강조색5 3 4 3 3 3 3" xfId="8222"/>
    <cellStyle name="20% - 강조색5 3 4 3 3 4" xfId="8223"/>
    <cellStyle name="20% - 강조색5 3 4 3 3 5" xfId="8224"/>
    <cellStyle name="20% - 강조색5 3 4 3 4" xfId="8225"/>
    <cellStyle name="20% - 강조색5 3 4 3 4 2" xfId="8226"/>
    <cellStyle name="20% - 강조색5 3 4 3 4 2 2" xfId="8227"/>
    <cellStyle name="20% - 강조색5 3 4 3 4 2 3" xfId="8228"/>
    <cellStyle name="20% - 강조색5 3 4 3 4 3" xfId="8229"/>
    <cellStyle name="20% - 강조색5 3 4 3 4 4" xfId="8230"/>
    <cellStyle name="20% - 강조색5 3 4 3 5" xfId="8231"/>
    <cellStyle name="20% - 강조색5 3 4 3 5 2" xfId="8232"/>
    <cellStyle name="20% - 강조색5 3 4 3 5 3" xfId="8233"/>
    <cellStyle name="20% - 강조색5 3 4 3 6" xfId="8234"/>
    <cellStyle name="20% - 강조색5 3 4 3 7" xfId="8235"/>
    <cellStyle name="20% - 강조색5 3 4 4" xfId="8236"/>
    <cellStyle name="20% - 강조색5 3 4 4 2" xfId="8237"/>
    <cellStyle name="20% - 강조색5 3 4 4 2 2" xfId="8238"/>
    <cellStyle name="20% - 강조색5 3 4 4 2 2 2" xfId="8239"/>
    <cellStyle name="20% - 강조색5 3 4 4 2 2 3" xfId="8240"/>
    <cellStyle name="20% - 강조색5 3 4 4 2 3" xfId="8241"/>
    <cellStyle name="20% - 강조색5 3 4 4 2 4" xfId="8242"/>
    <cellStyle name="20% - 강조색5 3 4 4 3" xfId="8243"/>
    <cellStyle name="20% - 강조색5 3 4 4 3 2" xfId="8244"/>
    <cellStyle name="20% - 강조색5 3 4 4 3 3" xfId="8245"/>
    <cellStyle name="20% - 강조색5 3 4 4 4" xfId="8246"/>
    <cellStyle name="20% - 강조색5 3 4 4 5" xfId="8247"/>
    <cellStyle name="20% - 강조색5 3 4 5" xfId="8248"/>
    <cellStyle name="20% - 강조색5 3 4 5 2" xfId="8249"/>
    <cellStyle name="20% - 강조색5 3 4 5 2 2" xfId="8250"/>
    <cellStyle name="20% - 강조색5 3 4 5 2 2 2" xfId="8251"/>
    <cellStyle name="20% - 강조색5 3 4 5 2 2 3" xfId="8252"/>
    <cellStyle name="20% - 강조색5 3 4 5 2 3" xfId="8253"/>
    <cellStyle name="20% - 강조색5 3 4 5 2 4" xfId="8254"/>
    <cellStyle name="20% - 강조색5 3 4 5 3" xfId="8255"/>
    <cellStyle name="20% - 강조색5 3 4 5 3 2" xfId="8256"/>
    <cellStyle name="20% - 강조색5 3 4 5 3 3" xfId="8257"/>
    <cellStyle name="20% - 강조색5 3 4 5 4" xfId="8258"/>
    <cellStyle name="20% - 강조색5 3 4 5 5" xfId="8259"/>
    <cellStyle name="20% - 강조색5 3 4 6" xfId="8260"/>
    <cellStyle name="20% - 강조색5 3 4 6 2" xfId="8261"/>
    <cellStyle name="20% - 강조색5 3 4 6 2 2" xfId="8262"/>
    <cellStyle name="20% - 강조색5 3 4 6 2 2 2" xfId="8263"/>
    <cellStyle name="20% - 강조색5 3 4 6 2 2 3" xfId="8264"/>
    <cellStyle name="20% - 강조색5 3 4 6 2 3" xfId="8265"/>
    <cellStyle name="20% - 강조색5 3 4 6 2 4" xfId="8266"/>
    <cellStyle name="20% - 강조색5 3 4 6 3" xfId="8267"/>
    <cellStyle name="20% - 강조색5 3 4 6 3 2" xfId="8268"/>
    <cellStyle name="20% - 강조색5 3 4 6 3 3" xfId="8269"/>
    <cellStyle name="20% - 강조색5 3 4 6 4" xfId="8270"/>
    <cellStyle name="20% - 강조색5 3 4 6 5" xfId="8271"/>
    <cellStyle name="20% - 강조색5 3 4 7" xfId="8272"/>
    <cellStyle name="20% - 강조색5 3 4 7 2" xfId="8273"/>
    <cellStyle name="20% - 강조색5 3 4 7 2 2" xfId="8274"/>
    <cellStyle name="20% - 강조색5 3 4 7 2 3" xfId="8275"/>
    <cellStyle name="20% - 강조색5 3 4 7 3" xfId="8276"/>
    <cellStyle name="20% - 강조색5 3 4 7 4" xfId="8277"/>
    <cellStyle name="20% - 강조색5 3 4 8" xfId="8278"/>
    <cellStyle name="20% - 강조색5 3 4 8 2" xfId="8279"/>
    <cellStyle name="20% - 강조색5 3 4 8 3" xfId="8280"/>
    <cellStyle name="20% - 강조색5 3 4 9" xfId="8281"/>
    <cellStyle name="20% - 강조색5 3 5" xfId="8282"/>
    <cellStyle name="20% - 강조색5 3 5 2" xfId="8283"/>
    <cellStyle name="20% - 강조색5 3 5 2 2" xfId="8284"/>
    <cellStyle name="20% - 강조색5 3 5 2 2 2" xfId="8285"/>
    <cellStyle name="20% - 강조색5 3 5 2 2 2 2" xfId="8286"/>
    <cellStyle name="20% - 강조색5 3 5 2 2 2 3" xfId="8287"/>
    <cellStyle name="20% - 강조색5 3 5 2 2 3" xfId="8288"/>
    <cellStyle name="20% - 강조색5 3 5 2 2 4" xfId="8289"/>
    <cellStyle name="20% - 강조색5 3 5 2 3" xfId="8290"/>
    <cellStyle name="20% - 강조색5 3 5 2 3 2" xfId="8291"/>
    <cellStyle name="20% - 강조색5 3 5 2 3 3" xfId="8292"/>
    <cellStyle name="20% - 강조색5 3 5 2 4" xfId="8293"/>
    <cellStyle name="20% - 강조색5 3 5 2 5" xfId="8294"/>
    <cellStyle name="20% - 강조색5 3 5 3" xfId="8295"/>
    <cellStyle name="20% - 강조색5 3 5 3 2" xfId="8296"/>
    <cellStyle name="20% - 강조색5 3 5 3 2 2" xfId="8297"/>
    <cellStyle name="20% - 강조색5 3 5 3 2 2 2" xfId="8298"/>
    <cellStyle name="20% - 강조색5 3 5 3 2 2 3" xfId="8299"/>
    <cellStyle name="20% - 강조색5 3 5 3 2 3" xfId="8300"/>
    <cellStyle name="20% - 강조색5 3 5 3 2 4" xfId="8301"/>
    <cellStyle name="20% - 강조색5 3 5 3 3" xfId="8302"/>
    <cellStyle name="20% - 강조색5 3 5 3 3 2" xfId="8303"/>
    <cellStyle name="20% - 강조색5 3 5 3 3 3" xfId="8304"/>
    <cellStyle name="20% - 강조색5 3 5 3 4" xfId="8305"/>
    <cellStyle name="20% - 강조색5 3 5 3 5" xfId="8306"/>
    <cellStyle name="20% - 강조색5 3 5 4" xfId="8307"/>
    <cellStyle name="20% - 강조색5 3 5 4 2" xfId="8308"/>
    <cellStyle name="20% - 강조색5 3 5 4 2 2" xfId="8309"/>
    <cellStyle name="20% - 강조색5 3 5 4 2 3" xfId="8310"/>
    <cellStyle name="20% - 강조색5 3 5 4 3" xfId="8311"/>
    <cellStyle name="20% - 강조색5 3 5 4 4" xfId="8312"/>
    <cellStyle name="20% - 강조색5 3 5 5" xfId="8313"/>
    <cellStyle name="20% - 강조색5 3 5 5 2" xfId="8314"/>
    <cellStyle name="20% - 강조색5 3 5 5 3" xfId="8315"/>
    <cellStyle name="20% - 강조색5 3 5 6" xfId="8316"/>
    <cellStyle name="20% - 강조색5 3 5 7" xfId="8317"/>
    <cellStyle name="20% - 강조색5 3 6" xfId="8318"/>
    <cellStyle name="20% - 강조색5 3 6 2" xfId="8319"/>
    <cellStyle name="20% - 강조색5 3 6 2 2" xfId="8320"/>
    <cellStyle name="20% - 강조색5 3 6 2 2 2" xfId="8321"/>
    <cellStyle name="20% - 강조색5 3 6 2 2 2 2" xfId="8322"/>
    <cellStyle name="20% - 강조색5 3 6 2 2 2 3" xfId="8323"/>
    <cellStyle name="20% - 강조색5 3 6 2 2 3" xfId="8324"/>
    <cellStyle name="20% - 강조색5 3 6 2 2 4" xfId="8325"/>
    <cellStyle name="20% - 강조색5 3 6 2 3" xfId="8326"/>
    <cellStyle name="20% - 강조색5 3 6 2 3 2" xfId="8327"/>
    <cellStyle name="20% - 강조색5 3 6 2 3 3" xfId="8328"/>
    <cellStyle name="20% - 강조색5 3 6 2 4" xfId="8329"/>
    <cellStyle name="20% - 강조색5 3 6 2 5" xfId="8330"/>
    <cellStyle name="20% - 강조색5 3 6 3" xfId="8331"/>
    <cellStyle name="20% - 강조색5 3 6 3 2" xfId="8332"/>
    <cellStyle name="20% - 강조색5 3 6 3 2 2" xfId="8333"/>
    <cellStyle name="20% - 강조색5 3 6 3 2 2 2" xfId="8334"/>
    <cellStyle name="20% - 강조색5 3 6 3 2 2 3" xfId="8335"/>
    <cellStyle name="20% - 강조색5 3 6 3 2 3" xfId="8336"/>
    <cellStyle name="20% - 강조색5 3 6 3 2 4" xfId="8337"/>
    <cellStyle name="20% - 강조색5 3 6 3 3" xfId="8338"/>
    <cellStyle name="20% - 강조색5 3 6 3 3 2" xfId="8339"/>
    <cellStyle name="20% - 강조색5 3 6 3 3 3" xfId="8340"/>
    <cellStyle name="20% - 강조색5 3 6 3 4" xfId="8341"/>
    <cellStyle name="20% - 강조색5 3 6 3 5" xfId="8342"/>
    <cellStyle name="20% - 강조색5 3 6 4" xfId="8343"/>
    <cellStyle name="20% - 강조색5 3 6 4 2" xfId="8344"/>
    <cellStyle name="20% - 강조색5 3 6 4 2 2" xfId="8345"/>
    <cellStyle name="20% - 강조색5 3 6 4 2 3" xfId="8346"/>
    <cellStyle name="20% - 강조색5 3 6 4 3" xfId="8347"/>
    <cellStyle name="20% - 강조색5 3 6 4 4" xfId="8348"/>
    <cellStyle name="20% - 강조색5 3 6 5" xfId="8349"/>
    <cellStyle name="20% - 강조색5 3 6 5 2" xfId="8350"/>
    <cellStyle name="20% - 강조색5 3 6 5 3" xfId="8351"/>
    <cellStyle name="20% - 강조색5 3 6 6" xfId="8352"/>
    <cellStyle name="20% - 강조색5 3 6 7" xfId="8353"/>
    <cellStyle name="20% - 강조색5 3 7" xfId="8354"/>
    <cellStyle name="20% - 강조색5 3 7 2" xfId="8355"/>
    <cellStyle name="20% - 강조색5 3 7 2 2" xfId="8356"/>
    <cellStyle name="20% - 강조색5 3 7 2 2 2" xfId="8357"/>
    <cellStyle name="20% - 강조색5 3 7 2 2 3" xfId="8358"/>
    <cellStyle name="20% - 강조색5 3 7 2 3" xfId="8359"/>
    <cellStyle name="20% - 강조색5 3 7 2 4" xfId="8360"/>
    <cellStyle name="20% - 강조색5 3 7 3" xfId="8361"/>
    <cellStyle name="20% - 강조색5 3 7 3 2" xfId="8362"/>
    <cellStyle name="20% - 강조색5 3 7 3 3" xfId="8363"/>
    <cellStyle name="20% - 강조색5 3 7 4" xfId="8364"/>
    <cellStyle name="20% - 강조색5 3 7 5" xfId="8365"/>
    <cellStyle name="20% - 강조색5 3 8" xfId="8366"/>
    <cellStyle name="20% - 강조색5 3 8 2" xfId="8367"/>
    <cellStyle name="20% - 강조색5 3 8 2 2" xfId="8368"/>
    <cellStyle name="20% - 강조색5 3 8 2 2 2" xfId="8369"/>
    <cellStyle name="20% - 강조색5 3 8 2 2 3" xfId="8370"/>
    <cellStyle name="20% - 강조색5 3 8 2 3" xfId="8371"/>
    <cellStyle name="20% - 강조색5 3 8 2 4" xfId="8372"/>
    <cellStyle name="20% - 강조색5 3 8 3" xfId="8373"/>
    <cellStyle name="20% - 강조색5 3 8 3 2" xfId="8374"/>
    <cellStyle name="20% - 강조색5 3 8 3 3" xfId="8375"/>
    <cellStyle name="20% - 강조색5 3 8 4" xfId="8376"/>
    <cellStyle name="20% - 강조색5 3 8 5" xfId="8377"/>
    <cellStyle name="20% - 강조색5 3 9" xfId="8378"/>
    <cellStyle name="20% - 강조색5 3 9 2" xfId="8379"/>
    <cellStyle name="20% - 강조색5 3 9 2 2" xfId="8380"/>
    <cellStyle name="20% - 강조색5 3 9 2 2 2" xfId="8381"/>
    <cellStyle name="20% - 강조색5 3 9 2 2 3" xfId="8382"/>
    <cellStyle name="20% - 강조색5 3 9 2 3" xfId="8383"/>
    <cellStyle name="20% - 강조색5 3 9 2 4" xfId="8384"/>
    <cellStyle name="20% - 강조색5 3 9 3" xfId="8385"/>
    <cellStyle name="20% - 강조색5 3 9 3 2" xfId="8386"/>
    <cellStyle name="20% - 강조색5 3 9 3 3" xfId="8387"/>
    <cellStyle name="20% - 강조색5 3 9 4" xfId="8388"/>
    <cellStyle name="20% - 강조색5 3 9 5" xfId="8389"/>
    <cellStyle name="20% - 강조색5 30" xfId="8390"/>
    <cellStyle name="20% - 강조색5 30 2" xfId="8391"/>
    <cellStyle name="20% - 강조색5 31" xfId="8392"/>
    <cellStyle name="20% - 강조색5 31 2" xfId="8393"/>
    <cellStyle name="20% - 강조색5 32" xfId="8394"/>
    <cellStyle name="20% - 강조색5 32 2" xfId="8395"/>
    <cellStyle name="20% - 강조색5 33" xfId="8396"/>
    <cellStyle name="20% - 강조색5 33 2" xfId="8397"/>
    <cellStyle name="20% - 강조색5 34" xfId="8398"/>
    <cellStyle name="20% - 강조색5 34 2" xfId="8399"/>
    <cellStyle name="20% - 강조색5 35" xfId="8400"/>
    <cellStyle name="20% - 강조색5 36" xfId="8401"/>
    <cellStyle name="20% - 강조색5 37" xfId="8402"/>
    <cellStyle name="20% - 강조색5 38" xfId="8403"/>
    <cellStyle name="20% - 강조색5 39" xfId="8404"/>
    <cellStyle name="20% - 강조색5 4" xfId="8405"/>
    <cellStyle name="20% - 강조색5 4 10" xfId="8406"/>
    <cellStyle name="20% - 강조색5 4 10 2" xfId="8407"/>
    <cellStyle name="20% - 강조색5 4 10 2 2" xfId="8408"/>
    <cellStyle name="20% - 강조색5 4 10 2 3" xfId="8409"/>
    <cellStyle name="20% - 강조색5 4 10 3" xfId="8410"/>
    <cellStyle name="20% - 강조색5 4 10 4" xfId="8411"/>
    <cellStyle name="20% - 강조색5 4 11" xfId="8412"/>
    <cellStyle name="20% - 강조색5 4 11 2" xfId="8413"/>
    <cellStyle name="20% - 강조색5 4 11 3" xfId="8414"/>
    <cellStyle name="20% - 강조색5 4 12" xfId="8415"/>
    <cellStyle name="20% - 강조색5 4 13" xfId="8416"/>
    <cellStyle name="20% - 강조색5 4 14" xfId="8417"/>
    <cellStyle name="20% - 강조색5 4 2" xfId="8418"/>
    <cellStyle name="20% - 강조색5 4 2 10" xfId="8419"/>
    <cellStyle name="20% - 강조색5 4 2 2" xfId="8420"/>
    <cellStyle name="20% - 강조색5 4 2 2 2" xfId="8421"/>
    <cellStyle name="20% - 강조색5 4 2 2 2 2" xfId="8422"/>
    <cellStyle name="20% - 강조색5 4 2 2 2 2 2" xfId="8423"/>
    <cellStyle name="20% - 강조색5 4 2 2 2 2 2 2" xfId="8424"/>
    <cellStyle name="20% - 강조색5 4 2 2 2 2 2 3" xfId="8425"/>
    <cellStyle name="20% - 강조색5 4 2 2 2 2 3" xfId="8426"/>
    <cellStyle name="20% - 강조색5 4 2 2 2 2 4" xfId="8427"/>
    <cellStyle name="20% - 강조색5 4 2 2 2 3" xfId="8428"/>
    <cellStyle name="20% - 강조색5 4 2 2 2 3 2" xfId="8429"/>
    <cellStyle name="20% - 강조색5 4 2 2 2 3 3" xfId="8430"/>
    <cellStyle name="20% - 강조색5 4 2 2 2 4" xfId="8431"/>
    <cellStyle name="20% - 강조색5 4 2 2 2 5" xfId="8432"/>
    <cellStyle name="20% - 강조색5 4 2 2 3" xfId="8433"/>
    <cellStyle name="20% - 강조색5 4 2 2 3 2" xfId="8434"/>
    <cellStyle name="20% - 강조색5 4 2 2 3 2 2" xfId="8435"/>
    <cellStyle name="20% - 강조색5 4 2 2 3 2 2 2" xfId="8436"/>
    <cellStyle name="20% - 강조색5 4 2 2 3 2 2 3" xfId="8437"/>
    <cellStyle name="20% - 강조색5 4 2 2 3 2 3" xfId="8438"/>
    <cellStyle name="20% - 강조색5 4 2 2 3 2 4" xfId="8439"/>
    <cellStyle name="20% - 강조색5 4 2 2 3 3" xfId="8440"/>
    <cellStyle name="20% - 강조색5 4 2 2 3 3 2" xfId="8441"/>
    <cellStyle name="20% - 강조색5 4 2 2 3 3 3" xfId="8442"/>
    <cellStyle name="20% - 강조색5 4 2 2 3 4" xfId="8443"/>
    <cellStyle name="20% - 강조색5 4 2 2 3 5" xfId="8444"/>
    <cellStyle name="20% - 강조색5 4 2 2 4" xfId="8445"/>
    <cellStyle name="20% - 강조색5 4 2 2 4 2" xfId="8446"/>
    <cellStyle name="20% - 강조색5 4 2 2 4 2 2" xfId="8447"/>
    <cellStyle name="20% - 강조색5 4 2 2 4 2 3" xfId="8448"/>
    <cellStyle name="20% - 강조색5 4 2 2 4 3" xfId="8449"/>
    <cellStyle name="20% - 강조색5 4 2 2 4 4" xfId="8450"/>
    <cellStyle name="20% - 강조색5 4 2 2 5" xfId="8451"/>
    <cellStyle name="20% - 강조색5 4 2 2 5 2" xfId="8452"/>
    <cellStyle name="20% - 강조색5 4 2 2 5 3" xfId="8453"/>
    <cellStyle name="20% - 강조색5 4 2 2 6" xfId="8454"/>
    <cellStyle name="20% - 강조색5 4 2 2 7" xfId="8455"/>
    <cellStyle name="20% - 강조색5 4 2 3" xfId="8456"/>
    <cellStyle name="20% - 강조색5 4 2 3 2" xfId="8457"/>
    <cellStyle name="20% - 강조색5 4 2 3 2 2" xfId="8458"/>
    <cellStyle name="20% - 강조색5 4 2 3 2 2 2" xfId="8459"/>
    <cellStyle name="20% - 강조색5 4 2 3 2 2 2 2" xfId="8460"/>
    <cellStyle name="20% - 강조색5 4 2 3 2 2 2 3" xfId="8461"/>
    <cellStyle name="20% - 강조색5 4 2 3 2 2 3" xfId="8462"/>
    <cellStyle name="20% - 강조색5 4 2 3 2 2 4" xfId="8463"/>
    <cellStyle name="20% - 강조색5 4 2 3 2 3" xfId="8464"/>
    <cellStyle name="20% - 강조색5 4 2 3 2 3 2" xfId="8465"/>
    <cellStyle name="20% - 강조색5 4 2 3 2 3 3" xfId="8466"/>
    <cellStyle name="20% - 강조색5 4 2 3 2 4" xfId="8467"/>
    <cellStyle name="20% - 강조색5 4 2 3 2 5" xfId="8468"/>
    <cellStyle name="20% - 강조색5 4 2 3 3" xfId="8469"/>
    <cellStyle name="20% - 강조색5 4 2 3 3 2" xfId="8470"/>
    <cellStyle name="20% - 강조색5 4 2 3 3 2 2" xfId="8471"/>
    <cellStyle name="20% - 강조색5 4 2 3 3 2 2 2" xfId="8472"/>
    <cellStyle name="20% - 강조색5 4 2 3 3 2 2 3" xfId="8473"/>
    <cellStyle name="20% - 강조색5 4 2 3 3 2 3" xfId="8474"/>
    <cellStyle name="20% - 강조색5 4 2 3 3 2 4" xfId="8475"/>
    <cellStyle name="20% - 강조색5 4 2 3 3 3" xfId="8476"/>
    <cellStyle name="20% - 강조색5 4 2 3 3 3 2" xfId="8477"/>
    <cellStyle name="20% - 강조색5 4 2 3 3 3 3" xfId="8478"/>
    <cellStyle name="20% - 강조색5 4 2 3 3 4" xfId="8479"/>
    <cellStyle name="20% - 강조색5 4 2 3 3 5" xfId="8480"/>
    <cellStyle name="20% - 강조색5 4 2 3 4" xfId="8481"/>
    <cellStyle name="20% - 강조색5 4 2 3 4 2" xfId="8482"/>
    <cellStyle name="20% - 강조색5 4 2 3 4 2 2" xfId="8483"/>
    <cellStyle name="20% - 강조색5 4 2 3 4 2 3" xfId="8484"/>
    <cellStyle name="20% - 강조색5 4 2 3 4 3" xfId="8485"/>
    <cellStyle name="20% - 강조색5 4 2 3 4 4" xfId="8486"/>
    <cellStyle name="20% - 강조색5 4 2 3 5" xfId="8487"/>
    <cellStyle name="20% - 강조색5 4 2 3 5 2" xfId="8488"/>
    <cellStyle name="20% - 강조색5 4 2 3 5 3" xfId="8489"/>
    <cellStyle name="20% - 강조색5 4 2 3 6" xfId="8490"/>
    <cellStyle name="20% - 강조색5 4 2 3 7" xfId="8491"/>
    <cellStyle name="20% - 강조색5 4 2 4" xfId="8492"/>
    <cellStyle name="20% - 강조색5 4 2 4 2" xfId="8493"/>
    <cellStyle name="20% - 강조색5 4 2 4 2 2" xfId="8494"/>
    <cellStyle name="20% - 강조색5 4 2 4 2 2 2" xfId="8495"/>
    <cellStyle name="20% - 강조색5 4 2 4 2 2 3" xfId="8496"/>
    <cellStyle name="20% - 강조색5 4 2 4 2 3" xfId="8497"/>
    <cellStyle name="20% - 강조색5 4 2 4 2 4" xfId="8498"/>
    <cellStyle name="20% - 강조색5 4 2 4 3" xfId="8499"/>
    <cellStyle name="20% - 강조색5 4 2 4 3 2" xfId="8500"/>
    <cellStyle name="20% - 강조색5 4 2 4 3 3" xfId="8501"/>
    <cellStyle name="20% - 강조색5 4 2 4 4" xfId="8502"/>
    <cellStyle name="20% - 강조색5 4 2 4 5" xfId="8503"/>
    <cellStyle name="20% - 강조색5 4 2 5" xfId="8504"/>
    <cellStyle name="20% - 강조색5 4 2 5 2" xfId="8505"/>
    <cellStyle name="20% - 강조색5 4 2 5 2 2" xfId="8506"/>
    <cellStyle name="20% - 강조색5 4 2 5 2 2 2" xfId="8507"/>
    <cellStyle name="20% - 강조색5 4 2 5 2 2 3" xfId="8508"/>
    <cellStyle name="20% - 강조색5 4 2 5 2 3" xfId="8509"/>
    <cellStyle name="20% - 강조색5 4 2 5 2 4" xfId="8510"/>
    <cellStyle name="20% - 강조색5 4 2 5 3" xfId="8511"/>
    <cellStyle name="20% - 강조색5 4 2 5 3 2" xfId="8512"/>
    <cellStyle name="20% - 강조색5 4 2 5 3 3" xfId="8513"/>
    <cellStyle name="20% - 강조색5 4 2 5 4" xfId="8514"/>
    <cellStyle name="20% - 강조색5 4 2 5 5" xfId="8515"/>
    <cellStyle name="20% - 강조색5 4 2 6" xfId="8516"/>
    <cellStyle name="20% - 강조색5 4 2 6 2" xfId="8517"/>
    <cellStyle name="20% - 강조색5 4 2 6 2 2" xfId="8518"/>
    <cellStyle name="20% - 강조색5 4 2 6 2 2 2" xfId="8519"/>
    <cellStyle name="20% - 강조색5 4 2 6 2 2 3" xfId="8520"/>
    <cellStyle name="20% - 강조색5 4 2 6 2 3" xfId="8521"/>
    <cellStyle name="20% - 강조색5 4 2 6 2 4" xfId="8522"/>
    <cellStyle name="20% - 강조색5 4 2 6 3" xfId="8523"/>
    <cellStyle name="20% - 강조색5 4 2 6 3 2" xfId="8524"/>
    <cellStyle name="20% - 강조색5 4 2 6 3 3" xfId="8525"/>
    <cellStyle name="20% - 강조색5 4 2 6 4" xfId="8526"/>
    <cellStyle name="20% - 강조색5 4 2 6 5" xfId="8527"/>
    <cellStyle name="20% - 강조색5 4 2 7" xfId="8528"/>
    <cellStyle name="20% - 강조색5 4 2 7 2" xfId="8529"/>
    <cellStyle name="20% - 강조색5 4 2 7 2 2" xfId="8530"/>
    <cellStyle name="20% - 강조색5 4 2 7 2 3" xfId="8531"/>
    <cellStyle name="20% - 강조색5 4 2 7 3" xfId="8532"/>
    <cellStyle name="20% - 강조색5 4 2 7 4" xfId="8533"/>
    <cellStyle name="20% - 강조색5 4 2 8" xfId="8534"/>
    <cellStyle name="20% - 강조색5 4 2 8 2" xfId="8535"/>
    <cellStyle name="20% - 강조색5 4 2 8 3" xfId="8536"/>
    <cellStyle name="20% - 강조색5 4 2 9" xfId="8537"/>
    <cellStyle name="20% - 강조색5 4 3" xfId="8538"/>
    <cellStyle name="20% - 강조색5 4 3 10" xfId="8539"/>
    <cellStyle name="20% - 강조색5 4 3 2" xfId="8540"/>
    <cellStyle name="20% - 강조색5 4 3 2 2" xfId="8541"/>
    <cellStyle name="20% - 강조색5 4 3 2 2 2" xfId="8542"/>
    <cellStyle name="20% - 강조색5 4 3 2 2 2 2" xfId="8543"/>
    <cellStyle name="20% - 강조색5 4 3 2 2 2 2 2" xfId="8544"/>
    <cellStyle name="20% - 강조색5 4 3 2 2 2 2 3" xfId="8545"/>
    <cellStyle name="20% - 강조색5 4 3 2 2 2 3" xfId="8546"/>
    <cellStyle name="20% - 강조색5 4 3 2 2 2 4" xfId="8547"/>
    <cellStyle name="20% - 강조색5 4 3 2 2 3" xfId="8548"/>
    <cellStyle name="20% - 강조색5 4 3 2 2 3 2" xfId="8549"/>
    <cellStyle name="20% - 강조색5 4 3 2 2 3 3" xfId="8550"/>
    <cellStyle name="20% - 강조색5 4 3 2 2 4" xfId="8551"/>
    <cellStyle name="20% - 강조색5 4 3 2 2 5" xfId="8552"/>
    <cellStyle name="20% - 강조색5 4 3 2 3" xfId="8553"/>
    <cellStyle name="20% - 강조색5 4 3 2 3 2" xfId="8554"/>
    <cellStyle name="20% - 강조색5 4 3 2 3 2 2" xfId="8555"/>
    <cellStyle name="20% - 강조색5 4 3 2 3 2 2 2" xfId="8556"/>
    <cellStyle name="20% - 강조색5 4 3 2 3 2 2 3" xfId="8557"/>
    <cellStyle name="20% - 강조색5 4 3 2 3 2 3" xfId="8558"/>
    <cellStyle name="20% - 강조색5 4 3 2 3 2 4" xfId="8559"/>
    <cellStyle name="20% - 강조색5 4 3 2 3 3" xfId="8560"/>
    <cellStyle name="20% - 강조색5 4 3 2 3 3 2" xfId="8561"/>
    <cellStyle name="20% - 강조색5 4 3 2 3 3 3" xfId="8562"/>
    <cellStyle name="20% - 강조색5 4 3 2 3 4" xfId="8563"/>
    <cellStyle name="20% - 강조색5 4 3 2 3 5" xfId="8564"/>
    <cellStyle name="20% - 강조색5 4 3 2 4" xfId="8565"/>
    <cellStyle name="20% - 강조색5 4 3 2 4 2" xfId="8566"/>
    <cellStyle name="20% - 강조색5 4 3 2 4 2 2" xfId="8567"/>
    <cellStyle name="20% - 강조색5 4 3 2 4 2 3" xfId="8568"/>
    <cellStyle name="20% - 강조색5 4 3 2 4 3" xfId="8569"/>
    <cellStyle name="20% - 강조색5 4 3 2 4 4" xfId="8570"/>
    <cellStyle name="20% - 강조색5 4 3 2 5" xfId="8571"/>
    <cellStyle name="20% - 강조색5 4 3 2 5 2" xfId="8572"/>
    <cellStyle name="20% - 강조색5 4 3 2 5 3" xfId="8573"/>
    <cellStyle name="20% - 강조색5 4 3 2 6" xfId="8574"/>
    <cellStyle name="20% - 강조색5 4 3 2 7" xfId="8575"/>
    <cellStyle name="20% - 강조색5 4 3 3" xfId="8576"/>
    <cellStyle name="20% - 강조색5 4 3 3 2" xfId="8577"/>
    <cellStyle name="20% - 강조색5 4 3 3 2 2" xfId="8578"/>
    <cellStyle name="20% - 강조색5 4 3 3 2 2 2" xfId="8579"/>
    <cellStyle name="20% - 강조색5 4 3 3 2 2 2 2" xfId="8580"/>
    <cellStyle name="20% - 강조색5 4 3 3 2 2 2 3" xfId="8581"/>
    <cellStyle name="20% - 강조색5 4 3 3 2 2 3" xfId="8582"/>
    <cellStyle name="20% - 강조색5 4 3 3 2 2 4" xfId="8583"/>
    <cellStyle name="20% - 강조색5 4 3 3 2 3" xfId="8584"/>
    <cellStyle name="20% - 강조색5 4 3 3 2 3 2" xfId="8585"/>
    <cellStyle name="20% - 강조색5 4 3 3 2 3 3" xfId="8586"/>
    <cellStyle name="20% - 강조색5 4 3 3 2 4" xfId="8587"/>
    <cellStyle name="20% - 강조색5 4 3 3 2 5" xfId="8588"/>
    <cellStyle name="20% - 강조색5 4 3 3 3" xfId="8589"/>
    <cellStyle name="20% - 강조색5 4 3 3 3 2" xfId="8590"/>
    <cellStyle name="20% - 강조색5 4 3 3 3 2 2" xfId="8591"/>
    <cellStyle name="20% - 강조색5 4 3 3 3 2 2 2" xfId="8592"/>
    <cellStyle name="20% - 강조색5 4 3 3 3 2 2 3" xfId="8593"/>
    <cellStyle name="20% - 강조색5 4 3 3 3 2 3" xfId="8594"/>
    <cellStyle name="20% - 강조색5 4 3 3 3 2 4" xfId="8595"/>
    <cellStyle name="20% - 강조색5 4 3 3 3 3" xfId="8596"/>
    <cellStyle name="20% - 강조색5 4 3 3 3 3 2" xfId="8597"/>
    <cellStyle name="20% - 강조색5 4 3 3 3 3 3" xfId="8598"/>
    <cellStyle name="20% - 강조색5 4 3 3 3 4" xfId="8599"/>
    <cellStyle name="20% - 강조색5 4 3 3 3 5" xfId="8600"/>
    <cellStyle name="20% - 강조색5 4 3 3 4" xfId="8601"/>
    <cellStyle name="20% - 강조색5 4 3 3 4 2" xfId="8602"/>
    <cellStyle name="20% - 강조색5 4 3 3 4 2 2" xfId="8603"/>
    <cellStyle name="20% - 강조색5 4 3 3 4 2 3" xfId="8604"/>
    <cellStyle name="20% - 강조색5 4 3 3 4 3" xfId="8605"/>
    <cellStyle name="20% - 강조색5 4 3 3 4 4" xfId="8606"/>
    <cellStyle name="20% - 강조색5 4 3 3 5" xfId="8607"/>
    <cellStyle name="20% - 강조색5 4 3 3 5 2" xfId="8608"/>
    <cellStyle name="20% - 강조색5 4 3 3 5 3" xfId="8609"/>
    <cellStyle name="20% - 강조색5 4 3 3 6" xfId="8610"/>
    <cellStyle name="20% - 강조색5 4 3 3 7" xfId="8611"/>
    <cellStyle name="20% - 강조색5 4 3 4" xfId="8612"/>
    <cellStyle name="20% - 강조색5 4 3 4 2" xfId="8613"/>
    <cellStyle name="20% - 강조색5 4 3 4 2 2" xfId="8614"/>
    <cellStyle name="20% - 강조색5 4 3 4 2 2 2" xfId="8615"/>
    <cellStyle name="20% - 강조색5 4 3 4 2 2 3" xfId="8616"/>
    <cellStyle name="20% - 강조색5 4 3 4 2 3" xfId="8617"/>
    <cellStyle name="20% - 강조색5 4 3 4 2 4" xfId="8618"/>
    <cellStyle name="20% - 강조색5 4 3 4 3" xfId="8619"/>
    <cellStyle name="20% - 강조색5 4 3 4 3 2" xfId="8620"/>
    <cellStyle name="20% - 강조색5 4 3 4 3 3" xfId="8621"/>
    <cellStyle name="20% - 강조색5 4 3 4 4" xfId="8622"/>
    <cellStyle name="20% - 강조색5 4 3 4 5" xfId="8623"/>
    <cellStyle name="20% - 강조색5 4 3 5" xfId="8624"/>
    <cellStyle name="20% - 강조색5 4 3 5 2" xfId="8625"/>
    <cellStyle name="20% - 강조색5 4 3 5 2 2" xfId="8626"/>
    <cellStyle name="20% - 강조색5 4 3 5 2 2 2" xfId="8627"/>
    <cellStyle name="20% - 강조색5 4 3 5 2 2 3" xfId="8628"/>
    <cellStyle name="20% - 강조색5 4 3 5 2 3" xfId="8629"/>
    <cellStyle name="20% - 강조색5 4 3 5 2 4" xfId="8630"/>
    <cellStyle name="20% - 강조색5 4 3 5 3" xfId="8631"/>
    <cellStyle name="20% - 강조색5 4 3 5 3 2" xfId="8632"/>
    <cellStyle name="20% - 강조색5 4 3 5 3 3" xfId="8633"/>
    <cellStyle name="20% - 강조색5 4 3 5 4" xfId="8634"/>
    <cellStyle name="20% - 강조색5 4 3 5 5" xfId="8635"/>
    <cellStyle name="20% - 강조색5 4 3 6" xfId="8636"/>
    <cellStyle name="20% - 강조색5 4 3 6 2" xfId="8637"/>
    <cellStyle name="20% - 강조색5 4 3 6 2 2" xfId="8638"/>
    <cellStyle name="20% - 강조색5 4 3 6 2 2 2" xfId="8639"/>
    <cellStyle name="20% - 강조색5 4 3 6 2 2 3" xfId="8640"/>
    <cellStyle name="20% - 강조색5 4 3 6 2 3" xfId="8641"/>
    <cellStyle name="20% - 강조색5 4 3 6 2 4" xfId="8642"/>
    <cellStyle name="20% - 강조색5 4 3 6 3" xfId="8643"/>
    <cellStyle name="20% - 강조색5 4 3 6 3 2" xfId="8644"/>
    <cellStyle name="20% - 강조색5 4 3 6 3 3" xfId="8645"/>
    <cellStyle name="20% - 강조색5 4 3 6 4" xfId="8646"/>
    <cellStyle name="20% - 강조색5 4 3 6 5" xfId="8647"/>
    <cellStyle name="20% - 강조색5 4 3 7" xfId="8648"/>
    <cellStyle name="20% - 강조색5 4 3 7 2" xfId="8649"/>
    <cellStyle name="20% - 강조색5 4 3 7 2 2" xfId="8650"/>
    <cellStyle name="20% - 강조색5 4 3 7 2 3" xfId="8651"/>
    <cellStyle name="20% - 강조색5 4 3 7 3" xfId="8652"/>
    <cellStyle name="20% - 강조색5 4 3 7 4" xfId="8653"/>
    <cellStyle name="20% - 강조색5 4 3 8" xfId="8654"/>
    <cellStyle name="20% - 강조색5 4 3 8 2" xfId="8655"/>
    <cellStyle name="20% - 강조색5 4 3 8 3" xfId="8656"/>
    <cellStyle name="20% - 강조색5 4 3 9" xfId="8657"/>
    <cellStyle name="20% - 강조색5 4 4" xfId="8658"/>
    <cellStyle name="20% - 강조색5 4 4 10" xfId="8659"/>
    <cellStyle name="20% - 강조색5 4 4 2" xfId="8660"/>
    <cellStyle name="20% - 강조색5 4 4 2 2" xfId="8661"/>
    <cellStyle name="20% - 강조색5 4 4 2 2 2" xfId="8662"/>
    <cellStyle name="20% - 강조색5 4 4 2 2 2 2" xfId="8663"/>
    <cellStyle name="20% - 강조색5 4 4 2 2 2 2 2" xfId="8664"/>
    <cellStyle name="20% - 강조색5 4 4 2 2 2 2 3" xfId="8665"/>
    <cellStyle name="20% - 강조색5 4 4 2 2 2 3" xfId="8666"/>
    <cellStyle name="20% - 강조색5 4 4 2 2 2 4" xfId="8667"/>
    <cellStyle name="20% - 강조색5 4 4 2 2 3" xfId="8668"/>
    <cellStyle name="20% - 강조색5 4 4 2 2 3 2" xfId="8669"/>
    <cellStyle name="20% - 강조색5 4 4 2 2 3 3" xfId="8670"/>
    <cellStyle name="20% - 강조색5 4 4 2 2 4" xfId="8671"/>
    <cellStyle name="20% - 강조색5 4 4 2 2 5" xfId="8672"/>
    <cellStyle name="20% - 강조색5 4 4 2 3" xfId="8673"/>
    <cellStyle name="20% - 강조색5 4 4 2 3 2" xfId="8674"/>
    <cellStyle name="20% - 강조색5 4 4 2 3 2 2" xfId="8675"/>
    <cellStyle name="20% - 강조색5 4 4 2 3 2 2 2" xfId="8676"/>
    <cellStyle name="20% - 강조색5 4 4 2 3 2 2 3" xfId="8677"/>
    <cellStyle name="20% - 강조색5 4 4 2 3 2 3" xfId="8678"/>
    <cellStyle name="20% - 강조색5 4 4 2 3 2 4" xfId="8679"/>
    <cellStyle name="20% - 강조색5 4 4 2 3 3" xfId="8680"/>
    <cellStyle name="20% - 강조색5 4 4 2 3 3 2" xfId="8681"/>
    <cellStyle name="20% - 강조색5 4 4 2 3 3 3" xfId="8682"/>
    <cellStyle name="20% - 강조색5 4 4 2 3 4" xfId="8683"/>
    <cellStyle name="20% - 강조색5 4 4 2 3 5" xfId="8684"/>
    <cellStyle name="20% - 강조색5 4 4 2 4" xfId="8685"/>
    <cellStyle name="20% - 강조색5 4 4 2 4 2" xfId="8686"/>
    <cellStyle name="20% - 강조색5 4 4 2 4 2 2" xfId="8687"/>
    <cellStyle name="20% - 강조색5 4 4 2 4 2 3" xfId="8688"/>
    <cellStyle name="20% - 강조색5 4 4 2 4 3" xfId="8689"/>
    <cellStyle name="20% - 강조색5 4 4 2 4 4" xfId="8690"/>
    <cellStyle name="20% - 강조색5 4 4 2 5" xfId="8691"/>
    <cellStyle name="20% - 강조색5 4 4 2 5 2" xfId="8692"/>
    <cellStyle name="20% - 강조색5 4 4 2 5 3" xfId="8693"/>
    <cellStyle name="20% - 강조색5 4 4 2 6" xfId="8694"/>
    <cellStyle name="20% - 강조색5 4 4 2 7" xfId="8695"/>
    <cellStyle name="20% - 강조색5 4 4 3" xfId="8696"/>
    <cellStyle name="20% - 강조색5 4 4 3 2" xfId="8697"/>
    <cellStyle name="20% - 강조색5 4 4 3 2 2" xfId="8698"/>
    <cellStyle name="20% - 강조색5 4 4 3 2 2 2" xfId="8699"/>
    <cellStyle name="20% - 강조색5 4 4 3 2 2 2 2" xfId="8700"/>
    <cellStyle name="20% - 강조색5 4 4 3 2 2 2 3" xfId="8701"/>
    <cellStyle name="20% - 강조색5 4 4 3 2 2 3" xfId="8702"/>
    <cellStyle name="20% - 강조색5 4 4 3 2 2 4" xfId="8703"/>
    <cellStyle name="20% - 강조색5 4 4 3 2 3" xfId="8704"/>
    <cellStyle name="20% - 강조색5 4 4 3 2 3 2" xfId="8705"/>
    <cellStyle name="20% - 강조색5 4 4 3 2 3 3" xfId="8706"/>
    <cellStyle name="20% - 강조색5 4 4 3 2 4" xfId="8707"/>
    <cellStyle name="20% - 강조색5 4 4 3 2 5" xfId="8708"/>
    <cellStyle name="20% - 강조색5 4 4 3 3" xfId="8709"/>
    <cellStyle name="20% - 강조색5 4 4 3 3 2" xfId="8710"/>
    <cellStyle name="20% - 강조색5 4 4 3 3 2 2" xfId="8711"/>
    <cellStyle name="20% - 강조색5 4 4 3 3 2 2 2" xfId="8712"/>
    <cellStyle name="20% - 강조색5 4 4 3 3 2 2 3" xfId="8713"/>
    <cellStyle name="20% - 강조색5 4 4 3 3 2 3" xfId="8714"/>
    <cellStyle name="20% - 강조색5 4 4 3 3 2 4" xfId="8715"/>
    <cellStyle name="20% - 강조색5 4 4 3 3 3" xfId="8716"/>
    <cellStyle name="20% - 강조색5 4 4 3 3 3 2" xfId="8717"/>
    <cellStyle name="20% - 강조색5 4 4 3 3 3 3" xfId="8718"/>
    <cellStyle name="20% - 강조색5 4 4 3 3 4" xfId="8719"/>
    <cellStyle name="20% - 강조색5 4 4 3 3 5" xfId="8720"/>
    <cellStyle name="20% - 강조색5 4 4 3 4" xfId="8721"/>
    <cellStyle name="20% - 강조색5 4 4 3 4 2" xfId="8722"/>
    <cellStyle name="20% - 강조색5 4 4 3 4 2 2" xfId="8723"/>
    <cellStyle name="20% - 강조색5 4 4 3 4 2 3" xfId="8724"/>
    <cellStyle name="20% - 강조색5 4 4 3 4 3" xfId="8725"/>
    <cellStyle name="20% - 강조색5 4 4 3 4 4" xfId="8726"/>
    <cellStyle name="20% - 강조색5 4 4 3 5" xfId="8727"/>
    <cellStyle name="20% - 강조색5 4 4 3 5 2" xfId="8728"/>
    <cellStyle name="20% - 강조색5 4 4 3 5 3" xfId="8729"/>
    <cellStyle name="20% - 강조색5 4 4 3 6" xfId="8730"/>
    <cellStyle name="20% - 강조색5 4 4 3 7" xfId="8731"/>
    <cellStyle name="20% - 강조색5 4 4 4" xfId="8732"/>
    <cellStyle name="20% - 강조색5 4 4 4 2" xfId="8733"/>
    <cellStyle name="20% - 강조색5 4 4 4 2 2" xfId="8734"/>
    <cellStyle name="20% - 강조색5 4 4 4 2 2 2" xfId="8735"/>
    <cellStyle name="20% - 강조색5 4 4 4 2 2 3" xfId="8736"/>
    <cellStyle name="20% - 강조색5 4 4 4 2 3" xfId="8737"/>
    <cellStyle name="20% - 강조색5 4 4 4 2 4" xfId="8738"/>
    <cellStyle name="20% - 강조색5 4 4 4 3" xfId="8739"/>
    <cellStyle name="20% - 강조색5 4 4 4 3 2" xfId="8740"/>
    <cellStyle name="20% - 강조색5 4 4 4 3 3" xfId="8741"/>
    <cellStyle name="20% - 강조색5 4 4 4 4" xfId="8742"/>
    <cellStyle name="20% - 강조색5 4 4 4 5" xfId="8743"/>
    <cellStyle name="20% - 강조색5 4 4 5" xfId="8744"/>
    <cellStyle name="20% - 강조색5 4 4 5 2" xfId="8745"/>
    <cellStyle name="20% - 강조색5 4 4 5 2 2" xfId="8746"/>
    <cellStyle name="20% - 강조색5 4 4 5 2 2 2" xfId="8747"/>
    <cellStyle name="20% - 강조색5 4 4 5 2 2 3" xfId="8748"/>
    <cellStyle name="20% - 강조색5 4 4 5 2 3" xfId="8749"/>
    <cellStyle name="20% - 강조색5 4 4 5 2 4" xfId="8750"/>
    <cellStyle name="20% - 강조색5 4 4 5 3" xfId="8751"/>
    <cellStyle name="20% - 강조색5 4 4 5 3 2" xfId="8752"/>
    <cellStyle name="20% - 강조색5 4 4 5 3 3" xfId="8753"/>
    <cellStyle name="20% - 강조색5 4 4 5 4" xfId="8754"/>
    <cellStyle name="20% - 강조색5 4 4 5 5" xfId="8755"/>
    <cellStyle name="20% - 강조색5 4 4 6" xfId="8756"/>
    <cellStyle name="20% - 강조색5 4 4 6 2" xfId="8757"/>
    <cellStyle name="20% - 강조색5 4 4 6 2 2" xfId="8758"/>
    <cellStyle name="20% - 강조색5 4 4 6 2 2 2" xfId="8759"/>
    <cellStyle name="20% - 강조색5 4 4 6 2 2 3" xfId="8760"/>
    <cellStyle name="20% - 강조색5 4 4 6 2 3" xfId="8761"/>
    <cellStyle name="20% - 강조색5 4 4 6 2 4" xfId="8762"/>
    <cellStyle name="20% - 강조색5 4 4 6 3" xfId="8763"/>
    <cellStyle name="20% - 강조색5 4 4 6 3 2" xfId="8764"/>
    <cellStyle name="20% - 강조색5 4 4 6 3 3" xfId="8765"/>
    <cellStyle name="20% - 강조색5 4 4 6 4" xfId="8766"/>
    <cellStyle name="20% - 강조색5 4 4 6 5" xfId="8767"/>
    <cellStyle name="20% - 강조색5 4 4 7" xfId="8768"/>
    <cellStyle name="20% - 강조색5 4 4 7 2" xfId="8769"/>
    <cellStyle name="20% - 강조색5 4 4 7 2 2" xfId="8770"/>
    <cellStyle name="20% - 강조색5 4 4 7 2 3" xfId="8771"/>
    <cellStyle name="20% - 강조색5 4 4 7 3" xfId="8772"/>
    <cellStyle name="20% - 강조색5 4 4 7 4" xfId="8773"/>
    <cellStyle name="20% - 강조색5 4 4 8" xfId="8774"/>
    <cellStyle name="20% - 강조색5 4 4 8 2" xfId="8775"/>
    <cellStyle name="20% - 강조색5 4 4 8 3" xfId="8776"/>
    <cellStyle name="20% - 강조색5 4 4 9" xfId="8777"/>
    <cellStyle name="20% - 강조색5 4 5" xfId="8778"/>
    <cellStyle name="20% - 강조색5 4 5 2" xfId="8779"/>
    <cellStyle name="20% - 강조색5 4 5 2 2" xfId="8780"/>
    <cellStyle name="20% - 강조색5 4 5 2 2 2" xfId="8781"/>
    <cellStyle name="20% - 강조색5 4 5 2 2 2 2" xfId="8782"/>
    <cellStyle name="20% - 강조색5 4 5 2 2 2 3" xfId="8783"/>
    <cellStyle name="20% - 강조색5 4 5 2 2 3" xfId="8784"/>
    <cellStyle name="20% - 강조색5 4 5 2 2 4" xfId="8785"/>
    <cellStyle name="20% - 강조색5 4 5 2 3" xfId="8786"/>
    <cellStyle name="20% - 강조색5 4 5 2 3 2" xfId="8787"/>
    <cellStyle name="20% - 강조색5 4 5 2 3 3" xfId="8788"/>
    <cellStyle name="20% - 강조색5 4 5 2 4" xfId="8789"/>
    <cellStyle name="20% - 강조색5 4 5 2 5" xfId="8790"/>
    <cellStyle name="20% - 강조색5 4 5 3" xfId="8791"/>
    <cellStyle name="20% - 강조색5 4 5 3 2" xfId="8792"/>
    <cellStyle name="20% - 강조색5 4 5 3 2 2" xfId="8793"/>
    <cellStyle name="20% - 강조색5 4 5 3 2 2 2" xfId="8794"/>
    <cellStyle name="20% - 강조색5 4 5 3 2 2 3" xfId="8795"/>
    <cellStyle name="20% - 강조색5 4 5 3 2 3" xfId="8796"/>
    <cellStyle name="20% - 강조색5 4 5 3 2 4" xfId="8797"/>
    <cellStyle name="20% - 강조색5 4 5 3 3" xfId="8798"/>
    <cellStyle name="20% - 강조색5 4 5 3 3 2" xfId="8799"/>
    <cellStyle name="20% - 강조색5 4 5 3 3 3" xfId="8800"/>
    <cellStyle name="20% - 강조색5 4 5 3 4" xfId="8801"/>
    <cellStyle name="20% - 강조색5 4 5 3 5" xfId="8802"/>
    <cellStyle name="20% - 강조색5 4 5 4" xfId="8803"/>
    <cellStyle name="20% - 강조색5 4 5 4 2" xfId="8804"/>
    <cellStyle name="20% - 강조색5 4 5 4 2 2" xfId="8805"/>
    <cellStyle name="20% - 강조색5 4 5 4 2 3" xfId="8806"/>
    <cellStyle name="20% - 강조색5 4 5 4 3" xfId="8807"/>
    <cellStyle name="20% - 강조색5 4 5 4 4" xfId="8808"/>
    <cellStyle name="20% - 강조색5 4 5 5" xfId="8809"/>
    <cellStyle name="20% - 강조색5 4 5 5 2" xfId="8810"/>
    <cellStyle name="20% - 강조색5 4 5 5 3" xfId="8811"/>
    <cellStyle name="20% - 강조색5 4 5 6" xfId="8812"/>
    <cellStyle name="20% - 강조색5 4 5 7" xfId="8813"/>
    <cellStyle name="20% - 강조색5 4 6" xfId="8814"/>
    <cellStyle name="20% - 강조색5 4 6 2" xfId="8815"/>
    <cellStyle name="20% - 강조색5 4 6 2 2" xfId="8816"/>
    <cellStyle name="20% - 강조색5 4 6 2 2 2" xfId="8817"/>
    <cellStyle name="20% - 강조색5 4 6 2 2 2 2" xfId="8818"/>
    <cellStyle name="20% - 강조색5 4 6 2 2 2 3" xfId="8819"/>
    <cellStyle name="20% - 강조색5 4 6 2 2 3" xfId="8820"/>
    <cellStyle name="20% - 강조색5 4 6 2 2 4" xfId="8821"/>
    <cellStyle name="20% - 강조색5 4 6 2 3" xfId="8822"/>
    <cellStyle name="20% - 강조색5 4 6 2 3 2" xfId="8823"/>
    <cellStyle name="20% - 강조색5 4 6 2 3 3" xfId="8824"/>
    <cellStyle name="20% - 강조색5 4 6 2 4" xfId="8825"/>
    <cellStyle name="20% - 강조색5 4 6 2 5" xfId="8826"/>
    <cellStyle name="20% - 강조색5 4 6 3" xfId="8827"/>
    <cellStyle name="20% - 강조색5 4 6 3 2" xfId="8828"/>
    <cellStyle name="20% - 강조색5 4 6 3 2 2" xfId="8829"/>
    <cellStyle name="20% - 강조색5 4 6 3 2 2 2" xfId="8830"/>
    <cellStyle name="20% - 강조색5 4 6 3 2 2 3" xfId="8831"/>
    <cellStyle name="20% - 강조색5 4 6 3 2 3" xfId="8832"/>
    <cellStyle name="20% - 강조색5 4 6 3 2 4" xfId="8833"/>
    <cellStyle name="20% - 강조색5 4 6 3 3" xfId="8834"/>
    <cellStyle name="20% - 강조색5 4 6 3 3 2" xfId="8835"/>
    <cellStyle name="20% - 강조색5 4 6 3 3 3" xfId="8836"/>
    <cellStyle name="20% - 강조색5 4 6 3 4" xfId="8837"/>
    <cellStyle name="20% - 강조색5 4 6 3 5" xfId="8838"/>
    <cellStyle name="20% - 강조색5 4 6 4" xfId="8839"/>
    <cellStyle name="20% - 강조색5 4 6 4 2" xfId="8840"/>
    <cellStyle name="20% - 강조색5 4 6 4 2 2" xfId="8841"/>
    <cellStyle name="20% - 강조색5 4 6 4 2 3" xfId="8842"/>
    <cellStyle name="20% - 강조색5 4 6 4 3" xfId="8843"/>
    <cellStyle name="20% - 강조색5 4 6 4 4" xfId="8844"/>
    <cellStyle name="20% - 강조색5 4 6 5" xfId="8845"/>
    <cellStyle name="20% - 강조색5 4 6 5 2" xfId="8846"/>
    <cellStyle name="20% - 강조색5 4 6 5 3" xfId="8847"/>
    <cellStyle name="20% - 강조색5 4 6 6" xfId="8848"/>
    <cellStyle name="20% - 강조색5 4 6 7" xfId="8849"/>
    <cellStyle name="20% - 강조색5 4 7" xfId="8850"/>
    <cellStyle name="20% - 강조색5 4 7 2" xfId="8851"/>
    <cellStyle name="20% - 강조색5 4 7 2 2" xfId="8852"/>
    <cellStyle name="20% - 강조색5 4 7 2 2 2" xfId="8853"/>
    <cellStyle name="20% - 강조색5 4 7 2 2 3" xfId="8854"/>
    <cellStyle name="20% - 강조색5 4 7 2 3" xfId="8855"/>
    <cellStyle name="20% - 강조색5 4 7 2 4" xfId="8856"/>
    <cellStyle name="20% - 강조색5 4 7 3" xfId="8857"/>
    <cellStyle name="20% - 강조색5 4 7 3 2" xfId="8858"/>
    <cellStyle name="20% - 강조색5 4 7 3 3" xfId="8859"/>
    <cellStyle name="20% - 강조색5 4 7 4" xfId="8860"/>
    <cellStyle name="20% - 강조색5 4 7 5" xfId="8861"/>
    <cellStyle name="20% - 강조색5 4 8" xfId="8862"/>
    <cellStyle name="20% - 강조색5 4 8 2" xfId="8863"/>
    <cellStyle name="20% - 강조색5 4 8 2 2" xfId="8864"/>
    <cellStyle name="20% - 강조색5 4 8 2 2 2" xfId="8865"/>
    <cellStyle name="20% - 강조색5 4 8 2 2 3" xfId="8866"/>
    <cellStyle name="20% - 강조색5 4 8 2 3" xfId="8867"/>
    <cellStyle name="20% - 강조색5 4 8 2 4" xfId="8868"/>
    <cellStyle name="20% - 강조색5 4 8 3" xfId="8869"/>
    <cellStyle name="20% - 강조색5 4 8 3 2" xfId="8870"/>
    <cellStyle name="20% - 강조색5 4 8 3 3" xfId="8871"/>
    <cellStyle name="20% - 강조색5 4 8 4" xfId="8872"/>
    <cellStyle name="20% - 강조색5 4 8 5" xfId="8873"/>
    <cellStyle name="20% - 강조색5 4 9" xfId="8874"/>
    <cellStyle name="20% - 강조색5 4 9 2" xfId="8875"/>
    <cellStyle name="20% - 강조색5 4 9 2 2" xfId="8876"/>
    <cellStyle name="20% - 강조색5 4 9 2 2 2" xfId="8877"/>
    <cellStyle name="20% - 강조색5 4 9 2 2 3" xfId="8878"/>
    <cellStyle name="20% - 강조색5 4 9 2 3" xfId="8879"/>
    <cellStyle name="20% - 강조색5 4 9 2 4" xfId="8880"/>
    <cellStyle name="20% - 강조색5 4 9 3" xfId="8881"/>
    <cellStyle name="20% - 강조색5 4 9 3 2" xfId="8882"/>
    <cellStyle name="20% - 강조색5 4 9 3 3" xfId="8883"/>
    <cellStyle name="20% - 강조색5 4 9 4" xfId="8884"/>
    <cellStyle name="20% - 강조색5 4 9 5" xfId="8885"/>
    <cellStyle name="20% - 강조색5 40" xfId="8886"/>
    <cellStyle name="20% - 강조색5 41" xfId="8887"/>
    <cellStyle name="20% - 강조색5 42" xfId="8888"/>
    <cellStyle name="20% - 강조색5 43" xfId="8889"/>
    <cellStyle name="20% - 강조색5 44" xfId="8890"/>
    <cellStyle name="20% - 강조색5 45" xfId="8891"/>
    <cellStyle name="20% - 강조색5 46" xfId="8892"/>
    <cellStyle name="20% - 강조색5 47" xfId="8893"/>
    <cellStyle name="20% - 강조색5 48" xfId="8894"/>
    <cellStyle name="20% - 강조색5 49" xfId="8895"/>
    <cellStyle name="20% - 강조색5 5" xfId="8896"/>
    <cellStyle name="20% - 강조색5 5 10" xfId="8897"/>
    <cellStyle name="20% - 강조색5 5 11" xfId="8898"/>
    <cellStyle name="20% - 강조색5 5 2" xfId="8899"/>
    <cellStyle name="20% - 강조색5 5 2 2" xfId="8900"/>
    <cellStyle name="20% - 강조색5 5 2 2 2" xfId="8901"/>
    <cellStyle name="20% - 강조색5 5 2 2 2 2" xfId="8902"/>
    <cellStyle name="20% - 강조색5 5 2 2 2 2 2" xfId="8903"/>
    <cellStyle name="20% - 강조색5 5 2 2 2 2 3" xfId="8904"/>
    <cellStyle name="20% - 강조색5 5 2 2 2 3" xfId="8905"/>
    <cellStyle name="20% - 강조색5 5 2 2 2 4" xfId="8906"/>
    <cellStyle name="20% - 강조색5 5 2 2 3" xfId="8907"/>
    <cellStyle name="20% - 강조색5 5 2 2 3 2" xfId="8908"/>
    <cellStyle name="20% - 강조색5 5 2 2 3 3" xfId="8909"/>
    <cellStyle name="20% - 강조색5 5 2 2 4" xfId="8910"/>
    <cellStyle name="20% - 강조색5 5 2 2 5" xfId="8911"/>
    <cellStyle name="20% - 강조색5 5 2 3" xfId="8912"/>
    <cellStyle name="20% - 강조색5 5 2 3 2" xfId="8913"/>
    <cellStyle name="20% - 강조색5 5 2 3 2 2" xfId="8914"/>
    <cellStyle name="20% - 강조색5 5 2 3 2 2 2" xfId="8915"/>
    <cellStyle name="20% - 강조색5 5 2 3 2 2 3" xfId="8916"/>
    <cellStyle name="20% - 강조색5 5 2 3 2 3" xfId="8917"/>
    <cellStyle name="20% - 강조색5 5 2 3 2 4" xfId="8918"/>
    <cellStyle name="20% - 강조색5 5 2 3 3" xfId="8919"/>
    <cellStyle name="20% - 강조색5 5 2 3 3 2" xfId="8920"/>
    <cellStyle name="20% - 강조색5 5 2 3 3 3" xfId="8921"/>
    <cellStyle name="20% - 강조색5 5 2 3 4" xfId="8922"/>
    <cellStyle name="20% - 강조색5 5 2 3 5" xfId="8923"/>
    <cellStyle name="20% - 강조색5 5 2 4" xfId="8924"/>
    <cellStyle name="20% - 강조색5 5 2 4 2" xfId="8925"/>
    <cellStyle name="20% - 강조색5 5 2 4 2 2" xfId="8926"/>
    <cellStyle name="20% - 강조색5 5 2 4 2 3" xfId="8927"/>
    <cellStyle name="20% - 강조색5 5 2 4 3" xfId="8928"/>
    <cellStyle name="20% - 강조색5 5 2 4 4" xfId="8929"/>
    <cellStyle name="20% - 강조색5 5 2 5" xfId="8930"/>
    <cellStyle name="20% - 강조색5 5 2 5 2" xfId="8931"/>
    <cellStyle name="20% - 강조색5 5 2 5 3" xfId="8932"/>
    <cellStyle name="20% - 강조색5 5 2 6" xfId="8933"/>
    <cellStyle name="20% - 강조색5 5 2 7" xfId="8934"/>
    <cellStyle name="20% - 강조색5 5 3" xfId="8935"/>
    <cellStyle name="20% - 강조색5 5 3 2" xfId="8936"/>
    <cellStyle name="20% - 강조색5 5 3 2 2" xfId="8937"/>
    <cellStyle name="20% - 강조색5 5 3 2 2 2" xfId="8938"/>
    <cellStyle name="20% - 강조색5 5 3 2 2 2 2" xfId="8939"/>
    <cellStyle name="20% - 강조색5 5 3 2 2 2 3" xfId="8940"/>
    <cellStyle name="20% - 강조색5 5 3 2 2 3" xfId="8941"/>
    <cellStyle name="20% - 강조색5 5 3 2 2 4" xfId="8942"/>
    <cellStyle name="20% - 강조색5 5 3 2 3" xfId="8943"/>
    <cellStyle name="20% - 강조색5 5 3 2 3 2" xfId="8944"/>
    <cellStyle name="20% - 강조색5 5 3 2 3 3" xfId="8945"/>
    <cellStyle name="20% - 강조색5 5 3 2 4" xfId="8946"/>
    <cellStyle name="20% - 강조색5 5 3 2 5" xfId="8947"/>
    <cellStyle name="20% - 강조색5 5 3 3" xfId="8948"/>
    <cellStyle name="20% - 강조색5 5 3 3 2" xfId="8949"/>
    <cellStyle name="20% - 강조색5 5 3 3 2 2" xfId="8950"/>
    <cellStyle name="20% - 강조색5 5 3 3 2 2 2" xfId="8951"/>
    <cellStyle name="20% - 강조색5 5 3 3 2 2 3" xfId="8952"/>
    <cellStyle name="20% - 강조색5 5 3 3 2 3" xfId="8953"/>
    <cellStyle name="20% - 강조색5 5 3 3 2 4" xfId="8954"/>
    <cellStyle name="20% - 강조색5 5 3 3 3" xfId="8955"/>
    <cellStyle name="20% - 강조색5 5 3 3 3 2" xfId="8956"/>
    <cellStyle name="20% - 강조색5 5 3 3 3 3" xfId="8957"/>
    <cellStyle name="20% - 강조색5 5 3 3 4" xfId="8958"/>
    <cellStyle name="20% - 강조색5 5 3 3 5" xfId="8959"/>
    <cellStyle name="20% - 강조색5 5 3 4" xfId="8960"/>
    <cellStyle name="20% - 강조색5 5 3 4 2" xfId="8961"/>
    <cellStyle name="20% - 강조색5 5 3 4 2 2" xfId="8962"/>
    <cellStyle name="20% - 강조색5 5 3 4 2 3" xfId="8963"/>
    <cellStyle name="20% - 강조색5 5 3 4 3" xfId="8964"/>
    <cellStyle name="20% - 강조색5 5 3 4 4" xfId="8965"/>
    <cellStyle name="20% - 강조색5 5 3 5" xfId="8966"/>
    <cellStyle name="20% - 강조색5 5 3 5 2" xfId="8967"/>
    <cellStyle name="20% - 강조색5 5 3 5 3" xfId="8968"/>
    <cellStyle name="20% - 강조색5 5 3 6" xfId="8969"/>
    <cellStyle name="20% - 강조색5 5 3 7" xfId="8970"/>
    <cellStyle name="20% - 강조색5 5 4" xfId="8971"/>
    <cellStyle name="20% - 강조색5 5 4 2" xfId="8972"/>
    <cellStyle name="20% - 강조색5 5 4 2 2" xfId="8973"/>
    <cellStyle name="20% - 강조색5 5 4 2 2 2" xfId="8974"/>
    <cellStyle name="20% - 강조색5 5 4 2 2 3" xfId="8975"/>
    <cellStyle name="20% - 강조색5 5 4 2 3" xfId="8976"/>
    <cellStyle name="20% - 강조색5 5 4 2 4" xfId="8977"/>
    <cellStyle name="20% - 강조색5 5 4 3" xfId="8978"/>
    <cellStyle name="20% - 강조색5 5 4 3 2" xfId="8979"/>
    <cellStyle name="20% - 강조색5 5 4 3 3" xfId="8980"/>
    <cellStyle name="20% - 강조색5 5 4 4" xfId="8981"/>
    <cellStyle name="20% - 강조색5 5 4 5" xfId="8982"/>
    <cellStyle name="20% - 강조색5 5 5" xfId="8983"/>
    <cellStyle name="20% - 강조색5 5 5 2" xfId="8984"/>
    <cellStyle name="20% - 강조색5 5 5 2 2" xfId="8985"/>
    <cellStyle name="20% - 강조색5 5 5 2 2 2" xfId="8986"/>
    <cellStyle name="20% - 강조색5 5 5 2 2 3" xfId="8987"/>
    <cellStyle name="20% - 강조색5 5 5 2 3" xfId="8988"/>
    <cellStyle name="20% - 강조색5 5 5 2 4" xfId="8989"/>
    <cellStyle name="20% - 강조색5 5 5 3" xfId="8990"/>
    <cellStyle name="20% - 강조색5 5 5 3 2" xfId="8991"/>
    <cellStyle name="20% - 강조색5 5 5 3 3" xfId="8992"/>
    <cellStyle name="20% - 강조색5 5 5 4" xfId="8993"/>
    <cellStyle name="20% - 강조색5 5 5 5" xfId="8994"/>
    <cellStyle name="20% - 강조색5 5 6" xfId="8995"/>
    <cellStyle name="20% - 강조색5 5 6 2" xfId="8996"/>
    <cellStyle name="20% - 강조색5 5 6 2 2" xfId="8997"/>
    <cellStyle name="20% - 강조색5 5 6 2 2 2" xfId="8998"/>
    <cellStyle name="20% - 강조색5 5 6 2 2 3" xfId="8999"/>
    <cellStyle name="20% - 강조색5 5 6 2 3" xfId="9000"/>
    <cellStyle name="20% - 강조색5 5 6 2 4" xfId="9001"/>
    <cellStyle name="20% - 강조색5 5 6 3" xfId="9002"/>
    <cellStyle name="20% - 강조색5 5 6 3 2" xfId="9003"/>
    <cellStyle name="20% - 강조색5 5 6 3 3" xfId="9004"/>
    <cellStyle name="20% - 강조색5 5 6 4" xfId="9005"/>
    <cellStyle name="20% - 강조색5 5 6 5" xfId="9006"/>
    <cellStyle name="20% - 강조색5 5 7" xfId="9007"/>
    <cellStyle name="20% - 강조색5 5 7 2" xfId="9008"/>
    <cellStyle name="20% - 강조색5 5 7 2 2" xfId="9009"/>
    <cellStyle name="20% - 강조색5 5 7 2 3" xfId="9010"/>
    <cellStyle name="20% - 강조색5 5 7 3" xfId="9011"/>
    <cellStyle name="20% - 강조색5 5 7 4" xfId="9012"/>
    <cellStyle name="20% - 강조색5 5 8" xfId="9013"/>
    <cellStyle name="20% - 강조색5 5 8 2" xfId="9014"/>
    <cellStyle name="20% - 강조색5 5 8 3" xfId="9015"/>
    <cellStyle name="20% - 강조색5 5 9" xfId="9016"/>
    <cellStyle name="20% - 강조색5 50" xfId="9017"/>
    <cellStyle name="20% - 강조색5 51" xfId="9018"/>
    <cellStyle name="20% - 강조색5 52" xfId="9019"/>
    <cellStyle name="20% - 강조색5 53" xfId="9020"/>
    <cellStyle name="20% - 강조색5 54" xfId="9021"/>
    <cellStyle name="20% - 강조색5 55" xfId="9022"/>
    <cellStyle name="20% - 강조색5 56" xfId="9023"/>
    <cellStyle name="20% - 강조색5 57" xfId="9024"/>
    <cellStyle name="20% - 강조색5 58" xfId="9025"/>
    <cellStyle name="20% - 강조색5 59" xfId="9026"/>
    <cellStyle name="20% - 강조색5 6" xfId="9027"/>
    <cellStyle name="20% - 강조색5 6 10" xfId="9028"/>
    <cellStyle name="20% - 강조색5 6 2" xfId="9029"/>
    <cellStyle name="20% - 강조색5 6 2 2" xfId="9030"/>
    <cellStyle name="20% - 강조색5 6 2 2 2" xfId="9031"/>
    <cellStyle name="20% - 강조색5 6 2 2 2 2" xfId="9032"/>
    <cellStyle name="20% - 강조색5 6 2 2 2 2 2" xfId="9033"/>
    <cellStyle name="20% - 강조색5 6 2 2 2 2 3" xfId="9034"/>
    <cellStyle name="20% - 강조색5 6 2 2 2 3" xfId="9035"/>
    <cellStyle name="20% - 강조색5 6 2 2 2 4" xfId="9036"/>
    <cellStyle name="20% - 강조색5 6 2 2 3" xfId="9037"/>
    <cellStyle name="20% - 강조색5 6 2 2 3 2" xfId="9038"/>
    <cellStyle name="20% - 강조색5 6 2 2 3 3" xfId="9039"/>
    <cellStyle name="20% - 강조색5 6 2 2 4" xfId="9040"/>
    <cellStyle name="20% - 강조색5 6 2 2 5" xfId="9041"/>
    <cellStyle name="20% - 강조색5 6 2 3" xfId="9042"/>
    <cellStyle name="20% - 강조색5 6 2 3 2" xfId="9043"/>
    <cellStyle name="20% - 강조색5 6 2 3 2 2" xfId="9044"/>
    <cellStyle name="20% - 강조색5 6 2 3 2 2 2" xfId="9045"/>
    <cellStyle name="20% - 강조색5 6 2 3 2 2 3" xfId="9046"/>
    <cellStyle name="20% - 강조색5 6 2 3 2 3" xfId="9047"/>
    <cellStyle name="20% - 강조색5 6 2 3 2 4" xfId="9048"/>
    <cellStyle name="20% - 강조색5 6 2 3 3" xfId="9049"/>
    <cellStyle name="20% - 강조색5 6 2 3 3 2" xfId="9050"/>
    <cellStyle name="20% - 강조색5 6 2 3 3 3" xfId="9051"/>
    <cellStyle name="20% - 강조색5 6 2 3 4" xfId="9052"/>
    <cellStyle name="20% - 강조색5 6 2 3 5" xfId="9053"/>
    <cellStyle name="20% - 강조색5 6 2 4" xfId="9054"/>
    <cellStyle name="20% - 강조색5 6 2 4 2" xfId="9055"/>
    <cellStyle name="20% - 강조색5 6 2 4 2 2" xfId="9056"/>
    <cellStyle name="20% - 강조색5 6 2 4 2 3" xfId="9057"/>
    <cellStyle name="20% - 강조색5 6 2 4 3" xfId="9058"/>
    <cellStyle name="20% - 강조색5 6 2 4 4" xfId="9059"/>
    <cellStyle name="20% - 강조색5 6 2 5" xfId="9060"/>
    <cellStyle name="20% - 강조색5 6 2 5 2" xfId="9061"/>
    <cellStyle name="20% - 강조색5 6 2 5 3" xfId="9062"/>
    <cellStyle name="20% - 강조색5 6 2 6" xfId="9063"/>
    <cellStyle name="20% - 강조색5 6 2 7" xfId="9064"/>
    <cellStyle name="20% - 강조색5 6 3" xfId="9065"/>
    <cellStyle name="20% - 강조색5 6 3 2" xfId="9066"/>
    <cellStyle name="20% - 강조색5 6 3 2 2" xfId="9067"/>
    <cellStyle name="20% - 강조색5 6 3 2 2 2" xfId="9068"/>
    <cellStyle name="20% - 강조색5 6 3 2 2 2 2" xfId="9069"/>
    <cellStyle name="20% - 강조색5 6 3 2 2 2 3" xfId="9070"/>
    <cellStyle name="20% - 강조색5 6 3 2 2 3" xfId="9071"/>
    <cellStyle name="20% - 강조색5 6 3 2 2 4" xfId="9072"/>
    <cellStyle name="20% - 강조색5 6 3 2 3" xfId="9073"/>
    <cellStyle name="20% - 강조색5 6 3 2 3 2" xfId="9074"/>
    <cellStyle name="20% - 강조색5 6 3 2 3 3" xfId="9075"/>
    <cellStyle name="20% - 강조색5 6 3 2 4" xfId="9076"/>
    <cellStyle name="20% - 강조색5 6 3 2 5" xfId="9077"/>
    <cellStyle name="20% - 강조색5 6 3 3" xfId="9078"/>
    <cellStyle name="20% - 강조색5 6 3 3 2" xfId="9079"/>
    <cellStyle name="20% - 강조색5 6 3 3 2 2" xfId="9080"/>
    <cellStyle name="20% - 강조색5 6 3 3 2 2 2" xfId="9081"/>
    <cellStyle name="20% - 강조색5 6 3 3 2 2 3" xfId="9082"/>
    <cellStyle name="20% - 강조색5 6 3 3 2 3" xfId="9083"/>
    <cellStyle name="20% - 강조색5 6 3 3 2 4" xfId="9084"/>
    <cellStyle name="20% - 강조색5 6 3 3 3" xfId="9085"/>
    <cellStyle name="20% - 강조색5 6 3 3 3 2" xfId="9086"/>
    <cellStyle name="20% - 강조색5 6 3 3 3 3" xfId="9087"/>
    <cellStyle name="20% - 강조색5 6 3 3 4" xfId="9088"/>
    <cellStyle name="20% - 강조색5 6 3 3 5" xfId="9089"/>
    <cellStyle name="20% - 강조색5 6 3 4" xfId="9090"/>
    <cellStyle name="20% - 강조색5 6 3 4 2" xfId="9091"/>
    <cellStyle name="20% - 강조색5 6 3 4 2 2" xfId="9092"/>
    <cellStyle name="20% - 강조색5 6 3 4 2 3" xfId="9093"/>
    <cellStyle name="20% - 강조색5 6 3 4 3" xfId="9094"/>
    <cellStyle name="20% - 강조색5 6 3 4 4" xfId="9095"/>
    <cellStyle name="20% - 강조색5 6 3 5" xfId="9096"/>
    <cellStyle name="20% - 강조색5 6 3 5 2" xfId="9097"/>
    <cellStyle name="20% - 강조색5 6 3 5 3" xfId="9098"/>
    <cellStyle name="20% - 강조색5 6 3 6" xfId="9099"/>
    <cellStyle name="20% - 강조색5 6 3 7" xfId="9100"/>
    <cellStyle name="20% - 강조색5 6 4" xfId="9101"/>
    <cellStyle name="20% - 강조색5 6 4 2" xfId="9102"/>
    <cellStyle name="20% - 강조색5 6 4 2 2" xfId="9103"/>
    <cellStyle name="20% - 강조색5 6 4 2 2 2" xfId="9104"/>
    <cellStyle name="20% - 강조색5 6 4 2 2 3" xfId="9105"/>
    <cellStyle name="20% - 강조색5 6 4 2 3" xfId="9106"/>
    <cellStyle name="20% - 강조색5 6 4 2 4" xfId="9107"/>
    <cellStyle name="20% - 강조색5 6 4 3" xfId="9108"/>
    <cellStyle name="20% - 강조색5 6 4 3 2" xfId="9109"/>
    <cellStyle name="20% - 강조색5 6 4 3 3" xfId="9110"/>
    <cellStyle name="20% - 강조색5 6 4 4" xfId="9111"/>
    <cellStyle name="20% - 강조색5 6 4 5" xfId="9112"/>
    <cellStyle name="20% - 강조색5 6 5" xfId="9113"/>
    <cellStyle name="20% - 강조색5 6 5 2" xfId="9114"/>
    <cellStyle name="20% - 강조색5 6 5 2 2" xfId="9115"/>
    <cellStyle name="20% - 강조색5 6 5 2 2 2" xfId="9116"/>
    <cellStyle name="20% - 강조색5 6 5 2 2 3" xfId="9117"/>
    <cellStyle name="20% - 강조색5 6 5 2 3" xfId="9118"/>
    <cellStyle name="20% - 강조색5 6 5 2 4" xfId="9119"/>
    <cellStyle name="20% - 강조색5 6 5 3" xfId="9120"/>
    <cellStyle name="20% - 강조색5 6 5 3 2" xfId="9121"/>
    <cellStyle name="20% - 강조색5 6 5 3 3" xfId="9122"/>
    <cellStyle name="20% - 강조색5 6 5 4" xfId="9123"/>
    <cellStyle name="20% - 강조색5 6 5 5" xfId="9124"/>
    <cellStyle name="20% - 강조색5 6 6" xfId="9125"/>
    <cellStyle name="20% - 강조색5 6 6 2" xfId="9126"/>
    <cellStyle name="20% - 강조색5 6 6 2 2" xfId="9127"/>
    <cellStyle name="20% - 강조색5 6 6 2 2 2" xfId="9128"/>
    <cellStyle name="20% - 강조색5 6 6 2 2 3" xfId="9129"/>
    <cellStyle name="20% - 강조색5 6 6 2 3" xfId="9130"/>
    <cellStyle name="20% - 강조색5 6 6 2 4" xfId="9131"/>
    <cellStyle name="20% - 강조색5 6 6 3" xfId="9132"/>
    <cellStyle name="20% - 강조색5 6 6 3 2" xfId="9133"/>
    <cellStyle name="20% - 강조색5 6 6 3 3" xfId="9134"/>
    <cellStyle name="20% - 강조색5 6 6 4" xfId="9135"/>
    <cellStyle name="20% - 강조색5 6 6 5" xfId="9136"/>
    <cellStyle name="20% - 강조색5 6 7" xfId="9137"/>
    <cellStyle name="20% - 강조색5 6 7 2" xfId="9138"/>
    <cellStyle name="20% - 강조색5 6 7 2 2" xfId="9139"/>
    <cellStyle name="20% - 강조색5 6 7 2 3" xfId="9140"/>
    <cellStyle name="20% - 강조색5 6 7 3" xfId="9141"/>
    <cellStyle name="20% - 강조색5 6 7 4" xfId="9142"/>
    <cellStyle name="20% - 강조색5 6 8" xfId="9143"/>
    <cellStyle name="20% - 강조색5 6 8 2" xfId="9144"/>
    <cellStyle name="20% - 강조색5 6 8 3" xfId="9145"/>
    <cellStyle name="20% - 강조색5 6 9" xfId="9146"/>
    <cellStyle name="20% - 강조색5 60" xfId="9147"/>
    <cellStyle name="20% - 강조색5 61" xfId="9148"/>
    <cellStyle name="20% - 강조색5 62" xfId="9149"/>
    <cellStyle name="20% - 강조색5 63" xfId="9150"/>
    <cellStyle name="20% - 강조색5 64" xfId="9151"/>
    <cellStyle name="20% - 강조색5 65" xfId="9152"/>
    <cellStyle name="20% - 강조색5 66" xfId="9153"/>
    <cellStyle name="20% - 강조색5 67" xfId="9154"/>
    <cellStyle name="20% - 강조색5 68" xfId="9155"/>
    <cellStyle name="20% - 강조색5 69" xfId="9156"/>
    <cellStyle name="20% - 강조색5 7" xfId="9157"/>
    <cellStyle name="20% - 강조색5 7 10" xfId="9158"/>
    <cellStyle name="20% - 강조색5 7 2" xfId="9159"/>
    <cellStyle name="20% - 강조색5 7 2 2" xfId="9160"/>
    <cellStyle name="20% - 강조색5 7 2 2 2" xfId="9161"/>
    <cellStyle name="20% - 강조색5 7 2 2 2 2" xfId="9162"/>
    <cellStyle name="20% - 강조색5 7 2 2 2 2 2" xfId="9163"/>
    <cellStyle name="20% - 강조색5 7 2 2 2 2 3" xfId="9164"/>
    <cellStyle name="20% - 강조색5 7 2 2 2 3" xfId="9165"/>
    <cellStyle name="20% - 강조색5 7 2 2 2 4" xfId="9166"/>
    <cellStyle name="20% - 강조색5 7 2 2 3" xfId="9167"/>
    <cellStyle name="20% - 강조색5 7 2 2 3 2" xfId="9168"/>
    <cellStyle name="20% - 강조색5 7 2 2 3 3" xfId="9169"/>
    <cellStyle name="20% - 강조색5 7 2 2 4" xfId="9170"/>
    <cellStyle name="20% - 강조색5 7 2 2 5" xfId="9171"/>
    <cellStyle name="20% - 강조색5 7 2 3" xfId="9172"/>
    <cellStyle name="20% - 강조색5 7 2 3 2" xfId="9173"/>
    <cellStyle name="20% - 강조색5 7 2 3 2 2" xfId="9174"/>
    <cellStyle name="20% - 강조색5 7 2 3 2 2 2" xfId="9175"/>
    <cellStyle name="20% - 강조색5 7 2 3 2 2 3" xfId="9176"/>
    <cellStyle name="20% - 강조색5 7 2 3 2 3" xfId="9177"/>
    <cellStyle name="20% - 강조색5 7 2 3 2 4" xfId="9178"/>
    <cellStyle name="20% - 강조색5 7 2 3 3" xfId="9179"/>
    <cellStyle name="20% - 강조색5 7 2 3 3 2" xfId="9180"/>
    <cellStyle name="20% - 강조색5 7 2 3 3 3" xfId="9181"/>
    <cellStyle name="20% - 강조색5 7 2 3 4" xfId="9182"/>
    <cellStyle name="20% - 강조색5 7 2 3 5" xfId="9183"/>
    <cellStyle name="20% - 강조색5 7 2 4" xfId="9184"/>
    <cellStyle name="20% - 강조색5 7 2 4 2" xfId="9185"/>
    <cellStyle name="20% - 강조색5 7 2 4 2 2" xfId="9186"/>
    <cellStyle name="20% - 강조색5 7 2 4 2 3" xfId="9187"/>
    <cellStyle name="20% - 강조색5 7 2 4 3" xfId="9188"/>
    <cellStyle name="20% - 강조색5 7 2 4 4" xfId="9189"/>
    <cellStyle name="20% - 강조색5 7 2 5" xfId="9190"/>
    <cellStyle name="20% - 강조색5 7 2 5 2" xfId="9191"/>
    <cellStyle name="20% - 강조색5 7 2 5 3" xfId="9192"/>
    <cellStyle name="20% - 강조색5 7 2 6" xfId="9193"/>
    <cellStyle name="20% - 강조색5 7 2 7" xfId="9194"/>
    <cellStyle name="20% - 강조색5 7 3" xfId="9195"/>
    <cellStyle name="20% - 강조색5 7 3 2" xfId="9196"/>
    <cellStyle name="20% - 강조색5 7 3 2 2" xfId="9197"/>
    <cellStyle name="20% - 강조색5 7 3 2 2 2" xfId="9198"/>
    <cellStyle name="20% - 강조색5 7 3 2 2 2 2" xfId="9199"/>
    <cellStyle name="20% - 강조색5 7 3 2 2 2 3" xfId="9200"/>
    <cellStyle name="20% - 강조색5 7 3 2 2 3" xfId="9201"/>
    <cellStyle name="20% - 강조색5 7 3 2 2 4" xfId="9202"/>
    <cellStyle name="20% - 강조색5 7 3 2 3" xfId="9203"/>
    <cellStyle name="20% - 강조색5 7 3 2 3 2" xfId="9204"/>
    <cellStyle name="20% - 강조색5 7 3 2 3 3" xfId="9205"/>
    <cellStyle name="20% - 강조색5 7 3 2 4" xfId="9206"/>
    <cellStyle name="20% - 강조색5 7 3 2 5" xfId="9207"/>
    <cellStyle name="20% - 강조색5 7 3 3" xfId="9208"/>
    <cellStyle name="20% - 강조색5 7 3 3 2" xfId="9209"/>
    <cellStyle name="20% - 강조색5 7 3 3 2 2" xfId="9210"/>
    <cellStyle name="20% - 강조색5 7 3 3 2 2 2" xfId="9211"/>
    <cellStyle name="20% - 강조색5 7 3 3 2 2 3" xfId="9212"/>
    <cellStyle name="20% - 강조색5 7 3 3 2 3" xfId="9213"/>
    <cellStyle name="20% - 강조색5 7 3 3 2 4" xfId="9214"/>
    <cellStyle name="20% - 강조색5 7 3 3 3" xfId="9215"/>
    <cellStyle name="20% - 강조색5 7 3 3 3 2" xfId="9216"/>
    <cellStyle name="20% - 강조색5 7 3 3 3 3" xfId="9217"/>
    <cellStyle name="20% - 강조색5 7 3 3 4" xfId="9218"/>
    <cellStyle name="20% - 강조색5 7 3 3 5" xfId="9219"/>
    <cellStyle name="20% - 강조색5 7 3 4" xfId="9220"/>
    <cellStyle name="20% - 강조색5 7 3 4 2" xfId="9221"/>
    <cellStyle name="20% - 강조색5 7 3 4 2 2" xfId="9222"/>
    <cellStyle name="20% - 강조색5 7 3 4 2 3" xfId="9223"/>
    <cellStyle name="20% - 강조색5 7 3 4 3" xfId="9224"/>
    <cellStyle name="20% - 강조색5 7 3 4 4" xfId="9225"/>
    <cellStyle name="20% - 강조색5 7 3 5" xfId="9226"/>
    <cellStyle name="20% - 강조색5 7 3 5 2" xfId="9227"/>
    <cellStyle name="20% - 강조색5 7 3 5 3" xfId="9228"/>
    <cellStyle name="20% - 강조색5 7 3 6" xfId="9229"/>
    <cellStyle name="20% - 강조색5 7 3 7" xfId="9230"/>
    <cellStyle name="20% - 강조색5 7 4" xfId="9231"/>
    <cellStyle name="20% - 강조색5 7 4 2" xfId="9232"/>
    <cellStyle name="20% - 강조색5 7 4 2 2" xfId="9233"/>
    <cellStyle name="20% - 강조색5 7 4 2 2 2" xfId="9234"/>
    <cellStyle name="20% - 강조색5 7 4 2 2 3" xfId="9235"/>
    <cellStyle name="20% - 강조색5 7 4 2 3" xfId="9236"/>
    <cellStyle name="20% - 강조색5 7 4 2 4" xfId="9237"/>
    <cellStyle name="20% - 강조색5 7 4 3" xfId="9238"/>
    <cellStyle name="20% - 강조색5 7 4 3 2" xfId="9239"/>
    <cellStyle name="20% - 강조색5 7 4 3 3" xfId="9240"/>
    <cellStyle name="20% - 강조색5 7 4 4" xfId="9241"/>
    <cellStyle name="20% - 강조색5 7 4 5" xfId="9242"/>
    <cellStyle name="20% - 강조색5 7 5" xfId="9243"/>
    <cellStyle name="20% - 강조색5 7 5 2" xfId="9244"/>
    <cellStyle name="20% - 강조색5 7 5 2 2" xfId="9245"/>
    <cellStyle name="20% - 강조색5 7 5 2 2 2" xfId="9246"/>
    <cellStyle name="20% - 강조색5 7 5 2 2 3" xfId="9247"/>
    <cellStyle name="20% - 강조색5 7 5 2 3" xfId="9248"/>
    <cellStyle name="20% - 강조색5 7 5 2 4" xfId="9249"/>
    <cellStyle name="20% - 강조색5 7 5 3" xfId="9250"/>
    <cellStyle name="20% - 강조색5 7 5 3 2" xfId="9251"/>
    <cellStyle name="20% - 강조색5 7 5 3 3" xfId="9252"/>
    <cellStyle name="20% - 강조색5 7 5 4" xfId="9253"/>
    <cellStyle name="20% - 강조색5 7 5 5" xfId="9254"/>
    <cellStyle name="20% - 강조색5 7 6" xfId="9255"/>
    <cellStyle name="20% - 강조색5 7 6 2" xfId="9256"/>
    <cellStyle name="20% - 강조색5 7 6 2 2" xfId="9257"/>
    <cellStyle name="20% - 강조색5 7 6 2 2 2" xfId="9258"/>
    <cellStyle name="20% - 강조색5 7 6 2 2 3" xfId="9259"/>
    <cellStyle name="20% - 강조색5 7 6 2 3" xfId="9260"/>
    <cellStyle name="20% - 강조색5 7 6 2 4" xfId="9261"/>
    <cellStyle name="20% - 강조색5 7 6 3" xfId="9262"/>
    <cellStyle name="20% - 강조색5 7 6 3 2" xfId="9263"/>
    <cellStyle name="20% - 강조색5 7 6 3 3" xfId="9264"/>
    <cellStyle name="20% - 강조색5 7 6 4" xfId="9265"/>
    <cellStyle name="20% - 강조색5 7 6 5" xfId="9266"/>
    <cellStyle name="20% - 강조색5 7 7" xfId="9267"/>
    <cellStyle name="20% - 강조색5 7 7 2" xfId="9268"/>
    <cellStyle name="20% - 강조색5 7 7 2 2" xfId="9269"/>
    <cellStyle name="20% - 강조색5 7 7 2 3" xfId="9270"/>
    <cellStyle name="20% - 강조색5 7 7 3" xfId="9271"/>
    <cellStyle name="20% - 강조색5 7 7 4" xfId="9272"/>
    <cellStyle name="20% - 강조색5 7 8" xfId="9273"/>
    <cellStyle name="20% - 강조색5 7 8 2" xfId="9274"/>
    <cellStyle name="20% - 강조색5 7 8 3" xfId="9275"/>
    <cellStyle name="20% - 강조색5 7 9" xfId="9276"/>
    <cellStyle name="20% - 강조색5 8" xfId="9277"/>
    <cellStyle name="20% - 강조색5 8 2" xfId="9278"/>
    <cellStyle name="20% - 강조색5 8 2 2" xfId="9279"/>
    <cellStyle name="20% - 강조색5 8 2 2 2" xfId="9280"/>
    <cellStyle name="20% - 강조색5 8 2 2 2 2" xfId="9281"/>
    <cellStyle name="20% - 강조색5 8 2 2 2 3" xfId="9282"/>
    <cellStyle name="20% - 강조색5 8 2 2 3" xfId="9283"/>
    <cellStyle name="20% - 강조색5 8 2 2 4" xfId="9284"/>
    <cellStyle name="20% - 강조색5 8 2 3" xfId="9285"/>
    <cellStyle name="20% - 강조색5 8 2 3 2" xfId="9286"/>
    <cellStyle name="20% - 강조색5 8 2 3 3" xfId="9287"/>
    <cellStyle name="20% - 강조색5 8 2 4" xfId="9288"/>
    <cellStyle name="20% - 강조색5 8 2 5" xfId="9289"/>
    <cellStyle name="20% - 강조색5 8 3" xfId="9290"/>
    <cellStyle name="20% - 강조색5 8 3 2" xfId="9291"/>
    <cellStyle name="20% - 강조색5 8 3 2 2" xfId="9292"/>
    <cellStyle name="20% - 강조색5 8 3 2 2 2" xfId="9293"/>
    <cellStyle name="20% - 강조색5 8 3 2 2 3" xfId="9294"/>
    <cellStyle name="20% - 강조색5 8 3 2 3" xfId="9295"/>
    <cellStyle name="20% - 강조색5 8 3 2 4" xfId="9296"/>
    <cellStyle name="20% - 강조색5 8 3 3" xfId="9297"/>
    <cellStyle name="20% - 강조색5 8 3 3 2" xfId="9298"/>
    <cellStyle name="20% - 강조색5 8 3 3 3" xfId="9299"/>
    <cellStyle name="20% - 강조색5 8 3 4" xfId="9300"/>
    <cellStyle name="20% - 강조색5 8 3 5" xfId="9301"/>
    <cellStyle name="20% - 강조색5 8 4" xfId="9302"/>
    <cellStyle name="20% - 강조색5 8 4 2" xfId="9303"/>
    <cellStyle name="20% - 강조색5 8 4 2 2" xfId="9304"/>
    <cellStyle name="20% - 강조색5 8 4 2 3" xfId="9305"/>
    <cellStyle name="20% - 강조색5 8 4 3" xfId="9306"/>
    <cellStyle name="20% - 강조색5 8 4 4" xfId="9307"/>
    <cellStyle name="20% - 강조색5 8 5" xfId="9308"/>
    <cellStyle name="20% - 강조색5 8 5 2" xfId="9309"/>
    <cellStyle name="20% - 강조색5 8 5 3" xfId="9310"/>
    <cellStyle name="20% - 강조색5 8 6" xfId="9311"/>
    <cellStyle name="20% - 강조색5 8 7" xfId="9312"/>
    <cellStyle name="20% - 강조색5 9" xfId="9313"/>
    <cellStyle name="20% - 강조색5 9 2" xfId="9314"/>
    <cellStyle name="20% - 강조색5 9 2 2" xfId="9315"/>
    <cellStyle name="20% - 강조색5 9 2 2 2" xfId="9316"/>
    <cellStyle name="20% - 강조색5 9 2 2 2 2" xfId="9317"/>
    <cellStyle name="20% - 강조색5 9 2 2 2 3" xfId="9318"/>
    <cellStyle name="20% - 강조색5 9 2 2 3" xfId="9319"/>
    <cellStyle name="20% - 강조색5 9 2 2 4" xfId="9320"/>
    <cellStyle name="20% - 강조색5 9 2 3" xfId="9321"/>
    <cellStyle name="20% - 강조색5 9 2 3 2" xfId="9322"/>
    <cellStyle name="20% - 강조색5 9 2 3 3" xfId="9323"/>
    <cellStyle name="20% - 강조색5 9 2 4" xfId="9324"/>
    <cellStyle name="20% - 강조색5 9 2 5" xfId="9325"/>
    <cellStyle name="20% - 강조색5 9 3" xfId="9326"/>
    <cellStyle name="20% - 강조색5 9 3 2" xfId="9327"/>
    <cellStyle name="20% - 강조색5 9 3 2 2" xfId="9328"/>
    <cellStyle name="20% - 강조색5 9 3 2 2 2" xfId="9329"/>
    <cellStyle name="20% - 강조색5 9 3 2 2 3" xfId="9330"/>
    <cellStyle name="20% - 강조색5 9 3 2 3" xfId="9331"/>
    <cellStyle name="20% - 강조색5 9 3 2 4" xfId="9332"/>
    <cellStyle name="20% - 강조색5 9 3 3" xfId="9333"/>
    <cellStyle name="20% - 강조색5 9 3 3 2" xfId="9334"/>
    <cellStyle name="20% - 강조색5 9 3 3 3" xfId="9335"/>
    <cellStyle name="20% - 강조색5 9 3 4" xfId="9336"/>
    <cellStyle name="20% - 강조색5 9 3 5" xfId="9337"/>
    <cellStyle name="20% - 강조색5 9 4" xfId="9338"/>
    <cellStyle name="20% - 강조색5 9 4 2" xfId="9339"/>
    <cellStyle name="20% - 강조색5 9 4 2 2" xfId="9340"/>
    <cellStyle name="20% - 강조색5 9 4 2 3" xfId="9341"/>
    <cellStyle name="20% - 강조색5 9 4 3" xfId="9342"/>
    <cellStyle name="20% - 강조색5 9 4 4" xfId="9343"/>
    <cellStyle name="20% - 강조색5 9 5" xfId="9344"/>
    <cellStyle name="20% - 강조색5 9 5 2" xfId="9345"/>
    <cellStyle name="20% - 강조색5 9 5 3" xfId="9346"/>
    <cellStyle name="20% - 강조색5 9 6" xfId="9347"/>
    <cellStyle name="20% - 강조색5 9 7" xfId="9348"/>
    <cellStyle name="20% - 강조색6 10" xfId="9349"/>
    <cellStyle name="20% - 강조색6 10 2" xfId="9350"/>
    <cellStyle name="20% - 강조색6 10 2 2" xfId="9351"/>
    <cellStyle name="20% - 강조색6 10 2 2 2" xfId="9352"/>
    <cellStyle name="20% - 강조색6 10 2 2 2 2" xfId="9353"/>
    <cellStyle name="20% - 강조색6 10 2 2 2 3" xfId="9354"/>
    <cellStyle name="20% - 강조색6 10 2 2 3" xfId="9355"/>
    <cellStyle name="20% - 강조색6 10 2 2 4" xfId="9356"/>
    <cellStyle name="20% - 강조색6 10 2 3" xfId="9357"/>
    <cellStyle name="20% - 강조색6 10 2 3 2" xfId="9358"/>
    <cellStyle name="20% - 강조색6 10 2 3 3" xfId="9359"/>
    <cellStyle name="20% - 강조색6 10 2 4" xfId="9360"/>
    <cellStyle name="20% - 강조색6 10 2 5" xfId="9361"/>
    <cellStyle name="20% - 강조색6 10 3" xfId="9362"/>
    <cellStyle name="20% - 강조색6 10 3 2" xfId="9363"/>
    <cellStyle name="20% - 강조색6 10 3 2 2" xfId="9364"/>
    <cellStyle name="20% - 강조색6 10 3 2 2 2" xfId="9365"/>
    <cellStyle name="20% - 강조색6 10 3 2 2 3" xfId="9366"/>
    <cellStyle name="20% - 강조색6 10 3 2 3" xfId="9367"/>
    <cellStyle name="20% - 강조색6 10 3 2 4" xfId="9368"/>
    <cellStyle name="20% - 강조색6 10 3 3" xfId="9369"/>
    <cellStyle name="20% - 강조색6 10 3 3 2" xfId="9370"/>
    <cellStyle name="20% - 강조색6 10 3 3 3" xfId="9371"/>
    <cellStyle name="20% - 강조색6 10 3 4" xfId="9372"/>
    <cellStyle name="20% - 강조색6 10 3 5" xfId="9373"/>
    <cellStyle name="20% - 강조색6 10 4" xfId="9374"/>
    <cellStyle name="20% - 강조색6 10 4 2" xfId="9375"/>
    <cellStyle name="20% - 강조색6 10 4 2 2" xfId="9376"/>
    <cellStyle name="20% - 강조색6 10 4 2 3" xfId="9377"/>
    <cellStyle name="20% - 강조색6 10 4 3" xfId="9378"/>
    <cellStyle name="20% - 강조색6 10 4 4" xfId="9379"/>
    <cellStyle name="20% - 강조색6 10 5" xfId="9380"/>
    <cellStyle name="20% - 강조색6 10 5 2" xfId="9381"/>
    <cellStyle name="20% - 강조색6 10 5 3" xfId="9382"/>
    <cellStyle name="20% - 강조색6 10 6" xfId="9383"/>
    <cellStyle name="20% - 강조색6 10 7" xfId="9384"/>
    <cellStyle name="20% - 강조색6 11" xfId="9385"/>
    <cellStyle name="20% - 강조색6 11 2" xfId="9386"/>
    <cellStyle name="20% - 강조색6 11 2 2" xfId="9387"/>
    <cellStyle name="20% - 강조색6 11 2 2 2" xfId="9388"/>
    <cellStyle name="20% - 강조색6 11 2 2 3" xfId="9389"/>
    <cellStyle name="20% - 강조색6 11 2 3" xfId="9390"/>
    <cellStyle name="20% - 강조색6 11 2 4" xfId="9391"/>
    <cellStyle name="20% - 강조색6 11 3" xfId="9392"/>
    <cellStyle name="20% - 강조색6 11 3 2" xfId="9393"/>
    <cellStyle name="20% - 강조색6 11 3 3" xfId="9394"/>
    <cellStyle name="20% - 강조색6 11 4" xfId="9395"/>
    <cellStyle name="20% - 강조색6 11 5" xfId="9396"/>
    <cellStyle name="20% - 강조색6 12" xfId="9397"/>
    <cellStyle name="20% - 강조색6 12 2" xfId="9398"/>
    <cellStyle name="20% - 강조색6 12 2 2" xfId="9399"/>
    <cellStyle name="20% - 강조색6 12 2 2 2" xfId="9400"/>
    <cellStyle name="20% - 강조색6 12 2 2 3" xfId="9401"/>
    <cellStyle name="20% - 강조색6 12 2 3" xfId="9402"/>
    <cellStyle name="20% - 강조색6 12 2 4" xfId="9403"/>
    <cellStyle name="20% - 강조색6 12 3" xfId="9404"/>
    <cellStyle name="20% - 강조색6 12 3 2" xfId="9405"/>
    <cellStyle name="20% - 강조색6 12 3 3" xfId="9406"/>
    <cellStyle name="20% - 강조색6 12 4" xfId="9407"/>
    <cellStyle name="20% - 강조색6 12 5" xfId="9408"/>
    <cellStyle name="20% - 강조색6 13" xfId="9409"/>
    <cellStyle name="20% - 강조색6 13 2" xfId="9410"/>
    <cellStyle name="20% - 강조색6 13 2 2" xfId="9411"/>
    <cellStyle name="20% - 강조색6 13 2 3" xfId="9412"/>
    <cellStyle name="20% - 강조색6 13 3" xfId="9413"/>
    <cellStyle name="20% - 강조색6 13 4" xfId="9414"/>
    <cellStyle name="20% - 강조색6 14" xfId="9415"/>
    <cellStyle name="20% - 강조색6 14 2" xfId="9416"/>
    <cellStyle name="20% - 강조색6 14 2 2" xfId="9417"/>
    <cellStyle name="20% - 강조색6 14 2 3" xfId="9418"/>
    <cellStyle name="20% - 강조색6 14 3" xfId="9419"/>
    <cellStyle name="20% - 강조색6 14 4" xfId="9420"/>
    <cellStyle name="20% - 강조색6 15" xfId="9421"/>
    <cellStyle name="20% - 강조색6 15 2" xfId="9422"/>
    <cellStyle name="20% - 강조색6 15 3" xfId="9423"/>
    <cellStyle name="20% - 강조색6 16" xfId="9424"/>
    <cellStyle name="20% - 강조색6 16 2" xfId="9425"/>
    <cellStyle name="20% - 강조색6 16 3" xfId="9426"/>
    <cellStyle name="20% - 강조색6 16 4" xfId="9427"/>
    <cellStyle name="20% - 강조색6 17" xfId="9428"/>
    <cellStyle name="20% - 강조색6 17 2" xfId="9429"/>
    <cellStyle name="20% - 강조색6 17 3" xfId="9430"/>
    <cellStyle name="20% - 강조색6 18" xfId="9431"/>
    <cellStyle name="20% - 강조색6 18 2" xfId="9432"/>
    <cellStyle name="20% - 강조색6 18 3" xfId="9433"/>
    <cellStyle name="20% - 강조색6 19" xfId="9434"/>
    <cellStyle name="20% - 강조색6 19 2" xfId="9435"/>
    <cellStyle name="20% - 강조색6 19 3" xfId="9436"/>
    <cellStyle name="20% - 강조색6 2" xfId="9437"/>
    <cellStyle name="20% - 강조색6 2 2" xfId="9438"/>
    <cellStyle name="20% - 강조색6 2 2 2" xfId="9439"/>
    <cellStyle name="20% - 강조색6 2 2 2 2" xfId="9440"/>
    <cellStyle name="20% - 강조색6 2 2 3" xfId="9441"/>
    <cellStyle name="20% - 강조색6 2 3" xfId="9442"/>
    <cellStyle name="20% - 강조색6 2 3 2" xfId="9443"/>
    <cellStyle name="20% - 강조색6 2 3 2 2" xfId="9444"/>
    <cellStyle name="20% - 강조색6 2 3 3" xfId="9445"/>
    <cellStyle name="20% - 강조색6 2 4" xfId="9446"/>
    <cellStyle name="20% - 강조색6 2 4 2" xfId="9447"/>
    <cellStyle name="20% - 강조색6 2 5" xfId="9448"/>
    <cellStyle name="20% - 강조색6 2 6" xfId="9449"/>
    <cellStyle name="20% - 강조색6 20" xfId="9450"/>
    <cellStyle name="20% - 강조색6 20 2" xfId="9451"/>
    <cellStyle name="20% - 강조색6 20 3" xfId="9452"/>
    <cellStyle name="20% - 강조색6 21" xfId="9453"/>
    <cellStyle name="20% - 강조색6 21 2" xfId="9454"/>
    <cellStyle name="20% - 강조색6 21 3" xfId="9455"/>
    <cellStyle name="20% - 강조색6 22" xfId="9456"/>
    <cellStyle name="20% - 강조색6 22 2" xfId="9457"/>
    <cellStyle name="20% - 강조색6 22 3" xfId="9458"/>
    <cellStyle name="20% - 강조색6 23" xfId="9459"/>
    <cellStyle name="20% - 강조색6 23 2" xfId="9460"/>
    <cellStyle name="20% - 강조색6 23 3" xfId="9461"/>
    <cellStyle name="20% - 강조색6 24" xfId="9462"/>
    <cellStyle name="20% - 강조색6 24 2" xfId="9463"/>
    <cellStyle name="20% - 강조색6 25" xfId="9464"/>
    <cellStyle name="20% - 강조색6 25 2" xfId="9465"/>
    <cellStyle name="20% - 강조색6 26" xfId="9466"/>
    <cellStyle name="20% - 강조색6 26 2" xfId="9467"/>
    <cellStyle name="20% - 강조색6 27" xfId="9468"/>
    <cellStyle name="20% - 강조색6 27 2" xfId="9469"/>
    <cellStyle name="20% - 강조색6 28" xfId="9470"/>
    <cellStyle name="20% - 강조색6 28 2" xfId="9471"/>
    <cellStyle name="20% - 강조색6 29" xfId="9472"/>
    <cellStyle name="20% - 강조색6 29 2" xfId="9473"/>
    <cellStyle name="20% - 강조색6 3" xfId="9474"/>
    <cellStyle name="20% - 강조색6 3 10" xfId="9475"/>
    <cellStyle name="20% - 강조색6 3 10 2" xfId="9476"/>
    <cellStyle name="20% - 강조색6 3 10 2 2" xfId="9477"/>
    <cellStyle name="20% - 강조색6 3 10 2 3" xfId="9478"/>
    <cellStyle name="20% - 강조색6 3 10 3" xfId="9479"/>
    <cellStyle name="20% - 강조색6 3 10 4" xfId="9480"/>
    <cellStyle name="20% - 강조색6 3 11" xfId="9481"/>
    <cellStyle name="20% - 강조색6 3 11 2" xfId="9482"/>
    <cellStyle name="20% - 강조색6 3 11 3" xfId="9483"/>
    <cellStyle name="20% - 강조색6 3 12" xfId="9484"/>
    <cellStyle name="20% - 강조색6 3 13" xfId="9485"/>
    <cellStyle name="20% - 강조색6 3 14" xfId="9486"/>
    <cellStyle name="20% - 강조색6 3 15" xfId="9487"/>
    <cellStyle name="20% - 강조색6 3 2" xfId="9488"/>
    <cellStyle name="20% - 강조색6 3 2 10" xfId="9489"/>
    <cellStyle name="20% - 강조색6 3 2 11" xfId="9490"/>
    <cellStyle name="20% - 강조색6 3 2 12" xfId="9491"/>
    <cellStyle name="20% - 강조색6 3 2 2" xfId="9492"/>
    <cellStyle name="20% - 강조색6 3 2 2 2" xfId="9493"/>
    <cellStyle name="20% - 강조색6 3 2 2 2 2" xfId="9494"/>
    <cellStyle name="20% - 강조색6 3 2 2 2 2 2" xfId="9495"/>
    <cellStyle name="20% - 강조색6 3 2 2 2 2 2 2" xfId="9496"/>
    <cellStyle name="20% - 강조색6 3 2 2 2 2 2 3" xfId="9497"/>
    <cellStyle name="20% - 강조색6 3 2 2 2 2 3" xfId="9498"/>
    <cellStyle name="20% - 강조색6 3 2 2 2 2 4" xfId="9499"/>
    <cellStyle name="20% - 강조색6 3 2 2 2 3" xfId="9500"/>
    <cellStyle name="20% - 강조색6 3 2 2 2 3 2" xfId="9501"/>
    <cellStyle name="20% - 강조색6 3 2 2 2 3 3" xfId="9502"/>
    <cellStyle name="20% - 강조색6 3 2 2 2 4" xfId="9503"/>
    <cellStyle name="20% - 강조색6 3 2 2 2 5" xfId="9504"/>
    <cellStyle name="20% - 강조색6 3 2 2 3" xfId="9505"/>
    <cellStyle name="20% - 강조색6 3 2 2 3 2" xfId="9506"/>
    <cellStyle name="20% - 강조색6 3 2 2 3 2 2" xfId="9507"/>
    <cellStyle name="20% - 강조색6 3 2 2 3 2 2 2" xfId="9508"/>
    <cellStyle name="20% - 강조색6 3 2 2 3 2 2 3" xfId="9509"/>
    <cellStyle name="20% - 강조색6 3 2 2 3 2 3" xfId="9510"/>
    <cellStyle name="20% - 강조색6 3 2 2 3 2 4" xfId="9511"/>
    <cellStyle name="20% - 강조색6 3 2 2 3 3" xfId="9512"/>
    <cellStyle name="20% - 강조색6 3 2 2 3 3 2" xfId="9513"/>
    <cellStyle name="20% - 강조색6 3 2 2 3 3 3" xfId="9514"/>
    <cellStyle name="20% - 강조색6 3 2 2 3 4" xfId="9515"/>
    <cellStyle name="20% - 강조색6 3 2 2 3 5" xfId="9516"/>
    <cellStyle name="20% - 강조색6 3 2 2 4" xfId="9517"/>
    <cellStyle name="20% - 강조색6 3 2 2 4 2" xfId="9518"/>
    <cellStyle name="20% - 강조색6 3 2 2 4 2 2" xfId="9519"/>
    <cellStyle name="20% - 강조색6 3 2 2 4 2 3" xfId="9520"/>
    <cellStyle name="20% - 강조색6 3 2 2 4 3" xfId="9521"/>
    <cellStyle name="20% - 강조색6 3 2 2 4 4" xfId="9522"/>
    <cellStyle name="20% - 강조색6 3 2 2 5" xfId="9523"/>
    <cellStyle name="20% - 강조색6 3 2 2 5 2" xfId="9524"/>
    <cellStyle name="20% - 강조색6 3 2 2 5 3" xfId="9525"/>
    <cellStyle name="20% - 강조색6 3 2 2 6" xfId="9526"/>
    <cellStyle name="20% - 강조색6 3 2 2 7" xfId="9527"/>
    <cellStyle name="20% - 강조색6 3 2 2 8" xfId="9528"/>
    <cellStyle name="20% - 강조색6 3 2 2 9" xfId="9529"/>
    <cellStyle name="20% - 강조색6 3 2 3" xfId="9530"/>
    <cellStyle name="20% - 강조색6 3 2 3 2" xfId="9531"/>
    <cellStyle name="20% - 강조색6 3 2 3 2 2" xfId="9532"/>
    <cellStyle name="20% - 강조색6 3 2 3 2 2 2" xfId="9533"/>
    <cellStyle name="20% - 강조색6 3 2 3 2 2 2 2" xfId="9534"/>
    <cellStyle name="20% - 강조색6 3 2 3 2 2 2 3" xfId="9535"/>
    <cellStyle name="20% - 강조색6 3 2 3 2 2 3" xfId="9536"/>
    <cellStyle name="20% - 강조색6 3 2 3 2 2 4" xfId="9537"/>
    <cellStyle name="20% - 강조색6 3 2 3 2 3" xfId="9538"/>
    <cellStyle name="20% - 강조색6 3 2 3 2 3 2" xfId="9539"/>
    <cellStyle name="20% - 강조색6 3 2 3 2 3 3" xfId="9540"/>
    <cellStyle name="20% - 강조색6 3 2 3 2 4" xfId="9541"/>
    <cellStyle name="20% - 강조색6 3 2 3 2 5" xfId="9542"/>
    <cellStyle name="20% - 강조색6 3 2 3 3" xfId="9543"/>
    <cellStyle name="20% - 강조색6 3 2 3 3 2" xfId="9544"/>
    <cellStyle name="20% - 강조색6 3 2 3 3 2 2" xfId="9545"/>
    <cellStyle name="20% - 강조색6 3 2 3 3 2 2 2" xfId="9546"/>
    <cellStyle name="20% - 강조색6 3 2 3 3 2 2 3" xfId="9547"/>
    <cellStyle name="20% - 강조색6 3 2 3 3 2 3" xfId="9548"/>
    <cellStyle name="20% - 강조색6 3 2 3 3 2 4" xfId="9549"/>
    <cellStyle name="20% - 강조색6 3 2 3 3 3" xfId="9550"/>
    <cellStyle name="20% - 강조색6 3 2 3 3 3 2" xfId="9551"/>
    <cellStyle name="20% - 강조색6 3 2 3 3 3 3" xfId="9552"/>
    <cellStyle name="20% - 강조색6 3 2 3 3 4" xfId="9553"/>
    <cellStyle name="20% - 강조색6 3 2 3 3 5" xfId="9554"/>
    <cellStyle name="20% - 강조색6 3 2 3 4" xfId="9555"/>
    <cellStyle name="20% - 강조색6 3 2 3 4 2" xfId="9556"/>
    <cellStyle name="20% - 강조색6 3 2 3 4 2 2" xfId="9557"/>
    <cellStyle name="20% - 강조색6 3 2 3 4 2 3" xfId="9558"/>
    <cellStyle name="20% - 강조색6 3 2 3 4 3" xfId="9559"/>
    <cellStyle name="20% - 강조색6 3 2 3 4 4" xfId="9560"/>
    <cellStyle name="20% - 강조색6 3 2 3 5" xfId="9561"/>
    <cellStyle name="20% - 강조색6 3 2 3 5 2" xfId="9562"/>
    <cellStyle name="20% - 강조색6 3 2 3 5 3" xfId="9563"/>
    <cellStyle name="20% - 강조색6 3 2 3 6" xfId="9564"/>
    <cellStyle name="20% - 강조색6 3 2 3 7" xfId="9565"/>
    <cellStyle name="20% - 강조색6 3 2 4" xfId="9566"/>
    <cellStyle name="20% - 강조색6 3 2 4 2" xfId="9567"/>
    <cellStyle name="20% - 강조색6 3 2 4 2 2" xfId="9568"/>
    <cellStyle name="20% - 강조색6 3 2 4 2 2 2" xfId="9569"/>
    <cellStyle name="20% - 강조색6 3 2 4 2 2 3" xfId="9570"/>
    <cellStyle name="20% - 강조색6 3 2 4 2 3" xfId="9571"/>
    <cellStyle name="20% - 강조색6 3 2 4 2 4" xfId="9572"/>
    <cellStyle name="20% - 강조색6 3 2 4 3" xfId="9573"/>
    <cellStyle name="20% - 강조색6 3 2 4 3 2" xfId="9574"/>
    <cellStyle name="20% - 강조색6 3 2 4 3 3" xfId="9575"/>
    <cellStyle name="20% - 강조색6 3 2 4 4" xfId="9576"/>
    <cellStyle name="20% - 강조색6 3 2 4 5" xfId="9577"/>
    <cellStyle name="20% - 강조색6 3 2 5" xfId="9578"/>
    <cellStyle name="20% - 강조색6 3 2 5 2" xfId="9579"/>
    <cellStyle name="20% - 강조색6 3 2 5 2 2" xfId="9580"/>
    <cellStyle name="20% - 강조색6 3 2 5 2 2 2" xfId="9581"/>
    <cellStyle name="20% - 강조색6 3 2 5 2 2 3" xfId="9582"/>
    <cellStyle name="20% - 강조색6 3 2 5 2 3" xfId="9583"/>
    <cellStyle name="20% - 강조색6 3 2 5 2 4" xfId="9584"/>
    <cellStyle name="20% - 강조색6 3 2 5 3" xfId="9585"/>
    <cellStyle name="20% - 강조색6 3 2 5 3 2" xfId="9586"/>
    <cellStyle name="20% - 강조색6 3 2 5 3 3" xfId="9587"/>
    <cellStyle name="20% - 강조색6 3 2 5 4" xfId="9588"/>
    <cellStyle name="20% - 강조색6 3 2 5 5" xfId="9589"/>
    <cellStyle name="20% - 강조색6 3 2 6" xfId="9590"/>
    <cellStyle name="20% - 강조색6 3 2 6 2" xfId="9591"/>
    <cellStyle name="20% - 강조색6 3 2 6 2 2" xfId="9592"/>
    <cellStyle name="20% - 강조색6 3 2 6 2 2 2" xfId="9593"/>
    <cellStyle name="20% - 강조색6 3 2 6 2 2 3" xfId="9594"/>
    <cellStyle name="20% - 강조색6 3 2 6 2 3" xfId="9595"/>
    <cellStyle name="20% - 강조색6 3 2 6 2 4" xfId="9596"/>
    <cellStyle name="20% - 강조색6 3 2 6 3" xfId="9597"/>
    <cellStyle name="20% - 강조색6 3 2 6 3 2" xfId="9598"/>
    <cellStyle name="20% - 강조색6 3 2 6 3 3" xfId="9599"/>
    <cellStyle name="20% - 강조색6 3 2 6 4" xfId="9600"/>
    <cellStyle name="20% - 강조색6 3 2 6 5" xfId="9601"/>
    <cellStyle name="20% - 강조색6 3 2 7" xfId="9602"/>
    <cellStyle name="20% - 강조색6 3 2 7 2" xfId="9603"/>
    <cellStyle name="20% - 강조색6 3 2 7 2 2" xfId="9604"/>
    <cellStyle name="20% - 강조색6 3 2 7 2 3" xfId="9605"/>
    <cellStyle name="20% - 강조색6 3 2 7 3" xfId="9606"/>
    <cellStyle name="20% - 강조색6 3 2 7 4" xfId="9607"/>
    <cellStyle name="20% - 강조색6 3 2 8" xfId="9608"/>
    <cellStyle name="20% - 강조색6 3 2 8 2" xfId="9609"/>
    <cellStyle name="20% - 강조색6 3 2 8 3" xfId="9610"/>
    <cellStyle name="20% - 강조색6 3 2 9" xfId="9611"/>
    <cellStyle name="20% - 강조색6 3 3" xfId="9612"/>
    <cellStyle name="20% - 강조색6 3 3 10" xfId="9613"/>
    <cellStyle name="20% - 강조색6 3 3 11" xfId="9614"/>
    <cellStyle name="20% - 강조색6 3 3 12" xfId="9615"/>
    <cellStyle name="20% - 강조색6 3 3 2" xfId="9616"/>
    <cellStyle name="20% - 강조색6 3 3 2 2" xfId="9617"/>
    <cellStyle name="20% - 강조색6 3 3 2 2 2" xfId="9618"/>
    <cellStyle name="20% - 강조색6 3 3 2 2 2 2" xfId="9619"/>
    <cellStyle name="20% - 강조색6 3 3 2 2 2 2 2" xfId="9620"/>
    <cellStyle name="20% - 강조색6 3 3 2 2 2 2 3" xfId="9621"/>
    <cellStyle name="20% - 강조색6 3 3 2 2 2 3" xfId="9622"/>
    <cellStyle name="20% - 강조색6 3 3 2 2 2 4" xfId="9623"/>
    <cellStyle name="20% - 강조색6 3 3 2 2 3" xfId="9624"/>
    <cellStyle name="20% - 강조색6 3 3 2 2 3 2" xfId="9625"/>
    <cellStyle name="20% - 강조색6 3 3 2 2 3 3" xfId="9626"/>
    <cellStyle name="20% - 강조색6 3 3 2 2 4" xfId="9627"/>
    <cellStyle name="20% - 강조색6 3 3 2 2 5" xfId="9628"/>
    <cellStyle name="20% - 강조색6 3 3 2 3" xfId="9629"/>
    <cellStyle name="20% - 강조색6 3 3 2 3 2" xfId="9630"/>
    <cellStyle name="20% - 강조색6 3 3 2 3 2 2" xfId="9631"/>
    <cellStyle name="20% - 강조색6 3 3 2 3 2 2 2" xfId="9632"/>
    <cellStyle name="20% - 강조색6 3 3 2 3 2 2 3" xfId="9633"/>
    <cellStyle name="20% - 강조색6 3 3 2 3 2 3" xfId="9634"/>
    <cellStyle name="20% - 강조색6 3 3 2 3 2 4" xfId="9635"/>
    <cellStyle name="20% - 강조색6 3 3 2 3 3" xfId="9636"/>
    <cellStyle name="20% - 강조색6 3 3 2 3 3 2" xfId="9637"/>
    <cellStyle name="20% - 강조색6 3 3 2 3 3 3" xfId="9638"/>
    <cellStyle name="20% - 강조색6 3 3 2 3 4" xfId="9639"/>
    <cellStyle name="20% - 강조색6 3 3 2 3 5" xfId="9640"/>
    <cellStyle name="20% - 강조색6 3 3 2 4" xfId="9641"/>
    <cellStyle name="20% - 강조색6 3 3 2 4 2" xfId="9642"/>
    <cellStyle name="20% - 강조색6 3 3 2 4 2 2" xfId="9643"/>
    <cellStyle name="20% - 강조색6 3 3 2 4 2 3" xfId="9644"/>
    <cellStyle name="20% - 강조색6 3 3 2 4 3" xfId="9645"/>
    <cellStyle name="20% - 강조색6 3 3 2 4 4" xfId="9646"/>
    <cellStyle name="20% - 강조색6 3 3 2 5" xfId="9647"/>
    <cellStyle name="20% - 강조색6 3 3 2 5 2" xfId="9648"/>
    <cellStyle name="20% - 강조색6 3 3 2 5 3" xfId="9649"/>
    <cellStyle name="20% - 강조색6 3 3 2 6" xfId="9650"/>
    <cellStyle name="20% - 강조색6 3 3 2 7" xfId="9651"/>
    <cellStyle name="20% - 강조색6 3 3 2 8" xfId="9652"/>
    <cellStyle name="20% - 강조색6 3 3 2 9" xfId="9653"/>
    <cellStyle name="20% - 강조색6 3 3 3" xfId="9654"/>
    <cellStyle name="20% - 강조색6 3 3 3 2" xfId="9655"/>
    <cellStyle name="20% - 강조색6 3 3 3 2 2" xfId="9656"/>
    <cellStyle name="20% - 강조색6 3 3 3 2 2 2" xfId="9657"/>
    <cellStyle name="20% - 강조색6 3 3 3 2 2 2 2" xfId="9658"/>
    <cellStyle name="20% - 강조색6 3 3 3 2 2 2 3" xfId="9659"/>
    <cellStyle name="20% - 강조색6 3 3 3 2 2 3" xfId="9660"/>
    <cellStyle name="20% - 강조색6 3 3 3 2 2 4" xfId="9661"/>
    <cellStyle name="20% - 강조색6 3 3 3 2 3" xfId="9662"/>
    <cellStyle name="20% - 강조색6 3 3 3 2 3 2" xfId="9663"/>
    <cellStyle name="20% - 강조색6 3 3 3 2 3 3" xfId="9664"/>
    <cellStyle name="20% - 강조색6 3 3 3 2 4" xfId="9665"/>
    <cellStyle name="20% - 강조색6 3 3 3 2 5" xfId="9666"/>
    <cellStyle name="20% - 강조색6 3 3 3 3" xfId="9667"/>
    <cellStyle name="20% - 강조색6 3 3 3 3 2" xfId="9668"/>
    <cellStyle name="20% - 강조색6 3 3 3 3 2 2" xfId="9669"/>
    <cellStyle name="20% - 강조색6 3 3 3 3 2 2 2" xfId="9670"/>
    <cellStyle name="20% - 강조색6 3 3 3 3 2 2 3" xfId="9671"/>
    <cellStyle name="20% - 강조색6 3 3 3 3 2 3" xfId="9672"/>
    <cellStyle name="20% - 강조색6 3 3 3 3 2 4" xfId="9673"/>
    <cellStyle name="20% - 강조색6 3 3 3 3 3" xfId="9674"/>
    <cellStyle name="20% - 강조색6 3 3 3 3 3 2" xfId="9675"/>
    <cellStyle name="20% - 강조색6 3 3 3 3 3 3" xfId="9676"/>
    <cellStyle name="20% - 강조색6 3 3 3 3 4" xfId="9677"/>
    <cellStyle name="20% - 강조색6 3 3 3 3 5" xfId="9678"/>
    <cellStyle name="20% - 강조색6 3 3 3 4" xfId="9679"/>
    <cellStyle name="20% - 강조색6 3 3 3 4 2" xfId="9680"/>
    <cellStyle name="20% - 강조색6 3 3 3 4 2 2" xfId="9681"/>
    <cellStyle name="20% - 강조색6 3 3 3 4 2 3" xfId="9682"/>
    <cellStyle name="20% - 강조색6 3 3 3 4 3" xfId="9683"/>
    <cellStyle name="20% - 강조색6 3 3 3 4 4" xfId="9684"/>
    <cellStyle name="20% - 강조색6 3 3 3 5" xfId="9685"/>
    <cellStyle name="20% - 강조색6 3 3 3 5 2" xfId="9686"/>
    <cellStyle name="20% - 강조색6 3 3 3 5 3" xfId="9687"/>
    <cellStyle name="20% - 강조색6 3 3 3 6" xfId="9688"/>
    <cellStyle name="20% - 강조색6 3 3 3 7" xfId="9689"/>
    <cellStyle name="20% - 강조색6 3 3 4" xfId="9690"/>
    <cellStyle name="20% - 강조색6 3 3 4 2" xfId="9691"/>
    <cellStyle name="20% - 강조색6 3 3 4 2 2" xfId="9692"/>
    <cellStyle name="20% - 강조색6 3 3 4 2 2 2" xfId="9693"/>
    <cellStyle name="20% - 강조색6 3 3 4 2 2 3" xfId="9694"/>
    <cellStyle name="20% - 강조색6 3 3 4 2 3" xfId="9695"/>
    <cellStyle name="20% - 강조색6 3 3 4 2 4" xfId="9696"/>
    <cellStyle name="20% - 강조색6 3 3 4 3" xfId="9697"/>
    <cellStyle name="20% - 강조색6 3 3 4 3 2" xfId="9698"/>
    <cellStyle name="20% - 강조색6 3 3 4 3 3" xfId="9699"/>
    <cellStyle name="20% - 강조색6 3 3 4 4" xfId="9700"/>
    <cellStyle name="20% - 강조색6 3 3 4 5" xfId="9701"/>
    <cellStyle name="20% - 강조색6 3 3 5" xfId="9702"/>
    <cellStyle name="20% - 강조색6 3 3 5 2" xfId="9703"/>
    <cellStyle name="20% - 강조색6 3 3 5 2 2" xfId="9704"/>
    <cellStyle name="20% - 강조색6 3 3 5 2 2 2" xfId="9705"/>
    <cellStyle name="20% - 강조색6 3 3 5 2 2 3" xfId="9706"/>
    <cellStyle name="20% - 강조색6 3 3 5 2 3" xfId="9707"/>
    <cellStyle name="20% - 강조색6 3 3 5 2 4" xfId="9708"/>
    <cellStyle name="20% - 강조색6 3 3 5 3" xfId="9709"/>
    <cellStyle name="20% - 강조색6 3 3 5 3 2" xfId="9710"/>
    <cellStyle name="20% - 강조색6 3 3 5 3 3" xfId="9711"/>
    <cellStyle name="20% - 강조색6 3 3 5 4" xfId="9712"/>
    <cellStyle name="20% - 강조색6 3 3 5 5" xfId="9713"/>
    <cellStyle name="20% - 강조색6 3 3 6" xfId="9714"/>
    <cellStyle name="20% - 강조색6 3 3 6 2" xfId="9715"/>
    <cellStyle name="20% - 강조색6 3 3 6 2 2" xfId="9716"/>
    <cellStyle name="20% - 강조색6 3 3 6 2 2 2" xfId="9717"/>
    <cellStyle name="20% - 강조색6 3 3 6 2 2 3" xfId="9718"/>
    <cellStyle name="20% - 강조색6 3 3 6 2 3" xfId="9719"/>
    <cellStyle name="20% - 강조색6 3 3 6 2 4" xfId="9720"/>
    <cellStyle name="20% - 강조색6 3 3 6 3" xfId="9721"/>
    <cellStyle name="20% - 강조색6 3 3 6 3 2" xfId="9722"/>
    <cellStyle name="20% - 강조색6 3 3 6 3 3" xfId="9723"/>
    <cellStyle name="20% - 강조색6 3 3 6 4" xfId="9724"/>
    <cellStyle name="20% - 강조색6 3 3 6 5" xfId="9725"/>
    <cellStyle name="20% - 강조색6 3 3 7" xfId="9726"/>
    <cellStyle name="20% - 강조색6 3 3 7 2" xfId="9727"/>
    <cellStyle name="20% - 강조색6 3 3 7 2 2" xfId="9728"/>
    <cellStyle name="20% - 강조색6 3 3 7 2 3" xfId="9729"/>
    <cellStyle name="20% - 강조색6 3 3 7 3" xfId="9730"/>
    <cellStyle name="20% - 강조색6 3 3 7 4" xfId="9731"/>
    <cellStyle name="20% - 강조색6 3 3 8" xfId="9732"/>
    <cellStyle name="20% - 강조색6 3 3 8 2" xfId="9733"/>
    <cellStyle name="20% - 강조색6 3 3 8 3" xfId="9734"/>
    <cellStyle name="20% - 강조색6 3 3 9" xfId="9735"/>
    <cellStyle name="20% - 강조색6 3 4" xfId="9736"/>
    <cellStyle name="20% - 강조색6 3 4 10" xfId="9737"/>
    <cellStyle name="20% - 강조색6 3 4 11" xfId="9738"/>
    <cellStyle name="20% - 강조색6 3 4 12" xfId="9739"/>
    <cellStyle name="20% - 강조색6 3 4 2" xfId="9740"/>
    <cellStyle name="20% - 강조색6 3 4 2 2" xfId="9741"/>
    <cellStyle name="20% - 강조색6 3 4 2 2 2" xfId="9742"/>
    <cellStyle name="20% - 강조색6 3 4 2 2 2 2" xfId="9743"/>
    <cellStyle name="20% - 강조색6 3 4 2 2 2 2 2" xfId="9744"/>
    <cellStyle name="20% - 강조색6 3 4 2 2 2 2 3" xfId="9745"/>
    <cellStyle name="20% - 강조색6 3 4 2 2 2 3" xfId="9746"/>
    <cellStyle name="20% - 강조색6 3 4 2 2 2 4" xfId="9747"/>
    <cellStyle name="20% - 강조색6 3 4 2 2 3" xfId="9748"/>
    <cellStyle name="20% - 강조색6 3 4 2 2 3 2" xfId="9749"/>
    <cellStyle name="20% - 강조색6 3 4 2 2 3 3" xfId="9750"/>
    <cellStyle name="20% - 강조색6 3 4 2 2 4" xfId="9751"/>
    <cellStyle name="20% - 강조색6 3 4 2 2 5" xfId="9752"/>
    <cellStyle name="20% - 강조색6 3 4 2 3" xfId="9753"/>
    <cellStyle name="20% - 강조색6 3 4 2 3 2" xfId="9754"/>
    <cellStyle name="20% - 강조색6 3 4 2 3 2 2" xfId="9755"/>
    <cellStyle name="20% - 강조색6 3 4 2 3 2 2 2" xfId="9756"/>
    <cellStyle name="20% - 강조색6 3 4 2 3 2 2 3" xfId="9757"/>
    <cellStyle name="20% - 강조색6 3 4 2 3 2 3" xfId="9758"/>
    <cellStyle name="20% - 강조색6 3 4 2 3 2 4" xfId="9759"/>
    <cellStyle name="20% - 강조색6 3 4 2 3 3" xfId="9760"/>
    <cellStyle name="20% - 강조색6 3 4 2 3 3 2" xfId="9761"/>
    <cellStyle name="20% - 강조색6 3 4 2 3 3 3" xfId="9762"/>
    <cellStyle name="20% - 강조색6 3 4 2 3 4" xfId="9763"/>
    <cellStyle name="20% - 강조색6 3 4 2 3 5" xfId="9764"/>
    <cellStyle name="20% - 강조색6 3 4 2 4" xfId="9765"/>
    <cellStyle name="20% - 강조색6 3 4 2 4 2" xfId="9766"/>
    <cellStyle name="20% - 강조색6 3 4 2 4 2 2" xfId="9767"/>
    <cellStyle name="20% - 강조색6 3 4 2 4 2 3" xfId="9768"/>
    <cellStyle name="20% - 강조색6 3 4 2 4 3" xfId="9769"/>
    <cellStyle name="20% - 강조색6 3 4 2 4 4" xfId="9770"/>
    <cellStyle name="20% - 강조색6 3 4 2 5" xfId="9771"/>
    <cellStyle name="20% - 강조색6 3 4 2 5 2" xfId="9772"/>
    <cellStyle name="20% - 강조색6 3 4 2 5 3" xfId="9773"/>
    <cellStyle name="20% - 강조색6 3 4 2 6" xfId="9774"/>
    <cellStyle name="20% - 강조색6 3 4 2 7" xfId="9775"/>
    <cellStyle name="20% - 강조색6 3 4 3" xfId="9776"/>
    <cellStyle name="20% - 강조색6 3 4 3 2" xfId="9777"/>
    <cellStyle name="20% - 강조색6 3 4 3 2 2" xfId="9778"/>
    <cellStyle name="20% - 강조색6 3 4 3 2 2 2" xfId="9779"/>
    <cellStyle name="20% - 강조색6 3 4 3 2 2 2 2" xfId="9780"/>
    <cellStyle name="20% - 강조색6 3 4 3 2 2 2 3" xfId="9781"/>
    <cellStyle name="20% - 강조색6 3 4 3 2 2 3" xfId="9782"/>
    <cellStyle name="20% - 강조색6 3 4 3 2 2 4" xfId="9783"/>
    <cellStyle name="20% - 강조색6 3 4 3 2 3" xfId="9784"/>
    <cellStyle name="20% - 강조색6 3 4 3 2 3 2" xfId="9785"/>
    <cellStyle name="20% - 강조색6 3 4 3 2 3 3" xfId="9786"/>
    <cellStyle name="20% - 강조색6 3 4 3 2 4" xfId="9787"/>
    <cellStyle name="20% - 강조색6 3 4 3 2 5" xfId="9788"/>
    <cellStyle name="20% - 강조색6 3 4 3 3" xfId="9789"/>
    <cellStyle name="20% - 강조색6 3 4 3 3 2" xfId="9790"/>
    <cellStyle name="20% - 강조색6 3 4 3 3 2 2" xfId="9791"/>
    <cellStyle name="20% - 강조색6 3 4 3 3 2 2 2" xfId="9792"/>
    <cellStyle name="20% - 강조색6 3 4 3 3 2 2 3" xfId="9793"/>
    <cellStyle name="20% - 강조색6 3 4 3 3 2 3" xfId="9794"/>
    <cellStyle name="20% - 강조색6 3 4 3 3 2 4" xfId="9795"/>
    <cellStyle name="20% - 강조색6 3 4 3 3 3" xfId="9796"/>
    <cellStyle name="20% - 강조색6 3 4 3 3 3 2" xfId="9797"/>
    <cellStyle name="20% - 강조색6 3 4 3 3 3 3" xfId="9798"/>
    <cellStyle name="20% - 강조색6 3 4 3 3 4" xfId="9799"/>
    <cellStyle name="20% - 강조색6 3 4 3 3 5" xfId="9800"/>
    <cellStyle name="20% - 강조색6 3 4 3 4" xfId="9801"/>
    <cellStyle name="20% - 강조색6 3 4 3 4 2" xfId="9802"/>
    <cellStyle name="20% - 강조색6 3 4 3 4 2 2" xfId="9803"/>
    <cellStyle name="20% - 강조색6 3 4 3 4 2 3" xfId="9804"/>
    <cellStyle name="20% - 강조색6 3 4 3 4 3" xfId="9805"/>
    <cellStyle name="20% - 강조색6 3 4 3 4 4" xfId="9806"/>
    <cellStyle name="20% - 강조색6 3 4 3 5" xfId="9807"/>
    <cellStyle name="20% - 강조색6 3 4 3 5 2" xfId="9808"/>
    <cellStyle name="20% - 강조색6 3 4 3 5 3" xfId="9809"/>
    <cellStyle name="20% - 강조색6 3 4 3 6" xfId="9810"/>
    <cellStyle name="20% - 강조색6 3 4 3 7" xfId="9811"/>
    <cellStyle name="20% - 강조색6 3 4 4" xfId="9812"/>
    <cellStyle name="20% - 강조색6 3 4 4 2" xfId="9813"/>
    <cellStyle name="20% - 강조색6 3 4 4 2 2" xfId="9814"/>
    <cellStyle name="20% - 강조색6 3 4 4 2 2 2" xfId="9815"/>
    <cellStyle name="20% - 강조색6 3 4 4 2 2 3" xfId="9816"/>
    <cellStyle name="20% - 강조색6 3 4 4 2 3" xfId="9817"/>
    <cellStyle name="20% - 강조색6 3 4 4 2 4" xfId="9818"/>
    <cellStyle name="20% - 강조색6 3 4 4 3" xfId="9819"/>
    <cellStyle name="20% - 강조색6 3 4 4 3 2" xfId="9820"/>
    <cellStyle name="20% - 강조색6 3 4 4 3 3" xfId="9821"/>
    <cellStyle name="20% - 강조색6 3 4 4 4" xfId="9822"/>
    <cellStyle name="20% - 강조색6 3 4 4 5" xfId="9823"/>
    <cellStyle name="20% - 강조색6 3 4 5" xfId="9824"/>
    <cellStyle name="20% - 강조색6 3 4 5 2" xfId="9825"/>
    <cellStyle name="20% - 강조색6 3 4 5 2 2" xfId="9826"/>
    <cellStyle name="20% - 강조색6 3 4 5 2 2 2" xfId="9827"/>
    <cellStyle name="20% - 강조색6 3 4 5 2 2 3" xfId="9828"/>
    <cellStyle name="20% - 강조색6 3 4 5 2 3" xfId="9829"/>
    <cellStyle name="20% - 강조색6 3 4 5 2 4" xfId="9830"/>
    <cellStyle name="20% - 강조색6 3 4 5 3" xfId="9831"/>
    <cellStyle name="20% - 강조색6 3 4 5 3 2" xfId="9832"/>
    <cellStyle name="20% - 강조색6 3 4 5 3 3" xfId="9833"/>
    <cellStyle name="20% - 강조색6 3 4 5 4" xfId="9834"/>
    <cellStyle name="20% - 강조색6 3 4 5 5" xfId="9835"/>
    <cellStyle name="20% - 강조색6 3 4 6" xfId="9836"/>
    <cellStyle name="20% - 강조색6 3 4 6 2" xfId="9837"/>
    <cellStyle name="20% - 강조색6 3 4 6 2 2" xfId="9838"/>
    <cellStyle name="20% - 강조색6 3 4 6 2 2 2" xfId="9839"/>
    <cellStyle name="20% - 강조색6 3 4 6 2 2 3" xfId="9840"/>
    <cellStyle name="20% - 강조색6 3 4 6 2 3" xfId="9841"/>
    <cellStyle name="20% - 강조색6 3 4 6 2 4" xfId="9842"/>
    <cellStyle name="20% - 강조색6 3 4 6 3" xfId="9843"/>
    <cellStyle name="20% - 강조색6 3 4 6 3 2" xfId="9844"/>
    <cellStyle name="20% - 강조색6 3 4 6 3 3" xfId="9845"/>
    <cellStyle name="20% - 강조색6 3 4 6 4" xfId="9846"/>
    <cellStyle name="20% - 강조색6 3 4 6 5" xfId="9847"/>
    <cellStyle name="20% - 강조색6 3 4 7" xfId="9848"/>
    <cellStyle name="20% - 강조색6 3 4 7 2" xfId="9849"/>
    <cellStyle name="20% - 강조색6 3 4 7 2 2" xfId="9850"/>
    <cellStyle name="20% - 강조색6 3 4 7 2 3" xfId="9851"/>
    <cellStyle name="20% - 강조색6 3 4 7 3" xfId="9852"/>
    <cellStyle name="20% - 강조색6 3 4 7 4" xfId="9853"/>
    <cellStyle name="20% - 강조색6 3 4 8" xfId="9854"/>
    <cellStyle name="20% - 강조색6 3 4 8 2" xfId="9855"/>
    <cellStyle name="20% - 강조색6 3 4 8 3" xfId="9856"/>
    <cellStyle name="20% - 강조색6 3 4 9" xfId="9857"/>
    <cellStyle name="20% - 강조색6 3 5" xfId="9858"/>
    <cellStyle name="20% - 강조색6 3 5 2" xfId="9859"/>
    <cellStyle name="20% - 강조색6 3 5 2 2" xfId="9860"/>
    <cellStyle name="20% - 강조색6 3 5 2 2 2" xfId="9861"/>
    <cellStyle name="20% - 강조색6 3 5 2 2 2 2" xfId="9862"/>
    <cellStyle name="20% - 강조색6 3 5 2 2 2 3" xfId="9863"/>
    <cellStyle name="20% - 강조색6 3 5 2 2 3" xfId="9864"/>
    <cellStyle name="20% - 강조색6 3 5 2 2 4" xfId="9865"/>
    <cellStyle name="20% - 강조색6 3 5 2 3" xfId="9866"/>
    <cellStyle name="20% - 강조색6 3 5 2 3 2" xfId="9867"/>
    <cellStyle name="20% - 강조색6 3 5 2 3 3" xfId="9868"/>
    <cellStyle name="20% - 강조색6 3 5 2 4" xfId="9869"/>
    <cellStyle name="20% - 강조색6 3 5 2 5" xfId="9870"/>
    <cellStyle name="20% - 강조색6 3 5 3" xfId="9871"/>
    <cellStyle name="20% - 강조색6 3 5 3 2" xfId="9872"/>
    <cellStyle name="20% - 강조색6 3 5 3 2 2" xfId="9873"/>
    <cellStyle name="20% - 강조색6 3 5 3 2 2 2" xfId="9874"/>
    <cellStyle name="20% - 강조색6 3 5 3 2 2 3" xfId="9875"/>
    <cellStyle name="20% - 강조색6 3 5 3 2 3" xfId="9876"/>
    <cellStyle name="20% - 강조색6 3 5 3 2 4" xfId="9877"/>
    <cellStyle name="20% - 강조색6 3 5 3 3" xfId="9878"/>
    <cellStyle name="20% - 강조색6 3 5 3 3 2" xfId="9879"/>
    <cellStyle name="20% - 강조색6 3 5 3 3 3" xfId="9880"/>
    <cellStyle name="20% - 강조색6 3 5 3 4" xfId="9881"/>
    <cellStyle name="20% - 강조색6 3 5 3 5" xfId="9882"/>
    <cellStyle name="20% - 강조색6 3 5 4" xfId="9883"/>
    <cellStyle name="20% - 강조색6 3 5 4 2" xfId="9884"/>
    <cellStyle name="20% - 강조색6 3 5 4 2 2" xfId="9885"/>
    <cellStyle name="20% - 강조색6 3 5 4 2 3" xfId="9886"/>
    <cellStyle name="20% - 강조색6 3 5 4 3" xfId="9887"/>
    <cellStyle name="20% - 강조색6 3 5 4 4" xfId="9888"/>
    <cellStyle name="20% - 강조색6 3 5 5" xfId="9889"/>
    <cellStyle name="20% - 강조색6 3 5 5 2" xfId="9890"/>
    <cellStyle name="20% - 강조색6 3 5 5 3" xfId="9891"/>
    <cellStyle name="20% - 강조색6 3 5 6" xfId="9892"/>
    <cellStyle name="20% - 강조색6 3 5 7" xfId="9893"/>
    <cellStyle name="20% - 강조색6 3 5 8" xfId="9894"/>
    <cellStyle name="20% - 강조색6 3 6" xfId="9895"/>
    <cellStyle name="20% - 강조색6 3 6 2" xfId="9896"/>
    <cellStyle name="20% - 강조색6 3 6 2 2" xfId="9897"/>
    <cellStyle name="20% - 강조색6 3 6 2 2 2" xfId="9898"/>
    <cellStyle name="20% - 강조색6 3 6 2 2 2 2" xfId="9899"/>
    <cellStyle name="20% - 강조색6 3 6 2 2 2 3" xfId="9900"/>
    <cellStyle name="20% - 강조색6 3 6 2 2 3" xfId="9901"/>
    <cellStyle name="20% - 강조색6 3 6 2 2 4" xfId="9902"/>
    <cellStyle name="20% - 강조색6 3 6 2 3" xfId="9903"/>
    <cellStyle name="20% - 강조색6 3 6 2 3 2" xfId="9904"/>
    <cellStyle name="20% - 강조색6 3 6 2 3 3" xfId="9905"/>
    <cellStyle name="20% - 강조색6 3 6 2 4" xfId="9906"/>
    <cellStyle name="20% - 강조색6 3 6 2 5" xfId="9907"/>
    <cellStyle name="20% - 강조색6 3 6 3" xfId="9908"/>
    <cellStyle name="20% - 강조색6 3 6 3 2" xfId="9909"/>
    <cellStyle name="20% - 강조색6 3 6 3 2 2" xfId="9910"/>
    <cellStyle name="20% - 강조색6 3 6 3 2 2 2" xfId="9911"/>
    <cellStyle name="20% - 강조색6 3 6 3 2 2 3" xfId="9912"/>
    <cellStyle name="20% - 강조색6 3 6 3 2 3" xfId="9913"/>
    <cellStyle name="20% - 강조색6 3 6 3 2 4" xfId="9914"/>
    <cellStyle name="20% - 강조색6 3 6 3 3" xfId="9915"/>
    <cellStyle name="20% - 강조색6 3 6 3 3 2" xfId="9916"/>
    <cellStyle name="20% - 강조색6 3 6 3 3 3" xfId="9917"/>
    <cellStyle name="20% - 강조색6 3 6 3 4" xfId="9918"/>
    <cellStyle name="20% - 강조색6 3 6 3 5" xfId="9919"/>
    <cellStyle name="20% - 강조색6 3 6 4" xfId="9920"/>
    <cellStyle name="20% - 강조색6 3 6 4 2" xfId="9921"/>
    <cellStyle name="20% - 강조색6 3 6 4 2 2" xfId="9922"/>
    <cellStyle name="20% - 강조색6 3 6 4 2 3" xfId="9923"/>
    <cellStyle name="20% - 강조색6 3 6 4 3" xfId="9924"/>
    <cellStyle name="20% - 강조색6 3 6 4 4" xfId="9925"/>
    <cellStyle name="20% - 강조색6 3 6 5" xfId="9926"/>
    <cellStyle name="20% - 강조색6 3 6 5 2" xfId="9927"/>
    <cellStyle name="20% - 강조색6 3 6 5 3" xfId="9928"/>
    <cellStyle name="20% - 강조색6 3 6 6" xfId="9929"/>
    <cellStyle name="20% - 강조색6 3 6 7" xfId="9930"/>
    <cellStyle name="20% - 강조색6 3 7" xfId="9931"/>
    <cellStyle name="20% - 강조색6 3 7 2" xfId="9932"/>
    <cellStyle name="20% - 강조색6 3 7 2 2" xfId="9933"/>
    <cellStyle name="20% - 강조색6 3 7 2 2 2" xfId="9934"/>
    <cellStyle name="20% - 강조색6 3 7 2 2 3" xfId="9935"/>
    <cellStyle name="20% - 강조색6 3 7 2 3" xfId="9936"/>
    <cellStyle name="20% - 강조색6 3 7 2 4" xfId="9937"/>
    <cellStyle name="20% - 강조색6 3 7 3" xfId="9938"/>
    <cellStyle name="20% - 강조색6 3 7 3 2" xfId="9939"/>
    <cellStyle name="20% - 강조색6 3 7 3 3" xfId="9940"/>
    <cellStyle name="20% - 강조색6 3 7 4" xfId="9941"/>
    <cellStyle name="20% - 강조색6 3 7 5" xfId="9942"/>
    <cellStyle name="20% - 강조색6 3 8" xfId="9943"/>
    <cellStyle name="20% - 강조색6 3 8 2" xfId="9944"/>
    <cellStyle name="20% - 강조색6 3 8 2 2" xfId="9945"/>
    <cellStyle name="20% - 강조색6 3 8 2 2 2" xfId="9946"/>
    <cellStyle name="20% - 강조색6 3 8 2 2 3" xfId="9947"/>
    <cellStyle name="20% - 강조색6 3 8 2 3" xfId="9948"/>
    <cellStyle name="20% - 강조색6 3 8 2 4" xfId="9949"/>
    <cellStyle name="20% - 강조색6 3 8 3" xfId="9950"/>
    <cellStyle name="20% - 강조색6 3 8 3 2" xfId="9951"/>
    <cellStyle name="20% - 강조색6 3 8 3 3" xfId="9952"/>
    <cellStyle name="20% - 강조색6 3 8 4" xfId="9953"/>
    <cellStyle name="20% - 강조색6 3 8 5" xfId="9954"/>
    <cellStyle name="20% - 강조색6 3 9" xfId="9955"/>
    <cellStyle name="20% - 강조색6 3 9 2" xfId="9956"/>
    <cellStyle name="20% - 강조색6 3 9 2 2" xfId="9957"/>
    <cellStyle name="20% - 강조색6 3 9 2 2 2" xfId="9958"/>
    <cellStyle name="20% - 강조색6 3 9 2 2 3" xfId="9959"/>
    <cellStyle name="20% - 강조색6 3 9 2 3" xfId="9960"/>
    <cellStyle name="20% - 강조색6 3 9 2 4" xfId="9961"/>
    <cellStyle name="20% - 강조색6 3 9 3" xfId="9962"/>
    <cellStyle name="20% - 강조색6 3 9 3 2" xfId="9963"/>
    <cellStyle name="20% - 강조색6 3 9 3 3" xfId="9964"/>
    <cellStyle name="20% - 강조색6 3 9 4" xfId="9965"/>
    <cellStyle name="20% - 강조색6 3 9 5" xfId="9966"/>
    <cellStyle name="20% - 강조색6 30" xfId="9967"/>
    <cellStyle name="20% - 강조색6 30 2" xfId="9968"/>
    <cellStyle name="20% - 강조색6 31" xfId="9969"/>
    <cellStyle name="20% - 강조색6 31 2" xfId="9970"/>
    <cellStyle name="20% - 강조색6 32" xfId="9971"/>
    <cellStyle name="20% - 강조색6 32 2" xfId="9972"/>
    <cellStyle name="20% - 강조색6 33" xfId="9973"/>
    <cellStyle name="20% - 강조색6 33 2" xfId="9974"/>
    <cellStyle name="20% - 강조색6 34" xfId="9975"/>
    <cellStyle name="20% - 강조색6 34 2" xfId="9976"/>
    <cellStyle name="20% - 강조색6 35" xfId="9977"/>
    <cellStyle name="20% - 강조색6 36" xfId="9978"/>
    <cellStyle name="20% - 강조색6 37" xfId="9979"/>
    <cellStyle name="20% - 강조색6 38" xfId="9980"/>
    <cellStyle name="20% - 강조색6 39" xfId="9981"/>
    <cellStyle name="20% - 강조색6 4" xfId="9982"/>
    <cellStyle name="20% - 강조색6 4 10" xfId="9983"/>
    <cellStyle name="20% - 강조색6 4 10 2" xfId="9984"/>
    <cellStyle name="20% - 강조색6 4 10 2 2" xfId="9985"/>
    <cellStyle name="20% - 강조색6 4 10 2 3" xfId="9986"/>
    <cellStyle name="20% - 강조색6 4 10 3" xfId="9987"/>
    <cellStyle name="20% - 강조색6 4 10 4" xfId="9988"/>
    <cellStyle name="20% - 강조색6 4 11" xfId="9989"/>
    <cellStyle name="20% - 강조색6 4 11 2" xfId="9990"/>
    <cellStyle name="20% - 강조색6 4 11 3" xfId="9991"/>
    <cellStyle name="20% - 강조색6 4 12" xfId="9992"/>
    <cellStyle name="20% - 강조색6 4 13" xfId="9993"/>
    <cellStyle name="20% - 강조색6 4 14" xfId="9994"/>
    <cellStyle name="20% - 강조색6 4 2" xfId="9995"/>
    <cellStyle name="20% - 강조색6 4 2 10" xfId="9996"/>
    <cellStyle name="20% - 강조색6 4 2 2" xfId="9997"/>
    <cellStyle name="20% - 강조색6 4 2 2 2" xfId="9998"/>
    <cellStyle name="20% - 강조색6 4 2 2 2 2" xfId="9999"/>
    <cellStyle name="20% - 강조색6 4 2 2 2 2 2" xfId="10000"/>
    <cellStyle name="20% - 강조색6 4 2 2 2 2 2 2" xfId="10001"/>
    <cellStyle name="20% - 강조색6 4 2 2 2 2 2 3" xfId="10002"/>
    <cellStyle name="20% - 강조색6 4 2 2 2 2 3" xfId="10003"/>
    <cellStyle name="20% - 강조색6 4 2 2 2 2 4" xfId="10004"/>
    <cellStyle name="20% - 강조색6 4 2 2 2 3" xfId="10005"/>
    <cellStyle name="20% - 강조색6 4 2 2 2 3 2" xfId="10006"/>
    <cellStyle name="20% - 강조색6 4 2 2 2 3 3" xfId="10007"/>
    <cellStyle name="20% - 강조색6 4 2 2 2 4" xfId="10008"/>
    <cellStyle name="20% - 강조색6 4 2 2 2 5" xfId="10009"/>
    <cellStyle name="20% - 강조색6 4 2 2 3" xfId="10010"/>
    <cellStyle name="20% - 강조색6 4 2 2 3 2" xfId="10011"/>
    <cellStyle name="20% - 강조색6 4 2 2 3 2 2" xfId="10012"/>
    <cellStyle name="20% - 강조색6 4 2 2 3 2 2 2" xfId="10013"/>
    <cellStyle name="20% - 강조색6 4 2 2 3 2 2 3" xfId="10014"/>
    <cellStyle name="20% - 강조색6 4 2 2 3 2 3" xfId="10015"/>
    <cellStyle name="20% - 강조색6 4 2 2 3 2 4" xfId="10016"/>
    <cellStyle name="20% - 강조색6 4 2 2 3 3" xfId="10017"/>
    <cellStyle name="20% - 강조색6 4 2 2 3 3 2" xfId="10018"/>
    <cellStyle name="20% - 강조색6 4 2 2 3 3 3" xfId="10019"/>
    <cellStyle name="20% - 강조색6 4 2 2 3 4" xfId="10020"/>
    <cellStyle name="20% - 강조색6 4 2 2 3 5" xfId="10021"/>
    <cellStyle name="20% - 강조색6 4 2 2 4" xfId="10022"/>
    <cellStyle name="20% - 강조색6 4 2 2 4 2" xfId="10023"/>
    <cellStyle name="20% - 강조색6 4 2 2 4 2 2" xfId="10024"/>
    <cellStyle name="20% - 강조색6 4 2 2 4 2 3" xfId="10025"/>
    <cellStyle name="20% - 강조색6 4 2 2 4 3" xfId="10026"/>
    <cellStyle name="20% - 강조색6 4 2 2 4 4" xfId="10027"/>
    <cellStyle name="20% - 강조색6 4 2 2 5" xfId="10028"/>
    <cellStyle name="20% - 강조색6 4 2 2 5 2" xfId="10029"/>
    <cellStyle name="20% - 강조색6 4 2 2 5 3" xfId="10030"/>
    <cellStyle name="20% - 강조색6 4 2 2 6" xfId="10031"/>
    <cellStyle name="20% - 강조색6 4 2 2 7" xfId="10032"/>
    <cellStyle name="20% - 강조색6 4 2 3" xfId="10033"/>
    <cellStyle name="20% - 강조색6 4 2 3 2" xfId="10034"/>
    <cellStyle name="20% - 강조색6 4 2 3 2 2" xfId="10035"/>
    <cellStyle name="20% - 강조색6 4 2 3 2 2 2" xfId="10036"/>
    <cellStyle name="20% - 강조색6 4 2 3 2 2 2 2" xfId="10037"/>
    <cellStyle name="20% - 강조색6 4 2 3 2 2 2 3" xfId="10038"/>
    <cellStyle name="20% - 강조색6 4 2 3 2 2 3" xfId="10039"/>
    <cellStyle name="20% - 강조색6 4 2 3 2 2 4" xfId="10040"/>
    <cellStyle name="20% - 강조색6 4 2 3 2 3" xfId="10041"/>
    <cellStyle name="20% - 강조색6 4 2 3 2 3 2" xfId="10042"/>
    <cellStyle name="20% - 강조색6 4 2 3 2 3 3" xfId="10043"/>
    <cellStyle name="20% - 강조색6 4 2 3 2 4" xfId="10044"/>
    <cellStyle name="20% - 강조색6 4 2 3 2 5" xfId="10045"/>
    <cellStyle name="20% - 강조색6 4 2 3 3" xfId="10046"/>
    <cellStyle name="20% - 강조색6 4 2 3 3 2" xfId="10047"/>
    <cellStyle name="20% - 강조색6 4 2 3 3 2 2" xfId="10048"/>
    <cellStyle name="20% - 강조색6 4 2 3 3 2 2 2" xfId="10049"/>
    <cellStyle name="20% - 강조색6 4 2 3 3 2 2 3" xfId="10050"/>
    <cellStyle name="20% - 강조색6 4 2 3 3 2 3" xfId="10051"/>
    <cellStyle name="20% - 강조색6 4 2 3 3 2 4" xfId="10052"/>
    <cellStyle name="20% - 강조색6 4 2 3 3 3" xfId="10053"/>
    <cellStyle name="20% - 강조색6 4 2 3 3 3 2" xfId="10054"/>
    <cellStyle name="20% - 강조색6 4 2 3 3 3 3" xfId="10055"/>
    <cellStyle name="20% - 강조색6 4 2 3 3 4" xfId="10056"/>
    <cellStyle name="20% - 강조색6 4 2 3 3 5" xfId="10057"/>
    <cellStyle name="20% - 강조색6 4 2 3 4" xfId="10058"/>
    <cellStyle name="20% - 강조색6 4 2 3 4 2" xfId="10059"/>
    <cellStyle name="20% - 강조색6 4 2 3 4 2 2" xfId="10060"/>
    <cellStyle name="20% - 강조색6 4 2 3 4 2 3" xfId="10061"/>
    <cellStyle name="20% - 강조색6 4 2 3 4 3" xfId="10062"/>
    <cellStyle name="20% - 강조색6 4 2 3 4 4" xfId="10063"/>
    <cellStyle name="20% - 강조색6 4 2 3 5" xfId="10064"/>
    <cellStyle name="20% - 강조색6 4 2 3 5 2" xfId="10065"/>
    <cellStyle name="20% - 강조색6 4 2 3 5 3" xfId="10066"/>
    <cellStyle name="20% - 강조색6 4 2 3 6" xfId="10067"/>
    <cellStyle name="20% - 강조색6 4 2 3 7" xfId="10068"/>
    <cellStyle name="20% - 강조색6 4 2 4" xfId="10069"/>
    <cellStyle name="20% - 강조색6 4 2 4 2" xfId="10070"/>
    <cellStyle name="20% - 강조색6 4 2 4 2 2" xfId="10071"/>
    <cellStyle name="20% - 강조색6 4 2 4 2 2 2" xfId="10072"/>
    <cellStyle name="20% - 강조색6 4 2 4 2 2 3" xfId="10073"/>
    <cellStyle name="20% - 강조색6 4 2 4 2 3" xfId="10074"/>
    <cellStyle name="20% - 강조색6 4 2 4 2 4" xfId="10075"/>
    <cellStyle name="20% - 강조색6 4 2 4 3" xfId="10076"/>
    <cellStyle name="20% - 강조색6 4 2 4 3 2" xfId="10077"/>
    <cellStyle name="20% - 강조색6 4 2 4 3 3" xfId="10078"/>
    <cellStyle name="20% - 강조색6 4 2 4 4" xfId="10079"/>
    <cellStyle name="20% - 강조색6 4 2 4 5" xfId="10080"/>
    <cellStyle name="20% - 강조색6 4 2 5" xfId="10081"/>
    <cellStyle name="20% - 강조색6 4 2 5 2" xfId="10082"/>
    <cellStyle name="20% - 강조색6 4 2 5 2 2" xfId="10083"/>
    <cellStyle name="20% - 강조색6 4 2 5 2 2 2" xfId="10084"/>
    <cellStyle name="20% - 강조색6 4 2 5 2 2 3" xfId="10085"/>
    <cellStyle name="20% - 강조색6 4 2 5 2 3" xfId="10086"/>
    <cellStyle name="20% - 강조색6 4 2 5 2 4" xfId="10087"/>
    <cellStyle name="20% - 강조색6 4 2 5 3" xfId="10088"/>
    <cellStyle name="20% - 강조색6 4 2 5 3 2" xfId="10089"/>
    <cellStyle name="20% - 강조색6 4 2 5 3 3" xfId="10090"/>
    <cellStyle name="20% - 강조색6 4 2 5 4" xfId="10091"/>
    <cellStyle name="20% - 강조색6 4 2 5 5" xfId="10092"/>
    <cellStyle name="20% - 강조색6 4 2 6" xfId="10093"/>
    <cellStyle name="20% - 강조색6 4 2 6 2" xfId="10094"/>
    <cellStyle name="20% - 강조색6 4 2 6 2 2" xfId="10095"/>
    <cellStyle name="20% - 강조색6 4 2 6 2 2 2" xfId="10096"/>
    <cellStyle name="20% - 강조색6 4 2 6 2 2 3" xfId="10097"/>
    <cellStyle name="20% - 강조색6 4 2 6 2 3" xfId="10098"/>
    <cellStyle name="20% - 강조색6 4 2 6 2 4" xfId="10099"/>
    <cellStyle name="20% - 강조색6 4 2 6 3" xfId="10100"/>
    <cellStyle name="20% - 강조색6 4 2 6 3 2" xfId="10101"/>
    <cellStyle name="20% - 강조색6 4 2 6 3 3" xfId="10102"/>
    <cellStyle name="20% - 강조색6 4 2 6 4" xfId="10103"/>
    <cellStyle name="20% - 강조색6 4 2 6 5" xfId="10104"/>
    <cellStyle name="20% - 강조색6 4 2 7" xfId="10105"/>
    <cellStyle name="20% - 강조색6 4 2 7 2" xfId="10106"/>
    <cellStyle name="20% - 강조색6 4 2 7 2 2" xfId="10107"/>
    <cellStyle name="20% - 강조색6 4 2 7 2 3" xfId="10108"/>
    <cellStyle name="20% - 강조색6 4 2 7 3" xfId="10109"/>
    <cellStyle name="20% - 강조색6 4 2 7 4" xfId="10110"/>
    <cellStyle name="20% - 강조색6 4 2 8" xfId="10111"/>
    <cellStyle name="20% - 강조색6 4 2 8 2" xfId="10112"/>
    <cellStyle name="20% - 강조색6 4 2 8 3" xfId="10113"/>
    <cellStyle name="20% - 강조색6 4 2 9" xfId="10114"/>
    <cellStyle name="20% - 강조색6 4 3" xfId="10115"/>
    <cellStyle name="20% - 강조색6 4 3 10" xfId="10116"/>
    <cellStyle name="20% - 강조색6 4 3 2" xfId="10117"/>
    <cellStyle name="20% - 강조색6 4 3 2 2" xfId="10118"/>
    <cellStyle name="20% - 강조색6 4 3 2 2 2" xfId="10119"/>
    <cellStyle name="20% - 강조색6 4 3 2 2 2 2" xfId="10120"/>
    <cellStyle name="20% - 강조색6 4 3 2 2 2 2 2" xfId="10121"/>
    <cellStyle name="20% - 강조색6 4 3 2 2 2 2 3" xfId="10122"/>
    <cellStyle name="20% - 강조색6 4 3 2 2 2 3" xfId="10123"/>
    <cellStyle name="20% - 강조색6 4 3 2 2 2 4" xfId="10124"/>
    <cellStyle name="20% - 강조색6 4 3 2 2 3" xfId="10125"/>
    <cellStyle name="20% - 강조색6 4 3 2 2 3 2" xfId="10126"/>
    <cellStyle name="20% - 강조색6 4 3 2 2 3 3" xfId="10127"/>
    <cellStyle name="20% - 강조색6 4 3 2 2 4" xfId="10128"/>
    <cellStyle name="20% - 강조색6 4 3 2 2 5" xfId="10129"/>
    <cellStyle name="20% - 강조색6 4 3 2 3" xfId="10130"/>
    <cellStyle name="20% - 강조색6 4 3 2 3 2" xfId="10131"/>
    <cellStyle name="20% - 강조색6 4 3 2 3 2 2" xfId="10132"/>
    <cellStyle name="20% - 강조색6 4 3 2 3 2 2 2" xfId="10133"/>
    <cellStyle name="20% - 강조색6 4 3 2 3 2 2 3" xfId="10134"/>
    <cellStyle name="20% - 강조색6 4 3 2 3 2 3" xfId="10135"/>
    <cellStyle name="20% - 강조색6 4 3 2 3 2 4" xfId="10136"/>
    <cellStyle name="20% - 강조색6 4 3 2 3 3" xfId="10137"/>
    <cellStyle name="20% - 강조색6 4 3 2 3 3 2" xfId="10138"/>
    <cellStyle name="20% - 강조색6 4 3 2 3 3 3" xfId="10139"/>
    <cellStyle name="20% - 강조색6 4 3 2 3 4" xfId="10140"/>
    <cellStyle name="20% - 강조색6 4 3 2 3 5" xfId="10141"/>
    <cellStyle name="20% - 강조색6 4 3 2 4" xfId="10142"/>
    <cellStyle name="20% - 강조색6 4 3 2 4 2" xfId="10143"/>
    <cellStyle name="20% - 강조색6 4 3 2 4 2 2" xfId="10144"/>
    <cellStyle name="20% - 강조색6 4 3 2 4 2 3" xfId="10145"/>
    <cellStyle name="20% - 강조색6 4 3 2 4 3" xfId="10146"/>
    <cellStyle name="20% - 강조색6 4 3 2 4 4" xfId="10147"/>
    <cellStyle name="20% - 강조색6 4 3 2 5" xfId="10148"/>
    <cellStyle name="20% - 강조색6 4 3 2 5 2" xfId="10149"/>
    <cellStyle name="20% - 강조색6 4 3 2 5 3" xfId="10150"/>
    <cellStyle name="20% - 강조색6 4 3 2 6" xfId="10151"/>
    <cellStyle name="20% - 강조색6 4 3 2 7" xfId="10152"/>
    <cellStyle name="20% - 강조색6 4 3 3" xfId="10153"/>
    <cellStyle name="20% - 강조색6 4 3 3 2" xfId="10154"/>
    <cellStyle name="20% - 강조색6 4 3 3 2 2" xfId="10155"/>
    <cellStyle name="20% - 강조색6 4 3 3 2 2 2" xfId="10156"/>
    <cellStyle name="20% - 강조색6 4 3 3 2 2 2 2" xfId="10157"/>
    <cellStyle name="20% - 강조색6 4 3 3 2 2 2 3" xfId="10158"/>
    <cellStyle name="20% - 강조색6 4 3 3 2 2 3" xfId="10159"/>
    <cellStyle name="20% - 강조색6 4 3 3 2 2 4" xfId="10160"/>
    <cellStyle name="20% - 강조색6 4 3 3 2 3" xfId="10161"/>
    <cellStyle name="20% - 강조색6 4 3 3 2 3 2" xfId="10162"/>
    <cellStyle name="20% - 강조색6 4 3 3 2 3 3" xfId="10163"/>
    <cellStyle name="20% - 강조색6 4 3 3 2 4" xfId="10164"/>
    <cellStyle name="20% - 강조색6 4 3 3 2 5" xfId="10165"/>
    <cellStyle name="20% - 강조색6 4 3 3 3" xfId="10166"/>
    <cellStyle name="20% - 강조색6 4 3 3 3 2" xfId="10167"/>
    <cellStyle name="20% - 강조색6 4 3 3 3 2 2" xfId="10168"/>
    <cellStyle name="20% - 강조색6 4 3 3 3 2 2 2" xfId="10169"/>
    <cellStyle name="20% - 강조색6 4 3 3 3 2 2 3" xfId="10170"/>
    <cellStyle name="20% - 강조색6 4 3 3 3 2 3" xfId="10171"/>
    <cellStyle name="20% - 강조색6 4 3 3 3 2 4" xfId="10172"/>
    <cellStyle name="20% - 강조색6 4 3 3 3 3" xfId="10173"/>
    <cellStyle name="20% - 강조색6 4 3 3 3 3 2" xfId="10174"/>
    <cellStyle name="20% - 강조색6 4 3 3 3 3 3" xfId="10175"/>
    <cellStyle name="20% - 강조색6 4 3 3 3 4" xfId="10176"/>
    <cellStyle name="20% - 강조색6 4 3 3 3 5" xfId="10177"/>
    <cellStyle name="20% - 강조색6 4 3 3 4" xfId="10178"/>
    <cellStyle name="20% - 강조색6 4 3 3 4 2" xfId="10179"/>
    <cellStyle name="20% - 강조색6 4 3 3 4 2 2" xfId="10180"/>
    <cellStyle name="20% - 강조색6 4 3 3 4 2 3" xfId="10181"/>
    <cellStyle name="20% - 강조색6 4 3 3 4 3" xfId="10182"/>
    <cellStyle name="20% - 강조색6 4 3 3 4 4" xfId="10183"/>
    <cellStyle name="20% - 강조색6 4 3 3 5" xfId="10184"/>
    <cellStyle name="20% - 강조색6 4 3 3 5 2" xfId="10185"/>
    <cellStyle name="20% - 강조색6 4 3 3 5 3" xfId="10186"/>
    <cellStyle name="20% - 강조색6 4 3 3 6" xfId="10187"/>
    <cellStyle name="20% - 강조색6 4 3 3 7" xfId="10188"/>
    <cellStyle name="20% - 강조색6 4 3 4" xfId="10189"/>
    <cellStyle name="20% - 강조색6 4 3 4 2" xfId="10190"/>
    <cellStyle name="20% - 강조색6 4 3 4 2 2" xfId="10191"/>
    <cellStyle name="20% - 강조색6 4 3 4 2 2 2" xfId="10192"/>
    <cellStyle name="20% - 강조색6 4 3 4 2 2 3" xfId="10193"/>
    <cellStyle name="20% - 강조색6 4 3 4 2 3" xfId="10194"/>
    <cellStyle name="20% - 강조색6 4 3 4 2 4" xfId="10195"/>
    <cellStyle name="20% - 강조색6 4 3 4 3" xfId="10196"/>
    <cellStyle name="20% - 강조색6 4 3 4 3 2" xfId="10197"/>
    <cellStyle name="20% - 강조색6 4 3 4 3 3" xfId="10198"/>
    <cellStyle name="20% - 강조색6 4 3 4 4" xfId="10199"/>
    <cellStyle name="20% - 강조색6 4 3 4 5" xfId="10200"/>
    <cellStyle name="20% - 강조색6 4 3 5" xfId="10201"/>
    <cellStyle name="20% - 강조색6 4 3 5 2" xfId="10202"/>
    <cellStyle name="20% - 강조색6 4 3 5 2 2" xfId="10203"/>
    <cellStyle name="20% - 강조색6 4 3 5 2 2 2" xfId="10204"/>
    <cellStyle name="20% - 강조색6 4 3 5 2 2 3" xfId="10205"/>
    <cellStyle name="20% - 강조색6 4 3 5 2 3" xfId="10206"/>
    <cellStyle name="20% - 강조색6 4 3 5 2 4" xfId="10207"/>
    <cellStyle name="20% - 강조색6 4 3 5 3" xfId="10208"/>
    <cellStyle name="20% - 강조색6 4 3 5 3 2" xfId="10209"/>
    <cellStyle name="20% - 강조색6 4 3 5 3 3" xfId="10210"/>
    <cellStyle name="20% - 강조색6 4 3 5 4" xfId="10211"/>
    <cellStyle name="20% - 강조색6 4 3 5 5" xfId="10212"/>
    <cellStyle name="20% - 강조색6 4 3 6" xfId="10213"/>
    <cellStyle name="20% - 강조색6 4 3 6 2" xfId="10214"/>
    <cellStyle name="20% - 강조색6 4 3 6 2 2" xfId="10215"/>
    <cellStyle name="20% - 강조색6 4 3 6 2 2 2" xfId="10216"/>
    <cellStyle name="20% - 강조색6 4 3 6 2 2 3" xfId="10217"/>
    <cellStyle name="20% - 강조색6 4 3 6 2 3" xfId="10218"/>
    <cellStyle name="20% - 강조색6 4 3 6 2 4" xfId="10219"/>
    <cellStyle name="20% - 강조색6 4 3 6 3" xfId="10220"/>
    <cellStyle name="20% - 강조색6 4 3 6 3 2" xfId="10221"/>
    <cellStyle name="20% - 강조색6 4 3 6 3 3" xfId="10222"/>
    <cellStyle name="20% - 강조색6 4 3 6 4" xfId="10223"/>
    <cellStyle name="20% - 강조색6 4 3 6 5" xfId="10224"/>
    <cellStyle name="20% - 강조색6 4 3 7" xfId="10225"/>
    <cellStyle name="20% - 강조색6 4 3 7 2" xfId="10226"/>
    <cellStyle name="20% - 강조색6 4 3 7 2 2" xfId="10227"/>
    <cellStyle name="20% - 강조색6 4 3 7 2 3" xfId="10228"/>
    <cellStyle name="20% - 강조색6 4 3 7 3" xfId="10229"/>
    <cellStyle name="20% - 강조색6 4 3 7 4" xfId="10230"/>
    <cellStyle name="20% - 강조색6 4 3 8" xfId="10231"/>
    <cellStyle name="20% - 강조색6 4 3 8 2" xfId="10232"/>
    <cellStyle name="20% - 강조색6 4 3 8 3" xfId="10233"/>
    <cellStyle name="20% - 강조색6 4 3 9" xfId="10234"/>
    <cellStyle name="20% - 강조색6 4 4" xfId="10235"/>
    <cellStyle name="20% - 강조색6 4 4 10" xfId="10236"/>
    <cellStyle name="20% - 강조색6 4 4 2" xfId="10237"/>
    <cellStyle name="20% - 강조색6 4 4 2 2" xfId="10238"/>
    <cellStyle name="20% - 강조색6 4 4 2 2 2" xfId="10239"/>
    <cellStyle name="20% - 강조색6 4 4 2 2 2 2" xfId="10240"/>
    <cellStyle name="20% - 강조색6 4 4 2 2 2 2 2" xfId="10241"/>
    <cellStyle name="20% - 강조색6 4 4 2 2 2 2 3" xfId="10242"/>
    <cellStyle name="20% - 강조색6 4 4 2 2 2 3" xfId="10243"/>
    <cellStyle name="20% - 강조색6 4 4 2 2 2 4" xfId="10244"/>
    <cellStyle name="20% - 강조색6 4 4 2 2 3" xfId="10245"/>
    <cellStyle name="20% - 강조색6 4 4 2 2 3 2" xfId="10246"/>
    <cellStyle name="20% - 강조색6 4 4 2 2 3 3" xfId="10247"/>
    <cellStyle name="20% - 강조색6 4 4 2 2 4" xfId="10248"/>
    <cellStyle name="20% - 강조색6 4 4 2 2 5" xfId="10249"/>
    <cellStyle name="20% - 강조색6 4 4 2 3" xfId="10250"/>
    <cellStyle name="20% - 강조색6 4 4 2 3 2" xfId="10251"/>
    <cellStyle name="20% - 강조색6 4 4 2 3 2 2" xfId="10252"/>
    <cellStyle name="20% - 강조색6 4 4 2 3 2 2 2" xfId="10253"/>
    <cellStyle name="20% - 강조색6 4 4 2 3 2 2 3" xfId="10254"/>
    <cellStyle name="20% - 강조색6 4 4 2 3 2 3" xfId="10255"/>
    <cellStyle name="20% - 강조색6 4 4 2 3 2 4" xfId="10256"/>
    <cellStyle name="20% - 강조색6 4 4 2 3 3" xfId="10257"/>
    <cellStyle name="20% - 강조색6 4 4 2 3 3 2" xfId="10258"/>
    <cellStyle name="20% - 강조색6 4 4 2 3 3 3" xfId="10259"/>
    <cellStyle name="20% - 강조색6 4 4 2 3 4" xfId="10260"/>
    <cellStyle name="20% - 강조색6 4 4 2 3 5" xfId="10261"/>
    <cellStyle name="20% - 강조색6 4 4 2 4" xfId="10262"/>
    <cellStyle name="20% - 강조색6 4 4 2 4 2" xfId="10263"/>
    <cellStyle name="20% - 강조색6 4 4 2 4 2 2" xfId="10264"/>
    <cellStyle name="20% - 강조색6 4 4 2 4 2 3" xfId="10265"/>
    <cellStyle name="20% - 강조색6 4 4 2 4 3" xfId="10266"/>
    <cellStyle name="20% - 강조색6 4 4 2 4 4" xfId="10267"/>
    <cellStyle name="20% - 강조색6 4 4 2 5" xfId="10268"/>
    <cellStyle name="20% - 강조색6 4 4 2 5 2" xfId="10269"/>
    <cellStyle name="20% - 강조색6 4 4 2 5 3" xfId="10270"/>
    <cellStyle name="20% - 강조색6 4 4 2 6" xfId="10271"/>
    <cellStyle name="20% - 강조색6 4 4 2 7" xfId="10272"/>
    <cellStyle name="20% - 강조색6 4 4 3" xfId="10273"/>
    <cellStyle name="20% - 강조색6 4 4 3 2" xfId="10274"/>
    <cellStyle name="20% - 강조색6 4 4 3 2 2" xfId="10275"/>
    <cellStyle name="20% - 강조색6 4 4 3 2 2 2" xfId="10276"/>
    <cellStyle name="20% - 강조색6 4 4 3 2 2 2 2" xfId="10277"/>
    <cellStyle name="20% - 강조색6 4 4 3 2 2 2 3" xfId="10278"/>
    <cellStyle name="20% - 강조색6 4 4 3 2 2 3" xfId="10279"/>
    <cellStyle name="20% - 강조색6 4 4 3 2 2 4" xfId="10280"/>
    <cellStyle name="20% - 강조색6 4 4 3 2 3" xfId="10281"/>
    <cellStyle name="20% - 강조색6 4 4 3 2 3 2" xfId="10282"/>
    <cellStyle name="20% - 강조색6 4 4 3 2 3 3" xfId="10283"/>
    <cellStyle name="20% - 강조색6 4 4 3 2 4" xfId="10284"/>
    <cellStyle name="20% - 강조색6 4 4 3 2 5" xfId="10285"/>
    <cellStyle name="20% - 강조색6 4 4 3 3" xfId="10286"/>
    <cellStyle name="20% - 강조색6 4 4 3 3 2" xfId="10287"/>
    <cellStyle name="20% - 강조색6 4 4 3 3 2 2" xfId="10288"/>
    <cellStyle name="20% - 강조색6 4 4 3 3 2 2 2" xfId="10289"/>
    <cellStyle name="20% - 강조색6 4 4 3 3 2 2 3" xfId="10290"/>
    <cellStyle name="20% - 강조색6 4 4 3 3 2 3" xfId="10291"/>
    <cellStyle name="20% - 강조색6 4 4 3 3 2 4" xfId="10292"/>
    <cellStyle name="20% - 강조색6 4 4 3 3 3" xfId="10293"/>
    <cellStyle name="20% - 강조색6 4 4 3 3 3 2" xfId="10294"/>
    <cellStyle name="20% - 강조색6 4 4 3 3 3 3" xfId="10295"/>
    <cellStyle name="20% - 강조색6 4 4 3 3 4" xfId="10296"/>
    <cellStyle name="20% - 강조색6 4 4 3 3 5" xfId="10297"/>
    <cellStyle name="20% - 강조색6 4 4 3 4" xfId="10298"/>
    <cellStyle name="20% - 강조색6 4 4 3 4 2" xfId="10299"/>
    <cellStyle name="20% - 강조색6 4 4 3 4 2 2" xfId="10300"/>
    <cellStyle name="20% - 강조색6 4 4 3 4 2 3" xfId="10301"/>
    <cellStyle name="20% - 강조색6 4 4 3 4 3" xfId="10302"/>
    <cellStyle name="20% - 강조색6 4 4 3 4 4" xfId="10303"/>
    <cellStyle name="20% - 강조색6 4 4 3 5" xfId="10304"/>
    <cellStyle name="20% - 강조색6 4 4 3 5 2" xfId="10305"/>
    <cellStyle name="20% - 강조색6 4 4 3 5 3" xfId="10306"/>
    <cellStyle name="20% - 강조색6 4 4 3 6" xfId="10307"/>
    <cellStyle name="20% - 강조색6 4 4 3 7" xfId="10308"/>
    <cellStyle name="20% - 강조색6 4 4 4" xfId="10309"/>
    <cellStyle name="20% - 강조색6 4 4 4 2" xfId="10310"/>
    <cellStyle name="20% - 강조색6 4 4 4 2 2" xfId="10311"/>
    <cellStyle name="20% - 강조색6 4 4 4 2 2 2" xfId="10312"/>
    <cellStyle name="20% - 강조색6 4 4 4 2 2 3" xfId="10313"/>
    <cellStyle name="20% - 강조색6 4 4 4 2 3" xfId="10314"/>
    <cellStyle name="20% - 강조색6 4 4 4 2 4" xfId="10315"/>
    <cellStyle name="20% - 강조색6 4 4 4 3" xfId="10316"/>
    <cellStyle name="20% - 강조색6 4 4 4 3 2" xfId="10317"/>
    <cellStyle name="20% - 강조색6 4 4 4 3 3" xfId="10318"/>
    <cellStyle name="20% - 강조색6 4 4 4 4" xfId="10319"/>
    <cellStyle name="20% - 강조색6 4 4 4 5" xfId="10320"/>
    <cellStyle name="20% - 강조색6 4 4 5" xfId="10321"/>
    <cellStyle name="20% - 강조색6 4 4 5 2" xfId="10322"/>
    <cellStyle name="20% - 강조색6 4 4 5 2 2" xfId="10323"/>
    <cellStyle name="20% - 강조색6 4 4 5 2 2 2" xfId="10324"/>
    <cellStyle name="20% - 강조색6 4 4 5 2 2 3" xfId="10325"/>
    <cellStyle name="20% - 강조색6 4 4 5 2 3" xfId="10326"/>
    <cellStyle name="20% - 강조색6 4 4 5 2 4" xfId="10327"/>
    <cellStyle name="20% - 강조색6 4 4 5 3" xfId="10328"/>
    <cellStyle name="20% - 강조색6 4 4 5 3 2" xfId="10329"/>
    <cellStyle name="20% - 강조색6 4 4 5 3 3" xfId="10330"/>
    <cellStyle name="20% - 강조색6 4 4 5 4" xfId="10331"/>
    <cellStyle name="20% - 강조색6 4 4 5 5" xfId="10332"/>
    <cellStyle name="20% - 강조색6 4 4 6" xfId="10333"/>
    <cellStyle name="20% - 강조색6 4 4 6 2" xfId="10334"/>
    <cellStyle name="20% - 강조색6 4 4 6 2 2" xfId="10335"/>
    <cellStyle name="20% - 강조색6 4 4 6 2 2 2" xfId="10336"/>
    <cellStyle name="20% - 강조색6 4 4 6 2 2 3" xfId="10337"/>
    <cellStyle name="20% - 강조색6 4 4 6 2 3" xfId="10338"/>
    <cellStyle name="20% - 강조색6 4 4 6 2 4" xfId="10339"/>
    <cellStyle name="20% - 강조색6 4 4 6 3" xfId="10340"/>
    <cellStyle name="20% - 강조색6 4 4 6 3 2" xfId="10341"/>
    <cellStyle name="20% - 강조색6 4 4 6 3 3" xfId="10342"/>
    <cellStyle name="20% - 강조색6 4 4 6 4" xfId="10343"/>
    <cellStyle name="20% - 강조색6 4 4 6 5" xfId="10344"/>
    <cellStyle name="20% - 강조색6 4 4 7" xfId="10345"/>
    <cellStyle name="20% - 강조색6 4 4 7 2" xfId="10346"/>
    <cellStyle name="20% - 강조색6 4 4 7 2 2" xfId="10347"/>
    <cellStyle name="20% - 강조색6 4 4 7 2 3" xfId="10348"/>
    <cellStyle name="20% - 강조색6 4 4 7 3" xfId="10349"/>
    <cellStyle name="20% - 강조색6 4 4 7 4" xfId="10350"/>
    <cellStyle name="20% - 강조색6 4 4 8" xfId="10351"/>
    <cellStyle name="20% - 강조색6 4 4 8 2" xfId="10352"/>
    <cellStyle name="20% - 강조색6 4 4 8 3" xfId="10353"/>
    <cellStyle name="20% - 강조색6 4 4 9" xfId="10354"/>
    <cellStyle name="20% - 강조색6 4 5" xfId="10355"/>
    <cellStyle name="20% - 강조색6 4 5 2" xfId="10356"/>
    <cellStyle name="20% - 강조색6 4 5 2 2" xfId="10357"/>
    <cellStyle name="20% - 강조색6 4 5 2 2 2" xfId="10358"/>
    <cellStyle name="20% - 강조색6 4 5 2 2 2 2" xfId="10359"/>
    <cellStyle name="20% - 강조색6 4 5 2 2 2 3" xfId="10360"/>
    <cellStyle name="20% - 강조색6 4 5 2 2 3" xfId="10361"/>
    <cellStyle name="20% - 강조색6 4 5 2 2 4" xfId="10362"/>
    <cellStyle name="20% - 강조색6 4 5 2 3" xfId="10363"/>
    <cellStyle name="20% - 강조색6 4 5 2 3 2" xfId="10364"/>
    <cellStyle name="20% - 강조색6 4 5 2 3 3" xfId="10365"/>
    <cellStyle name="20% - 강조색6 4 5 2 4" xfId="10366"/>
    <cellStyle name="20% - 강조색6 4 5 2 5" xfId="10367"/>
    <cellStyle name="20% - 강조색6 4 5 3" xfId="10368"/>
    <cellStyle name="20% - 강조색6 4 5 3 2" xfId="10369"/>
    <cellStyle name="20% - 강조색6 4 5 3 2 2" xfId="10370"/>
    <cellStyle name="20% - 강조색6 4 5 3 2 2 2" xfId="10371"/>
    <cellStyle name="20% - 강조색6 4 5 3 2 2 3" xfId="10372"/>
    <cellStyle name="20% - 강조색6 4 5 3 2 3" xfId="10373"/>
    <cellStyle name="20% - 강조색6 4 5 3 2 4" xfId="10374"/>
    <cellStyle name="20% - 강조색6 4 5 3 3" xfId="10375"/>
    <cellStyle name="20% - 강조색6 4 5 3 3 2" xfId="10376"/>
    <cellStyle name="20% - 강조색6 4 5 3 3 3" xfId="10377"/>
    <cellStyle name="20% - 강조색6 4 5 3 4" xfId="10378"/>
    <cellStyle name="20% - 강조색6 4 5 3 5" xfId="10379"/>
    <cellStyle name="20% - 강조색6 4 5 4" xfId="10380"/>
    <cellStyle name="20% - 강조색6 4 5 4 2" xfId="10381"/>
    <cellStyle name="20% - 강조색6 4 5 4 2 2" xfId="10382"/>
    <cellStyle name="20% - 강조색6 4 5 4 2 3" xfId="10383"/>
    <cellStyle name="20% - 강조색6 4 5 4 3" xfId="10384"/>
    <cellStyle name="20% - 강조색6 4 5 4 4" xfId="10385"/>
    <cellStyle name="20% - 강조색6 4 5 5" xfId="10386"/>
    <cellStyle name="20% - 강조색6 4 5 5 2" xfId="10387"/>
    <cellStyle name="20% - 강조색6 4 5 5 3" xfId="10388"/>
    <cellStyle name="20% - 강조색6 4 5 6" xfId="10389"/>
    <cellStyle name="20% - 강조색6 4 5 7" xfId="10390"/>
    <cellStyle name="20% - 강조색6 4 6" xfId="10391"/>
    <cellStyle name="20% - 강조색6 4 6 2" xfId="10392"/>
    <cellStyle name="20% - 강조색6 4 6 2 2" xfId="10393"/>
    <cellStyle name="20% - 강조색6 4 6 2 2 2" xfId="10394"/>
    <cellStyle name="20% - 강조색6 4 6 2 2 2 2" xfId="10395"/>
    <cellStyle name="20% - 강조색6 4 6 2 2 2 3" xfId="10396"/>
    <cellStyle name="20% - 강조색6 4 6 2 2 3" xfId="10397"/>
    <cellStyle name="20% - 강조색6 4 6 2 2 4" xfId="10398"/>
    <cellStyle name="20% - 강조색6 4 6 2 3" xfId="10399"/>
    <cellStyle name="20% - 강조색6 4 6 2 3 2" xfId="10400"/>
    <cellStyle name="20% - 강조색6 4 6 2 3 3" xfId="10401"/>
    <cellStyle name="20% - 강조색6 4 6 2 4" xfId="10402"/>
    <cellStyle name="20% - 강조색6 4 6 2 5" xfId="10403"/>
    <cellStyle name="20% - 강조색6 4 6 3" xfId="10404"/>
    <cellStyle name="20% - 강조색6 4 6 3 2" xfId="10405"/>
    <cellStyle name="20% - 강조색6 4 6 3 2 2" xfId="10406"/>
    <cellStyle name="20% - 강조색6 4 6 3 2 2 2" xfId="10407"/>
    <cellStyle name="20% - 강조색6 4 6 3 2 2 3" xfId="10408"/>
    <cellStyle name="20% - 강조색6 4 6 3 2 3" xfId="10409"/>
    <cellStyle name="20% - 강조색6 4 6 3 2 4" xfId="10410"/>
    <cellStyle name="20% - 강조색6 4 6 3 3" xfId="10411"/>
    <cellStyle name="20% - 강조색6 4 6 3 3 2" xfId="10412"/>
    <cellStyle name="20% - 강조색6 4 6 3 3 3" xfId="10413"/>
    <cellStyle name="20% - 강조색6 4 6 3 4" xfId="10414"/>
    <cellStyle name="20% - 강조색6 4 6 3 5" xfId="10415"/>
    <cellStyle name="20% - 강조색6 4 6 4" xfId="10416"/>
    <cellStyle name="20% - 강조색6 4 6 4 2" xfId="10417"/>
    <cellStyle name="20% - 강조색6 4 6 4 2 2" xfId="10418"/>
    <cellStyle name="20% - 강조색6 4 6 4 2 3" xfId="10419"/>
    <cellStyle name="20% - 강조색6 4 6 4 3" xfId="10420"/>
    <cellStyle name="20% - 강조색6 4 6 4 4" xfId="10421"/>
    <cellStyle name="20% - 강조색6 4 6 5" xfId="10422"/>
    <cellStyle name="20% - 강조색6 4 6 5 2" xfId="10423"/>
    <cellStyle name="20% - 강조색6 4 6 5 3" xfId="10424"/>
    <cellStyle name="20% - 강조색6 4 6 6" xfId="10425"/>
    <cellStyle name="20% - 강조색6 4 6 7" xfId="10426"/>
    <cellStyle name="20% - 강조색6 4 7" xfId="10427"/>
    <cellStyle name="20% - 강조색6 4 7 2" xfId="10428"/>
    <cellStyle name="20% - 강조색6 4 7 2 2" xfId="10429"/>
    <cellStyle name="20% - 강조색6 4 7 2 2 2" xfId="10430"/>
    <cellStyle name="20% - 강조색6 4 7 2 2 3" xfId="10431"/>
    <cellStyle name="20% - 강조색6 4 7 2 3" xfId="10432"/>
    <cellStyle name="20% - 강조색6 4 7 2 4" xfId="10433"/>
    <cellStyle name="20% - 강조색6 4 7 3" xfId="10434"/>
    <cellStyle name="20% - 강조색6 4 7 3 2" xfId="10435"/>
    <cellStyle name="20% - 강조색6 4 7 3 3" xfId="10436"/>
    <cellStyle name="20% - 강조색6 4 7 4" xfId="10437"/>
    <cellStyle name="20% - 강조색6 4 7 5" xfId="10438"/>
    <cellStyle name="20% - 강조색6 4 8" xfId="10439"/>
    <cellStyle name="20% - 강조색6 4 8 2" xfId="10440"/>
    <cellStyle name="20% - 강조색6 4 8 2 2" xfId="10441"/>
    <cellStyle name="20% - 강조색6 4 8 2 2 2" xfId="10442"/>
    <cellStyle name="20% - 강조색6 4 8 2 2 3" xfId="10443"/>
    <cellStyle name="20% - 강조색6 4 8 2 3" xfId="10444"/>
    <cellStyle name="20% - 강조색6 4 8 2 4" xfId="10445"/>
    <cellStyle name="20% - 강조색6 4 8 3" xfId="10446"/>
    <cellStyle name="20% - 강조색6 4 8 3 2" xfId="10447"/>
    <cellStyle name="20% - 강조색6 4 8 3 3" xfId="10448"/>
    <cellStyle name="20% - 강조색6 4 8 4" xfId="10449"/>
    <cellStyle name="20% - 강조색6 4 8 5" xfId="10450"/>
    <cellStyle name="20% - 강조색6 4 9" xfId="10451"/>
    <cellStyle name="20% - 강조색6 4 9 2" xfId="10452"/>
    <cellStyle name="20% - 강조색6 4 9 2 2" xfId="10453"/>
    <cellStyle name="20% - 강조색6 4 9 2 2 2" xfId="10454"/>
    <cellStyle name="20% - 강조색6 4 9 2 2 3" xfId="10455"/>
    <cellStyle name="20% - 강조색6 4 9 2 3" xfId="10456"/>
    <cellStyle name="20% - 강조색6 4 9 2 4" xfId="10457"/>
    <cellStyle name="20% - 강조색6 4 9 3" xfId="10458"/>
    <cellStyle name="20% - 강조색6 4 9 3 2" xfId="10459"/>
    <cellStyle name="20% - 강조색6 4 9 3 3" xfId="10460"/>
    <cellStyle name="20% - 강조색6 4 9 4" xfId="10461"/>
    <cellStyle name="20% - 강조색6 4 9 5" xfId="10462"/>
    <cellStyle name="20% - 강조색6 40" xfId="10463"/>
    <cellStyle name="20% - 강조색6 41" xfId="10464"/>
    <cellStyle name="20% - 강조색6 42" xfId="10465"/>
    <cellStyle name="20% - 강조색6 43" xfId="10466"/>
    <cellStyle name="20% - 강조색6 44" xfId="10467"/>
    <cellStyle name="20% - 강조색6 45" xfId="10468"/>
    <cellStyle name="20% - 강조색6 46" xfId="10469"/>
    <cellStyle name="20% - 강조색6 47" xfId="10470"/>
    <cellStyle name="20% - 강조색6 48" xfId="10471"/>
    <cellStyle name="20% - 강조색6 49" xfId="10472"/>
    <cellStyle name="20% - 강조색6 5" xfId="10473"/>
    <cellStyle name="20% - 강조색6 5 10" xfId="10474"/>
    <cellStyle name="20% - 강조색6 5 11" xfId="10475"/>
    <cellStyle name="20% - 강조색6 5 2" xfId="10476"/>
    <cellStyle name="20% - 강조색6 5 2 2" xfId="10477"/>
    <cellStyle name="20% - 강조색6 5 2 2 2" xfId="10478"/>
    <cellStyle name="20% - 강조색6 5 2 2 2 2" xfId="10479"/>
    <cellStyle name="20% - 강조색6 5 2 2 2 2 2" xfId="10480"/>
    <cellStyle name="20% - 강조색6 5 2 2 2 2 3" xfId="10481"/>
    <cellStyle name="20% - 강조색6 5 2 2 2 3" xfId="10482"/>
    <cellStyle name="20% - 강조색6 5 2 2 2 4" xfId="10483"/>
    <cellStyle name="20% - 강조색6 5 2 2 3" xfId="10484"/>
    <cellStyle name="20% - 강조색6 5 2 2 3 2" xfId="10485"/>
    <cellStyle name="20% - 강조색6 5 2 2 3 3" xfId="10486"/>
    <cellStyle name="20% - 강조색6 5 2 2 4" xfId="10487"/>
    <cellStyle name="20% - 강조색6 5 2 2 5" xfId="10488"/>
    <cellStyle name="20% - 강조색6 5 2 3" xfId="10489"/>
    <cellStyle name="20% - 강조색6 5 2 3 2" xfId="10490"/>
    <cellStyle name="20% - 강조색6 5 2 3 2 2" xfId="10491"/>
    <cellStyle name="20% - 강조색6 5 2 3 2 2 2" xfId="10492"/>
    <cellStyle name="20% - 강조색6 5 2 3 2 2 3" xfId="10493"/>
    <cellStyle name="20% - 강조색6 5 2 3 2 3" xfId="10494"/>
    <cellStyle name="20% - 강조색6 5 2 3 2 4" xfId="10495"/>
    <cellStyle name="20% - 강조색6 5 2 3 3" xfId="10496"/>
    <cellStyle name="20% - 강조색6 5 2 3 3 2" xfId="10497"/>
    <cellStyle name="20% - 강조색6 5 2 3 3 3" xfId="10498"/>
    <cellStyle name="20% - 강조색6 5 2 3 4" xfId="10499"/>
    <cellStyle name="20% - 강조색6 5 2 3 5" xfId="10500"/>
    <cellStyle name="20% - 강조색6 5 2 4" xfId="10501"/>
    <cellStyle name="20% - 강조색6 5 2 4 2" xfId="10502"/>
    <cellStyle name="20% - 강조색6 5 2 4 2 2" xfId="10503"/>
    <cellStyle name="20% - 강조색6 5 2 4 2 3" xfId="10504"/>
    <cellStyle name="20% - 강조색6 5 2 4 3" xfId="10505"/>
    <cellStyle name="20% - 강조색6 5 2 4 4" xfId="10506"/>
    <cellStyle name="20% - 강조색6 5 2 5" xfId="10507"/>
    <cellStyle name="20% - 강조색6 5 2 5 2" xfId="10508"/>
    <cellStyle name="20% - 강조색6 5 2 5 3" xfId="10509"/>
    <cellStyle name="20% - 강조색6 5 2 6" xfId="10510"/>
    <cellStyle name="20% - 강조색6 5 2 7" xfId="10511"/>
    <cellStyle name="20% - 강조색6 5 3" xfId="10512"/>
    <cellStyle name="20% - 강조색6 5 3 2" xfId="10513"/>
    <cellStyle name="20% - 강조색6 5 3 2 2" xfId="10514"/>
    <cellStyle name="20% - 강조색6 5 3 2 2 2" xfId="10515"/>
    <cellStyle name="20% - 강조색6 5 3 2 2 2 2" xfId="10516"/>
    <cellStyle name="20% - 강조색6 5 3 2 2 2 3" xfId="10517"/>
    <cellStyle name="20% - 강조색6 5 3 2 2 3" xfId="10518"/>
    <cellStyle name="20% - 강조색6 5 3 2 2 4" xfId="10519"/>
    <cellStyle name="20% - 강조색6 5 3 2 3" xfId="10520"/>
    <cellStyle name="20% - 강조색6 5 3 2 3 2" xfId="10521"/>
    <cellStyle name="20% - 강조색6 5 3 2 3 3" xfId="10522"/>
    <cellStyle name="20% - 강조색6 5 3 2 4" xfId="10523"/>
    <cellStyle name="20% - 강조색6 5 3 2 5" xfId="10524"/>
    <cellStyle name="20% - 강조색6 5 3 3" xfId="10525"/>
    <cellStyle name="20% - 강조색6 5 3 3 2" xfId="10526"/>
    <cellStyle name="20% - 강조색6 5 3 3 2 2" xfId="10527"/>
    <cellStyle name="20% - 강조색6 5 3 3 2 2 2" xfId="10528"/>
    <cellStyle name="20% - 강조색6 5 3 3 2 2 3" xfId="10529"/>
    <cellStyle name="20% - 강조색6 5 3 3 2 3" xfId="10530"/>
    <cellStyle name="20% - 강조색6 5 3 3 2 4" xfId="10531"/>
    <cellStyle name="20% - 강조색6 5 3 3 3" xfId="10532"/>
    <cellStyle name="20% - 강조색6 5 3 3 3 2" xfId="10533"/>
    <cellStyle name="20% - 강조색6 5 3 3 3 3" xfId="10534"/>
    <cellStyle name="20% - 강조색6 5 3 3 4" xfId="10535"/>
    <cellStyle name="20% - 강조색6 5 3 3 5" xfId="10536"/>
    <cellStyle name="20% - 강조색6 5 3 4" xfId="10537"/>
    <cellStyle name="20% - 강조색6 5 3 4 2" xfId="10538"/>
    <cellStyle name="20% - 강조색6 5 3 4 2 2" xfId="10539"/>
    <cellStyle name="20% - 강조색6 5 3 4 2 3" xfId="10540"/>
    <cellStyle name="20% - 강조색6 5 3 4 3" xfId="10541"/>
    <cellStyle name="20% - 강조색6 5 3 4 4" xfId="10542"/>
    <cellStyle name="20% - 강조색6 5 3 5" xfId="10543"/>
    <cellStyle name="20% - 강조색6 5 3 5 2" xfId="10544"/>
    <cellStyle name="20% - 강조색6 5 3 5 3" xfId="10545"/>
    <cellStyle name="20% - 강조색6 5 3 6" xfId="10546"/>
    <cellStyle name="20% - 강조색6 5 3 7" xfId="10547"/>
    <cellStyle name="20% - 강조색6 5 4" xfId="10548"/>
    <cellStyle name="20% - 강조색6 5 4 2" xfId="10549"/>
    <cellStyle name="20% - 강조색6 5 4 2 2" xfId="10550"/>
    <cellStyle name="20% - 강조색6 5 4 2 2 2" xfId="10551"/>
    <cellStyle name="20% - 강조색6 5 4 2 2 3" xfId="10552"/>
    <cellStyle name="20% - 강조색6 5 4 2 3" xfId="10553"/>
    <cellStyle name="20% - 강조색6 5 4 2 4" xfId="10554"/>
    <cellStyle name="20% - 강조색6 5 4 3" xfId="10555"/>
    <cellStyle name="20% - 강조색6 5 4 3 2" xfId="10556"/>
    <cellStyle name="20% - 강조색6 5 4 3 3" xfId="10557"/>
    <cellStyle name="20% - 강조색6 5 4 4" xfId="10558"/>
    <cellStyle name="20% - 강조색6 5 4 5" xfId="10559"/>
    <cellStyle name="20% - 강조색6 5 5" xfId="10560"/>
    <cellStyle name="20% - 강조색6 5 5 2" xfId="10561"/>
    <cellStyle name="20% - 강조색6 5 5 2 2" xfId="10562"/>
    <cellStyle name="20% - 강조색6 5 5 2 2 2" xfId="10563"/>
    <cellStyle name="20% - 강조색6 5 5 2 2 3" xfId="10564"/>
    <cellStyle name="20% - 강조색6 5 5 2 3" xfId="10565"/>
    <cellStyle name="20% - 강조색6 5 5 2 4" xfId="10566"/>
    <cellStyle name="20% - 강조색6 5 5 3" xfId="10567"/>
    <cellStyle name="20% - 강조색6 5 5 3 2" xfId="10568"/>
    <cellStyle name="20% - 강조색6 5 5 3 3" xfId="10569"/>
    <cellStyle name="20% - 강조색6 5 5 4" xfId="10570"/>
    <cellStyle name="20% - 강조색6 5 5 5" xfId="10571"/>
    <cellStyle name="20% - 강조색6 5 6" xfId="10572"/>
    <cellStyle name="20% - 강조색6 5 6 2" xfId="10573"/>
    <cellStyle name="20% - 강조색6 5 6 2 2" xfId="10574"/>
    <cellStyle name="20% - 강조색6 5 6 2 2 2" xfId="10575"/>
    <cellStyle name="20% - 강조색6 5 6 2 2 3" xfId="10576"/>
    <cellStyle name="20% - 강조색6 5 6 2 3" xfId="10577"/>
    <cellStyle name="20% - 강조색6 5 6 2 4" xfId="10578"/>
    <cellStyle name="20% - 강조색6 5 6 3" xfId="10579"/>
    <cellStyle name="20% - 강조색6 5 6 3 2" xfId="10580"/>
    <cellStyle name="20% - 강조색6 5 6 3 3" xfId="10581"/>
    <cellStyle name="20% - 강조색6 5 6 4" xfId="10582"/>
    <cellStyle name="20% - 강조색6 5 6 5" xfId="10583"/>
    <cellStyle name="20% - 강조색6 5 7" xfId="10584"/>
    <cellStyle name="20% - 강조색6 5 7 2" xfId="10585"/>
    <cellStyle name="20% - 강조색6 5 7 2 2" xfId="10586"/>
    <cellStyle name="20% - 강조색6 5 7 2 3" xfId="10587"/>
    <cellStyle name="20% - 강조색6 5 7 3" xfId="10588"/>
    <cellStyle name="20% - 강조색6 5 7 4" xfId="10589"/>
    <cellStyle name="20% - 강조색6 5 8" xfId="10590"/>
    <cellStyle name="20% - 강조색6 5 8 2" xfId="10591"/>
    <cellStyle name="20% - 강조색6 5 8 3" xfId="10592"/>
    <cellStyle name="20% - 강조색6 5 9" xfId="10593"/>
    <cellStyle name="20% - 강조색6 50" xfId="10594"/>
    <cellStyle name="20% - 강조색6 51" xfId="10595"/>
    <cellStyle name="20% - 강조색6 52" xfId="10596"/>
    <cellStyle name="20% - 강조색6 53" xfId="10597"/>
    <cellStyle name="20% - 강조색6 54" xfId="10598"/>
    <cellStyle name="20% - 강조색6 55" xfId="10599"/>
    <cellStyle name="20% - 강조색6 56" xfId="10600"/>
    <cellStyle name="20% - 강조색6 57" xfId="10601"/>
    <cellStyle name="20% - 강조색6 58" xfId="10602"/>
    <cellStyle name="20% - 강조색6 59" xfId="10603"/>
    <cellStyle name="20% - 강조색6 6" xfId="10604"/>
    <cellStyle name="20% - 강조색6 6 10" xfId="10605"/>
    <cellStyle name="20% - 강조색6 6 2" xfId="10606"/>
    <cellStyle name="20% - 강조색6 6 2 2" xfId="10607"/>
    <cellStyle name="20% - 강조색6 6 2 2 2" xfId="10608"/>
    <cellStyle name="20% - 강조색6 6 2 2 2 2" xfId="10609"/>
    <cellStyle name="20% - 강조색6 6 2 2 2 2 2" xfId="10610"/>
    <cellStyle name="20% - 강조색6 6 2 2 2 2 3" xfId="10611"/>
    <cellStyle name="20% - 강조색6 6 2 2 2 3" xfId="10612"/>
    <cellStyle name="20% - 강조색6 6 2 2 2 4" xfId="10613"/>
    <cellStyle name="20% - 강조색6 6 2 2 3" xfId="10614"/>
    <cellStyle name="20% - 강조색6 6 2 2 3 2" xfId="10615"/>
    <cellStyle name="20% - 강조색6 6 2 2 3 3" xfId="10616"/>
    <cellStyle name="20% - 강조색6 6 2 2 4" xfId="10617"/>
    <cellStyle name="20% - 강조색6 6 2 2 5" xfId="10618"/>
    <cellStyle name="20% - 강조색6 6 2 3" xfId="10619"/>
    <cellStyle name="20% - 강조색6 6 2 3 2" xfId="10620"/>
    <cellStyle name="20% - 강조색6 6 2 3 2 2" xfId="10621"/>
    <cellStyle name="20% - 강조색6 6 2 3 2 2 2" xfId="10622"/>
    <cellStyle name="20% - 강조색6 6 2 3 2 2 3" xfId="10623"/>
    <cellStyle name="20% - 강조색6 6 2 3 2 3" xfId="10624"/>
    <cellStyle name="20% - 강조색6 6 2 3 2 4" xfId="10625"/>
    <cellStyle name="20% - 강조색6 6 2 3 3" xfId="10626"/>
    <cellStyle name="20% - 강조색6 6 2 3 3 2" xfId="10627"/>
    <cellStyle name="20% - 강조색6 6 2 3 3 3" xfId="10628"/>
    <cellStyle name="20% - 강조색6 6 2 3 4" xfId="10629"/>
    <cellStyle name="20% - 강조색6 6 2 3 5" xfId="10630"/>
    <cellStyle name="20% - 강조색6 6 2 4" xfId="10631"/>
    <cellStyle name="20% - 강조색6 6 2 4 2" xfId="10632"/>
    <cellStyle name="20% - 강조색6 6 2 4 2 2" xfId="10633"/>
    <cellStyle name="20% - 강조색6 6 2 4 2 3" xfId="10634"/>
    <cellStyle name="20% - 강조색6 6 2 4 3" xfId="10635"/>
    <cellStyle name="20% - 강조색6 6 2 4 4" xfId="10636"/>
    <cellStyle name="20% - 강조색6 6 2 5" xfId="10637"/>
    <cellStyle name="20% - 강조색6 6 2 5 2" xfId="10638"/>
    <cellStyle name="20% - 강조색6 6 2 5 3" xfId="10639"/>
    <cellStyle name="20% - 강조색6 6 2 6" xfId="10640"/>
    <cellStyle name="20% - 강조색6 6 2 7" xfId="10641"/>
    <cellStyle name="20% - 강조색6 6 3" xfId="10642"/>
    <cellStyle name="20% - 강조색6 6 3 2" xfId="10643"/>
    <cellStyle name="20% - 강조색6 6 3 2 2" xfId="10644"/>
    <cellStyle name="20% - 강조색6 6 3 2 2 2" xfId="10645"/>
    <cellStyle name="20% - 강조색6 6 3 2 2 2 2" xfId="10646"/>
    <cellStyle name="20% - 강조색6 6 3 2 2 2 3" xfId="10647"/>
    <cellStyle name="20% - 강조색6 6 3 2 2 3" xfId="10648"/>
    <cellStyle name="20% - 강조색6 6 3 2 2 4" xfId="10649"/>
    <cellStyle name="20% - 강조색6 6 3 2 3" xfId="10650"/>
    <cellStyle name="20% - 강조색6 6 3 2 3 2" xfId="10651"/>
    <cellStyle name="20% - 강조색6 6 3 2 3 3" xfId="10652"/>
    <cellStyle name="20% - 강조색6 6 3 2 4" xfId="10653"/>
    <cellStyle name="20% - 강조색6 6 3 2 5" xfId="10654"/>
    <cellStyle name="20% - 강조색6 6 3 3" xfId="10655"/>
    <cellStyle name="20% - 강조색6 6 3 3 2" xfId="10656"/>
    <cellStyle name="20% - 강조색6 6 3 3 2 2" xfId="10657"/>
    <cellStyle name="20% - 강조색6 6 3 3 2 2 2" xfId="10658"/>
    <cellStyle name="20% - 강조색6 6 3 3 2 2 3" xfId="10659"/>
    <cellStyle name="20% - 강조색6 6 3 3 2 3" xfId="10660"/>
    <cellStyle name="20% - 강조색6 6 3 3 2 4" xfId="10661"/>
    <cellStyle name="20% - 강조색6 6 3 3 3" xfId="10662"/>
    <cellStyle name="20% - 강조색6 6 3 3 3 2" xfId="10663"/>
    <cellStyle name="20% - 강조색6 6 3 3 3 3" xfId="10664"/>
    <cellStyle name="20% - 강조색6 6 3 3 4" xfId="10665"/>
    <cellStyle name="20% - 강조색6 6 3 3 5" xfId="10666"/>
    <cellStyle name="20% - 강조색6 6 3 4" xfId="10667"/>
    <cellStyle name="20% - 강조색6 6 3 4 2" xfId="10668"/>
    <cellStyle name="20% - 강조색6 6 3 4 2 2" xfId="10669"/>
    <cellStyle name="20% - 강조색6 6 3 4 2 3" xfId="10670"/>
    <cellStyle name="20% - 강조색6 6 3 4 3" xfId="10671"/>
    <cellStyle name="20% - 강조색6 6 3 4 4" xfId="10672"/>
    <cellStyle name="20% - 강조색6 6 3 5" xfId="10673"/>
    <cellStyle name="20% - 강조색6 6 3 5 2" xfId="10674"/>
    <cellStyle name="20% - 강조색6 6 3 5 3" xfId="10675"/>
    <cellStyle name="20% - 강조색6 6 3 6" xfId="10676"/>
    <cellStyle name="20% - 강조색6 6 3 7" xfId="10677"/>
    <cellStyle name="20% - 강조색6 6 4" xfId="10678"/>
    <cellStyle name="20% - 강조색6 6 4 2" xfId="10679"/>
    <cellStyle name="20% - 강조색6 6 4 2 2" xfId="10680"/>
    <cellStyle name="20% - 강조색6 6 4 2 2 2" xfId="10681"/>
    <cellStyle name="20% - 강조색6 6 4 2 2 3" xfId="10682"/>
    <cellStyle name="20% - 강조색6 6 4 2 3" xfId="10683"/>
    <cellStyle name="20% - 강조색6 6 4 2 4" xfId="10684"/>
    <cellStyle name="20% - 강조색6 6 4 3" xfId="10685"/>
    <cellStyle name="20% - 강조색6 6 4 3 2" xfId="10686"/>
    <cellStyle name="20% - 강조색6 6 4 3 3" xfId="10687"/>
    <cellStyle name="20% - 강조색6 6 4 4" xfId="10688"/>
    <cellStyle name="20% - 강조색6 6 4 5" xfId="10689"/>
    <cellStyle name="20% - 강조색6 6 5" xfId="10690"/>
    <cellStyle name="20% - 강조색6 6 5 2" xfId="10691"/>
    <cellStyle name="20% - 강조색6 6 5 2 2" xfId="10692"/>
    <cellStyle name="20% - 강조색6 6 5 2 2 2" xfId="10693"/>
    <cellStyle name="20% - 강조색6 6 5 2 2 3" xfId="10694"/>
    <cellStyle name="20% - 강조색6 6 5 2 3" xfId="10695"/>
    <cellStyle name="20% - 강조색6 6 5 2 4" xfId="10696"/>
    <cellStyle name="20% - 강조색6 6 5 3" xfId="10697"/>
    <cellStyle name="20% - 강조색6 6 5 3 2" xfId="10698"/>
    <cellStyle name="20% - 강조색6 6 5 3 3" xfId="10699"/>
    <cellStyle name="20% - 강조색6 6 5 4" xfId="10700"/>
    <cellStyle name="20% - 강조색6 6 5 5" xfId="10701"/>
    <cellStyle name="20% - 강조색6 6 6" xfId="10702"/>
    <cellStyle name="20% - 강조색6 6 6 2" xfId="10703"/>
    <cellStyle name="20% - 강조색6 6 6 2 2" xfId="10704"/>
    <cellStyle name="20% - 강조색6 6 6 2 2 2" xfId="10705"/>
    <cellStyle name="20% - 강조색6 6 6 2 2 3" xfId="10706"/>
    <cellStyle name="20% - 강조색6 6 6 2 3" xfId="10707"/>
    <cellStyle name="20% - 강조색6 6 6 2 4" xfId="10708"/>
    <cellStyle name="20% - 강조색6 6 6 3" xfId="10709"/>
    <cellStyle name="20% - 강조색6 6 6 3 2" xfId="10710"/>
    <cellStyle name="20% - 강조색6 6 6 3 3" xfId="10711"/>
    <cellStyle name="20% - 강조색6 6 6 4" xfId="10712"/>
    <cellStyle name="20% - 강조색6 6 6 5" xfId="10713"/>
    <cellStyle name="20% - 강조색6 6 7" xfId="10714"/>
    <cellStyle name="20% - 강조색6 6 7 2" xfId="10715"/>
    <cellStyle name="20% - 강조색6 6 7 2 2" xfId="10716"/>
    <cellStyle name="20% - 강조색6 6 7 2 3" xfId="10717"/>
    <cellStyle name="20% - 강조색6 6 7 3" xfId="10718"/>
    <cellStyle name="20% - 강조색6 6 7 4" xfId="10719"/>
    <cellStyle name="20% - 강조색6 6 8" xfId="10720"/>
    <cellStyle name="20% - 강조색6 6 8 2" xfId="10721"/>
    <cellStyle name="20% - 강조색6 6 8 3" xfId="10722"/>
    <cellStyle name="20% - 강조색6 6 9" xfId="10723"/>
    <cellStyle name="20% - 강조색6 60" xfId="10724"/>
    <cellStyle name="20% - 강조색6 61" xfId="10725"/>
    <cellStyle name="20% - 강조색6 62" xfId="10726"/>
    <cellStyle name="20% - 강조색6 63" xfId="10727"/>
    <cellStyle name="20% - 강조색6 64" xfId="10728"/>
    <cellStyle name="20% - 강조색6 65" xfId="10729"/>
    <cellStyle name="20% - 강조색6 66" xfId="10730"/>
    <cellStyle name="20% - 강조색6 67" xfId="10731"/>
    <cellStyle name="20% - 강조색6 68" xfId="10732"/>
    <cellStyle name="20% - 강조색6 69" xfId="10733"/>
    <cellStyle name="20% - 강조색6 7" xfId="10734"/>
    <cellStyle name="20% - 강조색6 7 10" xfId="10735"/>
    <cellStyle name="20% - 강조색6 7 2" xfId="10736"/>
    <cellStyle name="20% - 강조색6 7 2 2" xfId="10737"/>
    <cellStyle name="20% - 강조색6 7 2 2 2" xfId="10738"/>
    <cellStyle name="20% - 강조색6 7 2 2 2 2" xfId="10739"/>
    <cellStyle name="20% - 강조색6 7 2 2 2 2 2" xfId="10740"/>
    <cellStyle name="20% - 강조색6 7 2 2 2 2 3" xfId="10741"/>
    <cellStyle name="20% - 강조색6 7 2 2 2 3" xfId="10742"/>
    <cellStyle name="20% - 강조색6 7 2 2 2 4" xfId="10743"/>
    <cellStyle name="20% - 강조색6 7 2 2 3" xfId="10744"/>
    <cellStyle name="20% - 강조색6 7 2 2 3 2" xfId="10745"/>
    <cellStyle name="20% - 강조색6 7 2 2 3 3" xfId="10746"/>
    <cellStyle name="20% - 강조색6 7 2 2 4" xfId="10747"/>
    <cellStyle name="20% - 강조색6 7 2 2 5" xfId="10748"/>
    <cellStyle name="20% - 강조색6 7 2 3" xfId="10749"/>
    <cellStyle name="20% - 강조색6 7 2 3 2" xfId="10750"/>
    <cellStyle name="20% - 강조색6 7 2 3 2 2" xfId="10751"/>
    <cellStyle name="20% - 강조색6 7 2 3 2 2 2" xfId="10752"/>
    <cellStyle name="20% - 강조색6 7 2 3 2 2 3" xfId="10753"/>
    <cellStyle name="20% - 강조색6 7 2 3 2 3" xfId="10754"/>
    <cellStyle name="20% - 강조색6 7 2 3 2 4" xfId="10755"/>
    <cellStyle name="20% - 강조색6 7 2 3 3" xfId="10756"/>
    <cellStyle name="20% - 강조색6 7 2 3 3 2" xfId="10757"/>
    <cellStyle name="20% - 강조색6 7 2 3 3 3" xfId="10758"/>
    <cellStyle name="20% - 강조색6 7 2 3 4" xfId="10759"/>
    <cellStyle name="20% - 강조색6 7 2 3 5" xfId="10760"/>
    <cellStyle name="20% - 강조색6 7 2 4" xfId="10761"/>
    <cellStyle name="20% - 강조색6 7 2 4 2" xfId="10762"/>
    <cellStyle name="20% - 강조색6 7 2 4 2 2" xfId="10763"/>
    <cellStyle name="20% - 강조색6 7 2 4 2 3" xfId="10764"/>
    <cellStyle name="20% - 강조색6 7 2 4 3" xfId="10765"/>
    <cellStyle name="20% - 강조색6 7 2 4 4" xfId="10766"/>
    <cellStyle name="20% - 강조색6 7 2 5" xfId="10767"/>
    <cellStyle name="20% - 강조색6 7 2 5 2" xfId="10768"/>
    <cellStyle name="20% - 강조색6 7 2 5 3" xfId="10769"/>
    <cellStyle name="20% - 강조색6 7 2 6" xfId="10770"/>
    <cellStyle name="20% - 강조색6 7 2 7" xfId="10771"/>
    <cellStyle name="20% - 강조색6 7 3" xfId="10772"/>
    <cellStyle name="20% - 강조색6 7 3 2" xfId="10773"/>
    <cellStyle name="20% - 강조색6 7 3 2 2" xfId="10774"/>
    <cellStyle name="20% - 강조색6 7 3 2 2 2" xfId="10775"/>
    <cellStyle name="20% - 강조색6 7 3 2 2 2 2" xfId="10776"/>
    <cellStyle name="20% - 강조색6 7 3 2 2 2 3" xfId="10777"/>
    <cellStyle name="20% - 강조색6 7 3 2 2 3" xfId="10778"/>
    <cellStyle name="20% - 강조색6 7 3 2 2 4" xfId="10779"/>
    <cellStyle name="20% - 강조색6 7 3 2 3" xfId="10780"/>
    <cellStyle name="20% - 강조색6 7 3 2 3 2" xfId="10781"/>
    <cellStyle name="20% - 강조색6 7 3 2 3 3" xfId="10782"/>
    <cellStyle name="20% - 강조색6 7 3 2 4" xfId="10783"/>
    <cellStyle name="20% - 강조색6 7 3 2 5" xfId="10784"/>
    <cellStyle name="20% - 강조색6 7 3 3" xfId="10785"/>
    <cellStyle name="20% - 강조색6 7 3 3 2" xfId="10786"/>
    <cellStyle name="20% - 강조색6 7 3 3 2 2" xfId="10787"/>
    <cellStyle name="20% - 강조색6 7 3 3 2 2 2" xfId="10788"/>
    <cellStyle name="20% - 강조색6 7 3 3 2 2 3" xfId="10789"/>
    <cellStyle name="20% - 강조색6 7 3 3 2 3" xfId="10790"/>
    <cellStyle name="20% - 강조색6 7 3 3 2 4" xfId="10791"/>
    <cellStyle name="20% - 강조색6 7 3 3 3" xfId="10792"/>
    <cellStyle name="20% - 강조색6 7 3 3 3 2" xfId="10793"/>
    <cellStyle name="20% - 강조색6 7 3 3 3 3" xfId="10794"/>
    <cellStyle name="20% - 강조색6 7 3 3 4" xfId="10795"/>
    <cellStyle name="20% - 강조색6 7 3 3 5" xfId="10796"/>
    <cellStyle name="20% - 강조색6 7 3 4" xfId="10797"/>
    <cellStyle name="20% - 강조색6 7 3 4 2" xfId="10798"/>
    <cellStyle name="20% - 강조색6 7 3 4 2 2" xfId="10799"/>
    <cellStyle name="20% - 강조색6 7 3 4 2 3" xfId="10800"/>
    <cellStyle name="20% - 강조색6 7 3 4 3" xfId="10801"/>
    <cellStyle name="20% - 강조색6 7 3 4 4" xfId="10802"/>
    <cellStyle name="20% - 강조색6 7 3 5" xfId="10803"/>
    <cellStyle name="20% - 강조색6 7 3 5 2" xfId="10804"/>
    <cellStyle name="20% - 강조색6 7 3 5 3" xfId="10805"/>
    <cellStyle name="20% - 강조색6 7 3 6" xfId="10806"/>
    <cellStyle name="20% - 강조색6 7 3 7" xfId="10807"/>
    <cellStyle name="20% - 강조색6 7 4" xfId="10808"/>
    <cellStyle name="20% - 강조색6 7 4 2" xfId="10809"/>
    <cellStyle name="20% - 강조색6 7 4 2 2" xfId="10810"/>
    <cellStyle name="20% - 강조색6 7 4 2 2 2" xfId="10811"/>
    <cellStyle name="20% - 강조색6 7 4 2 2 3" xfId="10812"/>
    <cellStyle name="20% - 강조색6 7 4 2 3" xfId="10813"/>
    <cellStyle name="20% - 강조색6 7 4 2 4" xfId="10814"/>
    <cellStyle name="20% - 강조색6 7 4 3" xfId="10815"/>
    <cellStyle name="20% - 강조색6 7 4 3 2" xfId="10816"/>
    <cellStyle name="20% - 강조색6 7 4 3 3" xfId="10817"/>
    <cellStyle name="20% - 강조색6 7 4 4" xfId="10818"/>
    <cellStyle name="20% - 강조색6 7 4 5" xfId="10819"/>
    <cellStyle name="20% - 강조색6 7 5" xfId="10820"/>
    <cellStyle name="20% - 강조색6 7 5 2" xfId="10821"/>
    <cellStyle name="20% - 강조색6 7 5 2 2" xfId="10822"/>
    <cellStyle name="20% - 강조색6 7 5 2 2 2" xfId="10823"/>
    <cellStyle name="20% - 강조색6 7 5 2 2 3" xfId="10824"/>
    <cellStyle name="20% - 강조색6 7 5 2 3" xfId="10825"/>
    <cellStyle name="20% - 강조색6 7 5 2 4" xfId="10826"/>
    <cellStyle name="20% - 강조색6 7 5 3" xfId="10827"/>
    <cellStyle name="20% - 강조색6 7 5 3 2" xfId="10828"/>
    <cellStyle name="20% - 강조색6 7 5 3 3" xfId="10829"/>
    <cellStyle name="20% - 강조색6 7 5 4" xfId="10830"/>
    <cellStyle name="20% - 강조색6 7 5 5" xfId="10831"/>
    <cellStyle name="20% - 강조색6 7 6" xfId="10832"/>
    <cellStyle name="20% - 강조색6 7 6 2" xfId="10833"/>
    <cellStyle name="20% - 강조색6 7 6 2 2" xfId="10834"/>
    <cellStyle name="20% - 강조색6 7 6 2 2 2" xfId="10835"/>
    <cellStyle name="20% - 강조색6 7 6 2 2 3" xfId="10836"/>
    <cellStyle name="20% - 강조색6 7 6 2 3" xfId="10837"/>
    <cellStyle name="20% - 강조색6 7 6 2 4" xfId="10838"/>
    <cellStyle name="20% - 강조색6 7 6 3" xfId="10839"/>
    <cellStyle name="20% - 강조색6 7 6 3 2" xfId="10840"/>
    <cellStyle name="20% - 강조색6 7 6 3 3" xfId="10841"/>
    <cellStyle name="20% - 강조색6 7 6 4" xfId="10842"/>
    <cellStyle name="20% - 강조색6 7 6 5" xfId="10843"/>
    <cellStyle name="20% - 강조색6 7 7" xfId="10844"/>
    <cellStyle name="20% - 강조색6 7 7 2" xfId="10845"/>
    <cellStyle name="20% - 강조색6 7 7 2 2" xfId="10846"/>
    <cellStyle name="20% - 강조색6 7 7 2 3" xfId="10847"/>
    <cellStyle name="20% - 강조색6 7 7 3" xfId="10848"/>
    <cellStyle name="20% - 강조색6 7 7 4" xfId="10849"/>
    <cellStyle name="20% - 강조색6 7 8" xfId="10850"/>
    <cellStyle name="20% - 강조색6 7 8 2" xfId="10851"/>
    <cellStyle name="20% - 강조색6 7 8 3" xfId="10852"/>
    <cellStyle name="20% - 강조색6 7 9" xfId="10853"/>
    <cellStyle name="20% - 강조색6 8" xfId="10854"/>
    <cellStyle name="20% - 강조색6 8 2" xfId="10855"/>
    <cellStyle name="20% - 강조색6 8 2 2" xfId="10856"/>
    <cellStyle name="20% - 강조색6 8 2 2 2" xfId="10857"/>
    <cellStyle name="20% - 강조색6 8 2 2 2 2" xfId="10858"/>
    <cellStyle name="20% - 강조색6 8 2 2 2 3" xfId="10859"/>
    <cellStyle name="20% - 강조색6 8 2 2 3" xfId="10860"/>
    <cellStyle name="20% - 강조색6 8 2 2 4" xfId="10861"/>
    <cellStyle name="20% - 강조색6 8 2 3" xfId="10862"/>
    <cellStyle name="20% - 강조색6 8 2 3 2" xfId="10863"/>
    <cellStyle name="20% - 강조색6 8 2 3 3" xfId="10864"/>
    <cellStyle name="20% - 강조색6 8 2 4" xfId="10865"/>
    <cellStyle name="20% - 강조색6 8 2 5" xfId="10866"/>
    <cellStyle name="20% - 강조색6 8 3" xfId="10867"/>
    <cellStyle name="20% - 강조색6 8 3 2" xfId="10868"/>
    <cellStyle name="20% - 강조색6 8 3 2 2" xfId="10869"/>
    <cellStyle name="20% - 강조색6 8 3 2 2 2" xfId="10870"/>
    <cellStyle name="20% - 강조색6 8 3 2 2 3" xfId="10871"/>
    <cellStyle name="20% - 강조색6 8 3 2 3" xfId="10872"/>
    <cellStyle name="20% - 강조색6 8 3 2 4" xfId="10873"/>
    <cellStyle name="20% - 강조색6 8 3 3" xfId="10874"/>
    <cellStyle name="20% - 강조색6 8 3 3 2" xfId="10875"/>
    <cellStyle name="20% - 강조색6 8 3 3 3" xfId="10876"/>
    <cellStyle name="20% - 강조색6 8 3 4" xfId="10877"/>
    <cellStyle name="20% - 강조색6 8 3 5" xfId="10878"/>
    <cellStyle name="20% - 강조색6 8 4" xfId="10879"/>
    <cellStyle name="20% - 강조색6 8 4 2" xfId="10880"/>
    <cellStyle name="20% - 강조색6 8 4 2 2" xfId="10881"/>
    <cellStyle name="20% - 강조색6 8 4 2 3" xfId="10882"/>
    <cellStyle name="20% - 강조색6 8 4 3" xfId="10883"/>
    <cellStyle name="20% - 강조색6 8 4 4" xfId="10884"/>
    <cellStyle name="20% - 강조색6 8 5" xfId="10885"/>
    <cellStyle name="20% - 강조색6 8 5 2" xfId="10886"/>
    <cellStyle name="20% - 강조색6 8 5 3" xfId="10887"/>
    <cellStyle name="20% - 강조색6 8 6" xfId="10888"/>
    <cellStyle name="20% - 강조색6 8 7" xfId="10889"/>
    <cellStyle name="20% - 강조색6 9" xfId="10890"/>
    <cellStyle name="20% - 강조색6 9 2" xfId="10891"/>
    <cellStyle name="20% - 강조색6 9 2 2" xfId="10892"/>
    <cellStyle name="20% - 강조색6 9 2 2 2" xfId="10893"/>
    <cellStyle name="20% - 강조색6 9 2 2 2 2" xfId="10894"/>
    <cellStyle name="20% - 강조색6 9 2 2 2 3" xfId="10895"/>
    <cellStyle name="20% - 강조색6 9 2 2 3" xfId="10896"/>
    <cellStyle name="20% - 강조색6 9 2 2 4" xfId="10897"/>
    <cellStyle name="20% - 강조색6 9 2 3" xfId="10898"/>
    <cellStyle name="20% - 강조색6 9 2 3 2" xfId="10899"/>
    <cellStyle name="20% - 강조색6 9 2 3 3" xfId="10900"/>
    <cellStyle name="20% - 강조색6 9 2 4" xfId="10901"/>
    <cellStyle name="20% - 강조색6 9 2 5" xfId="10902"/>
    <cellStyle name="20% - 강조색6 9 3" xfId="10903"/>
    <cellStyle name="20% - 강조색6 9 3 2" xfId="10904"/>
    <cellStyle name="20% - 강조색6 9 3 2 2" xfId="10905"/>
    <cellStyle name="20% - 강조색6 9 3 2 2 2" xfId="10906"/>
    <cellStyle name="20% - 강조색6 9 3 2 2 3" xfId="10907"/>
    <cellStyle name="20% - 강조색6 9 3 2 3" xfId="10908"/>
    <cellStyle name="20% - 강조색6 9 3 2 4" xfId="10909"/>
    <cellStyle name="20% - 강조색6 9 3 3" xfId="10910"/>
    <cellStyle name="20% - 강조색6 9 3 3 2" xfId="10911"/>
    <cellStyle name="20% - 강조색6 9 3 3 3" xfId="10912"/>
    <cellStyle name="20% - 강조색6 9 3 4" xfId="10913"/>
    <cellStyle name="20% - 강조색6 9 3 5" xfId="10914"/>
    <cellStyle name="20% - 강조색6 9 4" xfId="10915"/>
    <cellStyle name="20% - 강조색6 9 4 2" xfId="10916"/>
    <cellStyle name="20% - 강조색6 9 4 2 2" xfId="10917"/>
    <cellStyle name="20% - 강조색6 9 4 2 3" xfId="10918"/>
    <cellStyle name="20% - 강조색6 9 4 3" xfId="10919"/>
    <cellStyle name="20% - 강조색6 9 4 4" xfId="10920"/>
    <cellStyle name="20% - 강조색6 9 5" xfId="10921"/>
    <cellStyle name="20% - 강조색6 9 5 2" xfId="10922"/>
    <cellStyle name="20% - 강조색6 9 5 3" xfId="10923"/>
    <cellStyle name="20% - 강조색6 9 6" xfId="10924"/>
    <cellStyle name="20% - 강조색6 9 7" xfId="10925"/>
    <cellStyle name="40% - Accent1" xfId="10926"/>
    <cellStyle name="40% - Accent1 2" xfId="10927"/>
    <cellStyle name="40% - Accent1 2 2" xfId="10928"/>
    <cellStyle name="40% - Accent1 3" xfId="10929"/>
    <cellStyle name="40% - Accent1 3 2" xfId="10930"/>
    <cellStyle name="40% - Accent1 3 2 2" xfId="10931"/>
    <cellStyle name="40% - Accent1 4" xfId="10932"/>
    <cellStyle name="40% - Accent2" xfId="10933"/>
    <cellStyle name="40% - Accent2 2" xfId="10934"/>
    <cellStyle name="40% - Accent2 2 2" xfId="10935"/>
    <cellStyle name="40% - Accent2 3" xfId="10936"/>
    <cellStyle name="40% - Accent2 3 2" xfId="10937"/>
    <cellStyle name="40% - Accent2 3 2 2" xfId="10938"/>
    <cellStyle name="40% - Accent2 4" xfId="10939"/>
    <cellStyle name="40% - Accent3" xfId="10940"/>
    <cellStyle name="40% - Accent3 2" xfId="10941"/>
    <cellStyle name="40% - Accent3 2 2" xfId="10942"/>
    <cellStyle name="40% - Accent3 3" xfId="10943"/>
    <cellStyle name="40% - Accent3 3 2" xfId="10944"/>
    <cellStyle name="40% - Accent3 3 2 2" xfId="10945"/>
    <cellStyle name="40% - Accent3 4" xfId="10946"/>
    <cellStyle name="40% - Accent4" xfId="10947"/>
    <cellStyle name="40% - Accent4 2" xfId="10948"/>
    <cellStyle name="40% - Accent4 2 2" xfId="10949"/>
    <cellStyle name="40% - Accent4 3" xfId="10950"/>
    <cellStyle name="40% - Accent4 3 2" xfId="10951"/>
    <cellStyle name="40% - Accent4 3 2 2" xfId="10952"/>
    <cellStyle name="40% - Accent4 4" xfId="10953"/>
    <cellStyle name="40% - Accent5" xfId="10954"/>
    <cellStyle name="40% - Accent5 2" xfId="10955"/>
    <cellStyle name="40% - Accent5 2 2" xfId="10956"/>
    <cellStyle name="40% - Accent5 3" xfId="10957"/>
    <cellStyle name="40% - Accent5 3 2" xfId="10958"/>
    <cellStyle name="40% - Accent5 3 2 2" xfId="10959"/>
    <cellStyle name="40% - Accent5 4" xfId="10960"/>
    <cellStyle name="40% - Accent6" xfId="10961"/>
    <cellStyle name="40% - Accent6 2" xfId="10962"/>
    <cellStyle name="40% - Accent6 2 2" xfId="10963"/>
    <cellStyle name="40% - Accent6 3" xfId="10964"/>
    <cellStyle name="40% - Accent6 3 2" xfId="10965"/>
    <cellStyle name="40% - Accent6 3 2 2" xfId="10966"/>
    <cellStyle name="40% - Accent6 4" xfId="10967"/>
    <cellStyle name="40% - 강조색1 10" xfId="10968"/>
    <cellStyle name="40% - 강조색1 10 2" xfId="10969"/>
    <cellStyle name="40% - 강조색1 10 2 2" xfId="10970"/>
    <cellStyle name="40% - 강조색1 10 2 2 2" xfId="10971"/>
    <cellStyle name="40% - 강조색1 10 2 2 2 2" xfId="10972"/>
    <cellStyle name="40% - 강조색1 10 2 2 2 3" xfId="10973"/>
    <cellStyle name="40% - 강조색1 10 2 2 3" xfId="10974"/>
    <cellStyle name="40% - 강조색1 10 2 2 4" xfId="10975"/>
    <cellStyle name="40% - 강조색1 10 2 3" xfId="10976"/>
    <cellStyle name="40% - 강조색1 10 2 3 2" xfId="10977"/>
    <cellStyle name="40% - 강조색1 10 2 3 3" xfId="10978"/>
    <cellStyle name="40% - 강조색1 10 2 4" xfId="10979"/>
    <cellStyle name="40% - 강조색1 10 2 5" xfId="10980"/>
    <cellStyle name="40% - 강조색1 10 3" xfId="10981"/>
    <cellStyle name="40% - 강조색1 10 3 2" xfId="10982"/>
    <cellStyle name="40% - 강조색1 10 3 2 2" xfId="10983"/>
    <cellStyle name="40% - 강조색1 10 3 2 2 2" xfId="10984"/>
    <cellStyle name="40% - 강조색1 10 3 2 2 3" xfId="10985"/>
    <cellStyle name="40% - 강조색1 10 3 2 3" xfId="10986"/>
    <cellStyle name="40% - 강조색1 10 3 2 4" xfId="10987"/>
    <cellStyle name="40% - 강조색1 10 3 3" xfId="10988"/>
    <cellStyle name="40% - 강조색1 10 3 3 2" xfId="10989"/>
    <cellStyle name="40% - 강조색1 10 3 3 3" xfId="10990"/>
    <cellStyle name="40% - 강조색1 10 3 4" xfId="10991"/>
    <cellStyle name="40% - 강조색1 10 3 5" xfId="10992"/>
    <cellStyle name="40% - 강조색1 10 4" xfId="10993"/>
    <cellStyle name="40% - 강조색1 10 4 2" xfId="10994"/>
    <cellStyle name="40% - 강조색1 10 4 2 2" xfId="10995"/>
    <cellStyle name="40% - 강조색1 10 4 2 3" xfId="10996"/>
    <cellStyle name="40% - 강조색1 10 4 3" xfId="10997"/>
    <cellStyle name="40% - 강조색1 10 4 4" xfId="10998"/>
    <cellStyle name="40% - 강조색1 10 5" xfId="10999"/>
    <cellStyle name="40% - 강조색1 10 5 2" xfId="11000"/>
    <cellStyle name="40% - 강조색1 10 5 3" xfId="11001"/>
    <cellStyle name="40% - 강조색1 10 6" xfId="11002"/>
    <cellStyle name="40% - 강조색1 10 7" xfId="11003"/>
    <cellStyle name="40% - 강조색1 11" xfId="11004"/>
    <cellStyle name="40% - 강조색1 11 2" xfId="11005"/>
    <cellStyle name="40% - 강조색1 11 2 2" xfId="11006"/>
    <cellStyle name="40% - 강조색1 11 2 2 2" xfId="11007"/>
    <cellStyle name="40% - 강조색1 11 2 2 3" xfId="11008"/>
    <cellStyle name="40% - 강조색1 11 2 3" xfId="11009"/>
    <cellStyle name="40% - 강조색1 11 2 4" xfId="11010"/>
    <cellStyle name="40% - 강조색1 11 3" xfId="11011"/>
    <cellStyle name="40% - 강조색1 11 3 2" xfId="11012"/>
    <cellStyle name="40% - 강조색1 11 3 3" xfId="11013"/>
    <cellStyle name="40% - 강조색1 11 4" xfId="11014"/>
    <cellStyle name="40% - 강조색1 11 5" xfId="11015"/>
    <cellStyle name="40% - 강조색1 12" xfId="11016"/>
    <cellStyle name="40% - 강조색1 12 2" xfId="11017"/>
    <cellStyle name="40% - 강조색1 12 2 2" xfId="11018"/>
    <cellStyle name="40% - 강조색1 12 2 2 2" xfId="11019"/>
    <cellStyle name="40% - 강조색1 12 2 2 3" xfId="11020"/>
    <cellStyle name="40% - 강조색1 12 2 3" xfId="11021"/>
    <cellStyle name="40% - 강조색1 12 2 4" xfId="11022"/>
    <cellStyle name="40% - 강조색1 12 3" xfId="11023"/>
    <cellStyle name="40% - 강조색1 12 3 2" xfId="11024"/>
    <cellStyle name="40% - 강조색1 12 3 3" xfId="11025"/>
    <cellStyle name="40% - 강조색1 12 4" xfId="11026"/>
    <cellStyle name="40% - 강조색1 12 5" xfId="11027"/>
    <cellStyle name="40% - 강조색1 13" xfId="11028"/>
    <cellStyle name="40% - 강조색1 13 2" xfId="11029"/>
    <cellStyle name="40% - 강조색1 13 2 2" xfId="11030"/>
    <cellStyle name="40% - 강조색1 13 2 3" xfId="11031"/>
    <cellStyle name="40% - 강조색1 13 3" xfId="11032"/>
    <cellStyle name="40% - 강조색1 13 4" xfId="11033"/>
    <cellStyle name="40% - 강조색1 14" xfId="11034"/>
    <cellStyle name="40% - 강조색1 14 2" xfId="11035"/>
    <cellStyle name="40% - 강조색1 14 2 2" xfId="11036"/>
    <cellStyle name="40% - 강조색1 14 2 3" xfId="11037"/>
    <cellStyle name="40% - 강조색1 14 3" xfId="11038"/>
    <cellStyle name="40% - 강조색1 14 4" xfId="11039"/>
    <cellStyle name="40% - 강조색1 15" xfId="11040"/>
    <cellStyle name="40% - 강조색1 15 2" xfId="11041"/>
    <cellStyle name="40% - 강조색1 15 3" xfId="11042"/>
    <cellStyle name="40% - 강조색1 16" xfId="11043"/>
    <cellStyle name="40% - 강조색1 16 2" xfId="11044"/>
    <cellStyle name="40% - 강조색1 16 3" xfId="11045"/>
    <cellStyle name="40% - 강조색1 16 4" xfId="11046"/>
    <cellStyle name="40% - 강조색1 17" xfId="11047"/>
    <cellStyle name="40% - 강조색1 17 2" xfId="11048"/>
    <cellStyle name="40% - 강조색1 17 3" xfId="11049"/>
    <cellStyle name="40% - 강조색1 18" xfId="11050"/>
    <cellStyle name="40% - 강조색1 18 2" xfId="11051"/>
    <cellStyle name="40% - 강조색1 18 3" xfId="11052"/>
    <cellStyle name="40% - 강조색1 19" xfId="11053"/>
    <cellStyle name="40% - 강조색1 19 2" xfId="11054"/>
    <cellStyle name="40% - 강조색1 19 3" xfId="11055"/>
    <cellStyle name="40% - 강조색1 2" xfId="11056"/>
    <cellStyle name="40% - 강조색1 2 2" xfId="11057"/>
    <cellStyle name="40% - 강조색1 2 2 2" xfId="11058"/>
    <cellStyle name="40% - 강조색1 2 2 2 2" xfId="11059"/>
    <cellStyle name="40% - 강조색1 2 2 3" xfId="11060"/>
    <cellStyle name="40% - 강조색1 2 3" xfId="11061"/>
    <cellStyle name="40% - 강조색1 2 3 2" xfId="11062"/>
    <cellStyle name="40% - 강조색1 2 3 2 2" xfId="11063"/>
    <cellStyle name="40% - 강조색1 2 3 3" xfId="11064"/>
    <cellStyle name="40% - 강조색1 2 4" xfId="11065"/>
    <cellStyle name="40% - 강조색1 2 4 2" xfId="11066"/>
    <cellStyle name="40% - 강조색1 2 5" xfId="11067"/>
    <cellStyle name="40% - 강조색1 2 6" xfId="11068"/>
    <cellStyle name="40% - 강조색1 20" xfId="11069"/>
    <cellStyle name="40% - 강조색1 20 2" xfId="11070"/>
    <cellStyle name="40% - 강조색1 20 3" xfId="11071"/>
    <cellStyle name="40% - 강조색1 21" xfId="11072"/>
    <cellStyle name="40% - 강조색1 21 2" xfId="11073"/>
    <cellStyle name="40% - 강조색1 21 3" xfId="11074"/>
    <cellStyle name="40% - 강조색1 22" xfId="11075"/>
    <cellStyle name="40% - 강조색1 22 2" xfId="11076"/>
    <cellStyle name="40% - 강조색1 22 3" xfId="11077"/>
    <cellStyle name="40% - 강조색1 23" xfId="11078"/>
    <cellStyle name="40% - 강조색1 23 2" xfId="11079"/>
    <cellStyle name="40% - 강조색1 23 3" xfId="11080"/>
    <cellStyle name="40% - 강조색1 24" xfId="11081"/>
    <cellStyle name="40% - 강조색1 24 2" xfId="11082"/>
    <cellStyle name="40% - 강조색1 25" xfId="11083"/>
    <cellStyle name="40% - 강조색1 25 2" xfId="11084"/>
    <cellStyle name="40% - 강조색1 26" xfId="11085"/>
    <cellStyle name="40% - 강조색1 26 2" xfId="11086"/>
    <cellStyle name="40% - 강조색1 27" xfId="11087"/>
    <cellStyle name="40% - 강조색1 27 2" xfId="11088"/>
    <cellStyle name="40% - 강조색1 28" xfId="11089"/>
    <cellStyle name="40% - 강조색1 28 2" xfId="11090"/>
    <cellStyle name="40% - 강조색1 29" xfId="11091"/>
    <cellStyle name="40% - 강조색1 29 2" xfId="11092"/>
    <cellStyle name="40% - 강조색1 3" xfId="11093"/>
    <cellStyle name="40% - 강조색1 3 10" xfId="11094"/>
    <cellStyle name="40% - 강조색1 3 10 2" xfId="11095"/>
    <cellStyle name="40% - 강조색1 3 10 2 2" xfId="11096"/>
    <cellStyle name="40% - 강조색1 3 10 2 3" xfId="11097"/>
    <cellStyle name="40% - 강조색1 3 10 3" xfId="11098"/>
    <cellStyle name="40% - 강조색1 3 10 4" xfId="11099"/>
    <cellStyle name="40% - 강조색1 3 11" xfId="11100"/>
    <cellStyle name="40% - 강조색1 3 11 2" xfId="11101"/>
    <cellStyle name="40% - 강조색1 3 11 3" xfId="11102"/>
    <cellStyle name="40% - 강조색1 3 12" xfId="11103"/>
    <cellStyle name="40% - 강조색1 3 13" xfId="11104"/>
    <cellStyle name="40% - 강조색1 3 14" xfId="11105"/>
    <cellStyle name="40% - 강조색1 3 15" xfId="11106"/>
    <cellStyle name="40% - 강조색1 3 2" xfId="11107"/>
    <cellStyle name="40% - 강조색1 3 2 10" xfId="11108"/>
    <cellStyle name="40% - 강조색1 3 2 11" xfId="11109"/>
    <cellStyle name="40% - 강조색1 3 2 12" xfId="11110"/>
    <cellStyle name="40% - 강조색1 3 2 2" xfId="11111"/>
    <cellStyle name="40% - 강조색1 3 2 2 2" xfId="11112"/>
    <cellStyle name="40% - 강조색1 3 2 2 2 2" xfId="11113"/>
    <cellStyle name="40% - 강조색1 3 2 2 2 2 2" xfId="11114"/>
    <cellStyle name="40% - 강조색1 3 2 2 2 2 2 2" xfId="11115"/>
    <cellStyle name="40% - 강조색1 3 2 2 2 2 2 3" xfId="11116"/>
    <cellStyle name="40% - 강조색1 3 2 2 2 2 3" xfId="11117"/>
    <cellStyle name="40% - 강조색1 3 2 2 2 2 4" xfId="11118"/>
    <cellStyle name="40% - 강조색1 3 2 2 2 3" xfId="11119"/>
    <cellStyle name="40% - 강조색1 3 2 2 2 3 2" xfId="11120"/>
    <cellStyle name="40% - 강조색1 3 2 2 2 3 3" xfId="11121"/>
    <cellStyle name="40% - 강조색1 3 2 2 2 4" xfId="11122"/>
    <cellStyle name="40% - 강조색1 3 2 2 2 5" xfId="11123"/>
    <cellStyle name="40% - 강조색1 3 2 2 3" xfId="11124"/>
    <cellStyle name="40% - 강조색1 3 2 2 3 2" xfId="11125"/>
    <cellStyle name="40% - 강조색1 3 2 2 3 2 2" xfId="11126"/>
    <cellStyle name="40% - 강조색1 3 2 2 3 2 2 2" xfId="11127"/>
    <cellStyle name="40% - 강조색1 3 2 2 3 2 2 3" xfId="11128"/>
    <cellStyle name="40% - 강조색1 3 2 2 3 2 3" xfId="11129"/>
    <cellStyle name="40% - 강조색1 3 2 2 3 2 4" xfId="11130"/>
    <cellStyle name="40% - 강조색1 3 2 2 3 3" xfId="11131"/>
    <cellStyle name="40% - 강조색1 3 2 2 3 3 2" xfId="11132"/>
    <cellStyle name="40% - 강조색1 3 2 2 3 3 3" xfId="11133"/>
    <cellStyle name="40% - 강조색1 3 2 2 3 4" xfId="11134"/>
    <cellStyle name="40% - 강조색1 3 2 2 3 5" xfId="11135"/>
    <cellStyle name="40% - 강조색1 3 2 2 4" xfId="11136"/>
    <cellStyle name="40% - 강조색1 3 2 2 4 2" xfId="11137"/>
    <cellStyle name="40% - 강조색1 3 2 2 4 2 2" xfId="11138"/>
    <cellStyle name="40% - 강조색1 3 2 2 4 2 3" xfId="11139"/>
    <cellStyle name="40% - 강조색1 3 2 2 4 3" xfId="11140"/>
    <cellStyle name="40% - 강조색1 3 2 2 4 4" xfId="11141"/>
    <cellStyle name="40% - 강조색1 3 2 2 5" xfId="11142"/>
    <cellStyle name="40% - 강조색1 3 2 2 5 2" xfId="11143"/>
    <cellStyle name="40% - 강조색1 3 2 2 5 3" xfId="11144"/>
    <cellStyle name="40% - 강조색1 3 2 2 6" xfId="11145"/>
    <cellStyle name="40% - 강조색1 3 2 2 7" xfId="11146"/>
    <cellStyle name="40% - 강조색1 3 2 2 8" xfId="11147"/>
    <cellStyle name="40% - 강조색1 3 2 2 9" xfId="11148"/>
    <cellStyle name="40% - 강조색1 3 2 3" xfId="11149"/>
    <cellStyle name="40% - 강조색1 3 2 3 2" xfId="11150"/>
    <cellStyle name="40% - 강조색1 3 2 3 2 2" xfId="11151"/>
    <cellStyle name="40% - 강조색1 3 2 3 2 2 2" xfId="11152"/>
    <cellStyle name="40% - 강조색1 3 2 3 2 2 2 2" xfId="11153"/>
    <cellStyle name="40% - 강조색1 3 2 3 2 2 2 3" xfId="11154"/>
    <cellStyle name="40% - 강조색1 3 2 3 2 2 3" xfId="11155"/>
    <cellStyle name="40% - 강조색1 3 2 3 2 2 4" xfId="11156"/>
    <cellStyle name="40% - 강조색1 3 2 3 2 3" xfId="11157"/>
    <cellStyle name="40% - 강조색1 3 2 3 2 3 2" xfId="11158"/>
    <cellStyle name="40% - 강조색1 3 2 3 2 3 3" xfId="11159"/>
    <cellStyle name="40% - 강조색1 3 2 3 2 4" xfId="11160"/>
    <cellStyle name="40% - 강조색1 3 2 3 2 5" xfId="11161"/>
    <cellStyle name="40% - 강조색1 3 2 3 3" xfId="11162"/>
    <cellStyle name="40% - 강조색1 3 2 3 3 2" xfId="11163"/>
    <cellStyle name="40% - 강조색1 3 2 3 3 2 2" xfId="11164"/>
    <cellStyle name="40% - 강조색1 3 2 3 3 2 2 2" xfId="11165"/>
    <cellStyle name="40% - 강조색1 3 2 3 3 2 2 3" xfId="11166"/>
    <cellStyle name="40% - 강조색1 3 2 3 3 2 3" xfId="11167"/>
    <cellStyle name="40% - 강조색1 3 2 3 3 2 4" xfId="11168"/>
    <cellStyle name="40% - 강조색1 3 2 3 3 3" xfId="11169"/>
    <cellStyle name="40% - 강조색1 3 2 3 3 3 2" xfId="11170"/>
    <cellStyle name="40% - 강조색1 3 2 3 3 3 3" xfId="11171"/>
    <cellStyle name="40% - 강조색1 3 2 3 3 4" xfId="11172"/>
    <cellStyle name="40% - 강조색1 3 2 3 3 5" xfId="11173"/>
    <cellStyle name="40% - 강조색1 3 2 3 4" xfId="11174"/>
    <cellStyle name="40% - 강조색1 3 2 3 4 2" xfId="11175"/>
    <cellStyle name="40% - 강조색1 3 2 3 4 2 2" xfId="11176"/>
    <cellStyle name="40% - 강조색1 3 2 3 4 2 3" xfId="11177"/>
    <cellStyle name="40% - 강조색1 3 2 3 4 3" xfId="11178"/>
    <cellStyle name="40% - 강조색1 3 2 3 4 4" xfId="11179"/>
    <cellStyle name="40% - 강조색1 3 2 3 5" xfId="11180"/>
    <cellStyle name="40% - 강조색1 3 2 3 5 2" xfId="11181"/>
    <cellStyle name="40% - 강조색1 3 2 3 5 3" xfId="11182"/>
    <cellStyle name="40% - 강조색1 3 2 3 6" xfId="11183"/>
    <cellStyle name="40% - 강조색1 3 2 3 7" xfId="11184"/>
    <cellStyle name="40% - 강조색1 3 2 4" xfId="11185"/>
    <cellStyle name="40% - 강조색1 3 2 4 2" xfId="11186"/>
    <cellStyle name="40% - 강조색1 3 2 4 2 2" xfId="11187"/>
    <cellStyle name="40% - 강조색1 3 2 4 2 2 2" xfId="11188"/>
    <cellStyle name="40% - 강조색1 3 2 4 2 2 3" xfId="11189"/>
    <cellStyle name="40% - 강조색1 3 2 4 2 3" xfId="11190"/>
    <cellStyle name="40% - 강조색1 3 2 4 2 4" xfId="11191"/>
    <cellStyle name="40% - 강조색1 3 2 4 3" xfId="11192"/>
    <cellStyle name="40% - 강조색1 3 2 4 3 2" xfId="11193"/>
    <cellStyle name="40% - 강조색1 3 2 4 3 3" xfId="11194"/>
    <cellStyle name="40% - 강조색1 3 2 4 4" xfId="11195"/>
    <cellStyle name="40% - 강조색1 3 2 4 5" xfId="11196"/>
    <cellStyle name="40% - 강조색1 3 2 5" xfId="11197"/>
    <cellStyle name="40% - 강조색1 3 2 5 2" xfId="11198"/>
    <cellStyle name="40% - 강조색1 3 2 5 2 2" xfId="11199"/>
    <cellStyle name="40% - 강조색1 3 2 5 2 2 2" xfId="11200"/>
    <cellStyle name="40% - 강조색1 3 2 5 2 2 3" xfId="11201"/>
    <cellStyle name="40% - 강조색1 3 2 5 2 3" xfId="11202"/>
    <cellStyle name="40% - 강조색1 3 2 5 2 4" xfId="11203"/>
    <cellStyle name="40% - 강조색1 3 2 5 3" xfId="11204"/>
    <cellStyle name="40% - 강조색1 3 2 5 3 2" xfId="11205"/>
    <cellStyle name="40% - 강조색1 3 2 5 3 3" xfId="11206"/>
    <cellStyle name="40% - 강조색1 3 2 5 4" xfId="11207"/>
    <cellStyle name="40% - 강조색1 3 2 5 5" xfId="11208"/>
    <cellStyle name="40% - 강조색1 3 2 6" xfId="11209"/>
    <cellStyle name="40% - 강조색1 3 2 6 2" xfId="11210"/>
    <cellStyle name="40% - 강조색1 3 2 6 2 2" xfId="11211"/>
    <cellStyle name="40% - 강조색1 3 2 6 2 2 2" xfId="11212"/>
    <cellStyle name="40% - 강조색1 3 2 6 2 2 3" xfId="11213"/>
    <cellStyle name="40% - 강조색1 3 2 6 2 3" xfId="11214"/>
    <cellStyle name="40% - 강조색1 3 2 6 2 4" xfId="11215"/>
    <cellStyle name="40% - 강조색1 3 2 6 3" xfId="11216"/>
    <cellStyle name="40% - 강조색1 3 2 6 3 2" xfId="11217"/>
    <cellStyle name="40% - 강조색1 3 2 6 3 3" xfId="11218"/>
    <cellStyle name="40% - 강조색1 3 2 6 4" xfId="11219"/>
    <cellStyle name="40% - 강조색1 3 2 6 5" xfId="11220"/>
    <cellStyle name="40% - 강조색1 3 2 7" xfId="11221"/>
    <cellStyle name="40% - 강조색1 3 2 7 2" xfId="11222"/>
    <cellStyle name="40% - 강조색1 3 2 7 2 2" xfId="11223"/>
    <cellStyle name="40% - 강조색1 3 2 7 2 3" xfId="11224"/>
    <cellStyle name="40% - 강조색1 3 2 7 3" xfId="11225"/>
    <cellStyle name="40% - 강조색1 3 2 7 4" xfId="11226"/>
    <cellStyle name="40% - 강조색1 3 2 8" xfId="11227"/>
    <cellStyle name="40% - 강조색1 3 2 8 2" xfId="11228"/>
    <cellStyle name="40% - 강조색1 3 2 8 3" xfId="11229"/>
    <cellStyle name="40% - 강조색1 3 2 9" xfId="11230"/>
    <cellStyle name="40% - 강조색1 3 3" xfId="11231"/>
    <cellStyle name="40% - 강조색1 3 3 10" xfId="11232"/>
    <cellStyle name="40% - 강조색1 3 3 11" xfId="11233"/>
    <cellStyle name="40% - 강조색1 3 3 12" xfId="11234"/>
    <cellStyle name="40% - 강조색1 3 3 2" xfId="11235"/>
    <cellStyle name="40% - 강조색1 3 3 2 2" xfId="11236"/>
    <cellStyle name="40% - 강조색1 3 3 2 2 2" xfId="11237"/>
    <cellStyle name="40% - 강조색1 3 3 2 2 2 2" xfId="11238"/>
    <cellStyle name="40% - 강조색1 3 3 2 2 2 2 2" xfId="11239"/>
    <cellStyle name="40% - 강조색1 3 3 2 2 2 2 3" xfId="11240"/>
    <cellStyle name="40% - 강조색1 3 3 2 2 2 3" xfId="11241"/>
    <cellStyle name="40% - 강조색1 3 3 2 2 2 4" xfId="11242"/>
    <cellStyle name="40% - 강조색1 3 3 2 2 3" xfId="11243"/>
    <cellStyle name="40% - 강조색1 3 3 2 2 3 2" xfId="11244"/>
    <cellStyle name="40% - 강조색1 3 3 2 2 3 3" xfId="11245"/>
    <cellStyle name="40% - 강조색1 3 3 2 2 4" xfId="11246"/>
    <cellStyle name="40% - 강조색1 3 3 2 2 5" xfId="11247"/>
    <cellStyle name="40% - 강조색1 3 3 2 3" xfId="11248"/>
    <cellStyle name="40% - 강조색1 3 3 2 3 2" xfId="11249"/>
    <cellStyle name="40% - 강조색1 3 3 2 3 2 2" xfId="11250"/>
    <cellStyle name="40% - 강조색1 3 3 2 3 2 2 2" xfId="11251"/>
    <cellStyle name="40% - 강조색1 3 3 2 3 2 2 3" xfId="11252"/>
    <cellStyle name="40% - 강조색1 3 3 2 3 2 3" xfId="11253"/>
    <cellStyle name="40% - 강조색1 3 3 2 3 2 4" xfId="11254"/>
    <cellStyle name="40% - 강조색1 3 3 2 3 3" xfId="11255"/>
    <cellStyle name="40% - 강조색1 3 3 2 3 3 2" xfId="11256"/>
    <cellStyle name="40% - 강조색1 3 3 2 3 3 3" xfId="11257"/>
    <cellStyle name="40% - 강조색1 3 3 2 3 4" xfId="11258"/>
    <cellStyle name="40% - 강조색1 3 3 2 3 5" xfId="11259"/>
    <cellStyle name="40% - 강조색1 3 3 2 4" xfId="11260"/>
    <cellStyle name="40% - 강조색1 3 3 2 4 2" xfId="11261"/>
    <cellStyle name="40% - 강조색1 3 3 2 4 2 2" xfId="11262"/>
    <cellStyle name="40% - 강조색1 3 3 2 4 2 3" xfId="11263"/>
    <cellStyle name="40% - 강조색1 3 3 2 4 3" xfId="11264"/>
    <cellStyle name="40% - 강조색1 3 3 2 4 4" xfId="11265"/>
    <cellStyle name="40% - 강조색1 3 3 2 5" xfId="11266"/>
    <cellStyle name="40% - 강조색1 3 3 2 5 2" xfId="11267"/>
    <cellStyle name="40% - 강조색1 3 3 2 5 3" xfId="11268"/>
    <cellStyle name="40% - 강조색1 3 3 2 6" xfId="11269"/>
    <cellStyle name="40% - 강조색1 3 3 2 7" xfId="11270"/>
    <cellStyle name="40% - 강조색1 3 3 2 8" xfId="11271"/>
    <cellStyle name="40% - 강조색1 3 3 2 9" xfId="11272"/>
    <cellStyle name="40% - 강조색1 3 3 3" xfId="11273"/>
    <cellStyle name="40% - 강조색1 3 3 3 2" xfId="11274"/>
    <cellStyle name="40% - 강조색1 3 3 3 2 2" xfId="11275"/>
    <cellStyle name="40% - 강조색1 3 3 3 2 2 2" xfId="11276"/>
    <cellStyle name="40% - 강조색1 3 3 3 2 2 2 2" xfId="11277"/>
    <cellStyle name="40% - 강조색1 3 3 3 2 2 2 3" xfId="11278"/>
    <cellStyle name="40% - 강조색1 3 3 3 2 2 3" xfId="11279"/>
    <cellStyle name="40% - 강조색1 3 3 3 2 2 4" xfId="11280"/>
    <cellStyle name="40% - 강조색1 3 3 3 2 3" xfId="11281"/>
    <cellStyle name="40% - 강조색1 3 3 3 2 3 2" xfId="11282"/>
    <cellStyle name="40% - 강조색1 3 3 3 2 3 3" xfId="11283"/>
    <cellStyle name="40% - 강조색1 3 3 3 2 4" xfId="11284"/>
    <cellStyle name="40% - 강조색1 3 3 3 2 5" xfId="11285"/>
    <cellStyle name="40% - 강조색1 3 3 3 3" xfId="11286"/>
    <cellStyle name="40% - 강조색1 3 3 3 3 2" xfId="11287"/>
    <cellStyle name="40% - 강조색1 3 3 3 3 2 2" xfId="11288"/>
    <cellStyle name="40% - 강조색1 3 3 3 3 2 2 2" xfId="11289"/>
    <cellStyle name="40% - 강조색1 3 3 3 3 2 2 3" xfId="11290"/>
    <cellStyle name="40% - 강조색1 3 3 3 3 2 3" xfId="11291"/>
    <cellStyle name="40% - 강조색1 3 3 3 3 2 4" xfId="11292"/>
    <cellStyle name="40% - 강조색1 3 3 3 3 3" xfId="11293"/>
    <cellStyle name="40% - 강조색1 3 3 3 3 3 2" xfId="11294"/>
    <cellStyle name="40% - 강조색1 3 3 3 3 3 3" xfId="11295"/>
    <cellStyle name="40% - 강조색1 3 3 3 3 4" xfId="11296"/>
    <cellStyle name="40% - 강조색1 3 3 3 3 5" xfId="11297"/>
    <cellStyle name="40% - 강조색1 3 3 3 4" xfId="11298"/>
    <cellStyle name="40% - 강조색1 3 3 3 4 2" xfId="11299"/>
    <cellStyle name="40% - 강조색1 3 3 3 4 2 2" xfId="11300"/>
    <cellStyle name="40% - 강조색1 3 3 3 4 2 3" xfId="11301"/>
    <cellStyle name="40% - 강조색1 3 3 3 4 3" xfId="11302"/>
    <cellStyle name="40% - 강조색1 3 3 3 4 4" xfId="11303"/>
    <cellStyle name="40% - 강조색1 3 3 3 5" xfId="11304"/>
    <cellStyle name="40% - 강조색1 3 3 3 5 2" xfId="11305"/>
    <cellStyle name="40% - 강조색1 3 3 3 5 3" xfId="11306"/>
    <cellStyle name="40% - 강조색1 3 3 3 6" xfId="11307"/>
    <cellStyle name="40% - 강조색1 3 3 3 7" xfId="11308"/>
    <cellStyle name="40% - 강조색1 3 3 4" xfId="11309"/>
    <cellStyle name="40% - 강조색1 3 3 4 2" xfId="11310"/>
    <cellStyle name="40% - 강조색1 3 3 4 2 2" xfId="11311"/>
    <cellStyle name="40% - 강조색1 3 3 4 2 2 2" xfId="11312"/>
    <cellStyle name="40% - 강조색1 3 3 4 2 2 3" xfId="11313"/>
    <cellStyle name="40% - 강조색1 3 3 4 2 3" xfId="11314"/>
    <cellStyle name="40% - 강조색1 3 3 4 2 4" xfId="11315"/>
    <cellStyle name="40% - 강조색1 3 3 4 3" xfId="11316"/>
    <cellStyle name="40% - 강조색1 3 3 4 3 2" xfId="11317"/>
    <cellStyle name="40% - 강조색1 3 3 4 3 3" xfId="11318"/>
    <cellStyle name="40% - 강조색1 3 3 4 4" xfId="11319"/>
    <cellStyle name="40% - 강조색1 3 3 4 5" xfId="11320"/>
    <cellStyle name="40% - 강조색1 3 3 5" xfId="11321"/>
    <cellStyle name="40% - 강조색1 3 3 5 2" xfId="11322"/>
    <cellStyle name="40% - 강조색1 3 3 5 2 2" xfId="11323"/>
    <cellStyle name="40% - 강조색1 3 3 5 2 2 2" xfId="11324"/>
    <cellStyle name="40% - 강조색1 3 3 5 2 2 3" xfId="11325"/>
    <cellStyle name="40% - 강조색1 3 3 5 2 3" xfId="11326"/>
    <cellStyle name="40% - 강조색1 3 3 5 2 4" xfId="11327"/>
    <cellStyle name="40% - 강조색1 3 3 5 3" xfId="11328"/>
    <cellStyle name="40% - 강조색1 3 3 5 3 2" xfId="11329"/>
    <cellStyle name="40% - 강조색1 3 3 5 3 3" xfId="11330"/>
    <cellStyle name="40% - 강조색1 3 3 5 4" xfId="11331"/>
    <cellStyle name="40% - 강조색1 3 3 5 5" xfId="11332"/>
    <cellStyle name="40% - 강조색1 3 3 6" xfId="11333"/>
    <cellStyle name="40% - 강조색1 3 3 6 2" xfId="11334"/>
    <cellStyle name="40% - 강조색1 3 3 6 2 2" xfId="11335"/>
    <cellStyle name="40% - 강조색1 3 3 6 2 2 2" xfId="11336"/>
    <cellStyle name="40% - 강조색1 3 3 6 2 2 3" xfId="11337"/>
    <cellStyle name="40% - 강조색1 3 3 6 2 3" xfId="11338"/>
    <cellStyle name="40% - 강조색1 3 3 6 2 4" xfId="11339"/>
    <cellStyle name="40% - 강조색1 3 3 6 3" xfId="11340"/>
    <cellStyle name="40% - 강조색1 3 3 6 3 2" xfId="11341"/>
    <cellStyle name="40% - 강조색1 3 3 6 3 3" xfId="11342"/>
    <cellStyle name="40% - 강조색1 3 3 6 4" xfId="11343"/>
    <cellStyle name="40% - 강조색1 3 3 6 5" xfId="11344"/>
    <cellStyle name="40% - 강조색1 3 3 7" xfId="11345"/>
    <cellStyle name="40% - 강조색1 3 3 7 2" xfId="11346"/>
    <cellStyle name="40% - 강조색1 3 3 7 2 2" xfId="11347"/>
    <cellStyle name="40% - 강조색1 3 3 7 2 3" xfId="11348"/>
    <cellStyle name="40% - 강조색1 3 3 7 3" xfId="11349"/>
    <cellStyle name="40% - 강조색1 3 3 7 4" xfId="11350"/>
    <cellStyle name="40% - 강조색1 3 3 8" xfId="11351"/>
    <cellStyle name="40% - 강조색1 3 3 8 2" xfId="11352"/>
    <cellStyle name="40% - 강조색1 3 3 8 3" xfId="11353"/>
    <cellStyle name="40% - 강조색1 3 3 9" xfId="11354"/>
    <cellStyle name="40% - 강조색1 3 4" xfId="11355"/>
    <cellStyle name="40% - 강조색1 3 4 10" xfId="11356"/>
    <cellStyle name="40% - 강조색1 3 4 11" xfId="11357"/>
    <cellStyle name="40% - 강조색1 3 4 12" xfId="11358"/>
    <cellStyle name="40% - 강조색1 3 4 2" xfId="11359"/>
    <cellStyle name="40% - 강조색1 3 4 2 2" xfId="11360"/>
    <cellStyle name="40% - 강조색1 3 4 2 2 2" xfId="11361"/>
    <cellStyle name="40% - 강조색1 3 4 2 2 2 2" xfId="11362"/>
    <cellStyle name="40% - 강조색1 3 4 2 2 2 2 2" xfId="11363"/>
    <cellStyle name="40% - 강조색1 3 4 2 2 2 2 3" xfId="11364"/>
    <cellStyle name="40% - 강조색1 3 4 2 2 2 3" xfId="11365"/>
    <cellStyle name="40% - 강조색1 3 4 2 2 2 4" xfId="11366"/>
    <cellStyle name="40% - 강조색1 3 4 2 2 3" xfId="11367"/>
    <cellStyle name="40% - 강조색1 3 4 2 2 3 2" xfId="11368"/>
    <cellStyle name="40% - 강조색1 3 4 2 2 3 3" xfId="11369"/>
    <cellStyle name="40% - 강조색1 3 4 2 2 4" xfId="11370"/>
    <cellStyle name="40% - 강조색1 3 4 2 2 5" xfId="11371"/>
    <cellStyle name="40% - 강조색1 3 4 2 3" xfId="11372"/>
    <cellStyle name="40% - 강조색1 3 4 2 3 2" xfId="11373"/>
    <cellStyle name="40% - 강조색1 3 4 2 3 2 2" xfId="11374"/>
    <cellStyle name="40% - 강조색1 3 4 2 3 2 2 2" xfId="11375"/>
    <cellStyle name="40% - 강조색1 3 4 2 3 2 2 3" xfId="11376"/>
    <cellStyle name="40% - 강조색1 3 4 2 3 2 3" xfId="11377"/>
    <cellStyle name="40% - 강조색1 3 4 2 3 2 4" xfId="11378"/>
    <cellStyle name="40% - 강조색1 3 4 2 3 3" xfId="11379"/>
    <cellStyle name="40% - 강조색1 3 4 2 3 3 2" xfId="11380"/>
    <cellStyle name="40% - 강조색1 3 4 2 3 3 3" xfId="11381"/>
    <cellStyle name="40% - 강조색1 3 4 2 3 4" xfId="11382"/>
    <cellStyle name="40% - 강조색1 3 4 2 3 5" xfId="11383"/>
    <cellStyle name="40% - 강조색1 3 4 2 4" xfId="11384"/>
    <cellStyle name="40% - 강조색1 3 4 2 4 2" xfId="11385"/>
    <cellStyle name="40% - 강조색1 3 4 2 4 2 2" xfId="11386"/>
    <cellStyle name="40% - 강조색1 3 4 2 4 2 3" xfId="11387"/>
    <cellStyle name="40% - 강조색1 3 4 2 4 3" xfId="11388"/>
    <cellStyle name="40% - 강조색1 3 4 2 4 4" xfId="11389"/>
    <cellStyle name="40% - 강조색1 3 4 2 5" xfId="11390"/>
    <cellStyle name="40% - 강조색1 3 4 2 5 2" xfId="11391"/>
    <cellStyle name="40% - 강조색1 3 4 2 5 3" xfId="11392"/>
    <cellStyle name="40% - 강조색1 3 4 2 6" xfId="11393"/>
    <cellStyle name="40% - 강조색1 3 4 2 7" xfId="11394"/>
    <cellStyle name="40% - 강조색1 3 4 3" xfId="11395"/>
    <cellStyle name="40% - 강조색1 3 4 3 2" xfId="11396"/>
    <cellStyle name="40% - 강조색1 3 4 3 2 2" xfId="11397"/>
    <cellStyle name="40% - 강조색1 3 4 3 2 2 2" xfId="11398"/>
    <cellStyle name="40% - 강조색1 3 4 3 2 2 2 2" xfId="11399"/>
    <cellStyle name="40% - 강조색1 3 4 3 2 2 2 3" xfId="11400"/>
    <cellStyle name="40% - 강조색1 3 4 3 2 2 3" xfId="11401"/>
    <cellStyle name="40% - 강조색1 3 4 3 2 2 4" xfId="11402"/>
    <cellStyle name="40% - 강조색1 3 4 3 2 3" xfId="11403"/>
    <cellStyle name="40% - 강조색1 3 4 3 2 3 2" xfId="11404"/>
    <cellStyle name="40% - 강조색1 3 4 3 2 3 3" xfId="11405"/>
    <cellStyle name="40% - 강조색1 3 4 3 2 4" xfId="11406"/>
    <cellStyle name="40% - 강조색1 3 4 3 2 5" xfId="11407"/>
    <cellStyle name="40% - 강조색1 3 4 3 3" xfId="11408"/>
    <cellStyle name="40% - 강조색1 3 4 3 3 2" xfId="11409"/>
    <cellStyle name="40% - 강조색1 3 4 3 3 2 2" xfId="11410"/>
    <cellStyle name="40% - 강조색1 3 4 3 3 2 2 2" xfId="11411"/>
    <cellStyle name="40% - 강조색1 3 4 3 3 2 2 3" xfId="11412"/>
    <cellStyle name="40% - 강조색1 3 4 3 3 2 3" xfId="11413"/>
    <cellStyle name="40% - 강조색1 3 4 3 3 2 4" xfId="11414"/>
    <cellStyle name="40% - 강조색1 3 4 3 3 3" xfId="11415"/>
    <cellStyle name="40% - 강조색1 3 4 3 3 3 2" xfId="11416"/>
    <cellStyle name="40% - 강조색1 3 4 3 3 3 3" xfId="11417"/>
    <cellStyle name="40% - 강조색1 3 4 3 3 4" xfId="11418"/>
    <cellStyle name="40% - 강조색1 3 4 3 3 5" xfId="11419"/>
    <cellStyle name="40% - 강조색1 3 4 3 4" xfId="11420"/>
    <cellStyle name="40% - 강조색1 3 4 3 4 2" xfId="11421"/>
    <cellStyle name="40% - 강조색1 3 4 3 4 2 2" xfId="11422"/>
    <cellStyle name="40% - 강조색1 3 4 3 4 2 3" xfId="11423"/>
    <cellStyle name="40% - 강조색1 3 4 3 4 3" xfId="11424"/>
    <cellStyle name="40% - 강조색1 3 4 3 4 4" xfId="11425"/>
    <cellStyle name="40% - 강조색1 3 4 3 5" xfId="11426"/>
    <cellStyle name="40% - 강조색1 3 4 3 5 2" xfId="11427"/>
    <cellStyle name="40% - 강조색1 3 4 3 5 3" xfId="11428"/>
    <cellStyle name="40% - 강조색1 3 4 3 6" xfId="11429"/>
    <cellStyle name="40% - 강조색1 3 4 3 7" xfId="11430"/>
    <cellStyle name="40% - 강조색1 3 4 4" xfId="11431"/>
    <cellStyle name="40% - 강조색1 3 4 4 2" xfId="11432"/>
    <cellStyle name="40% - 강조색1 3 4 4 2 2" xfId="11433"/>
    <cellStyle name="40% - 강조색1 3 4 4 2 2 2" xfId="11434"/>
    <cellStyle name="40% - 강조색1 3 4 4 2 2 3" xfId="11435"/>
    <cellStyle name="40% - 강조색1 3 4 4 2 3" xfId="11436"/>
    <cellStyle name="40% - 강조색1 3 4 4 2 4" xfId="11437"/>
    <cellStyle name="40% - 강조색1 3 4 4 3" xfId="11438"/>
    <cellStyle name="40% - 강조색1 3 4 4 3 2" xfId="11439"/>
    <cellStyle name="40% - 강조색1 3 4 4 3 3" xfId="11440"/>
    <cellStyle name="40% - 강조색1 3 4 4 4" xfId="11441"/>
    <cellStyle name="40% - 강조색1 3 4 4 5" xfId="11442"/>
    <cellStyle name="40% - 강조색1 3 4 5" xfId="11443"/>
    <cellStyle name="40% - 강조색1 3 4 5 2" xfId="11444"/>
    <cellStyle name="40% - 강조색1 3 4 5 2 2" xfId="11445"/>
    <cellStyle name="40% - 강조색1 3 4 5 2 2 2" xfId="11446"/>
    <cellStyle name="40% - 강조색1 3 4 5 2 2 3" xfId="11447"/>
    <cellStyle name="40% - 강조색1 3 4 5 2 3" xfId="11448"/>
    <cellStyle name="40% - 강조색1 3 4 5 2 4" xfId="11449"/>
    <cellStyle name="40% - 강조색1 3 4 5 3" xfId="11450"/>
    <cellStyle name="40% - 강조색1 3 4 5 3 2" xfId="11451"/>
    <cellStyle name="40% - 강조색1 3 4 5 3 3" xfId="11452"/>
    <cellStyle name="40% - 강조색1 3 4 5 4" xfId="11453"/>
    <cellStyle name="40% - 강조색1 3 4 5 5" xfId="11454"/>
    <cellStyle name="40% - 강조색1 3 4 6" xfId="11455"/>
    <cellStyle name="40% - 강조색1 3 4 6 2" xfId="11456"/>
    <cellStyle name="40% - 강조색1 3 4 6 2 2" xfId="11457"/>
    <cellStyle name="40% - 강조색1 3 4 6 2 2 2" xfId="11458"/>
    <cellStyle name="40% - 강조색1 3 4 6 2 2 3" xfId="11459"/>
    <cellStyle name="40% - 강조색1 3 4 6 2 3" xfId="11460"/>
    <cellStyle name="40% - 강조색1 3 4 6 2 4" xfId="11461"/>
    <cellStyle name="40% - 강조색1 3 4 6 3" xfId="11462"/>
    <cellStyle name="40% - 강조색1 3 4 6 3 2" xfId="11463"/>
    <cellStyle name="40% - 강조색1 3 4 6 3 3" xfId="11464"/>
    <cellStyle name="40% - 강조색1 3 4 6 4" xfId="11465"/>
    <cellStyle name="40% - 강조색1 3 4 6 5" xfId="11466"/>
    <cellStyle name="40% - 강조색1 3 4 7" xfId="11467"/>
    <cellStyle name="40% - 강조색1 3 4 7 2" xfId="11468"/>
    <cellStyle name="40% - 강조색1 3 4 7 2 2" xfId="11469"/>
    <cellStyle name="40% - 강조색1 3 4 7 2 3" xfId="11470"/>
    <cellStyle name="40% - 강조색1 3 4 7 3" xfId="11471"/>
    <cellStyle name="40% - 강조색1 3 4 7 4" xfId="11472"/>
    <cellStyle name="40% - 강조색1 3 4 8" xfId="11473"/>
    <cellStyle name="40% - 강조색1 3 4 8 2" xfId="11474"/>
    <cellStyle name="40% - 강조색1 3 4 8 3" xfId="11475"/>
    <cellStyle name="40% - 강조색1 3 4 9" xfId="11476"/>
    <cellStyle name="40% - 강조색1 3 5" xfId="11477"/>
    <cellStyle name="40% - 강조색1 3 5 2" xfId="11478"/>
    <cellStyle name="40% - 강조색1 3 5 2 2" xfId="11479"/>
    <cellStyle name="40% - 강조색1 3 5 2 2 2" xfId="11480"/>
    <cellStyle name="40% - 강조색1 3 5 2 2 2 2" xfId="11481"/>
    <cellStyle name="40% - 강조색1 3 5 2 2 2 3" xfId="11482"/>
    <cellStyle name="40% - 강조색1 3 5 2 2 3" xfId="11483"/>
    <cellStyle name="40% - 강조색1 3 5 2 2 4" xfId="11484"/>
    <cellStyle name="40% - 강조색1 3 5 2 3" xfId="11485"/>
    <cellStyle name="40% - 강조색1 3 5 2 3 2" xfId="11486"/>
    <cellStyle name="40% - 강조색1 3 5 2 3 3" xfId="11487"/>
    <cellStyle name="40% - 강조색1 3 5 2 4" xfId="11488"/>
    <cellStyle name="40% - 강조색1 3 5 2 5" xfId="11489"/>
    <cellStyle name="40% - 강조색1 3 5 3" xfId="11490"/>
    <cellStyle name="40% - 강조색1 3 5 3 2" xfId="11491"/>
    <cellStyle name="40% - 강조색1 3 5 3 2 2" xfId="11492"/>
    <cellStyle name="40% - 강조색1 3 5 3 2 2 2" xfId="11493"/>
    <cellStyle name="40% - 강조색1 3 5 3 2 2 3" xfId="11494"/>
    <cellStyle name="40% - 강조색1 3 5 3 2 3" xfId="11495"/>
    <cellStyle name="40% - 강조색1 3 5 3 2 4" xfId="11496"/>
    <cellStyle name="40% - 강조색1 3 5 3 3" xfId="11497"/>
    <cellStyle name="40% - 강조색1 3 5 3 3 2" xfId="11498"/>
    <cellStyle name="40% - 강조색1 3 5 3 3 3" xfId="11499"/>
    <cellStyle name="40% - 강조색1 3 5 3 4" xfId="11500"/>
    <cellStyle name="40% - 강조색1 3 5 3 5" xfId="11501"/>
    <cellStyle name="40% - 강조색1 3 5 4" xfId="11502"/>
    <cellStyle name="40% - 강조색1 3 5 4 2" xfId="11503"/>
    <cellStyle name="40% - 강조색1 3 5 4 2 2" xfId="11504"/>
    <cellStyle name="40% - 강조색1 3 5 4 2 3" xfId="11505"/>
    <cellStyle name="40% - 강조색1 3 5 4 3" xfId="11506"/>
    <cellStyle name="40% - 강조색1 3 5 4 4" xfId="11507"/>
    <cellStyle name="40% - 강조색1 3 5 5" xfId="11508"/>
    <cellStyle name="40% - 강조색1 3 5 5 2" xfId="11509"/>
    <cellStyle name="40% - 강조색1 3 5 5 3" xfId="11510"/>
    <cellStyle name="40% - 강조색1 3 5 6" xfId="11511"/>
    <cellStyle name="40% - 강조색1 3 5 7" xfId="11512"/>
    <cellStyle name="40% - 강조색1 3 5 8" xfId="11513"/>
    <cellStyle name="40% - 강조색1 3 6" xfId="11514"/>
    <cellStyle name="40% - 강조색1 3 6 2" xfId="11515"/>
    <cellStyle name="40% - 강조색1 3 6 2 2" xfId="11516"/>
    <cellStyle name="40% - 강조색1 3 6 2 2 2" xfId="11517"/>
    <cellStyle name="40% - 강조색1 3 6 2 2 2 2" xfId="11518"/>
    <cellStyle name="40% - 강조색1 3 6 2 2 2 3" xfId="11519"/>
    <cellStyle name="40% - 강조색1 3 6 2 2 3" xfId="11520"/>
    <cellStyle name="40% - 강조색1 3 6 2 2 4" xfId="11521"/>
    <cellStyle name="40% - 강조색1 3 6 2 3" xfId="11522"/>
    <cellStyle name="40% - 강조색1 3 6 2 3 2" xfId="11523"/>
    <cellStyle name="40% - 강조색1 3 6 2 3 3" xfId="11524"/>
    <cellStyle name="40% - 강조색1 3 6 2 4" xfId="11525"/>
    <cellStyle name="40% - 강조색1 3 6 2 5" xfId="11526"/>
    <cellStyle name="40% - 강조색1 3 6 3" xfId="11527"/>
    <cellStyle name="40% - 강조색1 3 6 3 2" xfId="11528"/>
    <cellStyle name="40% - 강조색1 3 6 3 2 2" xfId="11529"/>
    <cellStyle name="40% - 강조색1 3 6 3 2 2 2" xfId="11530"/>
    <cellStyle name="40% - 강조색1 3 6 3 2 2 3" xfId="11531"/>
    <cellStyle name="40% - 강조색1 3 6 3 2 3" xfId="11532"/>
    <cellStyle name="40% - 강조색1 3 6 3 2 4" xfId="11533"/>
    <cellStyle name="40% - 강조색1 3 6 3 3" xfId="11534"/>
    <cellStyle name="40% - 강조색1 3 6 3 3 2" xfId="11535"/>
    <cellStyle name="40% - 강조색1 3 6 3 3 3" xfId="11536"/>
    <cellStyle name="40% - 강조색1 3 6 3 4" xfId="11537"/>
    <cellStyle name="40% - 강조색1 3 6 3 5" xfId="11538"/>
    <cellStyle name="40% - 강조색1 3 6 4" xfId="11539"/>
    <cellStyle name="40% - 강조색1 3 6 4 2" xfId="11540"/>
    <cellStyle name="40% - 강조색1 3 6 4 2 2" xfId="11541"/>
    <cellStyle name="40% - 강조색1 3 6 4 2 3" xfId="11542"/>
    <cellStyle name="40% - 강조색1 3 6 4 3" xfId="11543"/>
    <cellStyle name="40% - 강조색1 3 6 4 4" xfId="11544"/>
    <cellStyle name="40% - 강조색1 3 6 5" xfId="11545"/>
    <cellStyle name="40% - 강조색1 3 6 5 2" xfId="11546"/>
    <cellStyle name="40% - 강조색1 3 6 5 3" xfId="11547"/>
    <cellStyle name="40% - 강조색1 3 6 6" xfId="11548"/>
    <cellStyle name="40% - 강조색1 3 6 7" xfId="11549"/>
    <cellStyle name="40% - 강조색1 3 7" xfId="11550"/>
    <cellStyle name="40% - 강조색1 3 7 2" xfId="11551"/>
    <cellStyle name="40% - 강조색1 3 7 2 2" xfId="11552"/>
    <cellStyle name="40% - 강조색1 3 7 2 2 2" xfId="11553"/>
    <cellStyle name="40% - 강조색1 3 7 2 2 3" xfId="11554"/>
    <cellStyle name="40% - 강조색1 3 7 2 3" xfId="11555"/>
    <cellStyle name="40% - 강조색1 3 7 2 4" xfId="11556"/>
    <cellStyle name="40% - 강조색1 3 7 3" xfId="11557"/>
    <cellStyle name="40% - 강조색1 3 7 3 2" xfId="11558"/>
    <cellStyle name="40% - 강조색1 3 7 3 3" xfId="11559"/>
    <cellStyle name="40% - 강조색1 3 7 4" xfId="11560"/>
    <cellStyle name="40% - 강조색1 3 7 5" xfId="11561"/>
    <cellStyle name="40% - 강조색1 3 8" xfId="11562"/>
    <cellStyle name="40% - 강조색1 3 8 2" xfId="11563"/>
    <cellStyle name="40% - 강조색1 3 8 2 2" xfId="11564"/>
    <cellStyle name="40% - 강조색1 3 8 2 2 2" xfId="11565"/>
    <cellStyle name="40% - 강조색1 3 8 2 2 3" xfId="11566"/>
    <cellStyle name="40% - 강조색1 3 8 2 3" xfId="11567"/>
    <cellStyle name="40% - 강조색1 3 8 2 4" xfId="11568"/>
    <cellStyle name="40% - 강조색1 3 8 3" xfId="11569"/>
    <cellStyle name="40% - 강조색1 3 8 3 2" xfId="11570"/>
    <cellStyle name="40% - 강조색1 3 8 3 3" xfId="11571"/>
    <cellStyle name="40% - 강조색1 3 8 4" xfId="11572"/>
    <cellStyle name="40% - 강조색1 3 8 5" xfId="11573"/>
    <cellStyle name="40% - 강조색1 3 9" xfId="11574"/>
    <cellStyle name="40% - 강조색1 3 9 2" xfId="11575"/>
    <cellStyle name="40% - 강조색1 3 9 2 2" xfId="11576"/>
    <cellStyle name="40% - 강조색1 3 9 2 2 2" xfId="11577"/>
    <cellStyle name="40% - 강조색1 3 9 2 2 3" xfId="11578"/>
    <cellStyle name="40% - 강조색1 3 9 2 3" xfId="11579"/>
    <cellStyle name="40% - 강조색1 3 9 2 4" xfId="11580"/>
    <cellStyle name="40% - 강조색1 3 9 3" xfId="11581"/>
    <cellStyle name="40% - 강조색1 3 9 3 2" xfId="11582"/>
    <cellStyle name="40% - 강조색1 3 9 3 3" xfId="11583"/>
    <cellStyle name="40% - 강조색1 3 9 4" xfId="11584"/>
    <cellStyle name="40% - 강조색1 3 9 5" xfId="11585"/>
    <cellStyle name="40% - 강조색1 30" xfId="11586"/>
    <cellStyle name="40% - 강조색1 30 2" xfId="11587"/>
    <cellStyle name="40% - 강조색1 31" xfId="11588"/>
    <cellStyle name="40% - 강조색1 31 2" xfId="11589"/>
    <cellStyle name="40% - 강조색1 32" xfId="11590"/>
    <cellStyle name="40% - 강조색1 32 2" xfId="11591"/>
    <cellStyle name="40% - 강조색1 33" xfId="11592"/>
    <cellStyle name="40% - 강조색1 33 2" xfId="11593"/>
    <cellStyle name="40% - 강조색1 34" xfId="11594"/>
    <cellStyle name="40% - 강조색1 34 2" xfId="11595"/>
    <cellStyle name="40% - 강조색1 35" xfId="11596"/>
    <cellStyle name="40% - 강조색1 36" xfId="11597"/>
    <cellStyle name="40% - 강조색1 37" xfId="11598"/>
    <cellStyle name="40% - 강조색1 38" xfId="11599"/>
    <cellStyle name="40% - 강조색1 39" xfId="11600"/>
    <cellStyle name="40% - 강조색1 4" xfId="11601"/>
    <cellStyle name="40% - 강조색1 4 10" xfId="11602"/>
    <cellStyle name="40% - 강조색1 4 10 2" xfId="11603"/>
    <cellStyle name="40% - 강조색1 4 10 2 2" xfId="11604"/>
    <cellStyle name="40% - 강조색1 4 10 2 3" xfId="11605"/>
    <cellStyle name="40% - 강조색1 4 10 3" xfId="11606"/>
    <cellStyle name="40% - 강조색1 4 10 4" xfId="11607"/>
    <cellStyle name="40% - 강조색1 4 11" xfId="11608"/>
    <cellStyle name="40% - 강조색1 4 11 2" xfId="11609"/>
    <cellStyle name="40% - 강조색1 4 11 3" xfId="11610"/>
    <cellStyle name="40% - 강조색1 4 12" xfId="11611"/>
    <cellStyle name="40% - 강조색1 4 13" xfId="11612"/>
    <cellStyle name="40% - 강조색1 4 14" xfId="11613"/>
    <cellStyle name="40% - 강조색1 4 2" xfId="11614"/>
    <cellStyle name="40% - 강조색1 4 2 10" xfId="11615"/>
    <cellStyle name="40% - 강조색1 4 2 2" xfId="11616"/>
    <cellStyle name="40% - 강조색1 4 2 2 2" xfId="11617"/>
    <cellStyle name="40% - 강조색1 4 2 2 2 2" xfId="11618"/>
    <cellStyle name="40% - 강조색1 4 2 2 2 2 2" xfId="11619"/>
    <cellStyle name="40% - 강조색1 4 2 2 2 2 2 2" xfId="11620"/>
    <cellStyle name="40% - 강조색1 4 2 2 2 2 2 3" xfId="11621"/>
    <cellStyle name="40% - 강조색1 4 2 2 2 2 3" xfId="11622"/>
    <cellStyle name="40% - 강조색1 4 2 2 2 2 4" xfId="11623"/>
    <cellStyle name="40% - 강조색1 4 2 2 2 3" xfId="11624"/>
    <cellStyle name="40% - 강조색1 4 2 2 2 3 2" xfId="11625"/>
    <cellStyle name="40% - 강조색1 4 2 2 2 3 3" xfId="11626"/>
    <cellStyle name="40% - 강조색1 4 2 2 2 4" xfId="11627"/>
    <cellStyle name="40% - 강조색1 4 2 2 2 5" xfId="11628"/>
    <cellStyle name="40% - 강조색1 4 2 2 3" xfId="11629"/>
    <cellStyle name="40% - 강조색1 4 2 2 3 2" xfId="11630"/>
    <cellStyle name="40% - 강조색1 4 2 2 3 2 2" xfId="11631"/>
    <cellStyle name="40% - 강조색1 4 2 2 3 2 2 2" xfId="11632"/>
    <cellStyle name="40% - 강조색1 4 2 2 3 2 2 3" xfId="11633"/>
    <cellStyle name="40% - 강조색1 4 2 2 3 2 3" xfId="11634"/>
    <cellStyle name="40% - 강조색1 4 2 2 3 2 4" xfId="11635"/>
    <cellStyle name="40% - 강조색1 4 2 2 3 3" xfId="11636"/>
    <cellStyle name="40% - 강조색1 4 2 2 3 3 2" xfId="11637"/>
    <cellStyle name="40% - 강조색1 4 2 2 3 3 3" xfId="11638"/>
    <cellStyle name="40% - 강조색1 4 2 2 3 4" xfId="11639"/>
    <cellStyle name="40% - 강조색1 4 2 2 3 5" xfId="11640"/>
    <cellStyle name="40% - 강조색1 4 2 2 4" xfId="11641"/>
    <cellStyle name="40% - 강조색1 4 2 2 4 2" xfId="11642"/>
    <cellStyle name="40% - 강조색1 4 2 2 4 2 2" xfId="11643"/>
    <cellStyle name="40% - 강조색1 4 2 2 4 2 3" xfId="11644"/>
    <cellStyle name="40% - 강조색1 4 2 2 4 3" xfId="11645"/>
    <cellStyle name="40% - 강조색1 4 2 2 4 4" xfId="11646"/>
    <cellStyle name="40% - 강조색1 4 2 2 5" xfId="11647"/>
    <cellStyle name="40% - 강조색1 4 2 2 5 2" xfId="11648"/>
    <cellStyle name="40% - 강조색1 4 2 2 5 3" xfId="11649"/>
    <cellStyle name="40% - 강조색1 4 2 2 6" xfId="11650"/>
    <cellStyle name="40% - 강조색1 4 2 2 7" xfId="11651"/>
    <cellStyle name="40% - 강조색1 4 2 3" xfId="11652"/>
    <cellStyle name="40% - 강조색1 4 2 3 2" xfId="11653"/>
    <cellStyle name="40% - 강조색1 4 2 3 2 2" xfId="11654"/>
    <cellStyle name="40% - 강조색1 4 2 3 2 2 2" xfId="11655"/>
    <cellStyle name="40% - 강조색1 4 2 3 2 2 2 2" xfId="11656"/>
    <cellStyle name="40% - 강조색1 4 2 3 2 2 2 3" xfId="11657"/>
    <cellStyle name="40% - 강조색1 4 2 3 2 2 3" xfId="11658"/>
    <cellStyle name="40% - 강조색1 4 2 3 2 2 4" xfId="11659"/>
    <cellStyle name="40% - 강조색1 4 2 3 2 3" xfId="11660"/>
    <cellStyle name="40% - 강조색1 4 2 3 2 3 2" xfId="11661"/>
    <cellStyle name="40% - 강조색1 4 2 3 2 3 3" xfId="11662"/>
    <cellStyle name="40% - 강조색1 4 2 3 2 4" xfId="11663"/>
    <cellStyle name="40% - 강조색1 4 2 3 2 5" xfId="11664"/>
    <cellStyle name="40% - 강조색1 4 2 3 3" xfId="11665"/>
    <cellStyle name="40% - 강조색1 4 2 3 3 2" xfId="11666"/>
    <cellStyle name="40% - 강조색1 4 2 3 3 2 2" xfId="11667"/>
    <cellStyle name="40% - 강조색1 4 2 3 3 2 2 2" xfId="11668"/>
    <cellStyle name="40% - 강조색1 4 2 3 3 2 2 3" xfId="11669"/>
    <cellStyle name="40% - 강조색1 4 2 3 3 2 3" xfId="11670"/>
    <cellStyle name="40% - 강조색1 4 2 3 3 2 4" xfId="11671"/>
    <cellStyle name="40% - 강조색1 4 2 3 3 3" xfId="11672"/>
    <cellStyle name="40% - 강조색1 4 2 3 3 3 2" xfId="11673"/>
    <cellStyle name="40% - 강조색1 4 2 3 3 3 3" xfId="11674"/>
    <cellStyle name="40% - 강조색1 4 2 3 3 4" xfId="11675"/>
    <cellStyle name="40% - 강조색1 4 2 3 3 5" xfId="11676"/>
    <cellStyle name="40% - 강조색1 4 2 3 4" xfId="11677"/>
    <cellStyle name="40% - 강조색1 4 2 3 4 2" xfId="11678"/>
    <cellStyle name="40% - 강조색1 4 2 3 4 2 2" xfId="11679"/>
    <cellStyle name="40% - 강조색1 4 2 3 4 2 3" xfId="11680"/>
    <cellStyle name="40% - 강조색1 4 2 3 4 3" xfId="11681"/>
    <cellStyle name="40% - 강조색1 4 2 3 4 4" xfId="11682"/>
    <cellStyle name="40% - 강조색1 4 2 3 5" xfId="11683"/>
    <cellStyle name="40% - 강조색1 4 2 3 5 2" xfId="11684"/>
    <cellStyle name="40% - 강조색1 4 2 3 5 3" xfId="11685"/>
    <cellStyle name="40% - 강조색1 4 2 3 6" xfId="11686"/>
    <cellStyle name="40% - 강조색1 4 2 3 7" xfId="11687"/>
    <cellStyle name="40% - 강조색1 4 2 4" xfId="11688"/>
    <cellStyle name="40% - 강조색1 4 2 4 2" xfId="11689"/>
    <cellStyle name="40% - 강조색1 4 2 4 2 2" xfId="11690"/>
    <cellStyle name="40% - 강조색1 4 2 4 2 2 2" xfId="11691"/>
    <cellStyle name="40% - 강조색1 4 2 4 2 2 3" xfId="11692"/>
    <cellStyle name="40% - 강조색1 4 2 4 2 3" xfId="11693"/>
    <cellStyle name="40% - 강조색1 4 2 4 2 4" xfId="11694"/>
    <cellStyle name="40% - 강조색1 4 2 4 3" xfId="11695"/>
    <cellStyle name="40% - 강조색1 4 2 4 3 2" xfId="11696"/>
    <cellStyle name="40% - 강조색1 4 2 4 3 3" xfId="11697"/>
    <cellStyle name="40% - 강조색1 4 2 4 4" xfId="11698"/>
    <cellStyle name="40% - 강조색1 4 2 4 5" xfId="11699"/>
    <cellStyle name="40% - 강조색1 4 2 5" xfId="11700"/>
    <cellStyle name="40% - 강조색1 4 2 5 2" xfId="11701"/>
    <cellStyle name="40% - 강조색1 4 2 5 2 2" xfId="11702"/>
    <cellStyle name="40% - 강조색1 4 2 5 2 2 2" xfId="11703"/>
    <cellStyle name="40% - 강조색1 4 2 5 2 2 3" xfId="11704"/>
    <cellStyle name="40% - 강조색1 4 2 5 2 3" xfId="11705"/>
    <cellStyle name="40% - 강조색1 4 2 5 2 4" xfId="11706"/>
    <cellStyle name="40% - 강조색1 4 2 5 3" xfId="11707"/>
    <cellStyle name="40% - 강조색1 4 2 5 3 2" xfId="11708"/>
    <cellStyle name="40% - 강조색1 4 2 5 3 3" xfId="11709"/>
    <cellStyle name="40% - 강조색1 4 2 5 4" xfId="11710"/>
    <cellStyle name="40% - 강조색1 4 2 5 5" xfId="11711"/>
    <cellStyle name="40% - 강조색1 4 2 6" xfId="11712"/>
    <cellStyle name="40% - 강조색1 4 2 6 2" xfId="11713"/>
    <cellStyle name="40% - 강조색1 4 2 6 2 2" xfId="11714"/>
    <cellStyle name="40% - 강조색1 4 2 6 2 2 2" xfId="11715"/>
    <cellStyle name="40% - 강조색1 4 2 6 2 2 3" xfId="11716"/>
    <cellStyle name="40% - 강조색1 4 2 6 2 3" xfId="11717"/>
    <cellStyle name="40% - 강조색1 4 2 6 2 4" xfId="11718"/>
    <cellStyle name="40% - 강조색1 4 2 6 3" xfId="11719"/>
    <cellStyle name="40% - 강조색1 4 2 6 3 2" xfId="11720"/>
    <cellStyle name="40% - 강조색1 4 2 6 3 3" xfId="11721"/>
    <cellStyle name="40% - 강조색1 4 2 6 4" xfId="11722"/>
    <cellStyle name="40% - 강조색1 4 2 6 5" xfId="11723"/>
    <cellStyle name="40% - 강조색1 4 2 7" xfId="11724"/>
    <cellStyle name="40% - 강조색1 4 2 7 2" xfId="11725"/>
    <cellStyle name="40% - 강조색1 4 2 7 2 2" xfId="11726"/>
    <cellStyle name="40% - 강조색1 4 2 7 2 3" xfId="11727"/>
    <cellStyle name="40% - 강조색1 4 2 7 3" xfId="11728"/>
    <cellStyle name="40% - 강조색1 4 2 7 4" xfId="11729"/>
    <cellStyle name="40% - 강조색1 4 2 8" xfId="11730"/>
    <cellStyle name="40% - 강조색1 4 2 8 2" xfId="11731"/>
    <cellStyle name="40% - 강조색1 4 2 8 3" xfId="11732"/>
    <cellStyle name="40% - 강조색1 4 2 9" xfId="11733"/>
    <cellStyle name="40% - 강조색1 4 3" xfId="11734"/>
    <cellStyle name="40% - 강조색1 4 3 10" xfId="11735"/>
    <cellStyle name="40% - 강조색1 4 3 2" xfId="11736"/>
    <cellStyle name="40% - 강조색1 4 3 2 2" xfId="11737"/>
    <cellStyle name="40% - 강조색1 4 3 2 2 2" xfId="11738"/>
    <cellStyle name="40% - 강조색1 4 3 2 2 2 2" xfId="11739"/>
    <cellStyle name="40% - 강조색1 4 3 2 2 2 2 2" xfId="11740"/>
    <cellStyle name="40% - 강조색1 4 3 2 2 2 2 3" xfId="11741"/>
    <cellStyle name="40% - 강조색1 4 3 2 2 2 3" xfId="11742"/>
    <cellStyle name="40% - 강조색1 4 3 2 2 2 4" xfId="11743"/>
    <cellStyle name="40% - 강조색1 4 3 2 2 3" xfId="11744"/>
    <cellStyle name="40% - 강조색1 4 3 2 2 3 2" xfId="11745"/>
    <cellStyle name="40% - 강조색1 4 3 2 2 3 3" xfId="11746"/>
    <cellStyle name="40% - 강조색1 4 3 2 2 4" xfId="11747"/>
    <cellStyle name="40% - 강조색1 4 3 2 2 5" xfId="11748"/>
    <cellStyle name="40% - 강조색1 4 3 2 3" xfId="11749"/>
    <cellStyle name="40% - 강조색1 4 3 2 3 2" xfId="11750"/>
    <cellStyle name="40% - 강조색1 4 3 2 3 2 2" xfId="11751"/>
    <cellStyle name="40% - 강조색1 4 3 2 3 2 2 2" xfId="11752"/>
    <cellStyle name="40% - 강조색1 4 3 2 3 2 2 3" xfId="11753"/>
    <cellStyle name="40% - 강조색1 4 3 2 3 2 3" xfId="11754"/>
    <cellStyle name="40% - 강조색1 4 3 2 3 2 4" xfId="11755"/>
    <cellStyle name="40% - 강조색1 4 3 2 3 3" xfId="11756"/>
    <cellStyle name="40% - 강조색1 4 3 2 3 3 2" xfId="11757"/>
    <cellStyle name="40% - 강조색1 4 3 2 3 3 3" xfId="11758"/>
    <cellStyle name="40% - 강조색1 4 3 2 3 4" xfId="11759"/>
    <cellStyle name="40% - 강조색1 4 3 2 3 5" xfId="11760"/>
    <cellStyle name="40% - 강조색1 4 3 2 4" xfId="11761"/>
    <cellStyle name="40% - 강조색1 4 3 2 4 2" xfId="11762"/>
    <cellStyle name="40% - 강조색1 4 3 2 4 2 2" xfId="11763"/>
    <cellStyle name="40% - 강조색1 4 3 2 4 2 3" xfId="11764"/>
    <cellStyle name="40% - 강조색1 4 3 2 4 3" xfId="11765"/>
    <cellStyle name="40% - 강조색1 4 3 2 4 4" xfId="11766"/>
    <cellStyle name="40% - 강조색1 4 3 2 5" xfId="11767"/>
    <cellStyle name="40% - 강조색1 4 3 2 5 2" xfId="11768"/>
    <cellStyle name="40% - 강조색1 4 3 2 5 3" xfId="11769"/>
    <cellStyle name="40% - 강조색1 4 3 2 6" xfId="11770"/>
    <cellStyle name="40% - 강조색1 4 3 2 7" xfId="11771"/>
    <cellStyle name="40% - 강조색1 4 3 3" xfId="11772"/>
    <cellStyle name="40% - 강조색1 4 3 3 2" xfId="11773"/>
    <cellStyle name="40% - 강조색1 4 3 3 2 2" xfId="11774"/>
    <cellStyle name="40% - 강조색1 4 3 3 2 2 2" xfId="11775"/>
    <cellStyle name="40% - 강조색1 4 3 3 2 2 2 2" xfId="11776"/>
    <cellStyle name="40% - 강조색1 4 3 3 2 2 2 3" xfId="11777"/>
    <cellStyle name="40% - 강조색1 4 3 3 2 2 3" xfId="11778"/>
    <cellStyle name="40% - 강조색1 4 3 3 2 2 4" xfId="11779"/>
    <cellStyle name="40% - 강조색1 4 3 3 2 3" xfId="11780"/>
    <cellStyle name="40% - 강조색1 4 3 3 2 3 2" xfId="11781"/>
    <cellStyle name="40% - 강조색1 4 3 3 2 3 3" xfId="11782"/>
    <cellStyle name="40% - 강조색1 4 3 3 2 4" xfId="11783"/>
    <cellStyle name="40% - 강조색1 4 3 3 2 5" xfId="11784"/>
    <cellStyle name="40% - 강조색1 4 3 3 3" xfId="11785"/>
    <cellStyle name="40% - 강조색1 4 3 3 3 2" xfId="11786"/>
    <cellStyle name="40% - 강조색1 4 3 3 3 2 2" xfId="11787"/>
    <cellStyle name="40% - 강조색1 4 3 3 3 2 2 2" xfId="11788"/>
    <cellStyle name="40% - 강조색1 4 3 3 3 2 2 3" xfId="11789"/>
    <cellStyle name="40% - 강조색1 4 3 3 3 2 3" xfId="11790"/>
    <cellStyle name="40% - 강조색1 4 3 3 3 2 4" xfId="11791"/>
    <cellStyle name="40% - 강조색1 4 3 3 3 3" xfId="11792"/>
    <cellStyle name="40% - 강조색1 4 3 3 3 3 2" xfId="11793"/>
    <cellStyle name="40% - 강조색1 4 3 3 3 3 3" xfId="11794"/>
    <cellStyle name="40% - 강조색1 4 3 3 3 4" xfId="11795"/>
    <cellStyle name="40% - 강조색1 4 3 3 3 5" xfId="11796"/>
    <cellStyle name="40% - 강조색1 4 3 3 4" xfId="11797"/>
    <cellStyle name="40% - 강조색1 4 3 3 4 2" xfId="11798"/>
    <cellStyle name="40% - 강조색1 4 3 3 4 2 2" xfId="11799"/>
    <cellStyle name="40% - 강조색1 4 3 3 4 2 3" xfId="11800"/>
    <cellStyle name="40% - 강조색1 4 3 3 4 3" xfId="11801"/>
    <cellStyle name="40% - 강조색1 4 3 3 4 4" xfId="11802"/>
    <cellStyle name="40% - 강조색1 4 3 3 5" xfId="11803"/>
    <cellStyle name="40% - 강조색1 4 3 3 5 2" xfId="11804"/>
    <cellStyle name="40% - 강조색1 4 3 3 5 3" xfId="11805"/>
    <cellStyle name="40% - 강조색1 4 3 3 6" xfId="11806"/>
    <cellStyle name="40% - 강조색1 4 3 3 7" xfId="11807"/>
    <cellStyle name="40% - 강조색1 4 3 4" xfId="11808"/>
    <cellStyle name="40% - 강조색1 4 3 4 2" xfId="11809"/>
    <cellStyle name="40% - 강조색1 4 3 4 2 2" xfId="11810"/>
    <cellStyle name="40% - 강조색1 4 3 4 2 2 2" xfId="11811"/>
    <cellStyle name="40% - 강조색1 4 3 4 2 2 3" xfId="11812"/>
    <cellStyle name="40% - 강조색1 4 3 4 2 3" xfId="11813"/>
    <cellStyle name="40% - 강조색1 4 3 4 2 4" xfId="11814"/>
    <cellStyle name="40% - 강조색1 4 3 4 3" xfId="11815"/>
    <cellStyle name="40% - 강조색1 4 3 4 3 2" xfId="11816"/>
    <cellStyle name="40% - 강조색1 4 3 4 3 3" xfId="11817"/>
    <cellStyle name="40% - 강조색1 4 3 4 4" xfId="11818"/>
    <cellStyle name="40% - 강조색1 4 3 4 5" xfId="11819"/>
    <cellStyle name="40% - 강조색1 4 3 5" xfId="11820"/>
    <cellStyle name="40% - 강조색1 4 3 5 2" xfId="11821"/>
    <cellStyle name="40% - 강조색1 4 3 5 2 2" xfId="11822"/>
    <cellStyle name="40% - 강조색1 4 3 5 2 2 2" xfId="11823"/>
    <cellStyle name="40% - 강조색1 4 3 5 2 2 3" xfId="11824"/>
    <cellStyle name="40% - 강조색1 4 3 5 2 3" xfId="11825"/>
    <cellStyle name="40% - 강조색1 4 3 5 2 4" xfId="11826"/>
    <cellStyle name="40% - 강조색1 4 3 5 3" xfId="11827"/>
    <cellStyle name="40% - 강조색1 4 3 5 3 2" xfId="11828"/>
    <cellStyle name="40% - 강조색1 4 3 5 3 3" xfId="11829"/>
    <cellStyle name="40% - 강조색1 4 3 5 4" xfId="11830"/>
    <cellStyle name="40% - 강조색1 4 3 5 5" xfId="11831"/>
    <cellStyle name="40% - 강조색1 4 3 6" xfId="11832"/>
    <cellStyle name="40% - 강조색1 4 3 6 2" xfId="11833"/>
    <cellStyle name="40% - 강조색1 4 3 6 2 2" xfId="11834"/>
    <cellStyle name="40% - 강조색1 4 3 6 2 2 2" xfId="11835"/>
    <cellStyle name="40% - 강조색1 4 3 6 2 2 3" xfId="11836"/>
    <cellStyle name="40% - 강조색1 4 3 6 2 3" xfId="11837"/>
    <cellStyle name="40% - 강조색1 4 3 6 2 4" xfId="11838"/>
    <cellStyle name="40% - 강조색1 4 3 6 3" xfId="11839"/>
    <cellStyle name="40% - 강조색1 4 3 6 3 2" xfId="11840"/>
    <cellStyle name="40% - 강조색1 4 3 6 3 3" xfId="11841"/>
    <cellStyle name="40% - 강조색1 4 3 6 4" xfId="11842"/>
    <cellStyle name="40% - 강조색1 4 3 6 5" xfId="11843"/>
    <cellStyle name="40% - 강조색1 4 3 7" xfId="11844"/>
    <cellStyle name="40% - 강조색1 4 3 7 2" xfId="11845"/>
    <cellStyle name="40% - 강조색1 4 3 7 2 2" xfId="11846"/>
    <cellStyle name="40% - 강조색1 4 3 7 2 3" xfId="11847"/>
    <cellStyle name="40% - 강조색1 4 3 7 3" xfId="11848"/>
    <cellStyle name="40% - 강조색1 4 3 7 4" xfId="11849"/>
    <cellStyle name="40% - 강조색1 4 3 8" xfId="11850"/>
    <cellStyle name="40% - 강조색1 4 3 8 2" xfId="11851"/>
    <cellStyle name="40% - 강조색1 4 3 8 3" xfId="11852"/>
    <cellStyle name="40% - 강조색1 4 3 9" xfId="11853"/>
    <cellStyle name="40% - 강조색1 4 4" xfId="11854"/>
    <cellStyle name="40% - 강조색1 4 4 10" xfId="11855"/>
    <cellStyle name="40% - 강조색1 4 4 2" xfId="11856"/>
    <cellStyle name="40% - 강조색1 4 4 2 2" xfId="11857"/>
    <cellStyle name="40% - 강조색1 4 4 2 2 2" xfId="11858"/>
    <cellStyle name="40% - 강조색1 4 4 2 2 2 2" xfId="11859"/>
    <cellStyle name="40% - 강조색1 4 4 2 2 2 2 2" xfId="11860"/>
    <cellStyle name="40% - 강조색1 4 4 2 2 2 2 3" xfId="11861"/>
    <cellStyle name="40% - 강조색1 4 4 2 2 2 3" xfId="11862"/>
    <cellStyle name="40% - 강조색1 4 4 2 2 2 4" xfId="11863"/>
    <cellStyle name="40% - 강조색1 4 4 2 2 3" xfId="11864"/>
    <cellStyle name="40% - 강조색1 4 4 2 2 3 2" xfId="11865"/>
    <cellStyle name="40% - 강조색1 4 4 2 2 3 3" xfId="11866"/>
    <cellStyle name="40% - 강조색1 4 4 2 2 4" xfId="11867"/>
    <cellStyle name="40% - 강조색1 4 4 2 2 5" xfId="11868"/>
    <cellStyle name="40% - 강조색1 4 4 2 3" xfId="11869"/>
    <cellStyle name="40% - 강조색1 4 4 2 3 2" xfId="11870"/>
    <cellStyle name="40% - 강조색1 4 4 2 3 2 2" xfId="11871"/>
    <cellStyle name="40% - 강조색1 4 4 2 3 2 2 2" xfId="11872"/>
    <cellStyle name="40% - 강조색1 4 4 2 3 2 2 3" xfId="11873"/>
    <cellStyle name="40% - 강조색1 4 4 2 3 2 3" xfId="11874"/>
    <cellStyle name="40% - 강조색1 4 4 2 3 2 4" xfId="11875"/>
    <cellStyle name="40% - 강조색1 4 4 2 3 3" xfId="11876"/>
    <cellStyle name="40% - 강조색1 4 4 2 3 3 2" xfId="11877"/>
    <cellStyle name="40% - 강조색1 4 4 2 3 3 3" xfId="11878"/>
    <cellStyle name="40% - 강조색1 4 4 2 3 4" xfId="11879"/>
    <cellStyle name="40% - 강조색1 4 4 2 3 5" xfId="11880"/>
    <cellStyle name="40% - 강조색1 4 4 2 4" xfId="11881"/>
    <cellStyle name="40% - 강조색1 4 4 2 4 2" xfId="11882"/>
    <cellStyle name="40% - 강조색1 4 4 2 4 2 2" xfId="11883"/>
    <cellStyle name="40% - 강조색1 4 4 2 4 2 3" xfId="11884"/>
    <cellStyle name="40% - 강조색1 4 4 2 4 3" xfId="11885"/>
    <cellStyle name="40% - 강조색1 4 4 2 4 4" xfId="11886"/>
    <cellStyle name="40% - 강조색1 4 4 2 5" xfId="11887"/>
    <cellStyle name="40% - 강조색1 4 4 2 5 2" xfId="11888"/>
    <cellStyle name="40% - 강조색1 4 4 2 5 3" xfId="11889"/>
    <cellStyle name="40% - 강조색1 4 4 2 6" xfId="11890"/>
    <cellStyle name="40% - 강조색1 4 4 2 7" xfId="11891"/>
    <cellStyle name="40% - 강조색1 4 4 3" xfId="11892"/>
    <cellStyle name="40% - 강조색1 4 4 3 2" xfId="11893"/>
    <cellStyle name="40% - 강조색1 4 4 3 2 2" xfId="11894"/>
    <cellStyle name="40% - 강조색1 4 4 3 2 2 2" xfId="11895"/>
    <cellStyle name="40% - 강조색1 4 4 3 2 2 2 2" xfId="11896"/>
    <cellStyle name="40% - 강조색1 4 4 3 2 2 2 3" xfId="11897"/>
    <cellStyle name="40% - 강조색1 4 4 3 2 2 3" xfId="11898"/>
    <cellStyle name="40% - 강조색1 4 4 3 2 2 4" xfId="11899"/>
    <cellStyle name="40% - 강조색1 4 4 3 2 3" xfId="11900"/>
    <cellStyle name="40% - 강조색1 4 4 3 2 3 2" xfId="11901"/>
    <cellStyle name="40% - 강조색1 4 4 3 2 3 3" xfId="11902"/>
    <cellStyle name="40% - 강조색1 4 4 3 2 4" xfId="11903"/>
    <cellStyle name="40% - 강조색1 4 4 3 2 5" xfId="11904"/>
    <cellStyle name="40% - 강조색1 4 4 3 3" xfId="11905"/>
    <cellStyle name="40% - 강조색1 4 4 3 3 2" xfId="11906"/>
    <cellStyle name="40% - 강조색1 4 4 3 3 2 2" xfId="11907"/>
    <cellStyle name="40% - 강조색1 4 4 3 3 2 2 2" xfId="11908"/>
    <cellStyle name="40% - 강조색1 4 4 3 3 2 2 3" xfId="11909"/>
    <cellStyle name="40% - 강조색1 4 4 3 3 2 3" xfId="11910"/>
    <cellStyle name="40% - 강조색1 4 4 3 3 2 4" xfId="11911"/>
    <cellStyle name="40% - 강조색1 4 4 3 3 3" xfId="11912"/>
    <cellStyle name="40% - 강조색1 4 4 3 3 3 2" xfId="11913"/>
    <cellStyle name="40% - 강조색1 4 4 3 3 3 3" xfId="11914"/>
    <cellStyle name="40% - 강조색1 4 4 3 3 4" xfId="11915"/>
    <cellStyle name="40% - 강조색1 4 4 3 3 5" xfId="11916"/>
    <cellStyle name="40% - 강조색1 4 4 3 4" xfId="11917"/>
    <cellStyle name="40% - 강조색1 4 4 3 4 2" xfId="11918"/>
    <cellStyle name="40% - 강조색1 4 4 3 4 2 2" xfId="11919"/>
    <cellStyle name="40% - 강조색1 4 4 3 4 2 3" xfId="11920"/>
    <cellStyle name="40% - 강조색1 4 4 3 4 3" xfId="11921"/>
    <cellStyle name="40% - 강조색1 4 4 3 4 4" xfId="11922"/>
    <cellStyle name="40% - 강조색1 4 4 3 5" xfId="11923"/>
    <cellStyle name="40% - 강조색1 4 4 3 5 2" xfId="11924"/>
    <cellStyle name="40% - 강조색1 4 4 3 5 3" xfId="11925"/>
    <cellStyle name="40% - 강조색1 4 4 3 6" xfId="11926"/>
    <cellStyle name="40% - 강조색1 4 4 3 7" xfId="11927"/>
    <cellStyle name="40% - 강조색1 4 4 4" xfId="11928"/>
    <cellStyle name="40% - 강조색1 4 4 4 2" xfId="11929"/>
    <cellStyle name="40% - 강조색1 4 4 4 2 2" xfId="11930"/>
    <cellStyle name="40% - 강조색1 4 4 4 2 2 2" xfId="11931"/>
    <cellStyle name="40% - 강조색1 4 4 4 2 2 3" xfId="11932"/>
    <cellStyle name="40% - 강조색1 4 4 4 2 3" xfId="11933"/>
    <cellStyle name="40% - 강조색1 4 4 4 2 4" xfId="11934"/>
    <cellStyle name="40% - 강조색1 4 4 4 3" xfId="11935"/>
    <cellStyle name="40% - 강조색1 4 4 4 3 2" xfId="11936"/>
    <cellStyle name="40% - 강조색1 4 4 4 3 3" xfId="11937"/>
    <cellStyle name="40% - 강조색1 4 4 4 4" xfId="11938"/>
    <cellStyle name="40% - 강조색1 4 4 4 5" xfId="11939"/>
    <cellStyle name="40% - 강조색1 4 4 5" xfId="11940"/>
    <cellStyle name="40% - 강조색1 4 4 5 2" xfId="11941"/>
    <cellStyle name="40% - 강조색1 4 4 5 2 2" xfId="11942"/>
    <cellStyle name="40% - 강조색1 4 4 5 2 2 2" xfId="11943"/>
    <cellStyle name="40% - 강조색1 4 4 5 2 2 3" xfId="11944"/>
    <cellStyle name="40% - 강조색1 4 4 5 2 3" xfId="11945"/>
    <cellStyle name="40% - 강조색1 4 4 5 2 4" xfId="11946"/>
    <cellStyle name="40% - 강조색1 4 4 5 3" xfId="11947"/>
    <cellStyle name="40% - 강조색1 4 4 5 3 2" xfId="11948"/>
    <cellStyle name="40% - 강조색1 4 4 5 3 3" xfId="11949"/>
    <cellStyle name="40% - 강조색1 4 4 5 4" xfId="11950"/>
    <cellStyle name="40% - 강조색1 4 4 5 5" xfId="11951"/>
    <cellStyle name="40% - 강조색1 4 4 6" xfId="11952"/>
    <cellStyle name="40% - 강조색1 4 4 6 2" xfId="11953"/>
    <cellStyle name="40% - 강조색1 4 4 6 2 2" xfId="11954"/>
    <cellStyle name="40% - 강조색1 4 4 6 2 2 2" xfId="11955"/>
    <cellStyle name="40% - 강조색1 4 4 6 2 2 3" xfId="11956"/>
    <cellStyle name="40% - 강조색1 4 4 6 2 3" xfId="11957"/>
    <cellStyle name="40% - 강조색1 4 4 6 2 4" xfId="11958"/>
    <cellStyle name="40% - 강조색1 4 4 6 3" xfId="11959"/>
    <cellStyle name="40% - 강조색1 4 4 6 3 2" xfId="11960"/>
    <cellStyle name="40% - 강조색1 4 4 6 3 3" xfId="11961"/>
    <cellStyle name="40% - 강조색1 4 4 6 4" xfId="11962"/>
    <cellStyle name="40% - 강조색1 4 4 6 5" xfId="11963"/>
    <cellStyle name="40% - 강조색1 4 4 7" xfId="11964"/>
    <cellStyle name="40% - 강조색1 4 4 7 2" xfId="11965"/>
    <cellStyle name="40% - 강조색1 4 4 7 2 2" xfId="11966"/>
    <cellStyle name="40% - 강조색1 4 4 7 2 3" xfId="11967"/>
    <cellStyle name="40% - 강조색1 4 4 7 3" xfId="11968"/>
    <cellStyle name="40% - 강조색1 4 4 7 4" xfId="11969"/>
    <cellStyle name="40% - 강조색1 4 4 8" xfId="11970"/>
    <cellStyle name="40% - 강조색1 4 4 8 2" xfId="11971"/>
    <cellStyle name="40% - 강조색1 4 4 8 3" xfId="11972"/>
    <cellStyle name="40% - 강조색1 4 4 9" xfId="11973"/>
    <cellStyle name="40% - 강조색1 4 5" xfId="11974"/>
    <cellStyle name="40% - 강조색1 4 5 2" xfId="11975"/>
    <cellStyle name="40% - 강조색1 4 5 2 2" xfId="11976"/>
    <cellStyle name="40% - 강조색1 4 5 2 2 2" xfId="11977"/>
    <cellStyle name="40% - 강조색1 4 5 2 2 2 2" xfId="11978"/>
    <cellStyle name="40% - 강조색1 4 5 2 2 2 3" xfId="11979"/>
    <cellStyle name="40% - 강조색1 4 5 2 2 3" xfId="11980"/>
    <cellStyle name="40% - 강조색1 4 5 2 2 4" xfId="11981"/>
    <cellStyle name="40% - 강조색1 4 5 2 3" xfId="11982"/>
    <cellStyle name="40% - 강조색1 4 5 2 3 2" xfId="11983"/>
    <cellStyle name="40% - 강조색1 4 5 2 3 3" xfId="11984"/>
    <cellStyle name="40% - 강조색1 4 5 2 4" xfId="11985"/>
    <cellStyle name="40% - 강조색1 4 5 2 5" xfId="11986"/>
    <cellStyle name="40% - 강조색1 4 5 3" xfId="11987"/>
    <cellStyle name="40% - 강조색1 4 5 3 2" xfId="11988"/>
    <cellStyle name="40% - 강조색1 4 5 3 2 2" xfId="11989"/>
    <cellStyle name="40% - 강조색1 4 5 3 2 2 2" xfId="11990"/>
    <cellStyle name="40% - 강조색1 4 5 3 2 2 3" xfId="11991"/>
    <cellStyle name="40% - 강조색1 4 5 3 2 3" xfId="11992"/>
    <cellStyle name="40% - 강조색1 4 5 3 2 4" xfId="11993"/>
    <cellStyle name="40% - 강조색1 4 5 3 3" xfId="11994"/>
    <cellStyle name="40% - 강조색1 4 5 3 3 2" xfId="11995"/>
    <cellStyle name="40% - 강조색1 4 5 3 3 3" xfId="11996"/>
    <cellStyle name="40% - 강조색1 4 5 3 4" xfId="11997"/>
    <cellStyle name="40% - 강조색1 4 5 3 5" xfId="11998"/>
    <cellStyle name="40% - 강조색1 4 5 4" xfId="11999"/>
    <cellStyle name="40% - 강조색1 4 5 4 2" xfId="12000"/>
    <cellStyle name="40% - 강조색1 4 5 4 2 2" xfId="12001"/>
    <cellStyle name="40% - 강조색1 4 5 4 2 3" xfId="12002"/>
    <cellStyle name="40% - 강조색1 4 5 4 3" xfId="12003"/>
    <cellStyle name="40% - 강조색1 4 5 4 4" xfId="12004"/>
    <cellStyle name="40% - 강조색1 4 5 5" xfId="12005"/>
    <cellStyle name="40% - 강조색1 4 5 5 2" xfId="12006"/>
    <cellStyle name="40% - 강조색1 4 5 5 3" xfId="12007"/>
    <cellStyle name="40% - 강조색1 4 5 6" xfId="12008"/>
    <cellStyle name="40% - 강조색1 4 5 7" xfId="12009"/>
    <cellStyle name="40% - 강조색1 4 6" xfId="12010"/>
    <cellStyle name="40% - 강조색1 4 6 2" xfId="12011"/>
    <cellStyle name="40% - 강조색1 4 6 2 2" xfId="12012"/>
    <cellStyle name="40% - 강조색1 4 6 2 2 2" xfId="12013"/>
    <cellStyle name="40% - 강조색1 4 6 2 2 2 2" xfId="12014"/>
    <cellStyle name="40% - 강조색1 4 6 2 2 2 3" xfId="12015"/>
    <cellStyle name="40% - 강조색1 4 6 2 2 3" xfId="12016"/>
    <cellStyle name="40% - 강조색1 4 6 2 2 4" xfId="12017"/>
    <cellStyle name="40% - 강조색1 4 6 2 3" xfId="12018"/>
    <cellStyle name="40% - 강조색1 4 6 2 3 2" xfId="12019"/>
    <cellStyle name="40% - 강조색1 4 6 2 3 3" xfId="12020"/>
    <cellStyle name="40% - 강조색1 4 6 2 4" xfId="12021"/>
    <cellStyle name="40% - 강조색1 4 6 2 5" xfId="12022"/>
    <cellStyle name="40% - 강조색1 4 6 3" xfId="12023"/>
    <cellStyle name="40% - 강조색1 4 6 3 2" xfId="12024"/>
    <cellStyle name="40% - 강조색1 4 6 3 2 2" xfId="12025"/>
    <cellStyle name="40% - 강조색1 4 6 3 2 2 2" xfId="12026"/>
    <cellStyle name="40% - 강조색1 4 6 3 2 2 3" xfId="12027"/>
    <cellStyle name="40% - 강조색1 4 6 3 2 3" xfId="12028"/>
    <cellStyle name="40% - 강조색1 4 6 3 2 4" xfId="12029"/>
    <cellStyle name="40% - 강조색1 4 6 3 3" xfId="12030"/>
    <cellStyle name="40% - 강조색1 4 6 3 3 2" xfId="12031"/>
    <cellStyle name="40% - 강조색1 4 6 3 3 3" xfId="12032"/>
    <cellStyle name="40% - 강조색1 4 6 3 4" xfId="12033"/>
    <cellStyle name="40% - 강조색1 4 6 3 5" xfId="12034"/>
    <cellStyle name="40% - 강조색1 4 6 4" xfId="12035"/>
    <cellStyle name="40% - 강조색1 4 6 4 2" xfId="12036"/>
    <cellStyle name="40% - 강조색1 4 6 4 2 2" xfId="12037"/>
    <cellStyle name="40% - 강조색1 4 6 4 2 3" xfId="12038"/>
    <cellStyle name="40% - 강조색1 4 6 4 3" xfId="12039"/>
    <cellStyle name="40% - 강조색1 4 6 4 4" xfId="12040"/>
    <cellStyle name="40% - 강조색1 4 6 5" xfId="12041"/>
    <cellStyle name="40% - 강조색1 4 6 5 2" xfId="12042"/>
    <cellStyle name="40% - 강조색1 4 6 5 3" xfId="12043"/>
    <cellStyle name="40% - 강조색1 4 6 6" xfId="12044"/>
    <cellStyle name="40% - 강조색1 4 6 7" xfId="12045"/>
    <cellStyle name="40% - 강조색1 4 7" xfId="12046"/>
    <cellStyle name="40% - 강조색1 4 7 2" xfId="12047"/>
    <cellStyle name="40% - 강조색1 4 7 2 2" xfId="12048"/>
    <cellStyle name="40% - 강조색1 4 7 2 2 2" xfId="12049"/>
    <cellStyle name="40% - 강조색1 4 7 2 2 3" xfId="12050"/>
    <cellStyle name="40% - 강조색1 4 7 2 3" xfId="12051"/>
    <cellStyle name="40% - 강조색1 4 7 2 4" xfId="12052"/>
    <cellStyle name="40% - 강조색1 4 7 3" xfId="12053"/>
    <cellStyle name="40% - 강조색1 4 7 3 2" xfId="12054"/>
    <cellStyle name="40% - 강조색1 4 7 3 3" xfId="12055"/>
    <cellStyle name="40% - 강조색1 4 7 4" xfId="12056"/>
    <cellStyle name="40% - 강조색1 4 7 5" xfId="12057"/>
    <cellStyle name="40% - 강조색1 4 8" xfId="12058"/>
    <cellStyle name="40% - 강조색1 4 8 2" xfId="12059"/>
    <cellStyle name="40% - 강조색1 4 8 2 2" xfId="12060"/>
    <cellStyle name="40% - 강조색1 4 8 2 2 2" xfId="12061"/>
    <cellStyle name="40% - 강조색1 4 8 2 2 3" xfId="12062"/>
    <cellStyle name="40% - 강조색1 4 8 2 3" xfId="12063"/>
    <cellStyle name="40% - 강조색1 4 8 2 4" xfId="12064"/>
    <cellStyle name="40% - 강조색1 4 8 3" xfId="12065"/>
    <cellStyle name="40% - 강조색1 4 8 3 2" xfId="12066"/>
    <cellStyle name="40% - 강조색1 4 8 3 3" xfId="12067"/>
    <cellStyle name="40% - 강조색1 4 8 4" xfId="12068"/>
    <cellStyle name="40% - 강조색1 4 8 5" xfId="12069"/>
    <cellStyle name="40% - 강조색1 4 9" xfId="12070"/>
    <cellStyle name="40% - 강조색1 4 9 2" xfId="12071"/>
    <cellStyle name="40% - 강조색1 4 9 2 2" xfId="12072"/>
    <cellStyle name="40% - 강조색1 4 9 2 2 2" xfId="12073"/>
    <cellStyle name="40% - 강조색1 4 9 2 2 3" xfId="12074"/>
    <cellStyle name="40% - 강조색1 4 9 2 3" xfId="12075"/>
    <cellStyle name="40% - 강조색1 4 9 2 4" xfId="12076"/>
    <cellStyle name="40% - 강조색1 4 9 3" xfId="12077"/>
    <cellStyle name="40% - 강조색1 4 9 3 2" xfId="12078"/>
    <cellStyle name="40% - 강조색1 4 9 3 3" xfId="12079"/>
    <cellStyle name="40% - 강조색1 4 9 4" xfId="12080"/>
    <cellStyle name="40% - 강조색1 4 9 5" xfId="12081"/>
    <cellStyle name="40% - 강조색1 40" xfId="12082"/>
    <cellStyle name="40% - 강조색1 41" xfId="12083"/>
    <cellStyle name="40% - 강조색1 42" xfId="12084"/>
    <cellStyle name="40% - 강조색1 43" xfId="12085"/>
    <cellStyle name="40% - 강조색1 44" xfId="12086"/>
    <cellStyle name="40% - 강조색1 45" xfId="12087"/>
    <cellStyle name="40% - 강조색1 46" xfId="12088"/>
    <cellStyle name="40% - 강조색1 47" xfId="12089"/>
    <cellStyle name="40% - 강조색1 48" xfId="12090"/>
    <cellStyle name="40% - 강조색1 49" xfId="12091"/>
    <cellStyle name="40% - 강조색1 5" xfId="12092"/>
    <cellStyle name="40% - 강조색1 5 10" xfId="12093"/>
    <cellStyle name="40% - 강조색1 5 11" xfId="12094"/>
    <cellStyle name="40% - 강조색1 5 2" xfId="12095"/>
    <cellStyle name="40% - 강조색1 5 2 2" xfId="12096"/>
    <cellStyle name="40% - 강조색1 5 2 2 2" xfId="12097"/>
    <cellStyle name="40% - 강조색1 5 2 2 2 2" xfId="12098"/>
    <cellStyle name="40% - 강조색1 5 2 2 2 2 2" xfId="12099"/>
    <cellStyle name="40% - 강조색1 5 2 2 2 2 3" xfId="12100"/>
    <cellStyle name="40% - 강조색1 5 2 2 2 3" xfId="12101"/>
    <cellStyle name="40% - 강조색1 5 2 2 2 4" xfId="12102"/>
    <cellStyle name="40% - 강조색1 5 2 2 3" xfId="12103"/>
    <cellStyle name="40% - 강조색1 5 2 2 3 2" xfId="12104"/>
    <cellStyle name="40% - 강조색1 5 2 2 3 3" xfId="12105"/>
    <cellStyle name="40% - 강조색1 5 2 2 4" xfId="12106"/>
    <cellStyle name="40% - 강조색1 5 2 2 5" xfId="12107"/>
    <cellStyle name="40% - 강조색1 5 2 3" xfId="12108"/>
    <cellStyle name="40% - 강조색1 5 2 3 2" xfId="12109"/>
    <cellStyle name="40% - 강조색1 5 2 3 2 2" xfId="12110"/>
    <cellStyle name="40% - 강조색1 5 2 3 2 2 2" xfId="12111"/>
    <cellStyle name="40% - 강조색1 5 2 3 2 2 3" xfId="12112"/>
    <cellStyle name="40% - 강조색1 5 2 3 2 3" xfId="12113"/>
    <cellStyle name="40% - 강조색1 5 2 3 2 4" xfId="12114"/>
    <cellStyle name="40% - 강조색1 5 2 3 3" xfId="12115"/>
    <cellStyle name="40% - 강조색1 5 2 3 3 2" xfId="12116"/>
    <cellStyle name="40% - 강조색1 5 2 3 3 3" xfId="12117"/>
    <cellStyle name="40% - 강조색1 5 2 3 4" xfId="12118"/>
    <cellStyle name="40% - 강조색1 5 2 3 5" xfId="12119"/>
    <cellStyle name="40% - 강조색1 5 2 4" xfId="12120"/>
    <cellStyle name="40% - 강조색1 5 2 4 2" xfId="12121"/>
    <cellStyle name="40% - 강조색1 5 2 4 2 2" xfId="12122"/>
    <cellStyle name="40% - 강조색1 5 2 4 2 3" xfId="12123"/>
    <cellStyle name="40% - 강조색1 5 2 4 3" xfId="12124"/>
    <cellStyle name="40% - 강조색1 5 2 4 4" xfId="12125"/>
    <cellStyle name="40% - 강조색1 5 2 5" xfId="12126"/>
    <cellStyle name="40% - 강조색1 5 2 5 2" xfId="12127"/>
    <cellStyle name="40% - 강조색1 5 2 5 3" xfId="12128"/>
    <cellStyle name="40% - 강조색1 5 2 6" xfId="12129"/>
    <cellStyle name="40% - 강조색1 5 2 7" xfId="12130"/>
    <cellStyle name="40% - 강조색1 5 3" xfId="12131"/>
    <cellStyle name="40% - 강조색1 5 3 2" xfId="12132"/>
    <cellStyle name="40% - 강조색1 5 3 2 2" xfId="12133"/>
    <cellStyle name="40% - 강조색1 5 3 2 2 2" xfId="12134"/>
    <cellStyle name="40% - 강조색1 5 3 2 2 2 2" xfId="12135"/>
    <cellStyle name="40% - 강조색1 5 3 2 2 2 3" xfId="12136"/>
    <cellStyle name="40% - 강조색1 5 3 2 2 3" xfId="12137"/>
    <cellStyle name="40% - 강조색1 5 3 2 2 4" xfId="12138"/>
    <cellStyle name="40% - 강조색1 5 3 2 3" xfId="12139"/>
    <cellStyle name="40% - 강조색1 5 3 2 3 2" xfId="12140"/>
    <cellStyle name="40% - 강조색1 5 3 2 3 3" xfId="12141"/>
    <cellStyle name="40% - 강조색1 5 3 2 4" xfId="12142"/>
    <cellStyle name="40% - 강조색1 5 3 2 5" xfId="12143"/>
    <cellStyle name="40% - 강조색1 5 3 3" xfId="12144"/>
    <cellStyle name="40% - 강조색1 5 3 3 2" xfId="12145"/>
    <cellStyle name="40% - 강조색1 5 3 3 2 2" xfId="12146"/>
    <cellStyle name="40% - 강조색1 5 3 3 2 2 2" xfId="12147"/>
    <cellStyle name="40% - 강조색1 5 3 3 2 2 3" xfId="12148"/>
    <cellStyle name="40% - 강조색1 5 3 3 2 3" xfId="12149"/>
    <cellStyle name="40% - 강조색1 5 3 3 2 4" xfId="12150"/>
    <cellStyle name="40% - 강조색1 5 3 3 3" xfId="12151"/>
    <cellStyle name="40% - 강조색1 5 3 3 3 2" xfId="12152"/>
    <cellStyle name="40% - 강조색1 5 3 3 3 3" xfId="12153"/>
    <cellStyle name="40% - 강조색1 5 3 3 4" xfId="12154"/>
    <cellStyle name="40% - 강조색1 5 3 3 5" xfId="12155"/>
    <cellStyle name="40% - 강조색1 5 3 4" xfId="12156"/>
    <cellStyle name="40% - 강조색1 5 3 4 2" xfId="12157"/>
    <cellStyle name="40% - 강조색1 5 3 4 2 2" xfId="12158"/>
    <cellStyle name="40% - 강조색1 5 3 4 2 3" xfId="12159"/>
    <cellStyle name="40% - 강조색1 5 3 4 3" xfId="12160"/>
    <cellStyle name="40% - 강조색1 5 3 4 4" xfId="12161"/>
    <cellStyle name="40% - 강조색1 5 3 5" xfId="12162"/>
    <cellStyle name="40% - 강조색1 5 3 5 2" xfId="12163"/>
    <cellStyle name="40% - 강조색1 5 3 5 3" xfId="12164"/>
    <cellStyle name="40% - 강조색1 5 3 6" xfId="12165"/>
    <cellStyle name="40% - 강조색1 5 3 7" xfId="12166"/>
    <cellStyle name="40% - 강조색1 5 4" xfId="12167"/>
    <cellStyle name="40% - 강조색1 5 4 2" xfId="12168"/>
    <cellStyle name="40% - 강조색1 5 4 2 2" xfId="12169"/>
    <cellStyle name="40% - 강조색1 5 4 2 2 2" xfId="12170"/>
    <cellStyle name="40% - 강조색1 5 4 2 2 3" xfId="12171"/>
    <cellStyle name="40% - 강조색1 5 4 2 3" xfId="12172"/>
    <cellStyle name="40% - 강조색1 5 4 2 4" xfId="12173"/>
    <cellStyle name="40% - 강조색1 5 4 3" xfId="12174"/>
    <cellStyle name="40% - 강조색1 5 4 3 2" xfId="12175"/>
    <cellStyle name="40% - 강조색1 5 4 3 3" xfId="12176"/>
    <cellStyle name="40% - 강조색1 5 4 4" xfId="12177"/>
    <cellStyle name="40% - 강조색1 5 4 5" xfId="12178"/>
    <cellStyle name="40% - 강조색1 5 5" xfId="12179"/>
    <cellStyle name="40% - 강조색1 5 5 2" xfId="12180"/>
    <cellStyle name="40% - 강조색1 5 5 2 2" xfId="12181"/>
    <cellStyle name="40% - 강조색1 5 5 2 2 2" xfId="12182"/>
    <cellStyle name="40% - 강조색1 5 5 2 2 3" xfId="12183"/>
    <cellStyle name="40% - 강조색1 5 5 2 3" xfId="12184"/>
    <cellStyle name="40% - 강조색1 5 5 2 4" xfId="12185"/>
    <cellStyle name="40% - 강조색1 5 5 3" xfId="12186"/>
    <cellStyle name="40% - 강조색1 5 5 3 2" xfId="12187"/>
    <cellStyle name="40% - 강조색1 5 5 3 3" xfId="12188"/>
    <cellStyle name="40% - 강조색1 5 5 4" xfId="12189"/>
    <cellStyle name="40% - 강조색1 5 5 5" xfId="12190"/>
    <cellStyle name="40% - 강조색1 5 6" xfId="12191"/>
    <cellStyle name="40% - 강조색1 5 6 2" xfId="12192"/>
    <cellStyle name="40% - 강조색1 5 6 2 2" xfId="12193"/>
    <cellStyle name="40% - 강조색1 5 6 2 2 2" xfId="12194"/>
    <cellStyle name="40% - 강조색1 5 6 2 2 3" xfId="12195"/>
    <cellStyle name="40% - 강조색1 5 6 2 3" xfId="12196"/>
    <cellStyle name="40% - 강조색1 5 6 2 4" xfId="12197"/>
    <cellStyle name="40% - 강조색1 5 6 3" xfId="12198"/>
    <cellStyle name="40% - 강조색1 5 6 3 2" xfId="12199"/>
    <cellStyle name="40% - 강조색1 5 6 3 3" xfId="12200"/>
    <cellStyle name="40% - 강조색1 5 6 4" xfId="12201"/>
    <cellStyle name="40% - 강조색1 5 6 5" xfId="12202"/>
    <cellStyle name="40% - 강조색1 5 7" xfId="12203"/>
    <cellStyle name="40% - 강조색1 5 7 2" xfId="12204"/>
    <cellStyle name="40% - 강조색1 5 7 2 2" xfId="12205"/>
    <cellStyle name="40% - 강조색1 5 7 2 3" xfId="12206"/>
    <cellStyle name="40% - 강조색1 5 7 3" xfId="12207"/>
    <cellStyle name="40% - 강조색1 5 7 4" xfId="12208"/>
    <cellStyle name="40% - 강조색1 5 8" xfId="12209"/>
    <cellStyle name="40% - 강조색1 5 8 2" xfId="12210"/>
    <cellStyle name="40% - 강조색1 5 8 3" xfId="12211"/>
    <cellStyle name="40% - 강조색1 5 9" xfId="12212"/>
    <cellStyle name="40% - 강조색1 50" xfId="12213"/>
    <cellStyle name="40% - 강조색1 51" xfId="12214"/>
    <cellStyle name="40% - 강조색1 52" xfId="12215"/>
    <cellStyle name="40% - 강조색1 53" xfId="12216"/>
    <cellStyle name="40% - 강조색1 54" xfId="12217"/>
    <cellStyle name="40% - 강조색1 55" xfId="12218"/>
    <cellStyle name="40% - 강조색1 56" xfId="12219"/>
    <cellStyle name="40% - 강조색1 57" xfId="12220"/>
    <cellStyle name="40% - 강조색1 58" xfId="12221"/>
    <cellStyle name="40% - 강조색1 59" xfId="12222"/>
    <cellStyle name="40% - 강조색1 6" xfId="12223"/>
    <cellStyle name="40% - 강조색1 6 10" xfId="12224"/>
    <cellStyle name="40% - 강조색1 6 2" xfId="12225"/>
    <cellStyle name="40% - 강조색1 6 2 2" xfId="12226"/>
    <cellStyle name="40% - 강조색1 6 2 2 2" xfId="12227"/>
    <cellStyle name="40% - 강조색1 6 2 2 2 2" xfId="12228"/>
    <cellStyle name="40% - 강조색1 6 2 2 2 2 2" xfId="12229"/>
    <cellStyle name="40% - 강조색1 6 2 2 2 2 3" xfId="12230"/>
    <cellStyle name="40% - 강조색1 6 2 2 2 3" xfId="12231"/>
    <cellStyle name="40% - 강조색1 6 2 2 2 4" xfId="12232"/>
    <cellStyle name="40% - 강조색1 6 2 2 3" xfId="12233"/>
    <cellStyle name="40% - 강조색1 6 2 2 3 2" xfId="12234"/>
    <cellStyle name="40% - 강조색1 6 2 2 3 3" xfId="12235"/>
    <cellStyle name="40% - 강조색1 6 2 2 4" xfId="12236"/>
    <cellStyle name="40% - 강조색1 6 2 2 5" xfId="12237"/>
    <cellStyle name="40% - 강조색1 6 2 3" xfId="12238"/>
    <cellStyle name="40% - 강조색1 6 2 3 2" xfId="12239"/>
    <cellStyle name="40% - 강조색1 6 2 3 2 2" xfId="12240"/>
    <cellStyle name="40% - 강조색1 6 2 3 2 2 2" xfId="12241"/>
    <cellStyle name="40% - 강조색1 6 2 3 2 2 3" xfId="12242"/>
    <cellStyle name="40% - 강조색1 6 2 3 2 3" xfId="12243"/>
    <cellStyle name="40% - 강조색1 6 2 3 2 4" xfId="12244"/>
    <cellStyle name="40% - 강조색1 6 2 3 3" xfId="12245"/>
    <cellStyle name="40% - 강조색1 6 2 3 3 2" xfId="12246"/>
    <cellStyle name="40% - 강조색1 6 2 3 3 3" xfId="12247"/>
    <cellStyle name="40% - 강조색1 6 2 3 4" xfId="12248"/>
    <cellStyle name="40% - 강조색1 6 2 3 5" xfId="12249"/>
    <cellStyle name="40% - 강조색1 6 2 4" xfId="12250"/>
    <cellStyle name="40% - 강조색1 6 2 4 2" xfId="12251"/>
    <cellStyle name="40% - 강조색1 6 2 4 2 2" xfId="12252"/>
    <cellStyle name="40% - 강조색1 6 2 4 2 3" xfId="12253"/>
    <cellStyle name="40% - 강조색1 6 2 4 3" xfId="12254"/>
    <cellStyle name="40% - 강조색1 6 2 4 4" xfId="12255"/>
    <cellStyle name="40% - 강조색1 6 2 5" xfId="12256"/>
    <cellStyle name="40% - 강조색1 6 2 5 2" xfId="12257"/>
    <cellStyle name="40% - 강조색1 6 2 5 3" xfId="12258"/>
    <cellStyle name="40% - 강조색1 6 2 6" xfId="12259"/>
    <cellStyle name="40% - 강조색1 6 2 7" xfId="12260"/>
    <cellStyle name="40% - 강조색1 6 3" xfId="12261"/>
    <cellStyle name="40% - 강조색1 6 3 2" xfId="12262"/>
    <cellStyle name="40% - 강조색1 6 3 2 2" xfId="12263"/>
    <cellStyle name="40% - 강조색1 6 3 2 2 2" xfId="12264"/>
    <cellStyle name="40% - 강조색1 6 3 2 2 2 2" xfId="12265"/>
    <cellStyle name="40% - 강조색1 6 3 2 2 2 3" xfId="12266"/>
    <cellStyle name="40% - 강조색1 6 3 2 2 3" xfId="12267"/>
    <cellStyle name="40% - 강조색1 6 3 2 2 4" xfId="12268"/>
    <cellStyle name="40% - 강조색1 6 3 2 3" xfId="12269"/>
    <cellStyle name="40% - 강조색1 6 3 2 3 2" xfId="12270"/>
    <cellStyle name="40% - 강조색1 6 3 2 3 3" xfId="12271"/>
    <cellStyle name="40% - 강조색1 6 3 2 4" xfId="12272"/>
    <cellStyle name="40% - 강조색1 6 3 2 5" xfId="12273"/>
    <cellStyle name="40% - 강조색1 6 3 3" xfId="12274"/>
    <cellStyle name="40% - 강조색1 6 3 3 2" xfId="12275"/>
    <cellStyle name="40% - 강조색1 6 3 3 2 2" xfId="12276"/>
    <cellStyle name="40% - 강조색1 6 3 3 2 2 2" xfId="12277"/>
    <cellStyle name="40% - 강조색1 6 3 3 2 2 3" xfId="12278"/>
    <cellStyle name="40% - 강조색1 6 3 3 2 3" xfId="12279"/>
    <cellStyle name="40% - 강조색1 6 3 3 2 4" xfId="12280"/>
    <cellStyle name="40% - 강조색1 6 3 3 3" xfId="12281"/>
    <cellStyle name="40% - 강조색1 6 3 3 3 2" xfId="12282"/>
    <cellStyle name="40% - 강조색1 6 3 3 3 3" xfId="12283"/>
    <cellStyle name="40% - 강조색1 6 3 3 4" xfId="12284"/>
    <cellStyle name="40% - 강조색1 6 3 3 5" xfId="12285"/>
    <cellStyle name="40% - 강조색1 6 3 4" xfId="12286"/>
    <cellStyle name="40% - 강조색1 6 3 4 2" xfId="12287"/>
    <cellStyle name="40% - 강조색1 6 3 4 2 2" xfId="12288"/>
    <cellStyle name="40% - 강조색1 6 3 4 2 3" xfId="12289"/>
    <cellStyle name="40% - 강조색1 6 3 4 3" xfId="12290"/>
    <cellStyle name="40% - 강조색1 6 3 4 4" xfId="12291"/>
    <cellStyle name="40% - 강조색1 6 3 5" xfId="12292"/>
    <cellStyle name="40% - 강조색1 6 3 5 2" xfId="12293"/>
    <cellStyle name="40% - 강조색1 6 3 5 3" xfId="12294"/>
    <cellStyle name="40% - 강조색1 6 3 6" xfId="12295"/>
    <cellStyle name="40% - 강조색1 6 3 7" xfId="12296"/>
    <cellStyle name="40% - 강조색1 6 4" xfId="12297"/>
    <cellStyle name="40% - 강조색1 6 4 2" xfId="12298"/>
    <cellStyle name="40% - 강조색1 6 4 2 2" xfId="12299"/>
    <cellStyle name="40% - 강조색1 6 4 2 2 2" xfId="12300"/>
    <cellStyle name="40% - 강조색1 6 4 2 2 3" xfId="12301"/>
    <cellStyle name="40% - 강조색1 6 4 2 3" xfId="12302"/>
    <cellStyle name="40% - 강조색1 6 4 2 4" xfId="12303"/>
    <cellStyle name="40% - 강조색1 6 4 3" xfId="12304"/>
    <cellStyle name="40% - 강조색1 6 4 3 2" xfId="12305"/>
    <cellStyle name="40% - 강조색1 6 4 3 3" xfId="12306"/>
    <cellStyle name="40% - 강조색1 6 4 4" xfId="12307"/>
    <cellStyle name="40% - 강조색1 6 4 5" xfId="12308"/>
    <cellStyle name="40% - 강조색1 6 5" xfId="12309"/>
    <cellStyle name="40% - 강조색1 6 5 2" xfId="12310"/>
    <cellStyle name="40% - 강조색1 6 5 2 2" xfId="12311"/>
    <cellStyle name="40% - 강조색1 6 5 2 2 2" xfId="12312"/>
    <cellStyle name="40% - 강조색1 6 5 2 2 3" xfId="12313"/>
    <cellStyle name="40% - 강조색1 6 5 2 3" xfId="12314"/>
    <cellStyle name="40% - 강조색1 6 5 2 4" xfId="12315"/>
    <cellStyle name="40% - 강조색1 6 5 3" xfId="12316"/>
    <cellStyle name="40% - 강조색1 6 5 3 2" xfId="12317"/>
    <cellStyle name="40% - 강조색1 6 5 3 3" xfId="12318"/>
    <cellStyle name="40% - 강조색1 6 5 4" xfId="12319"/>
    <cellStyle name="40% - 강조색1 6 5 5" xfId="12320"/>
    <cellStyle name="40% - 강조색1 6 6" xfId="12321"/>
    <cellStyle name="40% - 강조색1 6 6 2" xfId="12322"/>
    <cellStyle name="40% - 강조색1 6 6 2 2" xfId="12323"/>
    <cellStyle name="40% - 강조색1 6 6 2 2 2" xfId="12324"/>
    <cellStyle name="40% - 강조색1 6 6 2 2 3" xfId="12325"/>
    <cellStyle name="40% - 강조색1 6 6 2 3" xfId="12326"/>
    <cellStyle name="40% - 강조색1 6 6 2 4" xfId="12327"/>
    <cellStyle name="40% - 강조색1 6 6 3" xfId="12328"/>
    <cellStyle name="40% - 강조색1 6 6 3 2" xfId="12329"/>
    <cellStyle name="40% - 강조색1 6 6 3 3" xfId="12330"/>
    <cellStyle name="40% - 강조색1 6 6 4" xfId="12331"/>
    <cellStyle name="40% - 강조색1 6 6 5" xfId="12332"/>
    <cellStyle name="40% - 강조색1 6 7" xfId="12333"/>
    <cellStyle name="40% - 강조색1 6 7 2" xfId="12334"/>
    <cellStyle name="40% - 강조색1 6 7 2 2" xfId="12335"/>
    <cellStyle name="40% - 강조색1 6 7 2 3" xfId="12336"/>
    <cellStyle name="40% - 강조색1 6 7 3" xfId="12337"/>
    <cellStyle name="40% - 강조색1 6 7 4" xfId="12338"/>
    <cellStyle name="40% - 강조색1 6 8" xfId="12339"/>
    <cellStyle name="40% - 강조색1 6 8 2" xfId="12340"/>
    <cellStyle name="40% - 강조색1 6 8 3" xfId="12341"/>
    <cellStyle name="40% - 강조색1 6 9" xfId="12342"/>
    <cellStyle name="40% - 강조색1 60" xfId="12343"/>
    <cellStyle name="40% - 강조색1 61" xfId="12344"/>
    <cellStyle name="40% - 강조색1 62" xfId="12345"/>
    <cellStyle name="40% - 강조색1 63" xfId="12346"/>
    <cellStyle name="40% - 강조색1 64" xfId="12347"/>
    <cellStyle name="40% - 강조색1 65" xfId="12348"/>
    <cellStyle name="40% - 강조색1 66" xfId="12349"/>
    <cellStyle name="40% - 강조색1 67" xfId="12350"/>
    <cellStyle name="40% - 강조색1 68" xfId="12351"/>
    <cellStyle name="40% - 강조색1 69" xfId="12352"/>
    <cellStyle name="40% - 강조색1 7" xfId="12353"/>
    <cellStyle name="40% - 강조색1 7 10" xfId="12354"/>
    <cellStyle name="40% - 강조색1 7 2" xfId="12355"/>
    <cellStyle name="40% - 강조색1 7 2 2" xfId="12356"/>
    <cellStyle name="40% - 강조색1 7 2 2 2" xfId="12357"/>
    <cellStyle name="40% - 강조색1 7 2 2 2 2" xfId="12358"/>
    <cellStyle name="40% - 강조색1 7 2 2 2 2 2" xfId="12359"/>
    <cellStyle name="40% - 강조색1 7 2 2 2 2 3" xfId="12360"/>
    <cellStyle name="40% - 강조색1 7 2 2 2 3" xfId="12361"/>
    <cellStyle name="40% - 강조색1 7 2 2 2 4" xfId="12362"/>
    <cellStyle name="40% - 강조색1 7 2 2 3" xfId="12363"/>
    <cellStyle name="40% - 강조색1 7 2 2 3 2" xfId="12364"/>
    <cellStyle name="40% - 강조색1 7 2 2 3 3" xfId="12365"/>
    <cellStyle name="40% - 강조색1 7 2 2 4" xfId="12366"/>
    <cellStyle name="40% - 강조색1 7 2 2 5" xfId="12367"/>
    <cellStyle name="40% - 강조색1 7 2 3" xfId="12368"/>
    <cellStyle name="40% - 강조색1 7 2 3 2" xfId="12369"/>
    <cellStyle name="40% - 강조색1 7 2 3 2 2" xfId="12370"/>
    <cellStyle name="40% - 강조색1 7 2 3 2 2 2" xfId="12371"/>
    <cellStyle name="40% - 강조색1 7 2 3 2 2 3" xfId="12372"/>
    <cellStyle name="40% - 강조색1 7 2 3 2 3" xfId="12373"/>
    <cellStyle name="40% - 강조색1 7 2 3 2 4" xfId="12374"/>
    <cellStyle name="40% - 강조색1 7 2 3 3" xfId="12375"/>
    <cellStyle name="40% - 강조색1 7 2 3 3 2" xfId="12376"/>
    <cellStyle name="40% - 강조색1 7 2 3 3 3" xfId="12377"/>
    <cellStyle name="40% - 강조색1 7 2 3 4" xfId="12378"/>
    <cellStyle name="40% - 강조색1 7 2 3 5" xfId="12379"/>
    <cellStyle name="40% - 강조색1 7 2 4" xfId="12380"/>
    <cellStyle name="40% - 강조색1 7 2 4 2" xfId="12381"/>
    <cellStyle name="40% - 강조색1 7 2 4 2 2" xfId="12382"/>
    <cellStyle name="40% - 강조색1 7 2 4 2 3" xfId="12383"/>
    <cellStyle name="40% - 강조색1 7 2 4 3" xfId="12384"/>
    <cellStyle name="40% - 강조색1 7 2 4 4" xfId="12385"/>
    <cellStyle name="40% - 강조색1 7 2 5" xfId="12386"/>
    <cellStyle name="40% - 강조색1 7 2 5 2" xfId="12387"/>
    <cellStyle name="40% - 강조색1 7 2 5 3" xfId="12388"/>
    <cellStyle name="40% - 강조색1 7 2 6" xfId="12389"/>
    <cellStyle name="40% - 강조색1 7 2 7" xfId="12390"/>
    <cellStyle name="40% - 강조색1 7 3" xfId="12391"/>
    <cellStyle name="40% - 강조색1 7 3 2" xfId="12392"/>
    <cellStyle name="40% - 강조색1 7 3 2 2" xfId="12393"/>
    <cellStyle name="40% - 강조색1 7 3 2 2 2" xfId="12394"/>
    <cellStyle name="40% - 강조색1 7 3 2 2 2 2" xfId="12395"/>
    <cellStyle name="40% - 강조색1 7 3 2 2 2 3" xfId="12396"/>
    <cellStyle name="40% - 강조색1 7 3 2 2 3" xfId="12397"/>
    <cellStyle name="40% - 강조색1 7 3 2 2 4" xfId="12398"/>
    <cellStyle name="40% - 강조색1 7 3 2 3" xfId="12399"/>
    <cellStyle name="40% - 강조색1 7 3 2 3 2" xfId="12400"/>
    <cellStyle name="40% - 강조색1 7 3 2 3 3" xfId="12401"/>
    <cellStyle name="40% - 강조색1 7 3 2 4" xfId="12402"/>
    <cellStyle name="40% - 강조색1 7 3 2 5" xfId="12403"/>
    <cellStyle name="40% - 강조색1 7 3 3" xfId="12404"/>
    <cellStyle name="40% - 강조색1 7 3 3 2" xfId="12405"/>
    <cellStyle name="40% - 강조색1 7 3 3 2 2" xfId="12406"/>
    <cellStyle name="40% - 강조색1 7 3 3 2 2 2" xfId="12407"/>
    <cellStyle name="40% - 강조색1 7 3 3 2 2 3" xfId="12408"/>
    <cellStyle name="40% - 강조색1 7 3 3 2 3" xfId="12409"/>
    <cellStyle name="40% - 강조색1 7 3 3 2 4" xfId="12410"/>
    <cellStyle name="40% - 강조색1 7 3 3 3" xfId="12411"/>
    <cellStyle name="40% - 강조색1 7 3 3 3 2" xfId="12412"/>
    <cellStyle name="40% - 강조색1 7 3 3 3 3" xfId="12413"/>
    <cellStyle name="40% - 강조색1 7 3 3 4" xfId="12414"/>
    <cellStyle name="40% - 강조색1 7 3 3 5" xfId="12415"/>
    <cellStyle name="40% - 강조색1 7 3 4" xfId="12416"/>
    <cellStyle name="40% - 강조색1 7 3 4 2" xfId="12417"/>
    <cellStyle name="40% - 강조색1 7 3 4 2 2" xfId="12418"/>
    <cellStyle name="40% - 강조색1 7 3 4 2 3" xfId="12419"/>
    <cellStyle name="40% - 강조색1 7 3 4 3" xfId="12420"/>
    <cellStyle name="40% - 강조색1 7 3 4 4" xfId="12421"/>
    <cellStyle name="40% - 강조색1 7 3 5" xfId="12422"/>
    <cellStyle name="40% - 강조색1 7 3 5 2" xfId="12423"/>
    <cellStyle name="40% - 강조색1 7 3 5 3" xfId="12424"/>
    <cellStyle name="40% - 강조색1 7 3 6" xfId="12425"/>
    <cellStyle name="40% - 강조색1 7 3 7" xfId="12426"/>
    <cellStyle name="40% - 강조색1 7 4" xfId="12427"/>
    <cellStyle name="40% - 강조색1 7 4 2" xfId="12428"/>
    <cellStyle name="40% - 강조색1 7 4 2 2" xfId="12429"/>
    <cellStyle name="40% - 강조색1 7 4 2 2 2" xfId="12430"/>
    <cellStyle name="40% - 강조색1 7 4 2 2 3" xfId="12431"/>
    <cellStyle name="40% - 강조색1 7 4 2 3" xfId="12432"/>
    <cellStyle name="40% - 강조색1 7 4 2 4" xfId="12433"/>
    <cellStyle name="40% - 강조색1 7 4 3" xfId="12434"/>
    <cellStyle name="40% - 강조색1 7 4 3 2" xfId="12435"/>
    <cellStyle name="40% - 강조색1 7 4 3 3" xfId="12436"/>
    <cellStyle name="40% - 강조색1 7 4 4" xfId="12437"/>
    <cellStyle name="40% - 강조색1 7 4 5" xfId="12438"/>
    <cellStyle name="40% - 강조색1 7 5" xfId="12439"/>
    <cellStyle name="40% - 강조색1 7 5 2" xfId="12440"/>
    <cellStyle name="40% - 강조색1 7 5 2 2" xfId="12441"/>
    <cellStyle name="40% - 강조색1 7 5 2 2 2" xfId="12442"/>
    <cellStyle name="40% - 강조색1 7 5 2 2 3" xfId="12443"/>
    <cellStyle name="40% - 강조색1 7 5 2 3" xfId="12444"/>
    <cellStyle name="40% - 강조색1 7 5 2 4" xfId="12445"/>
    <cellStyle name="40% - 강조색1 7 5 3" xfId="12446"/>
    <cellStyle name="40% - 강조색1 7 5 3 2" xfId="12447"/>
    <cellStyle name="40% - 강조색1 7 5 3 3" xfId="12448"/>
    <cellStyle name="40% - 강조색1 7 5 4" xfId="12449"/>
    <cellStyle name="40% - 강조색1 7 5 5" xfId="12450"/>
    <cellStyle name="40% - 강조색1 7 6" xfId="12451"/>
    <cellStyle name="40% - 강조색1 7 6 2" xfId="12452"/>
    <cellStyle name="40% - 강조색1 7 6 2 2" xfId="12453"/>
    <cellStyle name="40% - 강조색1 7 6 2 2 2" xfId="12454"/>
    <cellStyle name="40% - 강조색1 7 6 2 2 3" xfId="12455"/>
    <cellStyle name="40% - 강조색1 7 6 2 3" xfId="12456"/>
    <cellStyle name="40% - 강조색1 7 6 2 4" xfId="12457"/>
    <cellStyle name="40% - 강조색1 7 6 3" xfId="12458"/>
    <cellStyle name="40% - 강조색1 7 6 3 2" xfId="12459"/>
    <cellStyle name="40% - 강조색1 7 6 3 3" xfId="12460"/>
    <cellStyle name="40% - 강조색1 7 6 4" xfId="12461"/>
    <cellStyle name="40% - 강조색1 7 6 5" xfId="12462"/>
    <cellStyle name="40% - 강조색1 7 7" xfId="12463"/>
    <cellStyle name="40% - 강조색1 7 7 2" xfId="12464"/>
    <cellStyle name="40% - 강조색1 7 7 2 2" xfId="12465"/>
    <cellStyle name="40% - 강조색1 7 7 2 3" xfId="12466"/>
    <cellStyle name="40% - 강조색1 7 7 3" xfId="12467"/>
    <cellStyle name="40% - 강조색1 7 7 4" xfId="12468"/>
    <cellStyle name="40% - 강조색1 7 8" xfId="12469"/>
    <cellStyle name="40% - 강조색1 7 8 2" xfId="12470"/>
    <cellStyle name="40% - 강조색1 7 8 3" xfId="12471"/>
    <cellStyle name="40% - 강조색1 7 9" xfId="12472"/>
    <cellStyle name="40% - 강조색1 8" xfId="12473"/>
    <cellStyle name="40% - 강조색1 8 2" xfId="12474"/>
    <cellStyle name="40% - 강조색1 8 2 2" xfId="12475"/>
    <cellStyle name="40% - 강조색1 8 2 2 2" xfId="12476"/>
    <cellStyle name="40% - 강조색1 8 2 2 2 2" xfId="12477"/>
    <cellStyle name="40% - 강조색1 8 2 2 2 3" xfId="12478"/>
    <cellStyle name="40% - 강조색1 8 2 2 3" xfId="12479"/>
    <cellStyle name="40% - 강조색1 8 2 2 4" xfId="12480"/>
    <cellStyle name="40% - 강조색1 8 2 3" xfId="12481"/>
    <cellStyle name="40% - 강조색1 8 2 3 2" xfId="12482"/>
    <cellStyle name="40% - 강조색1 8 2 3 3" xfId="12483"/>
    <cellStyle name="40% - 강조색1 8 2 4" xfId="12484"/>
    <cellStyle name="40% - 강조색1 8 2 5" xfId="12485"/>
    <cellStyle name="40% - 강조색1 8 3" xfId="12486"/>
    <cellStyle name="40% - 강조색1 8 3 2" xfId="12487"/>
    <cellStyle name="40% - 강조색1 8 3 2 2" xfId="12488"/>
    <cellStyle name="40% - 강조색1 8 3 2 2 2" xfId="12489"/>
    <cellStyle name="40% - 강조색1 8 3 2 2 3" xfId="12490"/>
    <cellStyle name="40% - 강조색1 8 3 2 3" xfId="12491"/>
    <cellStyle name="40% - 강조색1 8 3 2 4" xfId="12492"/>
    <cellStyle name="40% - 강조색1 8 3 3" xfId="12493"/>
    <cellStyle name="40% - 강조색1 8 3 3 2" xfId="12494"/>
    <cellStyle name="40% - 강조색1 8 3 3 3" xfId="12495"/>
    <cellStyle name="40% - 강조색1 8 3 4" xfId="12496"/>
    <cellStyle name="40% - 강조색1 8 3 5" xfId="12497"/>
    <cellStyle name="40% - 강조색1 8 4" xfId="12498"/>
    <cellStyle name="40% - 강조색1 8 4 2" xfId="12499"/>
    <cellStyle name="40% - 강조색1 8 4 2 2" xfId="12500"/>
    <cellStyle name="40% - 강조색1 8 4 2 3" xfId="12501"/>
    <cellStyle name="40% - 강조색1 8 4 3" xfId="12502"/>
    <cellStyle name="40% - 강조색1 8 4 4" xfId="12503"/>
    <cellStyle name="40% - 강조색1 8 5" xfId="12504"/>
    <cellStyle name="40% - 강조색1 8 5 2" xfId="12505"/>
    <cellStyle name="40% - 강조색1 8 5 3" xfId="12506"/>
    <cellStyle name="40% - 강조색1 8 6" xfId="12507"/>
    <cellStyle name="40% - 강조색1 8 7" xfId="12508"/>
    <cellStyle name="40% - 강조색1 9" xfId="12509"/>
    <cellStyle name="40% - 강조색1 9 2" xfId="12510"/>
    <cellStyle name="40% - 강조색1 9 2 2" xfId="12511"/>
    <cellStyle name="40% - 강조색1 9 2 2 2" xfId="12512"/>
    <cellStyle name="40% - 강조색1 9 2 2 2 2" xfId="12513"/>
    <cellStyle name="40% - 강조색1 9 2 2 2 3" xfId="12514"/>
    <cellStyle name="40% - 강조색1 9 2 2 3" xfId="12515"/>
    <cellStyle name="40% - 강조색1 9 2 2 4" xfId="12516"/>
    <cellStyle name="40% - 강조색1 9 2 3" xfId="12517"/>
    <cellStyle name="40% - 강조색1 9 2 3 2" xfId="12518"/>
    <cellStyle name="40% - 강조색1 9 2 3 3" xfId="12519"/>
    <cellStyle name="40% - 강조색1 9 2 4" xfId="12520"/>
    <cellStyle name="40% - 강조색1 9 2 5" xfId="12521"/>
    <cellStyle name="40% - 강조색1 9 3" xfId="12522"/>
    <cellStyle name="40% - 강조색1 9 3 2" xfId="12523"/>
    <cellStyle name="40% - 강조색1 9 3 2 2" xfId="12524"/>
    <cellStyle name="40% - 강조색1 9 3 2 2 2" xfId="12525"/>
    <cellStyle name="40% - 강조색1 9 3 2 2 3" xfId="12526"/>
    <cellStyle name="40% - 강조색1 9 3 2 3" xfId="12527"/>
    <cellStyle name="40% - 강조색1 9 3 2 4" xfId="12528"/>
    <cellStyle name="40% - 강조색1 9 3 3" xfId="12529"/>
    <cellStyle name="40% - 강조색1 9 3 3 2" xfId="12530"/>
    <cellStyle name="40% - 강조색1 9 3 3 3" xfId="12531"/>
    <cellStyle name="40% - 강조색1 9 3 4" xfId="12532"/>
    <cellStyle name="40% - 강조색1 9 3 5" xfId="12533"/>
    <cellStyle name="40% - 강조색1 9 4" xfId="12534"/>
    <cellStyle name="40% - 강조색1 9 4 2" xfId="12535"/>
    <cellStyle name="40% - 강조색1 9 4 2 2" xfId="12536"/>
    <cellStyle name="40% - 강조색1 9 4 2 3" xfId="12537"/>
    <cellStyle name="40% - 강조색1 9 4 3" xfId="12538"/>
    <cellStyle name="40% - 강조색1 9 4 4" xfId="12539"/>
    <cellStyle name="40% - 강조색1 9 5" xfId="12540"/>
    <cellStyle name="40% - 강조색1 9 5 2" xfId="12541"/>
    <cellStyle name="40% - 강조색1 9 5 3" xfId="12542"/>
    <cellStyle name="40% - 강조색1 9 6" xfId="12543"/>
    <cellStyle name="40% - 강조색1 9 7" xfId="12544"/>
    <cellStyle name="40% - 강조색2 10" xfId="12545"/>
    <cellStyle name="40% - 강조색2 10 2" xfId="12546"/>
    <cellStyle name="40% - 강조색2 10 2 2" xfId="12547"/>
    <cellStyle name="40% - 강조색2 10 2 2 2" xfId="12548"/>
    <cellStyle name="40% - 강조색2 10 2 2 2 2" xfId="12549"/>
    <cellStyle name="40% - 강조색2 10 2 2 2 3" xfId="12550"/>
    <cellStyle name="40% - 강조색2 10 2 2 3" xfId="12551"/>
    <cellStyle name="40% - 강조색2 10 2 2 4" xfId="12552"/>
    <cellStyle name="40% - 강조색2 10 2 3" xfId="12553"/>
    <cellStyle name="40% - 강조색2 10 2 3 2" xfId="12554"/>
    <cellStyle name="40% - 강조색2 10 2 3 3" xfId="12555"/>
    <cellStyle name="40% - 강조색2 10 2 4" xfId="12556"/>
    <cellStyle name="40% - 강조색2 10 2 5" xfId="12557"/>
    <cellStyle name="40% - 강조색2 10 3" xfId="12558"/>
    <cellStyle name="40% - 강조색2 10 3 2" xfId="12559"/>
    <cellStyle name="40% - 강조색2 10 3 2 2" xfId="12560"/>
    <cellStyle name="40% - 강조색2 10 3 2 2 2" xfId="12561"/>
    <cellStyle name="40% - 강조색2 10 3 2 2 3" xfId="12562"/>
    <cellStyle name="40% - 강조색2 10 3 2 3" xfId="12563"/>
    <cellStyle name="40% - 강조색2 10 3 2 4" xfId="12564"/>
    <cellStyle name="40% - 강조색2 10 3 3" xfId="12565"/>
    <cellStyle name="40% - 강조색2 10 3 3 2" xfId="12566"/>
    <cellStyle name="40% - 강조색2 10 3 3 3" xfId="12567"/>
    <cellStyle name="40% - 강조색2 10 3 4" xfId="12568"/>
    <cellStyle name="40% - 강조색2 10 3 5" xfId="12569"/>
    <cellStyle name="40% - 강조색2 10 4" xfId="12570"/>
    <cellStyle name="40% - 강조색2 10 4 2" xfId="12571"/>
    <cellStyle name="40% - 강조색2 10 4 2 2" xfId="12572"/>
    <cellStyle name="40% - 강조색2 10 4 2 3" xfId="12573"/>
    <cellStyle name="40% - 강조색2 10 4 3" xfId="12574"/>
    <cellStyle name="40% - 강조색2 10 4 4" xfId="12575"/>
    <cellStyle name="40% - 강조색2 10 5" xfId="12576"/>
    <cellStyle name="40% - 강조색2 10 5 2" xfId="12577"/>
    <cellStyle name="40% - 강조색2 10 5 3" xfId="12578"/>
    <cellStyle name="40% - 강조색2 10 6" xfId="12579"/>
    <cellStyle name="40% - 강조색2 10 7" xfId="12580"/>
    <cellStyle name="40% - 강조색2 11" xfId="12581"/>
    <cellStyle name="40% - 강조색2 11 2" xfId="12582"/>
    <cellStyle name="40% - 강조색2 11 2 2" xfId="12583"/>
    <cellStyle name="40% - 강조색2 11 2 2 2" xfId="12584"/>
    <cellStyle name="40% - 강조색2 11 2 2 3" xfId="12585"/>
    <cellStyle name="40% - 강조색2 11 2 3" xfId="12586"/>
    <cellStyle name="40% - 강조색2 11 2 4" xfId="12587"/>
    <cellStyle name="40% - 강조색2 11 3" xfId="12588"/>
    <cellStyle name="40% - 강조색2 11 3 2" xfId="12589"/>
    <cellStyle name="40% - 강조색2 11 3 3" xfId="12590"/>
    <cellStyle name="40% - 강조색2 11 4" xfId="12591"/>
    <cellStyle name="40% - 강조색2 11 5" xfId="12592"/>
    <cellStyle name="40% - 강조색2 12" xfId="12593"/>
    <cellStyle name="40% - 강조색2 12 2" xfId="12594"/>
    <cellStyle name="40% - 강조색2 12 2 2" xfId="12595"/>
    <cellStyle name="40% - 강조색2 12 2 2 2" xfId="12596"/>
    <cellStyle name="40% - 강조색2 12 2 2 3" xfId="12597"/>
    <cellStyle name="40% - 강조색2 12 2 3" xfId="12598"/>
    <cellStyle name="40% - 강조색2 12 2 4" xfId="12599"/>
    <cellStyle name="40% - 강조색2 12 3" xfId="12600"/>
    <cellStyle name="40% - 강조색2 12 3 2" xfId="12601"/>
    <cellStyle name="40% - 강조색2 12 3 3" xfId="12602"/>
    <cellStyle name="40% - 강조색2 12 4" xfId="12603"/>
    <cellStyle name="40% - 강조색2 12 5" xfId="12604"/>
    <cellStyle name="40% - 강조색2 13" xfId="12605"/>
    <cellStyle name="40% - 강조색2 13 2" xfId="12606"/>
    <cellStyle name="40% - 강조색2 13 2 2" xfId="12607"/>
    <cellStyle name="40% - 강조색2 13 2 3" xfId="12608"/>
    <cellStyle name="40% - 강조색2 13 3" xfId="12609"/>
    <cellStyle name="40% - 강조색2 13 4" xfId="12610"/>
    <cellStyle name="40% - 강조색2 14" xfId="12611"/>
    <cellStyle name="40% - 강조색2 14 2" xfId="12612"/>
    <cellStyle name="40% - 강조색2 14 2 2" xfId="12613"/>
    <cellStyle name="40% - 강조색2 14 2 3" xfId="12614"/>
    <cellStyle name="40% - 강조색2 14 3" xfId="12615"/>
    <cellStyle name="40% - 강조색2 14 4" xfId="12616"/>
    <cellStyle name="40% - 강조색2 15" xfId="12617"/>
    <cellStyle name="40% - 강조색2 15 2" xfId="12618"/>
    <cellStyle name="40% - 강조색2 15 3" xfId="12619"/>
    <cellStyle name="40% - 강조색2 16" xfId="12620"/>
    <cellStyle name="40% - 강조색2 16 2" xfId="12621"/>
    <cellStyle name="40% - 강조색2 16 3" xfId="12622"/>
    <cellStyle name="40% - 강조색2 16 4" xfId="12623"/>
    <cellStyle name="40% - 강조색2 17" xfId="12624"/>
    <cellStyle name="40% - 강조색2 17 2" xfId="12625"/>
    <cellStyle name="40% - 강조색2 17 3" xfId="12626"/>
    <cellStyle name="40% - 강조색2 18" xfId="12627"/>
    <cellStyle name="40% - 강조색2 18 2" xfId="12628"/>
    <cellStyle name="40% - 강조색2 18 3" xfId="12629"/>
    <cellStyle name="40% - 강조색2 19" xfId="12630"/>
    <cellStyle name="40% - 강조색2 19 2" xfId="12631"/>
    <cellStyle name="40% - 강조색2 19 3" xfId="12632"/>
    <cellStyle name="40% - 강조색2 2" xfId="12633"/>
    <cellStyle name="40% - 강조색2 2 2" xfId="12634"/>
    <cellStyle name="40% - 강조색2 2 2 2" xfId="12635"/>
    <cellStyle name="40% - 강조색2 2 2 2 2" xfId="12636"/>
    <cellStyle name="40% - 강조색2 2 2 3" xfId="12637"/>
    <cellStyle name="40% - 강조색2 2 3" xfId="12638"/>
    <cellStyle name="40% - 강조색2 2 3 2" xfId="12639"/>
    <cellStyle name="40% - 강조색2 2 3 2 2" xfId="12640"/>
    <cellStyle name="40% - 강조색2 2 3 3" xfId="12641"/>
    <cellStyle name="40% - 강조색2 2 4" xfId="12642"/>
    <cellStyle name="40% - 강조색2 2 4 2" xfId="12643"/>
    <cellStyle name="40% - 강조색2 2 5" xfId="12644"/>
    <cellStyle name="40% - 강조색2 2 6" xfId="12645"/>
    <cellStyle name="40% - 강조색2 20" xfId="12646"/>
    <cellStyle name="40% - 강조색2 20 2" xfId="12647"/>
    <cellStyle name="40% - 강조색2 20 3" xfId="12648"/>
    <cellStyle name="40% - 강조색2 21" xfId="12649"/>
    <cellStyle name="40% - 강조색2 21 2" xfId="12650"/>
    <cellStyle name="40% - 강조색2 21 3" xfId="12651"/>
    <cellStyle name="40% - 강조색2 22" xfId="12652"/>
    <cellStyle name="40% - 강조색2 22 2" xfId="12653"/>
    <cellStyle name="40% - 강조색2 22 3" xfId="12654"/>
    <cellStyle name="40% - 강조색2 23" xfId="12655"/>
    <cellStyle name="40% - 강조색2 23 2" xfId="12656"/>
    <cellStyle name="40% - 강조색2 23 3" xfId="12657"/>
    <cellStyle name="40% - 강조색2 24" xfId="12658"/>
    <cellStyle name="40% - 강조색2 24 2" xfId="12659"/>
    <cellStyle name="40% - 강조색2 25" xfId="12660"/>
    <cellStyle name="40% - 강조색2 25 2" xfId="12661"/>
    <cellStyle name="40% - 강조색2 26" xfId="12662"/>
    <cellStyle name="40% - 강조색2 26 2" xfId="12663"/>
    <cellStyle name="40% - 강조색2 27" xfId="12664"/>
    <cellStyle name="40% - 강조색2 27 2" xfId="12665"/>
    <cellStyle name="40% - 강조색2 28" xfId="12666"/>
    <cellStyle name="40% - 강조색2 28 2" xfId="12667"/>
    <cellStyle name="40% - 강조색2 29" xfId="12668"/>
    <cellStyle name="40% - 강조색2 29 2" xfId="12669"/>
    <cellStyle name="40% - 강조색2 3" xfId="12670"/>
    <cellStyle name="40% - 강조색2 3 10" xfId="12671"/>
    <cellStyle name="40% - 강조색2 3 10 2" xfId="12672"/>
    <cellStyle name="40% - 강조색2 3 10 2 2" xfId="12673"/>
    <cellStyle name="40% - 강조색2 3 10 2 3" xfId="12674"/>
    <cellStyle name="40% - 강조색2 3 10 3" xfId="12675"/>
    <cellStyle name="40% - 강조색2 3 10 4" xfId="12676"/>
    <cellStyle name="40% - 강조색2 3 11" xfId="12677"/>
    <cellStyle name="40% - 강조색2 3 11 2" xfId="12678"/>
    <cellStyle name="40% - 강조색2 3 11 3" xfId="12679"/>
    <cellStyle name="40% - 강조색2 3 12" xfId="12680"/>
    <cellStyle name="40% - 강조색2 3 13" xfId="12681"/>
    <cellStyle name="40% - 강조색2 3 14" xfId="12682"/>
    <cellStyle name="40% - 강조색2 3 15" xfId="12683"/>
    <cellStyle name="40% - 강조색2 3 2" xfId="12684"/>
    <cellStyle name="40% - 강조색2 3 2 10" xfId="12685"/>
    <cellStyle name="40% - 강조색2 3 2 11" xfId="12686"/>
    <cellStyle name="40% - 강조색2 3 2 12" xfId="12687"/>
    <cellStyle name="40% - 강조색2 3 2 2" xfId="12688"/>
    <cellStyle name="40% - 강조색2 3 2 2 2" xfId="12689"/>
    <cellStyle name="40% - 강조색2 3 2 2 2 2" xfId="12690"/>
    <cellStyle name="40% - 강조색2 3 2 2 2 2 2" xfId="12691"/>
    <cellStyle name="40% - 강조색2 3 2 2 2 2 2 2" xfId="12692"/>
    <cellStyle name="40% - 강조색2 3 2 2 2 2 2 3" xfId="12693"/>
    <cellStyle name="40% - 강조색2 3 2 2 2 2 3" xfId="12694"/>
    <cellStyle name="40% - 강조색2 3 2 2 2 2 4" xfId="12695"/>
    <cellStyle name="40% - 강조색2 3 2 2 2 3" xfId="12696"/>
    <cellStyle name="40% - 강조색2 3 2 2 2 3 2" xfId="12697"/>
    <cellStyle name="40% - 강조색2 3 2 2 2 3 3" xfId="12698"/>
    <cellStyle name="40% - 강조색2 3 2 2 2 4" xfId="12699"/>
    <cellStyle name="40% - 강조색2 3 2 2 2 5" xfId="12700"/>
    <cellStyle name="40% - 강조색2 3 2 2 3" xfId="12701"/>
    <cellStyle name="40% - 강조색2 3 2 2 3 2" xfId="12702"/>
    <cellStyle name="40% - 강조색2 3 2 2 3 2 2" xfId="12703"/>
    <cellStyle name="40% - 강조색2 3 2 2 3 2 2 2" xfId="12704"/>
    <cellStyle name="40% - 강조색2 3 2 2 3 2 2 3" xfId="12705"/>
    <cellStyle name="40% - 강조색2 3 2 2 3 2 3" xfId="12706"/>
    <cellStyle name="40% - 강조색2 3 2 2 3 2 4" xfId="12707"/>
    <cellStyle name="40% - 강조색2 3 2 2 3 3" xfId="12708"/>
    <cellStyle name="40% - 강조색2 3 2 2 3 3 2" xfId="12709"/>
    <cellStyle name="40% - 강조색2 3 2 2 3 3 3" xfId="12710"/>
    <cellStyle name="40% - 강조색2 3 2 2 3 4" xfId="12711"/>
    <cellStyle name="40% - 강조색2 3 2 2 3 5" xfId="12712"/>
    <cellStyle name="40% - 강조색2 3 2 2 4" xfId="12713"/>
    <cellStyle name="40% - 강조색2 3 2 2 4 2" xfId="12714"/>
    <cellStyle name="40% - 강조색2 3 2 2 4 2 2" xfId="12715"/>
    <cellStyle name="40% - 강조색2 3 2 2 4 2 3" xfId="12716"/>
    <cellStyle name="40% - 강조색2 3 2 2 4 3" xfId="12717"/>
    <cellStyle name="40% - 강조색2 3 2 2 4 4" xfId="12718"/>
    <cellStyle name="40% - 강조색2 3 2 2 5" xfId="12719"/>
    <cellStyle name="40% - 강조색2 3 2 2 5 2" xfId="12720"/>
    <cellStyle name="40% - 강조색2 3 2 2 5 3" xfId="12721"/>
    <cellStyle name="40% - 강조색2 3 2 2 6" xfId="12722"/>
    <cellStyle name="40% - 강조색2 3 2 2 7" xfId="12723"/>
    <cellStyle name="40% - 강조색2 3 2 2 8" xfId="12724"/>
    <cellStyle name="40% - 강조색2 3 2 2 9" xfId="12725"/>
    <cellStyle name="40% - 강조색2 3 2 3" xfId="12726"/>
    <cellStyle name="40% - 강조색2 3 2 3 2" xfId="12727"/>
    <cellStyle name="40% - 강조색2 3 2 3 2 2" xfId="12728"/>
    <cellStyle name="40% - 강조색2 3 2 3 2 2 2" xfId="12729"/>
    <cellStyle name="40% - 강조색2 3 2 3 2 2 2 2" xfId="12730"/>
    <cellStyle name="40% - 강조색2 3 2 3 2 2 2 3" xfId="12731"/>
    <cellStyle name="40% - 강조색2 3 2 3 2 2 3" xfId="12732"/>
    <cellStyle name="40% - 강조색2 3 2 3 2 2 4" xfId="12733"/>
    <cellStyle name="40% - 강조색2 3 2 3 2 3" xfId="12734"/>
    <cellStyle name="40% - 강조색2 3 2 3 2 3 2" xfId="12735"/>
    <cellStyle name="40% - 강조색2 3 2 3 2 3 3" xfId="12736"/>
    <cellStyle name="40% - 강조색2 3 2 3 2 4" xfId="12737"/>
    <cellStyle name="40% - 강조색2 3 2 3 2 5" xfId="12738"/>
    <cellStyle name="40% - 강조색2 3 2 3 3" xfId="12739"/>
    <cellStyle name="40% - 강조색2 3 2 3 3 2" xfId="12740"/>
    <cellStyle name="40% - 강조색2 3 2 3 3 2 2" xfId="12741"/>
    <cellStyle name="40% - 강조색2 3 2 3 3 2 2 2" xfId="12742"/>
    <cellStyle name="40% - 강조색2 3 2 3 3 2 2 3" xfId="12743"/>
    <cellStyle name="40% - 강조색2 3 2 3 3 2 3" xfId="12744"/>
    <cellStyle name="40% - 강조색2 3 2 3 3 2 4" xfId="12745"/>
    <cellStyle name="40% - 강조색2 3 2 3 3 3" xfId="12746"/>
    <cellStyle name="40% - 강조색2 3 2 3 3 3 2" xfId="12747"/>
    <cellStyle name="40% - 강조색2 3 2 3 3 3 3" xfId="12748"/>
    <cellStyle name="40% - 강조색2 3 2 3 3 4" xfId="12749"/>
    <cellStyle name="40% - 강조색2 3 2 3 3 5" xfId="12750"/>
    <cellStyle name="40% - 강조색2 3 2 3 4" xfId="12751"/>
    <cellStyle name="40% - 강조색2 3 2 3 4 2" xfId="12752"/>
    <cellStyle name="40% - 강조색2 3 2 3 4 2 2" xfId="12753"/>
    <cellStyle name="40% - 강조색2 3 2 3 4 2 3" xfId="12754"/>
    <cellStyle name="40% - 강조색2 3 2 3 4 3" xfId="12755"/>
    <cellStyle name="40% - 강조색2 3 2 3 4 4" xfId="12756"/>
    <cellStyle name="40% - 강조색2 3 2 3 5" xfId="12757"/>
    <cellStyle name="40% - 강조색2 3 2 3 5 2" xfId="12758"/>
    <cellStyle name="40% - 강조색2 3 2 3 5 3" xfId="12759"/>
    <cellStyle name="40% - 강조색2 3 2 3 6" xfId="12760"/>
    <cellStyle name="40% - 강조색2 3 2 3 7" xfId="12761"/>
    <cellStyle name="40% - 강조색2 3 2 4" xfId="12762"/>
    <cellStyle name="40% - 강조색2 3 2 4 2" xfId="12763"/>
    <cellStyle name="40% - 강조색2 3 2 4 2 2" xfId="12764"/>
    <cellStyle name="40% - 강조색2 3 2 4 2 2 2" xfId="12765"/>
    <cellStyle name="40% - 강조색2 3 2 4 2 2 3" xfId="12766"/>
    <cellStyle name="40% - 강조색2 3 2 4 2 3" xfId="12767"/>
    <cellStyle name="40% - 강조색2 3 2 4 2 4" xfId="12768"/>
    <cellStyle name="40% - 강조색2 3 2 4 3" xfId="12769"/>
    <cellStyle name="40% - 강조색2 3 2 4 3 2" xfId="12770"/>
    <cellStyle name="40% - 강조색2 3 2 4 3 3" xfId="12771"/>
    <cellStyle name="40% - 강조색2 3 2 4 4" xfId="12772"/>
    <cellStyle name="40% - 강조색2 3 2 4 5" xfId="12773"/>
    <cellStyle name="40% - 강조색2 3 2 5" xfId="12774"/>
    <cellStyle name="40% - 강조색2 3 2 5 2" xfId="12775"/>
    <cellStyle name="40% - 강조색2 3 2 5 2 2" xfId="12776"/>
    <cellStyle name="40% - 강조색2 3 2 5 2 2 2" xfId="12777"/>
    <cellStyle name="40% - 강조색2 3 2 5 2 2 3" xfId="12778"/>
    <cellStyle name="40% - 강조색2 3 2 5 2 3" xfId="12779"/>
    <cellStyle name="40% - 강조색2 3 2 5 2 4" xfId="12780"/>
    <cellStyle name="40% - 강조색2 3 2 5 3" xfId="12781"/>
    <cellStyle name="40% - 강조색2 3 2 5 3 2" xfId="12782"/>
    <cellStyle name="40% - 강조색2 3 2 5 3 3" xfId="12783"/>
    <cellStyle name="40% - 강조색2 3 2 5 4" xfId="12784"/>
    <cellStyle name="40% - 강조색2 3 2 5 5" xfId="12785"/>
    <cellStyle name="40% - 강조색2 3 2 6" xfId="12786"/>
    <cellStyle name="40% - 강조색2 3 2 6 2" xfId="12787"/>
    <cellStyle name="40% - 강조색2 3 2 6 2 2" xfId="12788"/>
    <cellStyle name="40% - 강조색2 3 2 6 2 2 2" xfId="12789"/>
    <cellStyle name="40% - 강조색2 3 2 6 2 2 3" xfId="12790"/>
    <cellStyle name="40% - 강조색2 3 2 6 2 3" xfId="12791"/>
    <cellStyle name="40% - 강조색2 3 2 6 2 4" xfId="12792"/>
    <cellStyle name="40% - 강조색2 3 2 6 3" xfId="12793"/>
    <cellStyle name="40% - 강조색2 3 2 6 3 2" xfId="12794"/>
    <cellStyle name="40% - 강조색2 3 2 6 3 3" xfId="12795"/>
    <cellStyle name="40% - 강조색2 3 2 6 4" xfId="12796"/>
    <cellStyle name="40% - 강조색2 3 2 6 5" xfId="12797"/>
    <cellStyle name="40% - 강조색2 3 2 7" xfId="12798"/>
    <cellStyle name="40% - 강조색2 3 2 7 2" xfId="12799"/>
    <cellStyle name="40% - 강조색2 3 2 7 2 2" xfId="12800"/>
    <cellStyle name="40% - 강조색2 3 2 7 2 3" xfId="12801"/>
    <cellStyle name="40% - 강조색2 3 2 7 3" xfId="12802"/>
    <cellStyle name="40% - 강조색2 3 2 7 4" xfId="12803"/>
    <cellStyle name="40% - 강조색2 3 2 8" xfId="12804"/>
    <cellStyle name="40% - 강조색2 3 2 8 2" xfId="12805"/>
    <cellStyle name="40% - 강조색2 3 2 8 3" xfId="12806"/>
    <cellStyle name="40% - 강조색2 3 2 9" xfId="12807"/>
    <cellStyle name="40% - 강조색2 3 3" xfId="12808"/>
    <cellStyle name="40% - 강조색2 3 3 10" xfId="12809"/>
    <cellStyle name="40% - 강조색2 3 3 11" xfId="12810"/>
    <cellStyle name="40% - 강조색2 3 3 12" xfId="12811"/>
    <cellStyle name="40% - 강조색2 3 3 2" xfId="12812"/>
    <cellStyle name="40% - 강조색2 3 3 2 2" xfId="12813"/>
    <cellStyle name="40% - 강조색2 3 3 2 2 2" xfId="12814"/>
    <cellStyle name="40% - 강조색2 3 3 2 2 2 2" xfId="12815"/>
    <cellStyle name="40% - 강조색2 3 3 2 2 2 2 2" xfId="12816"/>
    <cellStyle name="40% - 강조색2 3 3 2 2 2 2 3" xfId="12817"/>
    <cellStyle name="40% - 강조색2 3 3 2 2 2 3" xfId="12818"/>
    <cellStyle name="40% - 강조색2 3 3 2 2 2 4" xfId="12819"/>
    <cellStyle name="40% - 강조색2 3 3 2 2 3" xfId="12820"/>
    <cellStyle name="40% - 강조색2 3 3 2 2 3 2" xfId="12821"/>
    <cellStyle name="40% - 강조색2 3 3 2 2 3 3" xfId="12822"/>
    <cellStyle name="40% - 강조색2 3 3 2 2 4" xfId="12823"/>
    <cellStyle name="40% - 강조색2 3 3 2 2 5" xfId="12824"/>
    <cellStyle name="40% - 강조색2 3 3 2 3" xfId="12825"/>
    <cellStyle name="40% - 강조색2 3 3 2 3 2" xfId="12826"/>
    <cellStyle name="40% - 강조색2 3 3 2 3 2 2" xfId="12827"/>
    <cellStyle name="40% - 강조색2 3 3 2 3 2 2 2" xfId="12828"/>
    <cellStyle name="40% - 강조색2 3 3 2 3 2 2 3" xfId="12829"/>
    <cellStyle name="40% - 강조색2 3 3 2 3 2 3" xfId="12830"/>
    <cellStyle name="40% - 강조색2 3 3 2 3 2 4" xfId="12831"/>
    <cellStyle name="40% - 강조색2 3 3 2 3 3" xfId="12832"/>
    <cellStyle name="40% - 강조색2 3 3 2 3 3 2" xfId="12833"/>
    <cellStyle name="40% - 강조색2 3 3 2 3 3 3" xfId="12834"/>
    <cellStyle name="40% - 강조색2 3 3 2 3 4" xfId="12835"/>
    <cellStyle name="40% - 강조색2 3 3 2 3 5" xfId="12836"/>
    <cellStyle name="40% - 강조색2 3 3 2 4" xfId="12837"/>
    <cellStyle name="40% - 강조색2 3 3 2 4 2" xfId="12838"/>
    <cellStyle name="40% - 강조색2 3 3 2 4 2 2" xfId="12839"/>
    <cellStyle name="40% - 강조색2 3 3 2 4 2 3" xfId="12840"/>
    <cellStyle name="40% - 강조색2 3 3 2 4 3" xfId="12841"/>
    <cellStyle name="40% - 강조색2 3 3 2 4 4" xfId="12842"/>
    <cellStyle name="40% - 강조색2 3 3 2 5" xfId="12843"/>
    <cellStyle name="40% - 강조색2 3 3 2 5 2" xfId="12844"/>
    <cellStyle name="40% - 강조색2 3 3 2 5 3" xfId="12845"/>
    <cellStyle name="40% - 강조색2 3 3 2 6" xfId="12846"/>
    <cellStyle name="40% - 강조색2 3 3 2 7" xfId="12847"/>
    <cellStyle name="40% - 강조색2 3 3 2 8" xfId="12848"/>
    <cellStyle name="40% - 강조색2 3 3 2 9" xfId="12849"/>
    <cellStyle name="40% - 강조색2 3 3 3" xfId="12850"/>
    <cellStyle name="40% - 강조색2 3 3 3 2" xfId="12851"/>
    <cellStyle name="40% - 강조색2 3 3 3 2 2" xfId="12852"/>
    <cellStyle name="40% - 강조색2 3 3 3 2 2 2" xfId="12853"/>
    <cellStyle name="40% - 강조색2 3 3 3 2 2 2 2" xfId="12854"/>
    <cellStyle name="40% - 강조색2 3 3 3 2 2 2 3" xfId="12855"/>
    <cellStyle name="40% - 강조색2 3 3 3 2 2 3" xfId="12856"/>
    <cellStyle name="40% - 강조색2 3 3 3 2 2 4" xfId="12857"/>
    <cellStyle name="40% - 강조색2 3 3 3 2 3" xfId="12858"/>
    <cellStyle name="40% - 강조색2 3 3 3 2 3 2" xfId="12859"/>
    <cellStyle name="40% - 강조색2 3 3 3 2 3 3" xfId="12860"/>
    <cellStyle name="40% - 강조색2 3 3 3 2 4" xfId="12861"/>
    <cellStyle name="40% - 강조색2 3 3 3 2 5" xfId="12862"/>
    <cellStyle name="40% - 강조색2 3 3 3 3" xfId="12863"/>
    <cellStyle name="40% - 강조색2 3 3 3 3 2" xfId="12864"/>
    <cellStyle name="40% - 강조색2 3 3 3 3 2 2" xfId="12865"/>
    <cellStyle name="40% - 강조색2 3 3 3 3 2 2 2" xfId="12866"/>
    <cellStyle name="40% - 강조색2 3 3 3 3 2 2 3" xfId="12867"/>
    <cellStyle name="40% - 강조색2 3 3 3 3 2 3" xfId="12868"/>
    <cellStyle name="40% - 강조색2 3 3 3 3 2 4" xfId="12869"/>
    <cellStyle name="40% - 강조색2 3 3 3 3 3" xfId="12870"/>
    <cellStyle name="40% - 강조색2 3 3 3 3 3 2" xfId="12871"/>
    <cellStyle name="40% - 강조색2 3 3 3 3 3 3" xfId="12872"/>
    <cellStyle name="40% - 강조색2 3 3 3 3 4" xfId="12873"/>
    <cellStyle name="40% - 강조색2 3 3 3 3 5" xfId="12874"/>
    <cellStyle name="40% - 강조색2 3 3 3 4" xfId="12875"/>
    <cellStyle name="40% - 강조색2 3 3 3 4 2" xfId="12876"/>
    <cellStyle name="40% - 강조색2 3 3 3 4 2 2" xfId="12877"/>
    <cellStyle name="40% - 강조색2 3 3 3 4 2 3" xfId="12878"/>
    <cellStyle name="40% - 강조색2 3 3 3 4 3" xfId="12879"/>
    <cellStyle name="40% - 강조색2 3 3 3 4 4" xfId="12880"/>
    <cellStyle name="40% - 강조색2 3 3 3 5" xfId="12881"/>
    <cellStyle name="40% - 강조색2 3 3 3 5 2" xfId="12882"/>
    <cellStyle name="40% - 강조색2 3 3 3 5 3" xfId="12883"/>
    <cellStyle name="40% - 강조색2 3 3 3 6" xfId="12884"/>
    <cellStyle name="40% - 강조색2 3 3 3 7" xfId="12885"/>
    <cellStyle name="40% - 강조색2 3 3 4" xfId="12886"/>
    <cellStyle name="40% - 강조색2 3 3 4 2" xfId="12887"/>
    <cellStyle name="40% - 강조색2 3 3 4 2 2" xfId="12888"/>
    <cellStyle name="40% - 강조색2 3 3 4 2 2 2" xfId="12889"/>
    <cellStyle name="40% - 강조색2 3 3 4 2 2 3" xfId="12890"/>
    <cellStyle name="40% - 강조색2 3 3 4 2 3" xfId="12891"/>
    <cellStyle name="40% - 강조색2 3 3 4 2 4" xfId="12892"/>
    <cellStyle name="40% - 강조색2 3 3 4 3" xfId="12893"/>
    <cellStyle name="40% - 강조색2 3 3 4 3 2" xfId="12894"/>
    <cellStyle name="40% - 강조색2 3 3 4 3 3" xfId="12895"/>
    <cellStyle name="40% - 강조색2 3 3 4 4" xfId="12896"/>
    <cellStyle name="40% - 강조색2 3 3 4 5" xfId="12897"/>
    <cellStyle name="40% - 강조색2 3 3 5" xfId="12898"/>
    <cellStyle name="40% - 강조색2 3 3 5 2" xfId="12899"/>
    <cellStyle name="40% - 강조색2 3 3 5 2 2" xfId="12900"/>
    <cellStyle name="40% - 강조색2 3 3 5 2 2 2" xfId="12901"/>
    <cellStyle name="40% - 강조색2 3 3 5 2 2 3" xfId="12902"/>
    <cellStyle name="40% - 강조색2 3 3 5 2 3" xfId="12903"/>
    <cellStyle name="40% - 강조색2 3 3 5 2 4" xfId="12904"/>
    <cellStyle name="40% - 강조색2 3 3 5 3" xfId="12905"/>
    <cellStyle name="40% - 강조색2 3 3 5 3 2" xfId="12906"/>
    <cellStyle name="40% - 강조색2 3 3 5 3 3" xfId="12907"/>
    <cellStyle name="40% - 강조색2 3 3 5 4" xfId="12908"/>
    <cellStyle name="40% - 강조색2 3 3 5 5" xfId="12909"/>
    <cellStyle name="40% - 강조색2 3 3 6" xfId="12910"/>
    <cellStyle name="40% - 강조색2 3 3 6 2" xfId="12911"/>
    <cellStyle name="40% - 강조색2 3 3 6 2 2" xfId="12912"/>
    <cellStyle name="40% - 강조색2 3 3 6 2 2 2" xfId="12913"/>
    <cellStyle name="40% - 강조색2 3 3 6 2 2 3" xfId="12914"/>
    <cellStyle name="40% - 강조색2 3 3 6 2 3" xfId="12915"/>
    <cellStyle name="40% - 강조색2 3 3 6 2 4" xfId="12916"/>
    <cellStyle name="40% - 강조색2 3 3 6 3" xfId="12917"/>
    <cellStyle name="40% - 강조색2 3 3 6 3 2" xfId="12918"/>
    <cellStyle name="40% - 강조색2 3 3 6 3 3" xfId="12919"/>
    <cellStyle name="40% - 강조색2 3 3 6 4" xfId="12920"/>
    <cellStyle name="40% - 강조색2 3 3 6 5" xfId="12921"/>
    <cellStyle name="40% - 강조색2 3 3 7" xfId="12922"/>
    <cellStyle name="40% - 강조색2 3 3 7 2" xfId="12923"/>
    <cellStyle name="40% - 강조색2 3 3 7 2 2" xfId="12924"/>
    <cellStyle name="40% - 강조색2 3 3 7 2 3" xfId="12925"/>
    <cellStyle name="40% - 강조색2 3 3 7 3" xfId="12926"/>
    <cellStyle name="40% - 강조색2 3 3 7 4" xfId="12927"/>
    <cellStyle name="40% - 강조색2 3 3 8" xfId="12928"/>
    <cellStyle name="40% - 강조색2 3 3 8 2" xfId="12929"/>
    <cellStyle name="40% - 강조색2 3 3 8 3" xfId="12930"/>
    <cellStyle name="40% - 강조색2 3 3 9" xfId="12931"/>
    <cellStyle name="40% - 강조색2 3 4" xfId="12932"/>
    <cellStyle name="40% - 강조색2 3 4 10" xfId="12933"/>
    <cellStyle name="40% - 강조색2 3 4 11" xfId="12934"/>
    <cellStyle name="40% - 강조색2 3 4 12" xfId="12935"/>
    <cellStyle name="40% - 강조색2 3 4 2" xfId="12936"/>
    <cellStyle name="40% - 강조색2 3 4 2 2" xfId="12937"/>
    <cellStyle name="40% - 강조색2 3 4 2 2 2" xfId="12938"/>
    <cellStyle name="40% - 강조색2 3 4 2 2 2 2" xfId="12939"/>
    <cellStyle name="40% - 강조색2 3 4 2 2 2 2 2" xfId="12940"/>
    <cellStyle name="40% - 강조색2 3 4 2 2 2 2 3" xfId="12941"/>
    <cellStyle name="40% - 강조색2 3 4 2 2 2 3" xfId="12942"/>
    <cellStyle name="40% - 강조색2 3 4 2 2 2 4" xfId="12943"/>
    <cellStyle name="40% - 강조색2 3 4 2 2 3" xfId="12944"/>
    <cellStyle name="40% - 강조색2 3 4 2 2 3 2" xfId="12945"/>
    <cellStyle name="40% - 강조색2 3 4 2 2 3 3" xfId="12946"/>
    <cellStyle name="40% - 강조색2 3 4 2 2 4" xfId="12947"/>
    <cellStyle name="40% - 강조색2 3 4 2 2 5" xfId="12948"/>
    <cellStyle name="40% - 강조색2 3 4 2 3" xfId="12949"/>
    <cellStyle name="40% - 강조색2 3 4 2 3 2" xfId="12950"/>
    <cellStyle name="40% - 강조색2 3 4 2 3 2 2" xfId="12951"/>
    <cellStyle name="40% - 강조색2 3 4 2 3 2 2 2" xfId="12952"/>
    <cellStyle name="40% - 강조색2 3 4 2 3 2 2 3" xfId="12953"/>
    <cellStyle name="40% - 강조색2 3 4 2 3 2 3" xfId="12954"/>
    <cellStyle name="40% - 강조색2 3 4 2 3 2 4" xfId="12955"/>
    <cellStyle name="40% - 강조색2 3 4 2 3 3" xfId="12956"/>
    <cellStyle name="40% - 강조색2 3 4 2 3 3 2" xfId="12957"/>
    <cellStyle name="40% - 강조색2 3 4 2 3 3 3" xfId="12958"/>
    <cellStyle name="40% - 강조색2 3 4 2 3 4" xfId="12959"/>
    <cellStyle name="40% - 강조색2 3 4 2 3 5" xfId="12960"/>
    <cellStyle name="40% - 강조색2 3 4 2 4" xfId="12961"/>
    <cellStyle name="40% - 강조색2 3 4 2 4 2" xfId="12962"/>
    <cellStyle name="40% - 강조색2 3 4 2 4 2 2" xfId="12963"/>
    <cellStyle name="40% - 강조색2 3 4 2 4 2 3" xfId="12964"/>
    <cellStyle name="40% - 강조색2 3 4 2 4 3" xfId="12965"/>
    <cellStyle name="40% - 강조색2 3 4 2 4 4" xfId="12966"/>
    <cellStyle name="40% - 강조색2 3 4 2 5" xfId="12967"/>
    <cellStyle name="40% - 강조색2 3 4 2 5 2" xfId="12968"/>
    <cellStyle name="40% - 강조색2 3 4 2 5 3" xfId="12969"/>
    <cellStyle name="40% - 강조색2 3 4 2 6" xfId="12970"/>
    <cellStyle name="40% - 강조색2 3 4 2 7" xfId="12971"/>
    <cellStyle name="40% - 강조색2 3 4 3" xfId="12972"/>
    <cellStyle name="40% - 강조색2 3 4 3 2" xfId="12973"/>
    <cellStyle name="40% - 강조색2 3 4 3 2 2" xfId="12974"/>
    <cellStyle name="40% - 강조색2 3 4 3 2 2 2" xfId="12975"/>
    <cellStyle name="40% - 강조색2 3 4 3 2 2 2 2" xfId="12976"/>
    <cellStyle name="40% - 강조색2 3 4 3 2 2 2 3" xfId="12977"/>
    <cellStyle name="40% - 강조색2 3 4 3 2 2 3" xfId="12978"/>
    <cellStyle name="40% - 강조색2 3 4 3 2 2 4" xfId="12979"/>
    <cellStyle name="40% - 강조색2 3 4 3 2 3" xfId="12980"/>
    <cellStyle name="40% - 강조색2 3 4 3 2 3 2" xfId="12981"/>
    <cellStyle name="40% - 강조색2 3 4 3 2 3 3" xfId="12982"/>
    <cellStyle name="40% - 강조색2 3 4 3 2 4" xfId="12983"/>
    <cellStyle name="40% - 강조색2 3 4 3 2 5" xfId="12984"/>
    <cellStyle name="40% - 강조색2 3 4 3 3" xfId="12985"/>
    <cellStyle name="40% - 강조색2 3 4 3 3 2" xfId="12986"/>
    <cellStyle name="40% - 강조색2 3 4 3 3 2 2" xfId="12987"/>
    <cellStyle name="40% - 강조색2 3 4 3 3 2 2 2" xfId="12988"/>
    <cellStyle name="40% - 강조색2 3 4 3 3 2 2 3" xfId="12989"/>
    <cellStyle name="40% - 강조색2 3 4 3 3 2 3" xfId="12990"/>
    <cellStyle name="40% - 강조색2 3 4 3 3 2 4" xfId="12991"/>
    <cellStyle name="40% - 강조색2 3 4 3 3 3" xfId="12992"/>
    <cellStyle name="40% - 강조색2 3 4 3 3 3 2" xfId="12993"/>
    <cellStyle name="40% - 강조색2 3 4 3 3 3 3" xfId="12994"/>
    <cellStyle name="40% - 강조색2 3 4 3 3 4" xfId="12995"/>
    <cellStyle name="40% - 강조색2 3 4 3 3 5" xfId="12996"/>
    <cellStyle name="40% - 강조색2 3 4 3 4" xfId="12997"/>
    <cellStyle name="40% - 강조색2 3 4 3 4 2" xfId="12998"/>
    <cellStyle name="40% - 강조색2 3 4 3 4 2 2" xfId="12999"/>
    <cellStyle name="40% - 강조색2 3 4 3 4 2 3" xfId="13000"/>
    <cellStyle name="40% - 강조색2 3 4 3 4 3" xfId="13001"/>
    <cellStyle name="40% - 강조색2 3 4 3 4 4" xfId="13002"/>
    <cellStyle name="40% - 강조색2 3 4 3 5" xfId="13003"/>
    <cellStyle name="40% - 강조색2 3 4 3 5 2" xfId="13004"/>
    <cellStyle name="40% - 강조색2 3 4 3 5 3" xfId="13005"/>
    <cellStyle name="40% - 강조색2 3 4 3 6" xfId="13006"/>
    <cellStyle name="40% - 강조색2 3 4 3 7" xfId="13007"/>
    <cellStyle name="40% - 강조색2 3 4 4" xfId="13008"/>
    <cellStyle name="40% - 강조색2 3 4 4 2" xfId="13009"/>
    <cellStyle name="40% - 강조색2 3 4 4 2 2" xfId="13010"/>
    <cellStyle name="40% - 강조색2 3 4 4 2 2 2" xfId="13011"/>
    <cellStyle name="40% - 강조색2 3 4 4 2 2 3" xfId="13012"/>
    <cellStyle name="40% - 강조색2 3 4 4 2 3" xfId="13013"/>
    <cellStyle name="40% - 강조색2 3 4 4 2 4" xfId="13014"/>
    <cellStyle name="40% - 강조색2 3 4 4 3" xfId="13015"/>
    <cellStyle name="40% - 강조색2 3 4 4 3 2" xfId="13016"/>
    <cellStyle name="40% - 강조색2 3 4 4 3 3" xfId="13017"/>
    <cellStyle name="40% - 강조색2 3 4 4 4" xfId="13018"/>
    <cellStyle name="40% - 강조색2 3 4 4 5" xfId="13019"/>
    <cellStyle name="40% - 강조색2 3 4 5" xfId="13020"/>
    <cellStyle name="40% - 강조색2 3 4 5 2" xfId="13021"/>
    <cellStyle name="40% - 강조색2 3 4 5 2 2" xfId="13022"/>
    <cellStyle name="40% - 강조색2 3 4 5 2 2 2" xfId="13023"/>
    <cellStyle name="40% - 강조색2 3 4 5 2 2 3" xfId="13024"/>
    <cellStyle name="40% - 강조색2 3 4 5 2 3" xfId="13025"/>
    <cellStyle name="40% - 강조색2 3 4 5 2 4" xfId="13026"/>
    <cellStyle name="40% - 강조색2 3 4 5 3" xfId="13027"/>
    <cellStyle name="40% - 강조색2 3 4 5 3 2" xfId="13028"/>
    <cellStyle name="40% - 강조색2 3 4 5 3 3" xfId="13029"/>
    <cellStyle name="40% - 강조색2 3 4 5 4" xfId="13030"/>
    <cellStyle name="40% - 강조색2 3 4 5 5" xfId="13031"/>
    <cellStyle name="40% - 강조색2 3 4 6" xfId="13032"/>
    <cellStyle name="40% - 강조색2 3 4 6 2" xfId="13033"/>
    <cellStyle name="40% - 강조색2 3 4 6 2 2" xfId="13034"/>
    <cellStyle name="40% - 강조색2 3 4 6 2 2 2" xfId="13035"/>
    <cellStyle name="40% - 강조색2 3 4 6 2 2 3" xfId="13036"/>
    <cellStyle name="40% - 강조색2 3 4 6 2 3" xfId="13037"/>
    <cellStyle name="40% - 강조색2 3 4 6 2 4" xfId="13038"/>
    <cellStyle name="40% - 강조색2 3 4 6 3" xfId="13039"/>
    <cellStyle name="40% - 강조색2 3 4 6 3 2" xfId="13040"/>
    <cellStyle name="40% - 강조색2 3 4 6 3 3" xfId="13041"/>
    <cellStyle name="40% - 강조색2 3 4 6 4" xfId="13042"/>
    <cellStyle name="40% - 강조색2 3 4 6 5" xfId="13043"/>
    <cellStyle name="40% - 강조색2 3 4 7" xfId="13044"/>
    <cellStyle name="40% - 강조색2 3 4 7 2" xfId="13045"/>
    <cellStyle name="40% - 강조색2 3 4 7 2 2" xfId="13046"/>
    <cellStyle name="40% - 강조색2 3 4 7 2 3" xfId="13047"/>
    <cellStyle name="40% - 강조색2 3 4 7 3" xfId="13048"/>
    <cellStyle name="40% - 강조색2 3 4 7 4" xfId="13049"/>
    <cellStyle name="40% - 강조색2 3 4 8" xfId="13050"/>
    <cellStyle name="40% - 강조색2 3 4 8 2" xfId="13051"/>
    <cellStyle name="40% - 강조색2 3 4 8 3" xfId="13052"/>
    <cellStyle name="40% - 강조색2 3 4 9" xfId="13053"/>
    <cellStyle name="40% - 강조색2 3 5" xfId="13054"/>
    <cellStyle name="40% - 강조색2 3 5 2" xfId="13055"/>
    <cellStyle name="40% - 강조색2 3 5 2 2" xfId="13056"/>
    <cellStyle name="40% - 강조색2 3 5 2 2 2" xfId="13057"/>
    <cellStyle name="40% - 강조색2 3 5 2 2 2 2" xfId="13058"/>
    <cellStyle name="40% - 강조색2 3 5 2 2 2 3" xfId="13059"/>
    <cellStyle name="40% - 강조색2 3 5 2 2 3" xfId="13060"/>
    <cellStyle name="40% - 강조색2 3 5 2 2 4" xfId="13061"/>
    <cellStyle name="40% - 강조색2 3 5 2 3" xfId="13062"/>
    <cellStyle name="40% - 강조색2 3 5 2 3 2" xfId="13063"/>
    <cellStyle name="40% - 강조색2 3 5 2 3 3" xfId="13064"/>
    <cellStyle name="40% - 강조색2 3 5 2 4" xfId="13065"/>
    <cellStyle name="40% - 강조색2 3 5 2 5" xfId="13066"/>
    <cellStyle name="40% - 강조색2 3 5 3" xfId="13067"/>
    <cellStyle name="40% - 강조색2 3 5 3 2" xfId="13068"/>
    <cellStyle name="40% - 강조색2 3 5 3 2 2" xfId="13069"/>
    <cellStyle name="40% - 강조색2 3 5 3 2 2 2" xfId="13070"/>
    <cellStyle name="40% - 강조색2 3 5 3 2 2 3" xfId="13071"/>
    <cellStyle name="40% - 강조색2 3 5 3 2 3" xfId="13072"/>
    <cellStyle name="40% - 강조색2 3 5 3 2 4" xfId="13073"/>
    <cellStyle name="40% - 강조색2 3 5 3 3" xfId="13074"/>
    <cellStyle name="40% - 강조색2 3 5 3 3 2" xfId="13075"/>
    <cellStyle name="40% - 강조색2 3 5 3 3 3" xfId="13076"/>
    <cellStyle name="40% - 강조색2 3 5 3 4" xfId="13077"/>
    <cellStyle name="40% - 강조색2 3 5 3 5" xfId="13078"/>
    <cellStyle name="40% - 강조색2 3 5 4" xfId="13079"/>
    <cellStyle name="40% - 강조색2 3 5 4 2" xfId="13080"/>
    <cellStyle name="40% - 강조색2 3 5 4 2 2" xfId="13081"/>
    <cellStyle name="40% - 강조색2 3 5 4 2 3" xfId="13082"/>
    <cellStyle name="40% - 강조색2 3 5 4 3" xfId="13083"/>
    <cellStyle name="40% - 강조색2 3 5 4 4" xfId="13084"/>
    <cellStyle name="40% - 강조색2 3 5 5" xfId="13085"/>
    <cellStyle name="40% - 강조색2 3 5 5 2" xfId="13086"/>
    <cellStyle name="40% - 강조색2 3 5 5 3" xfId="13087"/>
    <cellStyle name="40% - 강조색2 3 5 6" xfId="13088"/>
    <cellStyle name="40% - 강조색2 3 5 7" xfId="13089"/>
    <cellStyle name="40% - 강조색2 3 6" xfId="13090"/>
    <cellStyle name="40% - 강조색2 3 6 2" xfId="13091"/>
    <cellStyle name="40% - 강조색2 3 6 2 2" xfId="13092"/>
    <cellStyle name="40% - 강조색2 3 6 2 2 2" xfId="13093"/>
    <cellStyle name="40% - 강조색2 3 6 2 2 2 2" xfId="13094"/>
    <cellStyle name="40% - 강조색2 3 6 2 2 2 3" xfId="13095"/>
    <cellStyle name="40% - 강조색2 3 6 2 2 3" xfId="13096"/>
    <cellStyle name="40% - 강조색2 3 6 2 2 4" xfId="13097"/>
    <cellStyle name="40% - 강조색2 3 6 2 3" xfId="13098"/>
    <cellStyle name="40% - 강조색2 3 6 2 3 2" xfId="13099"/>
    <cellStyle name="40% - 강조색2 3 6 2 3 3" xfId="13100"/>
    <cellStyle name="40% - 강조색2 3 6 2 4" xfId="13101"/>
    <cellStyle name="40% - 강조색2 3 6 2 5" xfId="13102"/>
    <cellStyle name="40% - 강조색2 3 6 3" xfId="13103"/>
    <cellStyle name="40% - 강조색2 3 6 3 2" xfId="13104"/>
    <cellStyle name="40% - 강조색2 3 6 3 2 2" xfId="13105"/>
    <cellStyle name="40% - 강조색2 3 6 3 2 2 2" xfId="13106"/>
    <cellStyle name="40% - 강조색2 3 6 3 2 2 3" xfId="13107"/>
    <cellStyle name="40% - 강조색2 3 6 3 2 3" xfId="13108"/>
    <cellStyle name="40% - 강조색2 3 6 3 2 4" xfId="13109"/>
    <cellStyle name="40% - 강조색2 3 6 3 3" xfId="13110"/>
    <cellStyle name="40% - 강조색2 3 6 3 3 2" xfId="13111"/>
    <cellStyle name="40% - 강조색2 3 6 3 3 3" xfId="13112"/>
    <cellStyle name="40% - 강조색2 3 6 3 4" xfId="13113"/>
    <cellStyle name="40% - 강조색2 3 6 3 5" xfId="13114"/>
    <cellStyle name="40% - 강조색2 3 6 4" xfId="13115"/>
    <cellStyle name="40% - 강조색2 3 6 4 2" xfId="13116"/>
    <cellStyle name="40% - 강조색2 3 6 4 2 2" xfId="13117"/>
    <cellStyle name="40% - 강조색2 3 6 4 2 3" xfId="13118"/>
    <cellStyle name="40% - 강조색2 3 6 4 3" xfId="13119"/>
    <cellStyle name="40% - 강조색2 3 6 4 4" xfId="13120"/>
    <cellStyle name="40% - 강조색2 3 6 5" xfId="13121"/>
    <cellStyle name="40% - 강조색2 3 6 5 2" xfId="13122"/>
    <cellStyle name="40% - 강조색2 3 6 5 3" xfId="13123"/>
    <cellStyle name="40% - 강조색2 3 6 6" xfId="13124"/>
    <cellStyle name="40% - 강조색2 3 6 7" xfId="13125"/>
    <cellStyle name="40% - 강조색2 3 7" xfId="13126"/>
    <cellStyle name="40% - 강조색2 3 7 2" xfId="13127"/>
    <cellStyle name="40% - 강조색2 3 7 2 2" xfId="13128"/>
    <cellStyle name="40% - 강조색2 3 7 2 2 2" xfId="13129"/>
    <cellStyle name="40% - 강조색2 3 7 2 2 3" xfId="13130"/>
    <cellStyle name="40% - 강조색2 3 7 2 3" xfId="13131"/>
    <cellStyle name="40% - 강조색2 3 7 2 4" xfId="13132"/>
    <cellStyle name="40% - 강조색2 3 7 3" xfId="13133"/>
    <cellStyle name="40% - 강조색2 3 7 3 2" xfId="13134"/>
    <cellStyle name="40% - 강조색2 3 7 3 3" xfId="13135"/>
    <cellStyle name="40% - 강조색2 3 7 4" xfId="13136"/>
    <cellStyle name="40% - 강조색2 3 7 5" xfId="13137"/>
    <cellStyle name="40% - 강조색2 3 8" xfId="13138"/>
    <cellStyle name="40% - 강조색2 3 8 2" xfId="13139"/>
    <cellStyle name="40% - 강조색2 3 8 2 2" xfId="13140"/>
    <cellStyle name="40% - 강조색2 3 8 2 2 2" xfId="13141"/>
    <cellStyle name="40% - 강조색2 3 8 2 2 3" xfId="13142"/>
    <cellStyle name="40% - 강조색2 3 8 2 3" xfId="13143"/>
    <cellStyle name="40% - 강조색2 3 8 2 4" xfId="13144"/>
    <cellStyle name="40% - 강조색2 3 8 3" xfId="13145"/>
    <cellStyle name="40% - 강조색2 3 8 3 2" xfId="13146"/>
    <cellStyle name="40% - 강조색2 3 8 3 3" xfId="13147"/>
    <cellStyle name="40% - 강조색2 3 8 4" xfId="13148"/>
    <cellStyle name="40% - 강조색2 3 8 5" xfId="13149"/>
    <cellStyle name="40% - 강조색2 3 9" xfId="13150"/>
    <cellStyle name="40% - 강조색2 3 9 2" xfId="13151"/>
    <cellStyle name="40% - 강조색2 3 9 2 2" xfId="13152"/>
    <cellStyle name="40% - 강조색2 3 9 2 2 2" xfId="13153"/>
    <cellStyle name="40% - 강조색2 3 9 2 2 3" xfId="13154"/>
    <cellStyle name="40% - 강조색2 3 9 2 3" xfId="13155"/>
    <cellStyle name="40% - 강조색2 3 9 2 4" xfId="13156"/>
    <cellStyle name="40% - 강조색2 3 9 3" xfId="13157"/>
    <cellStyle name="40% - 강조색2 3 9 3 2" xfId="13158"/>
    <cellStyle name="40% - 강조색2 3 9 3 3" xfId="13159"/>
    <cellStyle name="40% - 강조색2 3 9 4" xfId="13160"/>
    <cellStyle name="40% - 강조색2 3 9 5" xfId="13161"/>
    <cellStyle name="40% - 강조색2 30" xfId="13162"/>
    <cellStyle name="40% - 강조색2 30 2" xfId="13163"/>
    <cellStyle name="40% - 강조색2 31" xfId="13164"/>
    <cellStyle name="40% - 강조색2 31 2" xfId="13165"/>
    <cellStyle name="40% - 강조색2 32" xfId="13166"/>
    <cellStyle name="40% - 강조색2 32 2" xfId="13167"/>
    <cellStyle name="40% - 강조색2 33" xfId="13168"/>
    <cellStyle name="40% - 강조색2 33 2" xfId="13169"/>
    <cellStyle name="40% - 강조색2 34" xfId="13170"/>
    <cellStyle name="40% - 강조색2 34 2" xfId="13171"/>
    <cellStyle name="40% - 강조색2 35" xfId="13172"/>
    <cellStyle name="40% - 강조색2 36" xfId="13173"/>
    <cellStyle name="40% - 강조색2 37" xfId="13174"/>
    <cellStyle name="40% - 강조색2 38" xfId="13175"/>
    <cellStyle name="40% - 강조색2 39" xfId="13176"/>
    <cellStyle name="40% - 강조색2 4" xfId="13177"/>
    <cellStyle name="40% - 강조색2 4 10" xfId="13178"/>
    <cellStyle name="40% - 강조색2 4 10 2" xfId="13179"/>
    <cellStyle name="40% - 강조색2 4 10 2 2" xfId="13180"/>
    <cellStyle name="40% - 강조색2 4 10 2 3" xfId="13181"/>
    <cellStyle name="40% - 강조색2 4 10 3" xfId="13182"/>
    <cellStyle name="40% - 강조색2 4 10 4" xfId="13183"/>
    <cellStyle name="40% - 강조색2 4 11" xfId="13184"/>
    <cellStyle name="40% - 강조색2 4 11 2" xfId="13185"/>
    <cellStyle name="40% - 강조색2 4 11 3" xfId="13186"/>
    <cellStyle name="40% - 강조색2 4 12" xfId="13187"/>
    <cellStyle name="40% - 강조색2 4 13" xfId="13188"/>
    <cellStyle name="40% - 강조색2 4 14" xfId="13189"/>
    <cellStyle name="40% - 강조색2 4 2" xfId="13190"/>
    <cellStyle name="40% - 강조색2 4 2 10" xfId="13191"/>
    <cellStyle name="40% - 강조색2 4 2 2" xfId="13192"/>
    <cellStyle name="40% - 강조색2 4 2 2 2" xfId="13193"/>
    <cellStyle name="40% - 강조색2 4 2 2 2 2" xfId="13194"/>
    <cellStyle name="40% - 강조색2 4 2 2 2 2 2" xfId="13195"/>
    <cellStyle name="40% - 강조색2 4 2 2 2 2 2 2" xfId="13196"/>
    <cellStyle name="40% - 강조색2 4 2 2 2 2 2 3" xfId="13197"/>
    <cellStyle name="40% - 강조색2 4 2 2 2 2 3" xfId="13198"/>
    <cellStyle name="40% - 강조색2 4 2 2 2 2 4" xfId="13199"/>
    <cellStyle name="40% - 강조색2 4 2 2 2 3" xfId="13200"/>
    <cellStyle name="40% - 강조색2 4 2 2 2 3 2" xfId="13201"/>
    <cellStyle name="40% - 강조색2 4 2 2 2 3 3" xfId="13202"/>
    <cellStyle name="40% - 강조색2 4 2 2 2 4" xfId="13203"/>
    <cellStyle name="40% - 강조색2 4 2 2 2 5" xfId="13204"/>
    <cellStyle name="40% - 강조색2 4 2 2 3" xfId="13205"/>
    <cellStyle name="40% - 강조색2 4 2 2 3 2" xfId="13206"/>
    <cellStyle name="40% - 강조색2 4 2 2 3 2 2" xfId="13207"/>
    <cellStyle name="40% - 강조색2 4 2 2 3 2 2 2" xfId="13208"/>
    <cellStyle name="40% - 강조색2 4 2 2 3 2 2 3" xfId="13209"/>
    <cellStyle name="40% - 강조색2 4 2 2 3 2 3" xfId="13210"/>
    <cellStyle name="40% - 강조색2 4 2 2 3 2 4" xfId="13211"/>
    <cellStyle name="40% - 강조색2 4 2 2 3 3" xfId="13212"/>
    <cellStyle name="40% - 강조색2 4 2 2 3 3 2" xfId="13213"/>
    <cellStyle name="40% - 강조색2 4 2 2 3 3 3" xfId="13214"/>
    <cellStyle name="40% - 강조색2 4 2 2 3 4" xfId="13215"/>
    <cellStyle name="40% - 강조색2 4 2 2 3 5" xfId="13216"/>
    <cellStyle name="40% - 강조색2 4 2 2 4" xfId="13217"/>
    <cellStyle name="40% - 강조색2 4 2 2 4 2" xfId="13218"/>
    <cellStyle name="40% - 강조색2 4 2 2 4 2 2" xfId="13219"/>
    <cellStyle name="40% - 강조색2 4 2 2 4 2 3" xfId="13220"/>
    <cellStyle name="40% - 강조색2 4 2 2 4 3" xfId="13221"/>
    <cellStyle name="40% - 강조색2 4 2 2 4 4" xfId="13222"/>
    <cellStyle name="40% - 강조색2 4 2 2 5" xfId="13223"/>
    <cellStyle name="40% - 강조색2 4 2 2 5 2" xfId="13224"/>
    <cellStyle name="40% - 강조색2 4 2 2 5 3" xfId="13225"/>
    <cellStyle name="40% - 강조색2 4 2 2 6" xfId="13226"/>
    <cellStyle name="40% - 강조색2 4 2 2 7" xfId="13227"/>
    <cellStyle name="40% - 강조색2 4 2 3" xfId="13228"/>
    <cellStyle name="40% - 강조색2 4 2 3 2" xfId="13229"/>
    <cellStyle name="40% - 강조색2 4 2 3 2 2" xfId="13230"/>
    <cellStyle name="40% - 강조색2 4 2 3 2 2 2" xfId="13231"/>
    <cellStyle name="40% - 강조색2 4 2 3 2 2 2 2" xfId="13232"/>
    <cellStyle name="40% - 강조색2 4 2 3 2 2 2 3" xfId="13233"/>
    <cellStyle name="40% - 강조색2 4 2 3 2 2 3" xfId="13234"/>
    <cellStyle name="40% - 강조색2 4 2 3 2 2 4" xfId="13235"/>
    <cellStyle name="40% - 강조색2 4 2 3 2 3" xfId="13236"/>
    <cellStyle name="40% - 강조색2 4 2 3 2 3 2" xfId="13237"/>
    <cellStyle name="40% - 강조색2 4 2 3 2 3 3" xfId="13238"/>
    <cellStyle name="40% - 강조색2 4 2 3 2 4" xfId="13239"/>
    <cellStyle name="40% - 강조색2 4 2 3 2 5" xfId="13240"/>
    <cellStyle name="40% - 강조색2 4 2 3 3" xfId="13241"/>
    <cellStyle name="40% - 강조색2 4 2 3 3 2" xfId="13242"/>
    <cellStyle name="40% - 강조색2 4 2 3 3 2 2" xfId="13243"/>
    <cellStyle name="40% - 강조색2 4 2 3 3 2 2 2" xfId="13244"/>
    <cellStyle name="40% - 강조색2 4 2 3 3 2 2 3" xfId="13245"/>
    <cellStyle name="40% - 강조색2 4 2 3 3 2 3" xfId="13246"/>
    <cellStyle name="40% - 강조색2 4 2 3 3 2 4" xfId="13247"/>
    <cellStyle name="40% - 강조색2 4 2 3 3 3" xfId="13248"/>
    <cellStyle name="40% - 강조색2 4 2 3 3 3 2" xfId="13249"/>
    <cellStyle name="40% - 강조색2 4 2 3 3 3 3" xfId="13250"/>
    <cellStyle name="40% - 강조색2 4 2 3 3 4" xfId="13251"/>
    <cellStyle name="40% - 강조색2 4 2 3 3 5" xfId="13252"/>
    <cellStyle name="40% - 강조색2 4 2 3 4" xfId="13253"/>
    <cellStyle name="40% - 강조색2 4 2 3 4 2" xfId="13254"/>
    <cellStyle name="40% - 강조색2 4 2 3 4 2 2" xfId="13255"/>
    <cellStyle name="40% - 강조색2 4 2 3 4 2 3" xfId="13256"/>
    <cellStyle name="40% - 강조색2 4 2 3 4 3" xfId="13257"/>
    <cellStyle name="40% - 강조색2 4 2 3 4 4" xfId="13258"/>
    <cellStyle name="40% - 강조색2 4 2 3 5" xfId="13259"/>
    <cellStyle name="40% - 강조색2 4 2 3 5 2" xfId="13260"/>
    <cellStyle name="40% - 강조색2 4 2 3 5 3" xfId="13261"/>
    <cellStyle name="40% - 강조색2 4 2 3 6" xfId="13262"/>
    <cellStyle name="40% - 강조색2 4 2 3 7" xfId="13263"/>
    <cellStyle name="40% - 강조색2 4 2 4" xfId="13264"/>
    <cellStyle name="40% - 강조색2 4 2 4 2" xfId="13265"/>
    <cellStyle name="40% - 강조색2 4 2 4 2 2" xfId="13266"/>
    <cellStyle name="40% - 강조색2 4 2 4 2 2 2" xfId="13267"/>
    <cellStyle name="40% - 강조색2 4 2 4 2 2 3" xfId="13268"/>
    <cellStyle name="40% - 강조색2 4 2 4 2 3" xfId="13269"/>
    <cellStyle name="40% - 강조색2 4 2 4 2 4" xfId="13270"/>
    <cellStyle name="40% - 강조색2 4 2 4 3" xfId="13271"/>
    <cellStyle name="40% - 강조색2 4 2 4 3 2" xfId="13272"/>
    <cellStyle name="40% - 강조색2 4 2 4 3 3" xfId="13273"/>
    <cellStyle name="40% - 강조색2 4 2 4 4" xfId="13274"/>
    <cellStyle name="40% - 강조색2 4 2 4 5" xfId="13275"/>
    <cellStyle name="40% - 강조색2 4 2 5" xfId="13276"/>
    <cellStyle name="40% - 강조색2 4 2 5 2" xfId="13277"/>
    <cellStyle name="40% - 강조색2 4 2 5 2 2" xfId="13278"/>
    <cellStyle name="40% - 강조색2 4 2 5 2 2 2" xfId="13279"/>
    <cellStyle name="40% - 강조색2 4 2 5 2 2 3" xfId="13280"/>
    <cellStyle name="40% - 강조색2 4 2 5 2 3" xfId="13281"/>
    <cellStyle name="40% - 강조색2 4 2 5 2 4" xfId="13282"/>
    <cellStyle name="40% - 강조색2 4 2 5 3" xfId="13283"/>
    <cellStyle name="40% - 강조색2 4 2 5 3 2" xfId="13284"/>
    <cellStyle name="40% - 강조색2 4 2 5 3 3" xfId="13285"/>
    <cellStyle name="40% - 강조색2 4 2 5 4" xfId="13286"/>
    <cellStyle name="40% - 강조색2 4 2 5 5" xfId="13287"/>
    <cellStyle name="40% - 강조색2 4 2 6" xfId="13288"/>
    <cellStyle name="40% - 강조색2 4 2 6 2" xfId="13289"/>
    <cellStyle name="40% - 강조색2 4 2 6 2 2" xfId="13290"/>
    <cellStyle name="40% - 강조색2 4 2 6 2 2 2" xfId="13291"/>
    <cellStyle name="40% - 강조색2 4 2 6 2 2 3" xfId="13292"/>
    <cellStyle name="40% - 강조색2 4 2 6 2 3" xfId="13293"/>
    <cellStyle name="40% - 강조색2 4 2 6 2 4" xfId="13294"/>
    <cellStyle name="40% - 강조색2 4 2 6 3" xfId="13295"/>
    <cellStyle name="40% - 강조색2 4 2 6 3 2" xfId="13296"/>
    <cellStyle name="40% - 강조색2 4 2 6 3 3" xfId="13297"/>
    <cellStyle name="40% - 강조색2 4 2 6 4" xfId="13298"/>
    <cellStyle name="40% - 강조색2 4 2 6 5" xfId="13299"/>
    <cellStyle name="40% - 강조색2 4 2 7" xfId="13300"/>
    <cellStyle name="40% - 강조색2 4 2 7 2" xfId="13301"/>
    <cellStyle name="40% - 강조색2 4 2 7 2 2" xfId="13302"/>
    <cellStyle name="40% - 강조색2 4 2 7 2 3" xfId="13303"/>
    <cellStyle name="40% - 강조색2 4 2 7 3" xfId="13304"/>
    <cellStyle name="40% - 강조색2 4 2 7 4" xfId="13305"/>
    <cellStyle name="40% - 강조색2 4 2 8" xfId="13306"/>
    <cellStyle name="40% - 강조색2 4 2 8 2" xfId="13307"/>
    <cellStyle name="40% - 강조색2 4 2 8 3" xfId="13308"/>
    <cellStyle name="40% - 강조색2 4 2 9" xfId="13309"/>
    <cellStyle name="40% - 강조색2 4 3" xfId="13310"/>
    <cellStyle name="40% - 강조색2 4 3 10" xfId="13311"/>
    <cellStyle name="40% - 강조색2 4 3 2" xfId="13312"/>
    <cellStyle name="40% - 강조색2 4 3 2 2" xfId="13313"/>
    <cellStyle name="40% - 강조색2 4 3 2 2 2" xfId="13314"/>
    <cellStyle name="40% - 강조색2 4 3 2 2 2 2" xfId="13315"/>
    <cellStyle name="40% - 강조색2 4 3 2 2 2 2 2" xfId="13316"/>
    <cellStyle name="40% - 강조색2 4 3 2 2 2 2 3" xfId="13317"/>
    <cellStyle name="40% - 강조색2 4 3 2 2 2 3" xfId="13318"/>
    <cellStyle name="40% - 강조색2 4 3 2 2 2 4" xfId="13319"/>
    <cellStyle name="40% - 강조색2 4 3 2 2 3" xfId="13320"/>
    <cellStyle name="40% - 강조색2 4 3 2 2 3 2" xfId="13321"/>
    <cellStyle name="40% - 강조색2 4 3 2 2 3 3" xfId="13322"/>
    <cellStyle name="40% - 강조색2 4 3 2 2 4" xfId="13323"/>
    <cellStyle name="40% - 강조색2 4 3 2 2 5" xfId="13324"/>
    <cellStyle name="40% - 강조색2 4 3 2 3" xfId="13325"/>
    <cellStyle name="40% - 강조색2 4 3 2 3 2" xfId="13326"/>
    <cellStyle name="40% - 강조색2 4 3 2 3 2 2" xfId="13327"/>
    <cellStyle name="40% - 강조색2 4 3 2 3 2 2 2" xfId="13328"/>
    <cellStyle name="40% - 강조색2 4 3 2 3 2 2 3" xfId="13329"/>
    <cellStyle name="40% - 강조색2 4 3 2 3 2 3" xfId="13330"/>
    <cellStyle name="40% - 강조색2 4 3 2 3 2 4" xfId="13331"/>
    <cellStyle name="40% - 강조색2 4 3 2 3 3" xfId="13332"/>
    <cellStyle name="40% - 강조색2 4 3 2 3 3 2" xfId="13333"/>
    <cellStyle name="40% - 강조색2 4 3 2 3 3 3" xfId="13334"/>
    <cellStyle name="40% - 강조색2 4 3 2 3 4" xfId="13335"/>
    <cellStyle name="40% - 강조색2 4 3 2 3 5" xfId="13336"/>
    <cellStyle name="40% - 강조색2 4 3 2 4" xfId="13337"/>
    <cellStyle name="40% - 강조색2 4 3 2 4 2" xfId="13338"/>
    <cellStyle name="40% - 강조색2 4 3 2 4 2 2" xfId="13339"/>
    <cellStyle name="40% - 강조색2 4 3 2 4 2 3" xfId="13340"/>
    <cellStyle name="40% - 강조색2 4 3 2 4 3" xfId="13341"/>
    <cellStyle name="40% - 강조색2 4 3 2 4 4" xfId="13342"/>
    <cellStyle name="40% - 강조색2 4 3 2 5" xfId="13343"/>
    <cellStyle name="40% - 강조색2 4 3 2 5 2" xfId="13344"/>
    <cellStyle name="40% - 강조색2 4 3 2 5 3" xfId="13345"/>
    <cellStyle name="40% - 강조색2 4 3 2 6" xfId="13346"/>
    <cellStyle name="40% - 강조색2 4 3 2 7" xfId="13347"/>
    <cellStyle name="40% - 강조색2 4 3 3" xfId="13348"/>
    <cellStyle name="40% - 강조색2 4 3 3 2" xfId="13349"/>
    <cellStyle name="40% - 강조색2 4 3 3 2 2" xfId="13350"/>
    <cellStyle name="40% - 강조색2 4 3 3 2 2 2" xfId="13351"/>
    <cellStyle name="40% - 강조색2 4 3 3 2 2 2 2" xfId="13352"/>
    <cellStyle name="40% - 강조색2 4 3 3 2 2 2 3" xfId="13353"/>
    <cellStyle name="40% - 강조색2 4 3 3 2 2 3" xfId="13354"/>
    <cellStyle name="40% - 강조색2 4 3 3 2 2 4" xfId="13355"/>
    <cellStyle name="40% - 강조색2 4 3 3 2 3" xfId="13356"/>
    <cellStyle name="40% - 강조색2 4 3 3 2 3 2" xfId="13357"/>
    <cellStyle name="40% - 강조색2 4 3 3 2 3 3" xfId="13358"/>
    <cellStyle name="40% - 강조색2 4 3 3 2 4" xfId="13359"/>
    <cellStyle name="40% - 강조색2 4 3 3 2 5" xfId="13360"/>
    <cellStyle name="40% - 강조색2 4 3 3 3" xfId="13361"/>
    <cellStyle name="40% - 강조색2 4 3 3 3 2" xfId="13362"/>
    <cellStyle name="40% - 강조색2 4 3 3 3 2 2" xfId="13363"/>
    <cellStyle name="40% - 강조색2 4 3 3 3 2 2 2" xfId="13364"/>
    <cellStyle name="40% - 강조색2 4 3 3 3 2 2 3" xfId="13365"/>
    <cellStyle name="40% - 강조색2 4 3 3 3 2 3" xfId="13366"/>
    <cellStyle name="40% - 강조색2 4 3 3 3 2 4" xfId="13367"/>
    <cellStyle name="40% - 강조색2 4 3 3 3 3" xfId="13368"/>
    <cellStyle name="40% - 강조색2 4 3 3 3 3 2" xfId="13369"/>
    <cellStyle name="40% - 강조색2 4 3 3 3 3 3" xfId="13370"/>
    <cellStyle name="40% - 강조색2 4 3 3 3 4" xfId="13371"/>
    <cellStyle name="40% - 강조색2 4 3 3 3 5" xfId="13372"/>
    <cellStyle name="40% - 강조색2 4 3 3 4" xfId="13373"/>
    <cellStyle name="40% - 강조색2 4 3 3 4 2" xfId="13374"/>
    <cellStyle name="40% - 강조색2 4 3 3 4 2 2" xfId="13375"/>
    <cellStyle name="40% - 강조색2 4 3 3 4 2 3" xfId="13376"/>
    <cellStyle name="40% - 강조색2 4 3 3 4 3" xfId="13377"/>
    <cellStyle name="40% - 강조색2 4 3 3 4 4" xfId="13378"/>
    <cellStyle name="40% - 강조색2 4 3 3 5" xfId="13379"/>
    <cellStyle name="40% - 강조색2 4 3 3 5 2" xfId="13380"/>
    <cellStyle name="40% - 강조색2 4 3 3 5 3" xfId="13381"/>
    <cellStyle name="40% - 강조색2 4 3 3 6" xfId="13382"/>
    <cellStyle name="40% - 강조색2 4 3 3 7" xfId="13383"/>
    <cellStyle name="40% - 강조색2 4 3 4" xfId="13384"/>
    <cellStyle name="40% - 강조색2 4 3 4 2" xfId="13385"/>
    <cellStyle name="40% - 강조색2 4 3 4 2 2" xfId="13386"/>
    <cellStyle name="40% - 강조색2 4 3 4 2 2 2" xfId="13387"/>
    <cellStyle name="40% - 강조색2 4 3 4 2 2 3" xfId="13388"/>
    <cellStyle name="40% - 강조색2 4 3 4 2 3" xfId="13389"/>
    <cellStyle name="40% - 강조색2 4 3 4 2 4" xfId="13390"/>
    <cellStyle name="40% - 강조색2 4 3 4 3" xfId="13391"/>
    <cellStyle name="40% - 강조색2 4 3 4 3 2" xfId="13392"/>
    <cellStyle name="40% - 강조색2 4 3 4 3 3" xfId="13393"/>
    <cellStyle name="40% - 강조색2 4 3 4 4" xfId="13394"/>
    <cellStyle name="40% - 강조색2 4 3 4 5" xfId="13395"/>
    <cellStyle name="40% - 강조색2 4 3 5" xfId="13396"/>
    <cellStyle name="40% - 강조색2 4 3 5 2" xfId="13397"/>
    <cellStyle name="40% - 강조색2 4 3 5 2 2" xfId="13398"/>
    <cellStyle name="40% - 강조색2 4 3 5 2 2 2" xfId="13399"/>
    <cellStyle name="40% - 강조색2 4 3 5 2 2 3" xfId="13400"/>
    <cellStyle name="40% - 강조색2 4 3 5 2 3" xfId="13401"/>
    <cellStyle name="40% - 강조색2 4 3 5 2 4" xfId="13402"/>
    <cellStyle name="40% - 강조색2 4 3 5 3" xfId="13403"/>
    <cellStyle name="40% - 강조색2 4 3 5 3 2" xfId="13404"/>
    <cellStyle name="40% - 강조색2 4 3 5 3 3" xfId="13405"/>
    <cellStyle name="40% - 강조색2 4 3 5 4" xfId="13406"/>
    <cellStyle name="40% - 강조색2 4 3 5 5" xfId="13407"/>
    <cellStyle name="40% - 강조색2 4 3 6" xfId="13408"/>
    <cellStyle name="40% - 강조색2 4 3 6 2" xfId="13409"/>
    <cellStyle name="40% - 강조색2 4 3 6 2 2" xfId="13410"/>
    <cellStyle name="40% - 강조색2 4 3 6 2 2 2" xfId="13411"/>
    <cellStyle name="40% - 강조색2 4 3 6 2 2 3" xfId="13412"/>
    <cellStyle name="40% - 강조색2 4 3 6 2 3" xfId="13413"/>
    <cellStyle name="40% - 강조색2 4 3 6 2 4" xfId="13414"/>
    <cellStyle name="40% - 강조색2 4 3 6 3" xfId="13415"/>
    <cellStyle name="40% - 강조색2 4 3 6 3 2" xfId="13416"/>
    <cellStyle name="40% - 강조색2 4 3 6 3 3" xfId="13417"/>
    <cellStyle name="40% - 강조색2 4 3 6 4" xfId="13418"/>
    <cellStyle name="40% - 강조색2 4 3 6 5" xfId="13419"/>
    <cellStyle name="40% - 강조색2 4 3 7" xfId="13420"/>
    <cellStyle name="40% - 강조색2 4 3 7 2" xfId="13421"/>
    <cellStyle name="40% - 강조색2 4 3 7 2 2" xfId="13422"/>
    <cellStyle name="40% - 강조색2 4 3 7 2 3" xfId="13423"/>
    <cellStyle name="40% - 강조색2 4 3 7 3" xfId="13424"/>
    <cellStyle name="40% - 강조색2 4 3 7 4" xfId="13425"/>
    <cellStyle name="40% - 강조색2 4 3 8" xfId="13426"/>
    <cellStyle name="40% - 강조색2 4 3 8 2" xfId="13427"/>
    <cellStyle name="40% - 강조색2 4 3 8 3" xfId="13428"/>
    <cellStyle name="40% - 강조색2 4 3 9" xfId="13429"/>
    <cellStyle name="40% - 강조색2 4 4" xfId="13430"/>
    <cellStyle name="40% - 강조색2 4 4 10" xfId="13431"/>
    <cellStyle name="40% - 강조색2 4 4 2" xfId="13432"/>
    <cellStyle name="40% - 강조색2 4 4 2 2" xfId="13433"/>
    <cellStyle name="40% - 강조색2 4 4 2 2 2" xfId="13434"/>
    <cellStyle name="40% - 강조색2 4 4 2 2 2 2" xfId="13435"/>
    <cellStyle name="40% - 강조색2 4 4 2 2 2 2 2" xfId="13436"/>
    <cellStyle name="40% - 강조색2 4 4 2 2 2 2 3" xfId="13437"/>
    <cellStyle name="40% - 강조색2 4 4 2 2 2 3" xfId="13438"/>
    <cellStyle name="40% - 강조색2 4 4 2 2 2 4" xfId="13439"/>
    <cellStyle name="40% - 강조색2 4 4 2 2 3" xfId="13440"/>
    <cellStyle name="40% - 강조색2 4 4 2 2 3 2" xfId="13441"/>
    <cellStyle name="40% - 강조색2 4 4 2 2 3 3" xfId="13442"/>
    <cellStyle name="40% - 강조색2 4 4 2 2 4" xfId="13443"/>
    <cellStyle name="40% - 강조색2 4 4 2 2 5" xfId="13444"/>
    <cellStyle name="40% - 강조색2 4 4 2 3" xfId="13445"/>
    <cellStyle name="40% - 강조색2 4 4 2 3 2" xfId="13446"/>
    <cellStyle name="40% - 강조색2 4 4 2 3 2 2" xfId="13447"/>
    <cellStyle name="40% - 강조색2 4 4 2 3 2 2 2" xfId="13448"/>
    <cellStyle name="40% - 강조색2 4 4 2 3 2 2 3" xfId="13449"/>
    <cellStyle name="40% - 강조색2 4 4 2 3 2 3" xfId="13450"/>
    <cellStyle name="40% - 강조색2 4 4 2 3 2 4" xfId="13451"/>
    <cellStyle name="40% - 강조색2 4 4 2 3 3" xfId="13452"/>
    <cellStyle name="40% - 강조색2 4 4 2 3 3 2" xfId="13453"/>
    <cellStyle name="40% - 강조색2 4 4 2 3 3 3" xfId="13454"/>
    <cellStyle name="40% - 강조색2 4 4 2 3 4" xfId="13455"/>
    <cellStyle name="40% - 강조색2 4 4 2 3 5" xfId="13456"/>
    <cellStyle name="40% - 강조색2 4 4 2 4" xfId="13457"/>
    <cellStyle name="40% - 강조색2 4 4 2 4 2" xfId="13458"/>
    <cellStyle name="40% - 강조색2 4 4 2 4 2 2" xfId="13459"/>
    <cellStyle name="40% - 강조색2 4 4 2 4 2 3" xfId="13460"/>
    <cellStyle name="40% - 강조색2 4 4 2 4 3" xfId="13461"/>
    <cellStyle name="40% - 강조색2 4 4 2 4 4" xfId="13462"/>
    <cellStyle name="40% - 강조색2 4 4 2 5" xfId="13463"/>
    <cellStyle name="40% - 강조색2 4 4 2 5 2" xfId="13464"/>
    <cellStyle name="40% - 강조색2 4 4 2 5 3" xfId="13465"/>
    <cellStyle name="40% - 강조색2 4 4 2 6" xfId="13466"/>
    <cellStyle name="40% - 강조색2 4 4 2 7" xfId="13467"/>
    <cellStyle name="40% - 강조색2 4 4 3" xfId="13468"/>
    <cellStyle name="40% - 강조색2 4 4 3 2" xfId="13469"/>
    <cellStyle name="40% - 강조색2 4 4 3 2 2" xfId="13470"/>
    <cellStyle name="40% - 강조색2 4 4 3 2 2 2" xfId="13471"/>
    <cellStyle name="40% - 강조색2 4 4 3 2 2 2 2" xfId="13472"/>
    <cellStyle name="40% - 강조색2 4 4 3 2 2 2 3" xfId="13473"/>
    <cellStyle name="40% - 강조색2 4 4 3 2 2 3" xfId="13474"/>
    <cellStyle name="40% - 강조색2 4 4 3 2 2 4" xfId="13475"/>
    <cellStyle name="40% - 강조색2 4 4 3 2 3" xfId="13476"/>
    <cellStyle name="40% - 강조색2 4 4 3 2 3 2" xfId="13477"/>
    <cellStyle name="40% - 강조색2 4 4 3 2 3 3" xfId="13478"/>
    <cellStyle name="40% - 강조색2 4 4 3 2 4" xfId="13479"/>
    <cellStyle name="40% - 강조색2 4 4 3 2 5" xfId="13480"/>
    <cellStyle name="40% - 강조색2 4 4 3 3" xfId="13481"/>
    <cellStyle name="40% - 강조색2 4 4 3 3 2" xfId="13482"/>
    <cellStyle name="40% - 강조색2 4 4 3 3 2 2" xfId="13483"/>
    <cellStyle name="40% - 강조색2 4 4 3 3 2 2 2" xfId="13484"/>
    <cellStyle name="40% - 강조색2 4 4 3 3 2 2 3" xfId="13485"/>
    <cellStyle name="40% - 강조색2 4 4 3 3 2 3" xfId="13486"/>
    <cellStyle name="40% - 강조색2 4 4 3 3 2 4" xfId="13487"/>
    <cellStyle name="40% - 강조색2 4 4 3 3 3" xfId="13488"/>
    <cellStyle name="40% - 강조색2 4 4 3 3 3 2" xfId="13489"/>
    <cellStyle name="40% - 강조색2 4 4 3 3 3 3" xfId="13490"/>
    <cellStyle name="40% - 강조색2 4 4 3 3 4" xfId="13491"/>
    <cellStyle name="40% - 강조색2 4 4 3 3 5" xfId="13492"/>
    <cellStyle name="40% - 강조색2 4 4 3 4" xfId="13493"/>
    <cellStyle name="40% - 강조색2 4 4 3 4 2" xfId="13494"/>
    <cellStyle name="40% - 강조색2 4 4 3 4 2 2" xfId="13495"/>
    <cellStyle name="40% - 강조색2 4 4 3 4 2 3" xfId="13496"/>
    <cellStyle name="40% - 강조색2 4 4 3 4 3" xfId="13497"/>
    <cellStyle name="40% - 강조색2 4 4 3 4 4" xfId="13498"/>
    <cellStyle name="40% - 강조색2 4 4 3 5" xfId="13499"/>
    <cellStyle name="40% - 강조색2 4 4 3 5 2" xfId="13500"/>
    <cellStyle name="40% - 강조색2 4 4 3 5 3" xfId="13501"/>
    <cellStyle name="40% - 강조색2 4 4 3 6" xfId="13502"/>
    <cellStyle name="40% - 강조색2 4 4 3 7" xfId="13503"/>
    <cellStyle name="40% - 강조색2 4 4 4" xfId="13504"/>
    <cellStyle name="40% - 강조색2 4 4 4 2" xfId="13505"/>
    <cellStyle name="40% - 강조색2 4 4 4 2 2" xfId="13506"/>
    <cellStyle name="40% - 강조색2 4 4 4 2 2 2" xfId="13507"/>
    <cellStyle name="40% - 강조색2 4 4 4 2 2 3" xfId="13508"/>
    <cellStyle name="40% - 강조색2 4 4 4 2 3" xfId="13509"/>
    <cellStyle name="40% - 강조색2 4 4 4 2 4" xfId="13510"/>
    <cellStyle name="40% - 강조색2 4 4 4 3" xfId="13511"/>
    <cellStyle name="40% - 강조색2 4 4 4 3 2" xfId="13512"/>
    <cellStyle name="40% - 강조색2 4 4 4 3 3" xfId="13513"/>
    <cellStyle name="40% - 강조색2 4 4 4 4" xfId="13514"/>
    <cellStyle name="40% - 강조색2 4 4 4 5" xfId="13515"/>
    <cellStyle name="40% - 강조색2 4 4 5" xfId="13516"/>
    <cellStyle name="40% - 강조색2 4 4 5 2" xfId="13517"/>
    <cellStyle name="40% - 강조색2 4 4 5 2 2" xfId="13518"/>
    <cellStyle name="40% - 강조색2 4 4 5 2 2 2" xfId="13519"/>
    <cellStyle name="40% - 강조색2 4 4 5 2 2 3" xfId="13520"/>
    <cellStyle name="40% - 강조색2 4 4 5 2 3" xfId="13521"/>
    <cellStyle name="40% - 강조색2 4 4 5 2 4" xfId="13522"/>
    <cellStyle name="40% - 강조색2 4 4 5 3" xfId="13523"/>
    <cellStyle name="40% - 강조색2 4 4 5 3 2" xfId="13524"/>
    <cellStyle name="40% - 강조색2 4 4 5 3 3" xfId="13525"/>
    <cellStyle name="40% - 강조색2 4 4 5 4" xfId="13526"/>
    <cellStyle name="40% - 강조색2 4 4 5 5" xfId="13527"/>
    <cellStyle name="40% - 강조색2 4 4 6" xfId="13528"/>
    <cellStyle name="40% - 강조색2 4 4 6 2" xfId="13529"/>
    <cellStyle name="40% - 강조색2 4 4 6 2 2" xfId="13530"/>
    <cellStyle name="40% - 강조색2 4 4 6 2 2 2" xfId="13531"/>
    <cellStyle name="40% - 강조색2 4 4 6 2 2 3" xfId="13532"/>
    <cellStyle name="40% - 강조색2 4 4 6 2 3" xfId="13533"/>
    <cellStyle name="40% - 강조색2 4 4 6 2 4" xfId="13534"/>
    <cellStyle name="40% - 강조색2 4 4 6 3" xfId="13535"/>
    <cellStyle name="40% - 강조색2 4 4 6 3 2" xfId="13536"/>
    <cellStyle name="40% - 강조색2 4 4 6 3 3" xfId="13537"/>
    <cellStyle name="40% - 강조색2 4 4 6 4" xfId="13538"/>
    <cellStyle name="40% - 강조색2 4 4 6 5" xfId="13539"/>
    <cellStyle name="40% - 강조색2 4 4 7" xfId="13540"/>
    <cellStyle name="40% - 강조색2 4 4 7 2" xfId="13541"/>
    <cellStyle name="40% - 강조색2 4 4 7 2 2" xfId="13542"/>
    <cellStyle name="40% - 강조색2 4 4 7 2 3" xfId="13543"/>
    <cellStyle name="40% - 강조색2 4 4 7 3" xfId="13544"/>
    <cellStyle name="40% - 강조색2 4 4 7 4" xfId="13545"/>
    <cellStyle name="40% - 강조색2 4 4 8" xfId="13546"/>
    <cellStyle name="40% - 강조색2 4 4 8 2" xfId="13547"/>
    <cellStyle name="40% - 강조색2 4 4 8 3" xfId="13548"/>
    <cellStyle name="40% - 강조색2 4 4 9" xfId="13549"/>
    <cellStyle name="40% - 강조색2 4 5" xfId="13550"/>
    <cellStyle name="40% - 강조색2 4 5 2" xfId="13551"/>
    <cellStyle name="40% - 강조색2 4 5 2 2" xfId="13552"/>
    <cellStyle name="40% - 강조색2 4 5 2 2 2" xfId="13553"/>
    <cellStyle name="40% - 강조색2 4 5 2 2 2 2" xfId="13554"/>
    <cellStyle name="40% - 강조색2 4 5 2 2 2 3" xfId="13555"/>
    <cellStyle name="40% - 강조색2 4 5 2 2 3" xfId="13556"/>
    <cellStyle name="40% - 강조색2 4 5 2 2 4" xfId="13557"/>
    <cellStyle name="40% - 강조색2 4 5 2 3" xfId="13558"/>
    <cellStyle name="40% - 강조색2 4 5 2 3 2" xfId="13559"/>
    <cellStyle name="40% - 강조색2 4 5 2 3 3" xfId="13560"/>
    <cellStyle name="40% - 강조색2 4 5 2 4" xfId="13561"/>
    <cellStyle name="40% - 강조색2 4 5 2 5" xfId="13562"/>
    <cellStyle name="40% - 강조색2 4 5 3" xfId="13563"/>
    <cellStyle name="40% - 강조색2 4 5 3 2" xfId="13564"/>
    <cellStyle name="40% - 강조색2 4 5 3 2 2" xfId="13565"/>
    <cellStyle name="40% - 강조색2 4 5 3 2 2 2" xfId="13566"/>
    <cellStyle name="40% - 강조색2 4 5 3 2 2 3" xfId="13567"/>
    <cellStyle name="40% - 강조색2 4 5 3 2 3" xfId="13568"/>
    <cellStyle name="40% - 강조색2 4 5 3 2 4" xfId="13569"/>
    <cellStyle name="40% - 강조색2 4 5 3 3" xfId="13570"/>
    <cellStyle name="40% - 강조색2 4 5 3 3 2" xfId="13571"/>
    <cellStyle name="40% - 강조색2 4 5 3 3 3" xfId="13572"/>
    <cellStyle name="40% - 강조색2 4 5 3 4" xfId="13573"/>
    <cellStyle name="40% - 강조색2 4 5 3 5" xfId="13574"/>
    <cellStyle name="40% - 강조색2 4 5 4" xfId="13575"/>
    <cellStyle name="40% - 강조색2 4 5 4 2" xfId="13576"/>
    <cellStyle name="40% - 강조색2 4 5 4 2 2" xfId="13577"/>
    <cellStyle name="40% - 강조색2 4 5 4 2 3" xfId="13578"/>
    <cellStyle name="40% - 강조색2 4 5 4 3" xfId="13579"/>
    <cellStyle name="40% - 강조색2 4 5 4 4" xfId="13580"/>
    <cellStyle name="40% - 강조색2 4 5 5" xfId="13581"/>
    <cellStyle name="40% - 강조색2 4 5 5 2" xfId="13582"/>
    <cellStyle name="40% - 강조색2 4 5 5 3" xfId="13583"/>
    <cellStyle name="40% - 강조색2 4 5 6" xfId="13584"/>
    <cellStyle name="40% - 강조색2 4 5 7" xfId="13585"/>
    <cellStyle name="40% - 강조색2 4 6" xfId="13586"/>
    <cellStyle name="40% - 강조색2 4 6 2" xfId="13587"/>
    <cellStyle name="40% - 강조색2 4 6 2 2" xfId="13588"/>
    <cellStyle name="40% - 강조색2 4 6 2 2 2" xfId="13589"/>
    <cellStyle name="40% - 강조색2 4 6 2 2 2 2" xfId="13590"/>
    <cellStyle name="40% - 강조색2 4 6 2 2 2 3" xfId="13591"/>
    <cellStyle name="40% - 강조색2 4 6 2 2 3" xfId="13592"/>
    <cellStyle name="40% - 강조색2 4 6 2 2 4" xfId="13593"/>
    <cellStyle name="40% - 강조색2 4 6 2 3" xfId="13594"/>
    <cellStyle name="40% - 강조색2 4 6 2 3 2" xfId="13595"/>
    <cellStyle name="40% - 강조색2 4 6 2 3 3" xfId="13596"/>
    <cellStyle name="40% - 강조색2 4 6 2 4" xfId="13597"/>
    <cellStyle name="40% - 강조색2 4 6 2 5" xfId="13598"/>
    <cellStyle name="40% - 강조색2 4 6 3" xfId="13599"/>
    <cellStyle name="40% - 강조색2 4 6 3 2" xfId="13600"/>
    <cellStyle name="40% - 강조색2 4 6 3 2 2" xfId="13601"/>
    <cellStyle name="40% - 강조색2 4 6 3 2 2 2" xfId="13602"/>
    <cellStyle name="40% - 강조색2 4 6 3 2 2 3" xfId="13603"/>
    <cellStyle name="40% - 강조색2 4 6 3 2 3" xfId="13604"/>
    <cellStyle name="40% - 강조색2 4 6 3 2 4" xfId="13605"/>
    <cellStyle name="40% - 강조색2 4 6 3 3" xfId="13606"/>
    <cellStyle name="40% - 강조색2 4 6 3 3 2" xfId="13607"/>
    <cellStyle name="40% - 강조색2 4 6 3 3 3" xfId="13608"/>
    <cellStyle name="40% - 강조색2 4 6 3 4" xfId="13609"/>
    <cellStyle name="40% - 강조색2 4 6 3 5" xfId="13610"/>
    <cellStyle name="40% - 강조색2 4 6 4" xfId="13611"/>
    <cellStyle name="40% - 강조색2 4 6 4 2" xfId="13612"/>
    <cellStyle name="40% - 강조색2 4 6 4 2 2" xfId="13613"/>
    <cellStyle name="40% - 강조색2 4 6 4 2 3" xfId="13614"/>
    <cellStyle name="40% - 강조색2 4 6 4 3" xfId="13615"/>
    <cellStyle name="40% - 강조색2 4 6 4 4" xfId="13616"/>
    <cellStyle name="40% - 강조색2 4 6 5" xfId="13617"/>
    <cellStyle name="40% - 강조색2 4 6 5 2" xfId="13618"/>
    <cellStyle name="40% - 강조색2 4 6 5 3" xfId="13619"/>
    <cellStyle name="40% - 강조색2 4 6 6" xfId="13620"/>
    <cellStyle name="40% - 강조색2 4 6 7" xfId="13621"/>
    <cellStyle name="40% - 강조색2 4 7" xfId="13622"/>
    <cellStyle name="40% - 강조색2 4 7 2" xfId="13623"/>
    <cellStyle name="40% - 강조색2 4 7 2 2" xfId="13624"/>
    <cellStyle name="40% - 강조색2 4 7 2 2 2" xfId="13625"/>
    <cellStyle name="40% - 강조색2 4 7 2 2 3" xfId="13626"/>
    <cellStyle name="40% - 강조색2 4 7 2 3" xfId="13627"/>
    <cellStyle name="40% - 강조색2 4 7 2 4" xfId="13628"/>
    <cellStyle name="40% - 강조색2 4 7 3" xfId="13629"/>
    <cellStyle name="40% - 강조색2 4 7 3 2" xfId="13630"/>
    <cellStyle name="40% - 강조색2 4 7 3 3" xfId="13631"/>
    <cellStyle name="40% - 강조색2 4 7 4" xfId="13632"/>
    <cellStyle name="40% - 강조색2 4 7 5" xfId="13633"/>
    <cellStyle name="40% - 강조색2 4 8" xfId="13634"/>
    <cellStyle name="40% - 강조색2 4 8 2" xfId="13635"/>
    <cellStyle name="40% - 강조색2 4 8 2 2" xfId="13636"/>
    <cellStyle name="40% - 강조색2 4 8 2 2 2" xfId="13637"/>
    <cellStyle name="40% - 강조색2 4 8 2 2 3" xfId="13638"/>
    <cellStyle name="40% - 강조색2 4 8 2 3" xfId="13639"/>
    <cellStyle name="40% - 강조색2 4 8 2 4" xfId="13640"/>
    <cellStyle name="40% - 강조색2 4 8 3" xfId="13641"/>
    <cellStyle name="40% - 강조색2 4 8 3 2" xfId="13642"/>
    <cellStyle name="40% - 강조색2 4 8 3 3" xfId="13643"/>
    <cellStyle name="40% - 강조색2 4 8 4" xfId="13644"/>
    <cellStyle name="40% - 강조색2 4 8 5" xfId="13645"/>
    <cellStyle name="40% - 강조색2 4 9" xfId="13646"/>
    <cellStyle name="40% - 강조색2 4 9 2" xfId="13647"/>
    <cellStyle name="40% - 강조색2 4 9 2 2" xfId="13648"/>
    <cellStyle name="40% - 강조색2 4 9 2 2 2" xfId="13649"/>
    <cellStyle name="40% - 강조색2 4 9 2 2 3" xfId="13650"/>
    <cellStyle name="40% - 강조색2 4 9 2 3" xfId="13651"/>
    <cellStyle name="40% - 강조색2 4 9 2 4" xfId="13652"/>
    <cellStyle name="40% - 강조색2 4 9 3" xfId="13653"/>
    <cellStyle name="40% - 강조색2 4 9 3 2" xfId="13654"/>
    <cellStyle name="40% - 강조색2 4 9 3 3" xfId="13655"/>
    <cellStyle name="40% - 강조색2 4 9 4" xfId="13656"/>
    <cellStyle name="40% - 강조색2 4 9 5" xfId="13657"/>
    <cellStyle name="40% - 강조색2 40" xfId="13658"/>
    <cellStyle name="40% - 강조색2 41" xfId="13659"/>
    <cellStyle name="40% - 강조색2 42" xfId="13660"/>
    <cellStyle name="40% - 강조색2 43" xfId="13661"/>
    <cellStyle name="40% - 강조색2 44" xfId="13662"/>
    <cellStyle name="40% - 강조색2 45" xfId="13663"/>
    <cellStyle name="40% - 강조색2 46" xfId="13664"/>
    <cellStyle name="40% - 강조색2 47" xfId="13665"/>
    <cellStyle name="40% - 강조색2 48" xfId="13666"/>
    <cellStyle name="40% - 강조색2 49" xfId="13667"/>
    <cellStyle name="40% - 강조색2 5" xfId="13668"/>
    <cellStyle name="40% - 강조색2 5 10" xfId="13669"/>
    <cellStyle name="40% - 강조색2 5 11" xfId="13670"/>
    <cellStyle name="40% - 강조색2 5 2" xfId="13671"/>
    <cellStyle name="40% - 강조색2 5 2 2" xfId="13672"/>
    <cellStyle name="40% - 강조색2 5 2 2 2" xfId="13673"/>
    <cellStyle name="40% - 강조색2 5 2 2 2 2" xfId="13674"/>
    <cellStyle name="40% - 강조색2 5 2 2 2 2 2" xfId="13675"/>
    <cellStyle name="40% - 강조색2 5 2 2 2 2 3" xfId="13676"/>
    <cellStyle name="40% - 강조색2 5 2 2 2 3" xfId="13677"/>
    <cellStyle name="40% - 강조색2 5 2 2 2 4" xfId="13678"/>
    <cellStyle name="40% - 강조색2 5 2 2 3" xfId="13679"/>
    <cellStyle name="40% - 강조색2 5 2 2 3 2" xfId="13680"/>
    <cellStyle name="40% - 강조색2 5 2 2 3 3" xfId="13681"/>
    <cellStyle name="40% - 강조색2 5 2 2 4" xfId="13682"/>
    <cellStyle name="40% - 강조색2 5 2 2 5" xfId="13683"/>
    <cellStyle name="40% - 강조색2 5 2 3" xfId="13684"/>
    <cellStyle name="40% - 강조색2 5 2 3 2" xfId="13685"/>
    <cellStyle name="40% - 강조색2 5 2 3 2 2" xfId="13686"/>
    <cellStyle name="40% - 강조색2 5 2 3 2 2 2" xfId="13687"/>
    <cellStyle name="40% - 강조색2 5 2 3 2 2 3" xfId="13688"/>
    <cellStyle name="40% - 강조색2 5 2 3 2 3" xfId="13689"/>
    <cellStyle name="40% - 강조색2 5 2 3 2 4" xfId="13690"/>
    <cellStyle name="40% - 강조색2 5 2 3 3" xfId="13691"/>
    <cellStyle name="40% - 강조색2 5 2 3 3 2" xfId="13692"/>
    <cellStyle name="40% - 강조색2 5 2 3 3 3" xfId="13693"/>
    <cellStyle name="40% - 강조색2 5 2 3 4" xfId="13694"/>
    <cellStyle name="40% - 강조색2 5 2 3 5" xfId="13695"/>
    <cellStyle name="40% - 강조색2 5 2 4" xfId="13696"/>
    <cellStyle name="40% - 강조색2 5 2 4 2" xfId="13697"/>
    <cellStyle name="40% - 강조색2 5 2 4 2 2" xfId="13698"/>
    <cellStyle name="40% - 강조색2 5 2 4 2 3" xfId="13699"/>
    <cellStyle name="40% - 강조색2 5 2 4 3" xfId="13700"/>
    <cellStyle name="40% - 강조색2 5 2 4 4" xfId="13701"/>
    <cellStyle name="40% - 강조색2 5 2 5" xfId="13702"/>
    <cellStyle name="40% - 강조색2 5 2 5 2" xfId="13703"/>
    <cellStyle name="40% - 강조색2 5 2 5 3" xfId="13704"/>
    <cellStyle name="40% - 강조색2 5 2 6" xfId="13705"/>
    <cellStyle name="40% - 강조색2 5 2 7" xfId="13706"/>
    <cellStyle name="40% - 강조색2 5 3" xfId="13707"/>
    <cellStyle name="40% - 강조색2 5 3 2" xfId="13708"/>
    <cellStyle name="40% - 강조색2 5 3 2 2" xfId="13709"/>
    <cellStyle name="40% - 강조색2 5 3 2 2 2" xfId="13710"/>
    <cellStyle name="40% - 강조색2 5 3 2 2 2 2" xfId="13711"/>
    <cellStyle name="40% - 강조색2 5 3 2 2 2 3" xfId="13712"/>
    <cellStyle name="40% - 강조색2 5 3 2 2 3" xfId="13713"/>
    <cellStyle name="40% - 강조색2 5 3 2 2 4" xfId="13714"/>
    <cellStyle name="40% - 강조색2 5 3 2 3" xfId="13715"/>
    <cellStyle name="40% - 강조색2 5 3 2 3 2" xfId="13716"/>
    <cellStyle name="40% - 강조색2 5 3 2 3 3" xfId="13717"/>
    <cellStyle name="40% - 강조색2 5 3 2 4" xfId="13718"/>
    <cellStyle name="40% - 강조색2 5 3 2 5" xfId="13719"/>
    <cellStyle name="40% - 강조색2 5 3 3" xfId="13720"/>
    <cellStyle name="40% - 강조색2 5 3 3 2" xfId="13721"/>
    <cellStyle name="40% - 강조색2 5 3 3 2 2" xfId="13722"/>
    <cellStyle name="40% - 강조색2 5 3 3 2 2 2" xfId="13723"/>
    <cellStyle name="40% - 강조색2 5 3 3 2 2 3" xfId="13724"/>
    <cellStyle name="40% - 강조색2 5 3 3 2 3" xfId="13725"/>
    <cellStyle name="40% - 강조색2 5 3 3 2 4" xfId="13726"/>
    <cellStyle name="40% - 강조색2 5 3 3 3" xfId="13727"/>
    <cellStyle name="40% - 강조색2 5 3 3 3 2" xfId="13728"/>
    <cellStyle name="40% - 강조색2 5 3 3 3 3" xfId="13729"/>
    <cellStyle name="40% - 강조색2 5 3 3 4" xfId="13730"/>
    <cellStyle name="40% - 강조색2 5 3 3 5" xfId="13731"/>
    <cellStyle name="40% - 강조색2 5 3 4" xfId="13732"/>
    <cellStyle name="40% - 강조색2 5 3 4 2" xfId="13733"/>
    <cellStyle name="40% - 강조색2 5 3 4 2 2" xfId="13734"/>
    <cellStyle name="40% - 강조색2 5 3 4 2 3" xfId="13735"/>
    <cellStyle name="40% - 강조색2 5 3 4 3" xfId="13736"/>
    <cellStyle name="40% - 강조색2 5 3 4 4" xfId="13737"/>
    <cellStyle name="40% - 강조색2 5 3 5" xfId="13738"/>
    <cellStyle name="40% - 강조색2 5 3 5 2" xfId="13739"/>
    <cellStyle name="40% - 강조색2 5 3 5 3" xfId="13740"/>
    <cellStyle name="40% - 강조색2 5 3 6" xfId="13741"/>
    <cellStyle name="40% - 강조색2 5 3 7" xfId="13742"/>
    <cellStyle name="40% - 강조색2 5 4" xfId="13743"/>
    <cellStyle name="40% - 강조색2 5 4 2" xfId="13744"/>
    <cellStyle name="40% - 강조색2 5 4 2 2" xfId="13745"/>
    <cellStyle name="40% - 강조색2 5 4 2 2 2" xfId="13746"/>
    <cellStyle name="40% - 강조색2 5 4 2 2 3" xfId="13747"/>
    <cellStyle name="40% - 강조색2 5 4 2 3" xfId="13748"/>
    <cellStyle name="40% - 강조색2 5 4 2 4" xfId="13749"/>
    <cellStyle name="40% - 강조색2 5 4 3" xfId="13750"/>
    <cellStyle name="40% - 강조색2 5 4 3 2" xfId="13751"/>
    <cellStyle name="40% - 강조색2 5 4 3 3" xfId="13752"/>
    <cellStyle name="40% - 강조색2 5 4 4" xfId="13753"/>
    <cellStyle name="40% - 강조색2 5 4 5" xfId="13754"/>
    <cellStyle name="40% - 강조색2 5 5" xfId="13755"/>
    <cellStyle name="40% - 강조색2 5 5 2" xfId="13756"/>
    <cellStyle name="40% - 강조색2 5 5 2 2" xfId="13757"/>
    <cellStyle name="40% - 강조색2 5 5 2 2 2" xfId="13758"/>
    <cellStyle name="40% - 강조색2 5 5 2 2 3" xfId="13759"/>
    <cellStyle name="40% - 강조색2 5 5 2 3" xfId="13760"/>
    <cellStyle name="40% - 강조색2 5 5 2 4" xfId="13761"/>
    <cellStyle name="40% - 강조색2 5 5 3" xfId="13762"/>
    <cellStyle name="40% - 강조색2 5 5 3 2" xfId="13763"/>
    <cellStyle name="40% - 강조색2 5 5 3 3" xfId="13764"/>
    <cellStyle name="40% - 강조색2 5 5 4" xfId="13765"/>
    <cellStyle name="40% - 강조색2 5 5 5" xfId="13766"/>
    <cellStyle name="40% - 강조색2 5 6" xfId="13767"/>
    <cellStyle name="40% - 강조색2 5 6 2" xfId="13768"/>
    <cellStyle name="40% - 강조색2 5 6 2 2" xfId="13769"/>
    <cellStyle name="40% - 강조색2 5 6 2 2 2" xfId="13770"/>
    <cellStyle name="40% - 강조색2 5 6 2 2 3" xfId="13771"/>
    <cellStyle name="40% - 강조색2 5 6 2 3" xfId="13772"/>
    <cellStyle name="40% - 강조색2 5 6 2 4" xfId="13773"/>
    <cellStyle name="40% - 강조색2 5 6 3" xfId="13774"/>
    <cellStyle name="40% - 강조색2 5 6 3 2" xfId="13775"/>
    <cellStyle name="40% - 강조색2 5 6 3 3" xfId="13776"/>
    <cellStyle name="40% - 강조색2 5 6 4" xfId="13777"/>
    <cellStyle name="40% - 강조색2 5 6 5" xfId="13778"/>
    <cellStyle name="40% - 강조색2 5 7" xfId="13779"/>
    <cellStyle name="40% - 강조색2 5 7 2" xfId="13780"/>
    <cellStyle name="40% - 강조색2 5 7 2 2" xfId="13781"/>
    <cellStyle name="40% - 강조색2 5 7 2 3" xfId="13782"/>
    <cellStyle name="40% - 강조색2 5 7 3" xfId="13783"/>
    <cellStyle name="40% - 강조색2 5 7 4" xfId="13784"/>
    <cellStyle name="40% - 강조색2 5 8" xfId="13785"/>
    <cellStyle name="40% - 강조색2 5 8 2" xfId="13786"/>
    <cellStyle name="40% - 강조색2 5 8 3" xfId="13787"/>
    <cellStyle name="40% - 강조색2 5 9" xfId="13788"/>
    <cellStyle name="40% - 강조색2 50" xfId="13789"/>
    <cellStyle name="40% - 강조색2 51" xfId="13790"/>
    <cellStyle name="40% - 강조색2 52" xfId="13791"/>
    <cellStyle name="40% - 강조색2 53" xfId="13792"/>
    <cellStyle name="40% - 강조색2 54" xfId="13793"/>
    <cellStyle name="40% - 강조색2 55" xfId="13794"/>
    <cellStyle name="40% - 강조색2 56" xfId="13795"/>
    <cellStyle name="40% - 강조색2 57" xfId="13796"/>
    <cellStyle name="40% - 강조색2 58" xfId="13797"/>
    <cellStyle name="40% - 강조색2 59" xfId="13798"/>
    <cellStyle name="40% - 강조색2 6" xfId="13799"/>
    <cellStyle name="40% - 강조색2 6 10" xfId="13800"/>
    <cellStyle name="40% - 강조색2 6 2" xfId="13801"/>
    <cellStyle name="40% - 강조색2 6 2 2" xfId="13802"/>
    <cellStyle name="40% - 강조색2 6 2 2 2" xfId="13803"/>
    <cellStyle name="40% - 강조색2 6 2 2 2 2" xfId="13804"/>
    <cellStyle name="40% - 강조색2 6 2 2 2 2 2" xfId="13805"/>
    <cellStyle name="40% - 강조색2 6 2 2 2 2 3" xfId="13806"/>
    <cellStyle name="40% - 강조색2 6 2 2 2 3" xfId="13807"/>
    <cellStyle name="40% - 강조색2 6 2 2 2 4" xfId="13808"/>
    <cellStyle name="40% - 강조색2 6 2 2 3" xfId="13809"/>
    <cellStyle name="40% - 강조색2 6 2 2 3 2" xfId="13810"/>
    <cellStyle name="40% - 강조색2 6 2 2 3 3" xfId="13811"/>
    <cellStyle name="40% - 강조색2 6 2 2 4" xfId="13812"/>
    <cellStyle name="40% - 강조색2 6 2 2 5" xfId="13813"/>
    <cellStyle name="40% - 강조색2 6 2 3" xfId="13814"/>
    <cellStyle name="40% - 강조색2 6 2 3 2" xfId="13815"/>
    <cellStyle name="40% - 강조색2 6 2 3 2 2" xfId="13816"/>
    <cellStyle name="40% - 강조색2 6 2 3 2 2 2" xfId="13817"/>
    <cellStyle name="40% - 강조색2 6 2 3 2 2 3" xfId="13818"/>
    <cellStyle name="40% - 강조색2 6 2 3 2 3" xfId="13819"/>
    <cellStyle name="40% - 강조색2 6 2 3 2 4" xfId="13820"/>
    <cellStyle name="40% - 강조색2 6 2 3 3" xfId="13821"/>
    <cellStyle name="40% - 강조색2 6 2 3 3 2" xfId="13822"/>
    <cellStyle name="40% - 강조색2 6 2 3 3 3" xfId="13823"/>
    <cellStyle name="40% - 강조색2 6 2 3 4" xfId="13824"/>
    <cellStyle name="40% - 강조색2 6 2 3 5" xfId="13825"/>
    <cellStyle name="40% - 강조색2 6 2 4" xfId="13826"/>
    <cellStyle name="40% - 강조색2 6 2 4 2" xfId="13827"/>
    <cellStyle name="40% - 강조색2 6 2 4 2 2" xfId="13828"/>
    <cellStyle name="40% - 강조색2 6 2 4 2 3" xfId="13829"/>
    <cellStyle name="40% - 강조색2 6 2 4 3" xfId="13830"/>
    <cellStyle name="40% - 강조색2 6 2 4 4" xfId="13831"/>
    <cellStyle name="40% - 강조색2 6 2 5" xfId="13832"/>
    <cellStyle name="40% - 강조색2 6 2 5 2" xfId="13833"/>
    <cellStyle name="40% - 강조색2 6 2 5 3" xfId="13834"/>
    <cellStyle name="40% - 강조색2 6 2 6" xfId="13835"/>
    <cellStyle name="40% - 강조색2 6 2 7" xfId="13836"/>
    <cellStyle name="40% - 강조색2 6 3" xfId="13837"/>
    <cellStyle name="40% - 강조색2 6 3 2" xfId="13838"/>
    <cellStyle name="40% - 강조색2 6 3 2 2" xfId="13839"/>
    <cellStyle name="40% - 강조색2 6 3 2 2 2" xfId="13840"/>
    <cellStyle name="40% - 강조색2 6 3 2 2 2 2" xfId="13841"/>
    <cellStyle name="40% - 강조색2 6 3 2 2 2 3" xfId="13842"/>
    <cellStyle name="40% - 강조색2 6 3 2 2 3" xfId="13843"/>
    <cellStyle name="40% - 강조색2 6 3 2 2 4" xfId="13844"/>
    <cellStyle name="40% - 강조색2 6 3 2 3" xfId="13845"/>
    <cellStyle name="40% - 강조색2 6 3 2 3 2" xfId="13846"/>
    <cellStyle name="40% - 강조색2 6 3 2 3 3" xfId="13847"/>
    <cellStyle name="40% - 강조색2 6 3 2 4" xfId="13848"/>
    <cellStyle name="40% - 강조색2 6 3 2 5" xfId="13849"/>
    <cellStyle name="40% - 강조색2 6 3 3" xfId="13850"/>
    <cellStyle name="40% - 강조색2 6 3 3 2" xfId="13851"/>
    <cellStyle name="40% - 강조색2 6 3 3 2 2" xfId="13852"/>
    <cellStyle name="40% - 강조색2 6 3 3 2 2 2" xfId="13853"/>
    <cellStyle name="40% - 강조색2 6 3 3 2 2 3" xfId="13854"/>
    <cellStyle name="40% - 강조색2 6 3 3 2 3" xfId="13855"/>
    <cellStyle name="40% - 강조색2 6 3 3 2 4" xfId="13856"/>
    <cellStyle name="40% - 강조색2 6 3 3 3" xfId="13857"/>
    <cellStyle name="40% - 강조색2 6 3 3 3 2" xfId="13858"/>
    <cellStyle name="40% - 강조색2 6 3 3 3 3" xfId="13859"/>
    <cellStyle name="40% - 강조색2 6 3 3 4" xfId="13860"/>
    <cellStyle name="40% - 강조색2 6 3 3 5" xfId="13861"/>
    <cellStyle name="40% - 강조색2 6 3 4" xfId="13862"/>
    <cellStyle name="40% - 강조색2 6 3 4 2" xfId="13863"/>
    <cellStyle name="40% - 강조색2 6 3 4 2 2" xfId="13864"/>
    <cellStyle name="40% - 강조색2 6 3 4 2 3" xfId="13865"/>
    <cellStyle name="40% - 강조색2 6 3 4 3" xfId="13866"/>
    <cellStyle name="40% - 강조색2 6 3 4 4" xfId="13867"/>
    <cellStyle name="40% - 강조색2 6 3 5" xfId="13868"/>
    <cellStyle name="40% - 강조색2 6 3 5 2" xfId="13869"/>
    <cellStyle name="40% - 강조색2 6 3 5 3" xfId="13870"/>
    <cellStyle name="40% - 강조색2 6 3 6" xfId="13871"/>
    <cellStyle name="40% - 강조색2 6 3 7" xfId="13872"/>
    <cellStyle name="40% - 강조색2 6 4" xfId="13873"/>
    <cellStyle name="40% - 강조색2 6 4 2" xfId="13874"/>
    <cellStyle name="40% - 강조색2 6 4 2 2" xfId="13875"/>
    <cellStyle name="40% - 강조색2 6 4 2 2 2" xfId="13876"/>
    <cellStyle name="40% - 강조색2 6 4 2 2 3" xfId="13877"/>
    <cellStyle name="40% - 강조색2 6 4 2 3" xfId="13878"/>
    <cellStyle name="40% - 강조색2 6 4 2 4" xfId="13879"/>
    <cellStyle name="40% - 강조색2 6 4 3" xfId="13880"/>
    <cellStyle name="40% - 강조색2 6 4 3 2" xfId="13881"/>
    <cellStyle name="40% - 강조색2 6 4 3 3" xfId="13882"/>
    <cellStyle name="40% - 강조색2 6 4 4" xfId="13883"/>
    <cellStyle name="40% - 강조색2 6 4 5" xfId="13884"/>
    <cellStyle name="40% - 강조색2 6 5" xfId="13885"/>
    <cellStyle name="40% - 강조색2 6 5 2" xfId="13886"/>
    <cellStyle name="40% - 강조색2 6 5 2 2" xfId="13887"/>
    <cellStyle name="40% - 강조색2 6 5 2 2 2" xfId="13888"/>
    <cellStyle name="40% - 강조색2 6 5 2 2 3" xfId="13889"/>
    <cellStyle name="40% - 강조색2 6 5 2 3" xfId="13890"/>
    <cellStyle name="40% - 강조색2 6 5 2 4" xfId="13891"/>
    <cellStyle name="40% - 강조색2 6 5 3" xfId="13892"/>
    <cellStyle name="40% - 강조색2 6 5 3 2" xfId="13893"/>
    <cellStyle name="40% - 강조색2 6 5 3 3" xfId="13894"/>
    <cellStyle name="40% - 강조색2 6 5 4" xfId="13895"/>
    <cellStyle name="40% - 강조색2 6 5 5" xfId="13896"/>
    <cellStyle name="40% - 강조색2 6 6" xfId="13897"/>
    <cellStyle name="40% - 강조색2 6 6 2" xfId="13898"/>
    <cellStyle name="40% - 강조색2 6 6 2 2" xfId="13899"/>
    <cellStyle name="40% - 강조색2 6 6 2 2 2" xfId="13900"/>
    <cellStyle name="40% - 강조색2 6 6 2 2 3" xfId="13901"/>
    <cellStyle name="40% - 강조색2 6 6 2 3" xfId="13902"/>
    <cellStyle name="40% - 강조색2 6 6 2 4" xfId="13903"/>
    <cellStyle name="40% - 강조색2 6 6 3" xfId="13904"/>
    <cellStyle name="40% - 강조색2 6 6 3 2" xfId="13905"/>
    <cellStyle name="40% - 강조색2 6 6 3 3" xfId="13906"/>
    <cellStyle name="40% - 강조색2 6 6 4" xfId="13907"/>
    <cellStyle name="40% - 강조색2 6 6 5" xfId="13908"/>
    <cellStyle name="40% - 강조색2 6 7" xfId="13909"/>
    <cellStyle name="40% - 강조색2 6 7 2" xfId="13910"/>
    <cellStyle name="40% - 강조색2 6 7 2 2" xfId="13911"/>
    <cellStyle name="40% - 강조색2 6 7 2 3" xfId="13912"/>
    <cellStyle name="40% - 강조색2 6 7 3" xfId="13913"/>
    <cellStyle name="40% - 강조색2 6 7 4" xfId="13914"/>
    <cellStyle name="40% - 강조색2 6 8" xfId="13915"/>
    <cellStyle name="40% - 강조색2 6 8 2" xfId="13916"/>
    <cellStyle name="40% - 강조색2 6 8 3" xfId="13917"/>
    <cellStyle name="40% - 강조색2 6 9" xfId="13918"/>
    <cellStyle name="40% - 강조색2 60" xfId="13919"/>
    <cellStyle name="40% - 강조색2 61" xfId="13920"/>
    <cellStyle name="40% - 강조색2 62" xfId="13921"/>
    <cellStyle name="40% - 강조색2 63" xfId="13922"/>
    <cellStyle name="40% - 강조색2 64" xfId="13923"/>
    <cellStyle name="40% - 강조색2 65" xfId="13924"/>
    <cellStyle name="40% - 강조색2 66" xfId="13925"/>
    <cellStyle name="40% - 강조색2 67" xfId="13926"/>
    <cellStyle name="40% - 강조색2 68" xfId="13927"/>
    <cellStyle name="40% - 강조색2 69" xfId="13928"/>
    <cellStyle name="40% - 강조색2 7" xfId="13929"/>
    <cellStyle name="40% - 강조색2 7 10" xfId="13930"/>
    <cellStyle name="40% - 강조색2 7 2" xfId="13931"/>
    <cellStyle name="40% - 강조색2 7 2 2" xfId="13932"/>
    <cellStyle name="40% - 강조색2 7 2 2 2" xfId="13933"/>
    <cellStyle name="40% - 강조색2 7 2 2 2 2" xfId="13934"/>
    <cellStyle name="40% - 강조색2 7 2 2 2 2 2" xfId="13935"/>
    <cellStyle name="40% - 강조색2 7 2 2 2 2 3" xfId="13936"/>
    <cellStyle name="40% - 강조색2 7 2 2 2 3" xfId="13937"/>
    <cellStyle name="40% - 강조색2 7 2 2 2 4" xfId="13938"/>
    <cellStyle name="40% - 강조색2 7 2 2 3" xfId="13939"/>
    <cellStyle name="40% - 강조색2 7 2 2 3 2" xfId="13940"/>
    <cellStyle name="40% - 강조색2 7 2 2 3 3" xfId="13941"/>
    <cellStyle name="40% - 강조색2 7 2 2 4" xfId="13942"/>
    <cellStyle name="40% - 강조색2 7 2 2 5" xfId="13943"/>
    <cellStyle name="40% - 강조색2 7 2 3" xfId="13944"/>
    <cellStyle name="40% - 강조색2 7 2 3 2" xfId="13945"/>
    <cellStyle name="40% - 강조색2 7 2 3 2 2" xfId="13946"/>
    <cellStyle name="40% - 강조색2 7 2 3 2 2 2" xfId="13947"/>
    <cellStyle name="40% - 강조색2 7 2 3 2 2 3" xfId="13948"/>
    <cellStyle name="40% - 강조색2 7 2 3 2 3" xfId="13949"/>
    <cellStyle name="40% - 강조색2 7 2 3 2 4" xfId="13950"/>
    <cellStyle name="40% - 강조색2 7 2 3 3" xfId="13951"/>
    <cellStyle name="40% - 강조색2 7 2 3 3 2" xfId="13952"/>
    <cellStyle name="40% - 강조색2 7 2 3 3 3" xfId="13953"/>
    <cellStyle name="40% - 강조색2 7 2 3 4" xfId="13954"/>
    <cellStyle name="40% - 강조색2 7 2 3 5" xfId="13955"/>
    <cellStyle name="40% - 강조색2 7 2 4" xfId="13956"/>
    <cellStyle name="40% - 강조색2 7 2 4 2" xfId="13957"/>
    <cellStyle name="40% - 강조색2 7 2 4 2 2" xfId="13958"/>
    <cellStyle name="40% - 강조색2 7 2 4 2 3" xfId="13959"/>
    <cellStyle name="40% - 강조색2 7 2 4 3" xfId="13960"/>
    <cellStyle name="40% - 강조색2 7 2 4 4" xfId="13961"/>
    <cellStyle name="40% - 강조색2 7 2 5" xfId="13962"/>
    <cellStyle name="40% - 강조색2 7 2 5 2" xfId="13963"/>
    <cellStyle name="40% - 강조색2 7 2 5 3" xfId="13964"/>
    <cellStyle name="40% - 강조색2 7 2 6" xfId="13965"/>
    <cellStyle name="40% - 강조색2 7 2 7" xfId="13966"/>
    <cellStyle name="40% - 강조색2 7 3" xfId="13967"/>
    <cellStyle name="40% - 강조색2 7 3 2" xfId="13968"/>
    <cellStyle name="40% - 강조색2 7 3 2 2" xfId="13969"/>
    <cellStyle name="40% - 강조색2 7 3 2 2 2" xfId="13970"/>
    <cellStyle name="40% - 강조색2 7 3 2 2 2 2" xfId="13971"/>
    <cellStyle name="40% - 강조색2 7 3 2 2 2 3" xfId="13972"/>
    <cellStyle name="40% - 강조색2 7 3 2 2 3" xfId="13973"/>
    <cellStyle name="40% - 강조색2 7 3 2 2 4" xfId="13974"/>
    <cellStyle name="40% - 강조색2 7 3 2 3" xfId="13975"/>
    <cellStyle name="40% - 강조색2 7 3 2 3 2" xfId="13976"/>
    <cellStyle name="40% - 강조색2 7 3 2 3 3" xfId="13977"/>
    <cellStyle name="40% - 강조색2 7 3 2 4" xfId="13978"/>
    <cellStyle name="40% - 강조색2 7 3 2 5" xfId="13979"/>
    <cellStyle name="40% - 강조색2 7 3 3" xfId="13980"/>
    <cellStyle name="40% - 강조색2 7 3 3 2" xfId="13981"/>
    <cellStyle name="40% - 강조색2 7 3 3 2 2" xfId="13982"/>
    <cellStyle name="40% - 강조색2 7 3 3 2 2 2" xfId="13983"/>
    <cellStyle name="40% - 강조색2 7 3 3 2 2 3" xfId="13984"/>
    <cellStyle name="40% - 강조색2 7 3 3 2 3" xfId="13985"/>
    <cellStyle name="40% - 강조색2 7 3 3 2 4" xfId="13986"/>
    <cellStyle name="40% - 강조색2 7 3 3 3" xfId="13987"/>
    <cellStyle name="40% - 강조색2 7 3 3 3 2" xfId="13988"/>
    <cellStyle name="40% - 강조색2 7 3 3 3 3" xfId="13989"/>
    <cellStyle name="40% - 강조색2 7 3 3 4" xfId="13990"/>
    <cellStyle name="40% - 강조색2 7 3 3 5" xfId="13991"/>
    <cellStyle name="40% - 강조색2 7 3 4" xfId="13992"/>
    <cellStyle name="40% - 강조색2 7 3 4 2" xfId="13993"/>
    <cellStyle name="40% - 강조색2 7 3 4 2 2" xfId="13994"/>
    <cellStyle name="40% - 강조색2 7 3 4 2 3" xfId="13995"/>
    <cellStyle name="40% - 강조색2 7 3 4 3" xfId="13996"/>
    <cellStyle name="40% - 강조색2 7 3 4 4" xfId="13997"/>
    <cellStyle name="40% - 강조색2 7 3 5" xfId="13998"/>
    <cellStyle name="40% - 강조색2 7 3 5 2" xfId="13999"/>
    <cellStyle name="40% - 강조색2 7 3 5 3" xfId="14000"/>
    <cellStyle name="40% - 강조색2 7 3 6" xfId="14001"/>
    <cellStyle name="40% - 강조색2 7 3 7" xfId="14002"/>
    <cellStyle name="40% - 강조색2 7 4" xfId="14003"/>
    <cellStyle name="40% - 강조색2 7 4 2" xfId="14004"/>
    <cellStyle name="40% - 강조색2 7 4 2 2" xfId="14005"/>
    <cellStyle name="40% - 강조색2 7 4 2 2 2" xfId="14006"/>
    <cellStyle name="40% - 강조색2 7 4 2 2 3" xfId="14007"/>
    <cellStyle name="40% - 강조색2 7 4 2 3" xfId="14008"/>
    <cellStyle name="40% - 강조색2 7 4 2 4" xfId="14009"/>
    <cellStyle name="40% - 강조색2 7 4 3" xfId="14010"/>
    <cellStyle name="40% - 강조색2 7 4 3 2" xfId="14011"/>
    <cellStyle name="40% - 강조색2 7 4 3 3" xfId="14012"/>
    <cellStyle name="40% - 강조색2 7 4 4" xfId="14013"/>
    <cellStyle name="40% - 강조색2 7 4 5" xfId="14014"/>
    <cellStyle name="40% - 강조색2 7 5" xfId="14015"/>
    <cellStyle name="40% - 강조색2 7 5 2" xfId="14016"/>
    <cellStyle name="40% - 강조색2 7 5 2 2" xfId="14017"/>
    <cellStyle name="40% - 강조색2 7 5 2 2 2" xfId="14018"/>
    <cellStyle name="40% - 강조색2 7 5 2 2 3" xfId="14019"/>
    <cellStyle name="40% - 강조색2 7 5 2 3" xfId="14020"/>
    <cellStyle name="40% - 강조색2 7 5 2 4" xfId="14021"/>
    <cellStyle name="40% - 강조색2 7 5 3" xfId="14022"/>
    <cellStyle name="40% - 강조색2 7 5 3 2" xfId="14023"/>
    <cellStyle name="40% - 강조색2 7 5 3 3" xfId="14024"/>
    <cellStyle name="40% - 강조색2 7 5 4" xfId="14025"/>
    <cellStyle name="40% - 강조색2 7 5 5" xfId="14026"/>
    <cellStyle name="40% - 강조색2 7 6" xfId="14027"/>
    <cellStyle name="40% - 강조색2 7 6 2" xfId="14028"/>
    <cellStyle name="40% - 강조색2 7 6 2 2" xfId="14029"/>
    <cellStyle name="40% - 강조색2 7 6 2 2 2" xfId="14030"/>
    <cellStyle name="40% - 강조색2 7 6 2 2 3" xfId="14031"/>
    <cellStyle name="40% - 강조색2 7 6 2 3" xfId="14032"/>
    <cellStyle name="40% - 강조색2 7 6 2 4" xfId="14033"/>
    <cellStyle name="40% - 강조색2 7 6 3" xfId="14034"/>
    <cellStyle name="40% - 강조색2 7 6 3 2" xfId="14035"/>
    <cellStyle name="40% - 강조색2 7 6 3 3" xfId="14036"/>
    <cellStyle name="40% - 강조색2 7 6 4" xfId="14037"/>
    <cellStyle name="40% - 강조색2 7 6 5" xfId="14038"/>
    <cellStyle name="40% - 강조색2 7 7" xfId="14039"/>
    <cellStyle name="40% - 강조색2 7 7 2" xfId="14040"/>
    <cellStyle name="40% - 강조색2 7 7 2 2" xfId="14041"/>
    <cellStyle name="40% - 강조색2 7 7 2 3" xfId="14042"/>
    <cellStyle name="40% - 강조색2 7 7 3" xfId="14043"/>
    <cellStyle name="40% - 강조색2 7 7 4" xfId="14044"/>
    <cellStyle name="40% - 강조색2 7 8" xfId="14045"/>
    <cellStyle name="40% - 강조색2 7 8 2" xfId="14046"/>
    <cellStyle name="40% - 강조색2 7 8 3" xfId="14047"/>
    <cellStyle name="40% - 강조색2 7 9" xfId="14048"/>
    <cellStyle name="40% - 강조색2 8" xfId="14049"/>
    <cellStyle name="40% - 강조색2 8 2" xfId="14050"/>
    <cellStyle name="40% - 강조색2 8 2 2" xfId="14051"/>
    <cellStyle name="40% - 강조색2 8 2 2 2" xfId="14052"/>
    <cellStyle name="40% - 강조색2 8 2 2 2 2" xfId="14053"/>
    <cellStyle name="40% - 강조색2 8 2 2 2 3" xfId="14054"/>
    <cellStyle name="40% - 강조색2 8 2 2 3" xfId="14055"/>
    <cellStyle name="40% - 강조색2 8 2 2 4" xfId="14056"/>
    <cellStyle name="40% - 강조색2 8 2 3" xfId="14057"/>
    <cellStyle name="40% - 강조색2 8 2 3 2" xfId="14058"/>
    <cellStyle name="40% - 강조색2 8 2 3 3" xfId="14059"/>
    <cellStyle name="40% - 강조색2 8 2 4" xfId="14060"/>
    <cellStyle name="40% - 강조색2 8 2 5" xfId="14061"/>
    <cellStyle name="40% - 강조색2 8 3" xfId="14062"/>
    <cellStyle name="40% - 강조색2 8 3 2" xfId="14063"/>
    <cellStyle name="40% - 강조색2 8 3 2 2" xfId="14064"/>
    <cellStyle name="40% - 강조색2 8 3 2 2 2" xfId="14065"/>
    <cellStyle name="40% - 강조색2 8 3 2 2 3" xfId="14066"/>
    <cellStyle name="40% - 강조색2 8 3 2 3" xfId="14067"/>
    <cellStyle name="40% - 강조색2 8 3 2 4" xfId="14068"/>
    <cellStyle name="40% - 강조색2 8 3 3" xfId="14069"/>
    <cellStyle name="40% - 강조색2 8 3 3 2" xfId="14070"/>
    <cellStyle name="40% - 강조색2 8 3 3 3" xfId="14071"/>
    <cellStyle name="40% - 강조색2 8 3 4" xfId="14072"/>
    <cellStyle name="40% - 강조색2 8 3 5" xfId="14073"/>
    <cellStyle name="40% - 강조색2 8 4" xfId="14074"/>
    <cellStyle name="40% - 강조색2 8 4 2" xfId="14075"/>
    <cellStyle name="40% - 강조색2 8 4 2 2" xfId="14076"/>
    <cellStyle name="40% - 강조색2 8 4 2 3" xfId="14077"/>
    <cellStyle name="40% - 강조색2 8 4 3" xfId="14078"/>
    <cellStyle name="40% - 강조색2 8 4 4" xfId="14079"/>
    <cellStyle name="40% - 강조색2 8 5" xfId="14080"/>
    <cellStyle name="40% - 강조색2 8 5 2" xfId="14081"/>
    <cellStyle name="40% - 강조색2 8 5 3" xfId="14082"/>
    <cellStyle name="40% - 강조색2 8 6" xfId="14083"/>
    <cellStyle name="40% - 강조색2 8 7" xfId="14084"/>
    <cellStyle name="40% - 강조색2 9" xfId="14085"/>
    <cellStyle name="40% - 강조색2 9 2" xfId="14086"/>
    <cellStyle name="40% - 강조색2 9 2 2" xfId="14087"/>
    <cellStyle name="40% - 강조색2 9 2 2 2" xfId="14088"/>
    <cellStyle name="40% - 강조색2 9 2 2 2 2" xfId="14089"/>
    <cellStyle name="40% - 강조색2 9 2 2 2 3" xfId="14090"/>
    <cellStyle name="40% - 강조색2 9 2 2 3" xfId="14091"/>
    <cellStyle name="40% - 강조색2 9 2 2 4" xfId="14092"/>
    <cellStyle name="40% - 강조색2 9 2 3" xfId="14093"/>
    <cellStyle name="40% - 강조색2 9 2 3 2" xfId="14094"/>
    <cellStyle name="40% - 강조색2 9 2 3 3" xfId="14095"/>
    <cellStyle name="40% - 강조색2 9 2 4" xfId="14096"/>
    <cellStyle name="40% - 강조색2 9 2 5" xfId="14097"/>
    <cellStyle name="40% - 강조색2 9 3" xfId="14098"/>
    <cellStyle name="40% - 강조색2 9 3 2" xfId="14099"/>
    <cellStyle name="40% - 강조색2 9 3 2 2" xfId="14100"/>
    <cellStyle name="40% - 강조색2 9 3 2 2 2" xfId="14101"/>
    <cellStyle name="40% - 강조색2 9 3 2 2 3" xfId="14102"/>
    <cellStyle name="40% - 강조색2 9 3 2 3" xfId="14103"/>
    <cellStyle name="40% - 강조색2 9 3 2 4" xfId="14104"/>
    <cellStyle name="40% - 강조색2 9 3 3" xfId="14105"/>
    <cellStyle name="40% - 강조색2 9 3 3 2" xfId="14106"/>
    <cellStyle name="40% - 강조색2 9 3 3 3" xfId="14107"/>
    <cellStyle name="40% - 강조색2 9 3 4" xfId="14108"/>
    <cellStyle name="40% - 강조색2 9 3 5" xfId="14109"/>
    <cellStyle name="40% - 강조색2 9 4" xfId="14110"/>
    <cellStyle name="40% - 강조색2 9 4 2" xfId="14111"/>
    <cellStyle name="40% - 강조색2 9 4 2 2" xfId="14112"/>
    <cellStyle name="40% - 강조색2 9 4 2 3" xfId="14113"/>
    <cellStyle name="40% - 강조색2 9 4 3" xfId="14114"/>
    <cellStyle name="40% - 강조색2 9 4 4" xfId="14115"/>
    <cellStyle name="40% - 강조색2 9 5" xfId="14116"/>
    <cellStyle name="40% - 강조색2 9 5 2" xfId="14117"/>
    <cellStyle name="40% - 강조색2 9 5 3" xfId="14118"/>
    <cellStyle name="40% - 강조색2 9 6" xfId="14119"/>
    <cellStyle name="40% - 강조색2 9 7" xfId="14120"/>
    <cellStyle name="40% - 강조색3 10" xfId="14121"/>
    <cellStyle name="40% - 강조색3 10 2" xfId="14122"/>
    <cellStyle name="40% - 강조색3 10 2 2" xfId="14123"/>
    <cellStyle name="40% - 강조색3 10 2 2 2" xfId="14124"/>
    <cellStyle name="40% - 강조색3 10 2 2 2 2" xfId="14125"/>
    <cellStyle name="40% - 강조색3 10 2 2 2 3" xfId="14126"/>
    <cellStyle name="40% - 강조색3 10 2 2 3" xfId="14127"/>
    <cellStyle name="40% - 강조색3 10 2 2 4" xfId="14128"/>
    <cellStyle name="40% - 강조색3 10 2 3" xfId="14129"/>
    <cellStyle name="40% - 강조색3 10 2 3 2" xfId="14130"/>
    <cellStyle name="40% - 강조색3 10 2 3 3" xfId="14131"/>
    <cellStyle name="40% - 강조색3 10 2 4" xfId="14132"/>
    <cellStyle name="40% - 강조색3 10 2 5" xfId="14133"/>
    <cellStyle name="40% - 강조색3 10 3" xfId="14134"/>
    <cellStyle name="40% - 강조색3 10 3 2" xfId="14135"/>
    <cellStyle name="40% - 강조색3 10 3 2 2" xfId="14136"/>
    <cellStyle name="40% - 강조색3 10 3 2 2 2" xfId="14137"/>
    <cellStyle name="40% - 강조색3 10 3 2 2 3" xfId="14138"/>
    <cellStyle name="40% - 강조색3 10 3 2 3" xfId="14139"/>
    <cellStyle name="40% - 강조색3 10 3 2 4" xfId="14140"/>
    <cellStyle name="40% - 강조색3 10 3 3" xfId="14141"/>
    <cellStyle name="40% - 강조색3 10 3 3 2" xfId="14142"/>
    <cellStyle name="40% - 강조색3 10 3 3 3" xfId="14143"/>
    <cellStyle name="40% - 강조색3 10 3 4" xfId="14144"/>
    <cellStyle name="40% - 강조색3 10 3 5" xfId="14145"/>
    <cellStyle name="40% - 강조색3 10 4" xfId="14146"/>
    <cellStyle name="40% - 강조색3 10 4 2" xfId="14147"/>
    <cellStyle name="40% - 강조색3 10 4 2 2" xfId="14148"/>
    <cellStyle name="40% - 강조색3 10 4 2 3" xfId="14149"/>
    <cellStyle name="40% - 강조색3 10 4 3" xfId="14150"/>
    <cellStyle name="40% - 강조색3 10 4 4" xfId="14151"/>
    <cellStyle name="40% - 강조색3 10 5" xfId="14152"/>
    <cellStyle name="40% - 강조색3 10 5 2" xfId="14153"/>
    <cellStyle name="40% - 강조색3 10 5 3" xfId="14154"/>
    <cellStyle name="40% - 강조색3 10 6" xfId="14155"/>
    <cellStyle name="40% - 강조색3 10 7" xfId="14156"/>
    <cellStyle name="40% - 강조색3 11" xfId="14157"/>
    <cellStyle name="40% - 강조색3 11 2" xfId="14158"/>
    <cellStyle name="40% - 강조색3 11 2 2" xfId="14159"/>
    <cellStyle name="40% - 강조색3 11 2 2 2" xfId="14160"/>
    <cellStyle name="40% - 강조색3 11 2 2 3" xfId="14161"/>
    <cellStyle name="40% - 강조색3 11 2 3" xfId="14162"/>
    <cellStyle name="40% - 강조색3 11 2 4" xfId="14163"/>
    <cellStyle name="40% - 강조색3 11 3" xfId="14164"/>
    <cellStyle name="40% - 강조색3 11 3 2" xfId="14165"/>
    <cellStyle name="40% - 강조색3 11 3 3" xfId="14166"/>
    <cellStyle name="40% - 강조색3 11 4" xfId="14167"/>
    <cellStyle name="40% - 강조색3 11 5" xfId="14168"/>
    <cellStyle name="40% - 강조색3 12" xfId="14169"/>
    <cellStyle name="40% - 강조색3 12 2" xfId="14170"/>
    <cellStyle name="40% - 강조색3 12 2 2" xfId="14171"/>
    <cellStyle name="40% - 강조색3 12 2 2 2" xfId="14172"/>
    <cellStyle name="40% - 강조색3 12 2 2 3" xfId="14173"/>
    <cellStyle name="40% - 강조색3 12 2 3" xfId="14174"/>
    <cellStyle name="40% - 강조색3 12 2 4" xfId="14175"/>
    <cellStyle name="40% - 강조색3 12 3" xfId="14176"/>
    <cellStyle name="40% - 강조색3 12 3 2" xfId="14177"/>
    <cellStyle name="40% - 강조색3 12 3 3" xfId="14178"/>
    <cellStyle name="40% - 강조색3 12 4" xfId="14179"/>
    <cellStyle name="40% - 강조색3 12 5" xfId="14180"/>
    <cellStyle name="40% - 강조색3 13" xfId="14181"/>
    <cellStyle name="40% - 강조색3 13 2" xfId="14182"/>
    <cellStyle name="40% - 강조색3 13 2 2" xfId="14183"/>
    <cellStyle name="40% - 강조색3 13 2 3" xfId="14184"/>
    <cellStyle name="40% - 강조색3 13 3" xfId="14185"/>
    <cellStyle name="40% - 강조색3 13 4" xfId="14186"/>
    <cellStyle name="40% - 강조색3 14" xfId="14187"/>
    <cellStyle name="40% - 강조색3 14 2" xfId="14188"/>
    <cellStyle name="40% - 강조색3 14 2 2" xfId="14189"/>
    <cellStyle name="40% - 강조색3 14 2 3" xfId="14190"/>
    <cellStyle name="40% - 강조색3 14 3" xfId="14191"/>
    <cellStyle name="40% - 강조색3 14 4" xfId="14192"/>
    <cellStyle name="40% - 강조색3 15" xfId="14193"/>
    <cellStyle name="40% - 강조색3 15 2" xfId="14194"/>
    <cellStyle name="40% - 강조색3 15 3" xfId="14195"/>
    <cellStyle name="40% - 강조색3 16" xfId="14196"/>
    <cellStyle name="40% - 강조색3 16 2" xfId="14197"/>
    <cellStyle name="40% - 강조색3 16 3" xfId="14198"/>
    <cellStyle name="40% - 강조색3 16 4" xfId="14199"/>
    <cellStyle name="40% - 강조색3 17" xfId="14200"/>
    <cellStyle name="40% - 강조색3 17 2" xfId="14201"/>
    <cellStyle name="40% - 강조색3 17 3" xfId="14202"/>
    <cellStyle name="40% - 강조색3 18" xfId="14203"/>
    <cellStyle name="40% - 강조색3 18 2" xfId="14204"/>
    <cellStyle name="40% - 강조색3 18 3" xfId="14205"/>
    <cellStyle name="40% - 강조색3 19" xfId="14206"/>
    <cellStyle name="40% - 강조색3 19 2" xfId="14207"/>
    <cellStyle name="40% - 강조색3 19 3" xfId="14208"/>
    <cellStyle name="40% - 강조색3 2" xfId="14209"/>
    <cellStyle name="40% - 강조색3 2 2" xfId="14210"/>
    <cellStyle name="40% - 강조색3 2 2 2" xfId="14211"/>
    <cellStyle name="40% - 강조색3 2 2 2 2" xfId="14212"/>
    <cellStyle name="40% - 강조색3 2 2 3" xfId="14213"/>
    <cellStyle name="40% - 강조색3 2 3" xfId="14214"/>
    <cellStyle name="40% - 강조색3 2 3 2" xfId="14215"/>
    <cellStyle name="40% - 강조색3 2 3 2 2" xfId="14216"/>
    <cellStyle name="40% - 강조색3 2 3 3" xfId="14217"/>
    <cellStyle name="40% - 강조색3 2 4" xfId="14218"/>
    <cellStyle name="40% - 강조색3 2 4 2" xfId="14219"/>
    <cellStyle name="40% - 강조색3 2 5" xfId="14220"/>
    <cellStyle name="40% - 강조색3 2 6" xfId="14221"/>
    <cellStyle name="40% - 강조색3 20" xfId="14222"/>
    <cellStyle name="40% - 강조색3 20 2" xfId="14223"/>
    <cellStyle name="40% - 강조색3 20 3" xfId="14224"/>
    <cellStyle name="40% - 강조색3 21" xfId="14225"/>
    <cellStyle name="40% - 강조색3 21 2" xfId="14226"/>
    <cellStyle name="40% - 강조색3 21 3" xfId="14227"/>
    <cellStyle name="40% - 강조색3 22" xfId="14228"/>
    <cellStyle name="40% - 강조색3 22 2" xfId="14229"/>
    <cellStyle name="40% - 강조색3 22 3" xfId="14230"/>
    <cellStyle name="40% - 강조색3 23" xfId="14231"/>
    <cellStyle name="40% - 강조색3 23 2" xfId="14232"/>
    <cellStyle name="40% - 강조색3 23 3" xfId="14233"/>
    <cellStyle name="40% - 강조색3 24" xfId="14234"/>
    <cellStyle name="40% - 강조색3 24 2" xfId="14235"/>
    <cellStyle name="40% - 강조색3 25" xfId="14236"/>
    <cellStyle name="40% - 강조색3 25 2" xfId="14237"/>
    <cellStyle name="40% - 강조색3 26" xfId="14238"/>
    <cellStyle name="40% - 강조색3 26 2" xfId="14239"/>
    <cellStyle name="40% - 강조색3 27" xfId="14240"/>
    <cellStyle name="40% - 강조색3 27 2" xfId="14241"/>
    <cellStyle name="40% - 강조색3 28" xfId="14242"/>
    <cellStyle name="40% - 강조색3 28 2" xfId="14243"/>
    <cellStyle name="40% - 강조색3 29" xfId="14244"/>
    <cellStyle name="40% - 강조색3 29 2" xfId="14245"/>
    <cellStyle name="40% - 강조색3 3" xfId="14246"/>
    <cellStyle name="40% - 강조색3 3 10" xfId="14247"/>
    <cellStyle name="40% - 강조색3 3 10 2" xfId="14248"/>
    <cellStyle name="40% - 강조색3 3 10 2 2" xfId="14249"/>
    <cellStyle name="40% - 강조색3 3 10 2 3" xfId="14250"/>
    <cellStyle name="40% - 강조색3 3 10 3" xfId="14251"/>
    <cellStyle name="40% - 강조색3 3 10 4" xfId="14252"/>
    <cellStyle name="40% - 강조색3 3 11" xfId="14253"/>
    <cellStyle name="40% - 강조색3 3 11 2" xfId="14254"/>
    <cellStyle name="40% - 강조색3 3 11 3" xfId="14255"/>
    <cellStyle name="40% - 강조색3 3 12" xfId="14256"/>
    <cellStyle name="40% - 강조색3 3 13" xfId="14257"/>
    <cellStyle name="40% - 강조색3 3 14" xfId="14258"/>
    <cellStyle name="40% - 강조색3 3 15" xfId="14259"/>
    <cellStyle name="40% - 강조색3 3 2" xfId="14260"/>
    <cellStyle name="40% - 강조색3 3 2 10" xfId="14261"/>
    <cellStyle name="40% - 강조색3 3 2 11" xfId="14262"/>
    <cellStyle name="40% - 강조색3 3 2 12" xfId="14263"/>
    <cellStyle name="40% - 강조색3 3 2 2" xfId="14264"/>
    <cellStyle name="40% - 강조색3 3 2 2 2" xfId="14265"/>
    <cellStyle name="40% - 강조색3 3 2 2 2 2" xfId="14266"/>
    <cellStyle name="40% - 강조색3 3 2 2 2 2 2" xfId="14267"/>
    <cellStyle name="40% - 강조색3 3 2 2 2 2 2 2" xfId="14268"/>
    <cellStyle name="40% - 강조색3 3 2 2 2 2 2 3" xfId="14269"/>
    <cellStyle name="40% - 강조색3 3 2 2 2 2 3" xfId="14270"/>
    <cellStyle name="40% - 강조색3 3 2 2 2 2 4" xfId="14271"/>
    <cellStyle name="40% - 강조색3 3 2 2 2 3" xfId="14272"/>
    <cellStyle name="40% - 강조색3 3 2 2 2 3 2" xfId="14273"/>
    <cellStyle name="40% - 강조색3 3 2 2 2 3 3" xfId="14274"/>
    <cellStyle name="40% - 강조색3 3 2 2 2 4" xfId="14275"/>
    <cellStyle name="40% - 강조색3 3 2 2 2 5" xfId="14276"/>
    <cellStyle name="40% - 강조색3 3 2 2 3" xfId="14277"/>
    <cellStyle name="40% - 강조색3 3 2 2 3 2" xfId="14278"/>
    <cellStyle name="40% - 강조색3 3 2 2 3 2 2" xfId="14279"/>
    <cellStyle name="40% - 강조색3 3 2 2 3 2 2 2" xfId="14280"/>
    <cellStyle name="40% - 강조색3 3 2 2 3 2 2 3" xfId="14281"/>
    <cellStyle name="40% - 강조색3 3 2 2 3 2 3" xfId="14282"/>
    <cellStyle name="40% - 강조색3 3 2 2 3 2 4" xfId="14283"/>
    <cellStyle name="40% - 강조색3 3 2 2 3 3" xfId="14284"/>
    <cellStyle name="40% - 강조색3 3 2 2 3 3 2" xfId="14285"/>
    <cellStyle name="40% - 강조색3 3 2 2 3 3 3" xfId="14286"/>
    <cellStyle name="40% - 강조색3 3 2 2 3 4" xfId="14287"/>
    <cellStyle name="40% - 강조색3 3 2 2 3 5" xfId="14288"/>
    <cellStyle name="40% - 강조색3 3 2 2 4" xfId="14289"/>
    <cellStyle name="40% - 강조색3 3 2 2 4 2" xfId="14290"/>
    <cellStyle name="40% - 강조색3 3 2 2 4 2 2" xfId="14291"/>
    <cellStyle name="40% - 강조색3 3 2 2 4 2 3" xfId="14292"/>
    <cellStyle name="40% - 강조색3 3 2 2 4 3" xfId="14293"/>
    <cellStyle name="40% - 강조색3 3 2 2 4 4" xfId="14294"/>
    <cellStyle name="40% - 강조색3 3 2 2 5" xfId="14295"/>
    <cellStyle name="40% - 강조색3 3 2 2 5 2" xfId="14296"/>
    <cellStyle name="40% - 강조색3 3 2 2 5 3" xfId="14297"/>
    <cellStyle name="40% - 강조색3 3 2 2 6" xfId="14298"/>
    <cellStyle name="40% - 강조색3 3 2 2 7" xfId="14299"/>
    <cellStyle name="40% - 강조색3 3 2 2 8" xfId="14300"/>
    <cellStyle name="40% - 강조색3 3 2 2 9" xfId="14301"/>
    <cellStyle name="40% - 강조색3 3 2 3" xfId="14302"/>
    <cellStyle name="40% - 강조색3 3 2 3 2" xfId="14303"/>
    <cellStyle name="40% - 강조색3 3 2 3 2 2" xfId="14304"/>
    <cellStyle name="40% - 강조색3 3 2 3 2 2 2" xfId="14305"/>
    <cellStyle name="40% - 강조색3 3 2 3 2 2 2 2" xfId="14306"/>
    <cellStyle name="40% - 강조색3 3 2 3 2 2 2 3" xfId="14307"/>
    <cellStyle name="40% - 강조색3 3 2 3 2 2 3" xfId="14308"/>
    <cellStyle name="40% - 강조색3 3 2 3 2 2 4" xfId="14309"/>
    <cellStyle name="40% - 강조색3 3 2 3 2 3" xfId="14310"/>
    <cellStyle name="40% - 강조색3 3 2 3 2 3 2" xfId="14311"/>
    <cellStyle name="40% - 강조색3 3 2 3 2 3 3" xfId="14312"/>
    <cellStyle name="40% - 강조색3 3 2 3 2 4" xfId="14313"/>
    <cellStyle name="40% - 강조색3 3 2 3 2 5" xfId="14314"/>
    <cellStyle name="40% - 강조색3 3 2 3 3" xfId="14315"/>
    <cellStyle name="40% - 강조색3 3 2 3 3 2" xfId="14316"/>
    <cellStyle name="40% - 강조색3 3 2 3 3 2 2" xfId="14317"/>
    <cellStyle name="40% - 강조색3 3 2 3 3 2 2 2" xfId="14318"/>
    <cellStyle name="40% - 강조색3 3 2 3 3 2 2 3" xfId="14319"/>
    <cellStyle name="40% - 강조색3 3 2 3 3 2 3" xfId="14320"/>
    <cellStyle name="40% - 강조색3 3 2 3 3 2 4" xfId="14321"/>
    <cellStyle name="40% - 강조색3 3 2 3 3 3" xfId="14322"/>
    <cellStyle name="40% - 강조색3 3 2 3 3 3 2" xfId="14323"/>
    <cellStyle name="40% - 강조색3 3 2 3 3 3 3" xfId="14324"/>
    <cellStyle name="40% - 강조색3 3 2 3 3 4" xfId="14325"/>
    <cellStyle name="40% - 강조색3 3 2 3 3 5" xfId="14326"/>
    <cellStyle name="40% - 강조색3 3 2 3 4" xfId="14327"/>
    <cellStyle name="40% - 강조색3 3 2 3 4 2" xfId="14328"/>
    <cellStyle name="40% - 강조색3 3 2 3 4 2 2" xfId="14329"/>
    <cellStyle name="40% - 강조색3 3 2 3 4 2 3" xfId="14330"/>
    <cellStyle name="40% - 강조색3 3 2 3 4 3" xfId="14331"/>
    <cellStyle name="40% - 강조색3 3 2 3 4 4" xfId="14332"/>
    <cellStyle name="40% - 강조색3 3 2 3 5" xfId="14333"/>
    <cellStyle name="40% - 강조색3 3 2 3 5 2" xfId="14334"/>
    <cellStyle name="40% - 강조색3 3 2 3 5 3" xfId="14335"/>
    <cellStyle name="40% - 강조색3 3 2 3 6" xfId="14336"/>
    <cellStyle name="40% - 강조색3 3 2 3 7" xfId="14337"/>
    <cellStyle name="40% - 강조색3 3 2 4" xfId="14338"/>
    <cellStyle name="40% - 강조색3 3 2 4 2" xfId="14339"/>
    <cellStyle name="40% - 강조색3 3 2 4 2 2" xfId="14340"/>
    <cellStyle name="40% - 강조색3 3 2 4 2 2 2" xfId="14341"/>
    <cellStyle name="40% - 강조색3 3 2 4 2 2 3" xfId="14342"/>
    <cellStyle name="40% - 강조색3 3 2 4 2 3" xfId="14343"/>
    <cellStyle name="40% - 강조색3 3 2 4 2 4" xfId="14344"/>
    <cellStyle name="40% - 강조색3 3 2 4 3" xfId="14345"/>
    <cellStyle name="40% - 강조색3 3 2 4 3 2" xfId="14346"/>
    <cellStyle name="40% - 강조색3 3 2 4 3 3" xfId="14347"/>
    <cellStyle name="40% - 강조색3 3 2 4 4" xfId="14348"/>
    <cellStyle name="40% - 강조색3 3 2 4 5" xfId="14349"/>
    <cellStyle name="40% - 강조색3 3 2 5" xfId="14350"/>
    <cellStyle name="40% - 강조색3 3 2 5 2" xfId="14351"/>
    <cellStyle name="40% - 강조색3 3 2 5 2 2" xfId="14352"/>
    <cellStyle name="40% - 강조색3 3 2 5 2 2 2" xfId="14353"/>
    <cellStyle name="40% - 강조색3 3 2 5 2 2 3" xfId="14354"/>
    <cellStyle name="40% - 강조색3 3 2 5 2 3" xfId="14355"/>
    <cellStyle name="40% - 강조색3 3 2 5 2 4" xfId="14356"/>
    <cellStyle name="40% - 강조색3 3 2 5 3" xfId="14357"/>
    <cellStyle name="40% - 강조색3 3 2 5 3 2" xfId="14358"/>
    <cellStyle name="40% - 강조색3 3 2 5 3 3" xfId="14359"/>
    <cellStyle name="40% - 강조색3 3 2 5 4" xfId="14360"/>
    <cellStyle name="40% - 강조색3 3 2 5 5" xfId="14361"/>
    <cellStyle name="40% - 강조색3 3 2 6" xfId="14362"/>
    <cellStyle name="40% - 강조색3 3 2 6 2" xfId="14363"/>
    <cellStyle name="40% - 강조색3 3 2 6 2 2" xfId="14364"/>
    <cellStyle name="40% - 강조색3 3 2 6 2 2 2" xfId="14365"/>
    <cellStyle name="40% - 강조색3 3 2 6 2 2 3" xfId="14366"/>
    <cellStyle name="40% - 강조색3 3 2 6 2 3" xfId="14367"/>
    <cellStyle name="40% - 강조색3 3 2 6 2 4" xfId="14368"/>
    <cellStyle name="40% - 강조색3 3 2 6 3" xfId="14369"/>
    <cellStyle name="40% - 강조색3 3 2 6 3 2" xfId="14370"/>
    <cellStyle name="40% - 강조색3 3 2 6 3 3" xfId="14371"/>
    <cellStyle name="40% - 강조색3 3 2 6 4" xfId="14372"/>
    <cellStyle name="40% - 강조색3 3 2 6 5" xfId="14373"/>
    <cellStyle name="40% - 강조색3 3 2 7" xfId="14374"/>
    <cellStyle name="40% - 강조색3 3 2 7 2" xfId="14375"/>
    <cellStyle name="40% - 강조색3 3 2 7 2 2" xfId="14376"/>
    <cellStyle name="40% - 강조색3 3 2 7 2 3" xfId="14377"/>
    <cellStyle name="40% - 강조색3 3 2 7 3" xfId="14378"/>
    <cellStyle name="40% - 강조색3 3 2 7 4" xfId="14379"/>
    <cellStyle name="40% - 강조색3 3 2 8" xfId="14380"/>
    <cellStyle name="40% - 강조색3 3 2 8 2" xfId="14381"/>
    <cellStyle name="40% - 강조색3 3 2 8 3" xfId="14382"/>
    <cellStyle name="40% - 강조색3 3 2 9" xfId="14383"/>
    <cellStyle name="40% - 강조색3 3 3" xfId="14384"/>
    <cellStyle name="40% - 강조색3 3 3 10" xfId="14385"/>
    <cellStyle name="40% - 강조색3 3 3 11" xfId="14386"/>
    <cellStyle name="40% - 강조색3 3 3 12" xfId="14387"/>
    <cellStyle name="40% - 강조색3 3 3 2" xfId="14388"/>
    <cellStyle name="40% - 강조색3 3 3 2 2" xfId="14389"/>
    <cellStyle name="40% - 강조색3 3 3 2 2 2" xfId="14390"/>
    <cellStyle name="40% - 강조색3 3 3 2 2 2 2" xfId="14391"/>
    <cellStyle name="40% - 강조색3 3 3 2 2 2 2 2" xfId="14392"/>
    <cellStyle name="40% - 강조색3 3 3 2 2 2 2 3" xfId="14393"/>
    <cellStyle name="40% - 강조색3 3 3 2 2 2 3" xfId="14394"/>
    <cellStyle name="40% - 강조색3 3 3 2 2 2 4" xfId="14395"/>
    <cellStyle name="40% - 강조색3 3 3 2 2 3" xfId="14396"/>
    <cellStyle name="40% - 강조색3 3 3 2 2 3 2" xfId="14397"/>
    <cellStyle name="40% - 강조색3 3 3 2 2 3 3" xfId="14398"/>
    <cellStyle name="40% - 강조색3 3 3 2 2 4" xfId="14399"/>
    <cellStyle name="40% - 강조색3 3 3 2 2 5" xfId="14400"/>
    <cellStyle name="40% - 강조색3 3 3 2 3" xfId="14401"/>
    <cellStyle name="40% - 강조색3 3 3 2 3 2" xfId="14402"/>
    <cellStyle name="40% - 강조색3 3 3 2 3 2 2" xfId="14403"/>
    <cellStyle name="40% - 강조색3 3 3 2 3 2 2 2" xfId="14404"/>
    <cellStyle name="40% - 강조색3 3 3 2 3 2 2 3" xfId="14405"/>
    <cellStyle name="40% - 강조색3 3 3 2 3 2 3" xfId="14406"/>
    <cellStyle name="40% - 강조색3 3 3 2 3 2 4" xfId="14407"/>
    <cellStyle name="40% - 강조색3 3 3 2 3 3" xfId="14408"/>
    <cellStyle name="40% - 강조색3 3 3 2 3 3 2" xfId="14409"/>
    <cellStyle name="40% - 강조색3 3 3 2 3 3 3" xfId="14410"/>
    <cellStyle name="40% - 강조색3 3 3 2 3 4" xfId="14411"/>
    <cellStyle name="40% - 강조색3 3 3 2 3 5" xfId="14412"/>
    <cellStyle name="40% - 강조색3 3 3 2 4" xfId="14413"/>
    <cellStyle name="40% - 강조색3 3 3 2 4 2" xfId="14414"/>
    <cellStyle name="40% - 강조색3 3 3 2 4 2 2" xfId="14415"/>
    <cellStyle name="40% - 강조색3 3 3 2 4 2 3" xfId="14416"/>
    <cellStyle name="40% - 강조색3 3 3 2 4 3" xfId="14417"/>
    <cellStyle name="40% - 강조색3 3 3 2 4 4" xfId="14418"/>
    <cellStyle name="40% - 강조색3 3 3 2 5" xfId="14419"/>
    <cellStyle name="40% - 강조색3 3 3 2 5 2" xfId="14420"/>
    <cellStyle name="40% - 강조색3 3 3 2 5 3" xfId="14421"/>
    <cellStyle name="40% - 강조색3 3 3 2 6" xfId="14422"/>
    <cellStyle name="40% - 강조색3 3 3 2 7" xfId="14423"/>
    <cellStyle name="40% - 강조색3 3 3 2 8" xfId="14424"/>
    <cellStyle name="40% - 강조색3 3 3 2 9" xfId="14425"/>
    <cellStyle name="40% - 강조색3 3 3 3" xfId="14426"/>
    <cellStyle name="40% - 강조색3 3 3 3 2" xfId="14427"/>
    <cellStyle name="40% - 강조색3 3 3 3 2 2" xfId="14428"/>
    <cellStyle name="40% - 강조색3 3 3 3 2 2 2" xfId="14429"/>
    <cellStyle name="40% - 강조색3 3 3 3 2 2 2 2" xfId="14430"/>
    <cellStyle name="40% - 강조색3 3 3 3 2 2 2 3" xfId="14431"/>
    <cellStyle name="40% - 강조색3 3 3 3 2 2 3" xfId="14432"/>
    <cellStyle name="40% - 강조색3 3 3 3 2 2 4" xfId="14433"/>
    <cellStyle name="40% - 강조색3 3 3 3 2 3" xfId="14434"/>
    <cellStyle name="40% - 강조색3 3 3 3 2 3 2" xfId="14435"/>
    <cellStyle name="40% - 강조색3 3 3 3 2 3 3" xfId="14436"/>
    <cellStyle name="40% - 강조색3 3 3 3 2 4" xfId="14437"/>
    <cellStyle name="40% - 강조색3 3 3 3 2 5" xfId="14438"/>
    <cellStyle name="40% - 강조색3 3 3 3 3" xfId="14439"/>
    <cellStyle name="40% - 강조색3 3 3 3 3 2" xfId="14440"/>
    <cellStyle name="40% - 강조색3 3 3 3 3 2 2" xfId="14441"/>
    <cellStyle name="40% - 강조색3 3 3 3 3 2 2 2" xfId="14442"/>
    <cellStyle name="40% - 강조색3 3 3 3 3 2 2 3" xfId="14443"/>
    <cellStyle name="40% - 강조색3 3 3 3 3 2 3" xfId="14444"/>
    <cellStyle name="40% - 강조색3 3 3 3 3 2 4" xfId="14445"/>
    <cellStyle name="40% - 강조색3 3 3 3 3 3" xfId="14446"/>
    <cellStyle name="40% - 강조색3 3 3 3 3 3 2" xfId="14447"/>
    <cellStyle name="40% - 강조색3 3 3 3 3 3 3" xfId="14448"/>
    <cellStyle name="40% - 강조색3 3 3 3 3 4" xfId="14449"/>
    <cellStyle name="40% - 강조색3 3 3 3 3 5" xfId="14450"/>
    <cellStyle name="40% - 강조색3 3 3 3 4" xfId="14451"/>
    <cellStyle name="40% - 강조색3 3 3 3 4 2" xfId="14452"/>
    <cellStyle name="40% - 강조색3 3 3 3 4 2 2" xfId="14453"/>
    <cellStyle name="40% - 강조색3 3 3 3 4 2 3" xfId="14454"/>
    <cellStyle name="40% - 강조색3 3 3 3 4 3" xfId="14455"/>
    <cellStyle name="40% - 강조색3 3 3 3 4 4" xfId="14456"/>
    <cellStyle name="40% - 강조색3 3 3 3 5" xfId="14457"/>
    <cellStyle name="40% - 강조색3 3 3 3 5 2" xfId="14458"/>
    <cellStyle name="40% - 강조색3 3 3 3 5 3" xfId="14459"/>
    <cellStyle name="40% - 강조색3 3 3 3 6" xfId="14460"/>
    <cellStyle name="40% - 강조색3 3 3 3 7" xfId="14461"/>
    <cellStyle name="40% - 강조색3 3 3 4" xfId="14462"/>
    <cellStyle name="40% - 강조색3 3 3 4 2" xfId="14463"/>
    <cellStyle name="40% - 강조색3 3 3 4 2 2" xfId="14464"/>
    <cellStyle name="40% - 강조색3 3 3 4 2 2 2" xfId="14465"/>
    <cellStyle name="40% - 강조색3 3 3 4 2 2 3" xfId="14466"/>
    <cellStyle name="40% - 강조색3 3 3 4 2 3" xfId="14467"/>
    <cellStyle name="40% - 강조색3 3 3 4 2 4" xfId="14468"/>
    <cellStyle name="40% - 강조색3 3 3 4 3" xfId="14469"/>
    <cellStyle name="40% - 강조색3 3 3 4 3 2" xfId="14470"/>
    <cellStyle name="40% - 강조색3 3 3 4 3 3" xfId="14471"/>
    <cellStyle name="40% - 강조색3 3 3 4 4" xfId="14472"/>
    <cellStyle name="40% - 강조색3 3 3 4 5" xfId="14473"/>
    <cellStyle name="40% - 강조색3 3 3 5" xfId="14474"/>
    <cellStyle name="40% - 강조색3 3 3 5 2" xfId="14475"/>
    <cellStyle name="40% - 강조색3 3 3 5 2 2" xfId="14476"/>
    <cellStyle name="40% - 강조색3 3 3 5 2 2 2" xfId="14477"/>
    <cellStyle name="40% - 강조색3 3 3 5 2 2 3" xfId="14478"/>
    <cellStyle name="40% - 강조색3 3 3 5 2 3" xfId="14479"/>
    <cellStyle name="40% - 강조색3 3 3 5 2 4" xfId="14480"/>
    <cellStyle name="40% - 강조색3 3 3 5 3" xfId="14481"/>
    <cellStyle name="40% - 강조색3 3 3 5 3 2" xfId="14482"/>
    <cellStyle name="40% - 강조색3 3 3 5 3 3" xfId="14483"/>
    <cellStyle name="40% - 강조색3 3 3 5 4" xfId="14484"/>
    <cellStyle name="40% - 강조색3 3 3 5 5" xfId="14485"/>
    <cellStyle name="40% - 강조색3 3 3 6" xfId="14486"/>
    <cellStyle name="40% - 강조색3 3 3 6 2" xfId="14487"/>
    <cellStyle name="40% - 강조색3 3 3 6 2 2" xfId="14488"/>
    <cellStyle name="40% - 강조색3 3 3 6 2 2 2" xfId="14489"/>
    <cellStyle name="40% - 강조색3 3 3 6 2 2 3" xfId="14490"/>
    <cellStyle name="40% - 강조색3 3 3 6 2 3" xfId="14491"/>
    <cellStyle name="40% - 강조색3 3 3 6 2 4" xfId="14492"/>
    <cellStyle name="40% - 강조색3 3 3 6 3" xfId="14493"/>
    <cellStyle name="40% - 강조색3 3 3 6 3 2" xfId="14494"/>
    <cellStyle name="40% - 강조색3 3 3 6 3 3" xfId="14495"/>
    <cellStyle name="40% - 강조색3 3 3 6 4" xfId="14496"/>
    <cellStyle name="40% - 강조색3 3 3 6 5" xfId="14497"/>
    <cellStyle name="40% - 강조색3 3 3 7" xfId="14498"/>
    <cellStyle name="40% - 강조색3 3 3 7 2" xfId="14499"/>
    <cellStyle name="40% - 강조색3 3 3 7 2 2" xfId="14500"/>
    <cellStyle name="40% - 강조색3 3 3 7 2 3" xfId="14501"/>
    <cellStyle name="40% - 강조색3 3 3 7 3" xfId="14502"/>
    <cellStyle name="40% - 강조색3 3 3 7 4" xfId="14503"/>
    <cellStyle name="40% - 강조색3 3 3 8" xfId="14504"/>
    <cellStyle name="40% - 강조색3 3 3 8 2" xfId="14505"/>
    <cellStyle name="40% - 강조색3 3 3 8 3" xfId="14506"/>
    <cellStyle name="40% - 강조색3 3 3 9" xfId="14507"/>
    <cellStyle name="40% - 강조색3 3 4" xfId="14508"/>
    <cellStyle name="40% - 강조색3 3 4 10" xfId="14509"/>
    <cellStyle name="40% - 강조색3 3 4 11" xfId="14510"/>
    <cellStyle name="40% - 강조색3 3 4 12" xfId="14511"/>
    <cellStyle name="40% - 강조색3 3 4 2" xfId="14512"/>
    <cellStyle name="40% - 강조색3 3 4 2 2" xfId="14513"/>
    <cellStyle name="40% - 강조색3 3 4 2 2 2" xfId="14514"/>
    <cellStyle name="40% - 강조색3 3 4 2 2 2 2" xfId="14515"/>
    <cellStyle name="40% - 강조색3 3 4 2 2 2 2 2" xfId="14516"/>
    <cellStyle name="40% - 강조색3 3 4 2 2 2 2 3" xfId="14517"/>
    <cellStyle name="40% - 강조색3 3 4 2 2 2 3" xfId="14518"/>
    <cellStyle name="40% - 강조색3 3 4 2 2 2 4" xfId="14519"/>
    <cellStyle name="40% - 강조색3 3 4 2 2 3" xfId="14520"/>
    <cellStyle name="40% - 강조색3 3 4 2 2 3 2" xfId="14521"/>
    <cellStyle name="40% - 강조색3 3 4 2 2 3 3" xfId="14522"/>
    <cellStyle name="40% - 강조색3 3 4 2 2 4" xfId="14523"/>
    <cellStyle name="40% - 강조색3 3 4 2 2 5" xfId="14524"/>
    <cellStyle name="40% - 강조색3 3 4 2 3" xfId="14525"/>
    <cellStyle name="40% - 강조색3 3 4 2 3 2" xfId="14526"/>
    <cellStyle name="40% - 강조색3 3 4 2 3 2 2" xfId="14527"/>
    <cellStyle name="40% - 강조색3 3 4 2 3 2 2 2" xfId="14528"/>
    <cellStyle name="40% - 강조색3 3 4 2 3 2 2 3" xfId="14529"/>
    <cellStyle name="40% - 강조색3 3 4 2 3 2 3" xfId="14530"/>
    <cellStyle name="40% - 강조색3 3 4 2 3 2 4" xfId="14531"/>
    <cellStyle name="40% - 강조색3 3 4 2 3 3" xfId="14532"/>
    <cellStyle name="40% - 강조색3 3 4 2 3 3 2" xfId="14533"/>
    <cellStyle name="40% - 강조색3 3 4 2 3 3 3" xfId="14534"/>
    <cellStyle name="40% - 강조색3 3 4 2 3 4" xfId="14535"/>
    <cellStyle name="40% - 강조색3 3 4 2 3 5" xfId="14536"/>
    <cellStyle name="40% - 강조색3 3 4 2 4" xfId="14537"/>
    <cellStyle name="40% - 강조색3 3 4 2 4 2" xfId="14538"/>
    <cellStyle name="40% - 강조색3 3 4 2 4 2 2" xfId="14539"/>
    <cellStyle name="40% - 강조색3 3 4 2 4 2 3" xfId="14540"/>
    <cellStyle name="40% - 강조색3 3 4 2 4 3" xfId="14541"/>
    <cellStyle name="40% - 강조색3 3 4 2 4 4" xfId="14542"/>
    <cellStyle name="40% - 강조색3 3 4 2 5" xfId="14543"/>
    <cellStyle name="40% - 강조색3 3 4 2 5 2" xfId="14544"/>
    <cellStyle name="40% - 강조색3 3 4 2 5 3" xfId="14545"/>
    <cellStyle name="40% - 강조색3 3 4 2 6" xfId="14546"/>
    <cellStyle name="40% - 강조색3 3 4 2 7" xfId="14547"/>
    <cellStyle name="40% - 강조색3 3 4 3" xfId="14548"/>
    <cellStyle name="40% - 강조색3 3 4 3 2" xfId="14549"/>
    <cellStyle name="40% - 강조색3 3 4 3 2 2" xfId="14550"/>
    <cellStyle name="40% - 강조색3 3 4 3 2 2 2" xfId="14551"/>
    <cellStyle name="40% - 강조색3 3 4 3 2 2 2 2" xfId="14552"/>
    <cellStyle name="40% - 강조색3 3 4 3 2 2 2 3" xfId="14553"/>
    <cellStyle name="40% - 강조색3 3 4 3 2 2 3" xfId="14554"/>
    <cellStyle name="40% - 강조색3 3 4 3 2 2 4" xfId="14555"/>
    <cellStyle name="40% - 강조색3 3 4 3 2 3" xfId="14556"/>
    <cellStyle name="40% - 강조색3 3 4 3 2 3 2" xfId="14557"/>
    <cellStyle name="40% - 강조색3 3 4 3 2 3 3" xfId="14558"/>
    <cellStyle name="40% - 강조색3 3 4 3 2 4" xfId="14559"/>
    <cellStyle name="40% - 강조색3 3 4 3 2 5" xfId="14560"/>
    <cellStyle name="40% - 강조색3 3 4 3 3" xfId="14561"/>
    <cellStyle name="40% - 강조색3 3 4 3 3 2" xfId="14562"/>
    <cellStyle name="40% - 강조색3 3 4 3 3 2 2" xfId="14563"/>
    <cellStyle name="40% - 강조색3 3 4 3 3 2 2 2" xfId="14564"/>
    <cellStyle name="40% - 강조색3 3 4 3 3 2 2 3" xfId="14565"/>
    <cellStyle name="40% - 강조색3 3 4 3 3 2 3" xfId="14566"/>
    <cellStyle name="40% - 강조색3 3 4 3 3 2 4" xfId="14567"/>
    <cellStyle name="40% - 강조색3 3 4 3 3 3" xfId="14568"/>
    <cellStyle name="40% - 강조색3 3 4 3 3 3 2" xfId="14569"/>
    <cellStyle name="40% - 강조색3 3 4 3 3 3 3" xfId="14570"/>
    <cellStyle name="40% - 강조색3 3 4 3 3 4" xfId="14571"/>
    <cellStyle name="40% - 강조색3 3 4 3 3 5" xfId="14572"/>
    <cellStyle name="40% - 강조색3 3 4 3 4" xfId="14573"/>
    <cellStyle name="40% - 강조색3 3 4 3 4 2" xfId="14574"/>
    <cellStyle name="40% - 강조색3 3 4 3 4 2 2" xfId="14575"/>
    <cellStyle name="40% - 강조색3 3 4 3 4 2 3" xfId="14576"/>
    <cellStyle name="40% - 강조색3 3 4 3 4 3" xfId="14577"/>
    <cellStyle name="40% - 강조색3 3 4 3 4 4" xfId="14578"/>
    <cellStyle name="40% - 강조색3 3 4 3 5" xfId="14579"/>
    <cellStyle name="40% - 강조색3 3 4 3 5 2" xfId="14580"/>
    <cellStyle name="40% - 강조색3 3 4 3 5 3" xfId="14581"/>
    <cellStyle name="40% - 강조색3 3 4 3 6" xfId="14582"/>
    <cellStyle name="40% - 강조색3 3 4 3 7" xfId="14583"/>
    <cellStyle name="40% - 강조색3 3 4 4" xfId="14584"/>
    <cellStyle name="40% - 강조색3 3 4 4 2" xfId="14585"/>
    <cellStyle name="40% - 강조색3 3 4 4 2 2" xfId="14586"/>
    <cellStyle name="40% - 강조색3 3 4 4 2 2 2" xfId="14587"/>
    <cellStyle name="40% - 강조색3 3 4 4 2 2 3" xfId="14588"/>
    <cellStyle name="40% - 강조색3 3 4 4 2 3" xfId="14589"/>
    <cellStyle name="40% - 강조색3 3 4 4 2 4" xfId="14590"/>
    <cellStyle name="40% - 강조색3 3 4 4 3" xfId="14591"/>
    <cellStyle name="40% - 강조색3 3 4 4 3 2" xfId="14592"/>
    <cellStyle name="40% - 강조색3 3 4 4 3 3" xfId="14593"/>
    <cellStyle name="40% - 강조색3 3 4 4 4" xfId="14594"/>
    <cellStyle name="40% - 강조색3 3 4 4 5" xfId="14595"/>
    <cellStyle name="40% - 강조색3 3 4 5" xfId="14596"/>
    <cellStyle name="40% - 강조색3 3 4 5 2" xfId="14597"/>
    <cellStyle name="40% - 강조색3 3 4 5 2 2" xfId="14598"/>
    <cellStyle name="40% - 강조색3 3 4 5 2 2 2" xfId="14599"/>
    <cellStyle name="40% - 강조색3 3 4 5 2 2 3" xfId="14600"/>
    <cellStyle name="40% - 강조색3 3 4 5 2 3" xfId="14601"/>
    <cellStyle name="40% - 강조색3 3 4 5 2 4" xfId="14602"/>
    <cellStyle name="40% - 강조색3 3 4 5 3" xfId="14603"/>
    <cellStyle name="40% - 강조색3 3 4 5 3 2" xfId="14604"/>
    <cellStyle name="40% - 강조색3 3 4 5 3 3" xfId="14605"/>
    <cellStyle name="40% - 강조색3 3 4 5 4" xfId="14606"/>
    <cellStyle name="40% - 강조색3 3 4 5 5" xfId="14607"/>
    <cellStyle name="40% - 강조색3 3 4 6" xfId="14608"/>
    <cellStyle name="40% - 강조색3 3 4 6 2" xfId="14609"/>
    <cellStyle name="40% - 강조색3 3 4 6 2 2" xfId="14610"/>
    <cellStyle name="40% - 강조색3 3 4 6 2 2 2" xfId="14611"/>
    <cellStyle name="40% - 강조색3 3 4 6 2 2 3" xfId="14612"/>
    <cellStyle name="40% - 강조색3 3 4 6 2 3" xfId="14613"/>
    <cellStyle name="40% - 강조색3 3 4 6 2 4" xfId="14614"/>
    <cellStyle name="40% - 강조색3 3 4 6 3" xfId="14615"/>
    <cellStyle name="40% - 강조색3 3 4 6 3 2" xfId="14616"/>
    <cellStyle name="40% - 강조색3 3 4 6 3 3" xfId="14617"/>
    <cellStyle name="40% - 강조색3 3 4 6 4" xfId="14618"/>
    <cellStyle name="40% - 강조색3 3 4 6 5" xfId="14619"/>
    <cellStyle name="40% - 강조색3 3 4 7" xfId="14620"/>
    <cellStyle name="40% - 강조색3 3 4 7 2" xfId="14621"/>
    <cellStyle name="40% - 강조색3 3 4 7 2 2" xfId="14622"/>
    <cellStyle name="40% - 강조색3 3 4 7 2 3" xfId="14623"/>
    <cellStyle name="40% - 강조색3 3 4 7 3" xfId="14624"/>
    <cellStyle name="40% - 강조색3 3 4 7 4" xfId="14625"/>
    <cellStyle name="40% - 강조색3 3 4 8" xfId="14626"/>
    <cellStyle name="40% - 강조색3 3 4 8 2" xfId="14627"/>
    <cellStyle name="40% - 강조색3 3 4 8 3" xfId="14628"/>
    <cellStyle name="40% - 강조색3 3 4 9" xfId="14629"/>
    <cellStyle name="40% - 강조색3 3 5" xfId="14630"/>
    <cellStyle name="40% - 강조색3 3 5 2" xfId="14631"/>
    <cellStyle name="40% - 강조색3 3 5 2 2" xfId="14632"/>
    <cellStyle name="40% - 강조색3 3 5 2 2 2" xfId="14633"/>
    <cellStyle name="40% - 강조색3 3 5 2 2 2 2" xfId="14634"/>
    <cellStyle name="40% - 강조색3 3 5 2 2 2 3" xfId="14635"/>
    <cellStyle name="40% - 강조색3 3 5 2 2 3" xfId="14636"/>
    <cellStyle name="40% - 강조색3 3 5 2 2 4" xfId="14637"/>
    <cellStyle name="40% - 강조색3 3 5 2 3" xfId="14638"/>
    <cellStyle name="40% - 강조색3 3 5 2 3 2" xfId="14639"/>
    <cellStyle name="40% - 강조색3 3 5 2 3 3" xfId="14640"/>
    <cellStyle name="40% - 강조색3 3 5 2 4" xfId="14641"/>
    <cellStyle name="40% - 강조색3 3 5 2 5" xfId="14642"/>
    <cellStyle name="40% - 강조색3 3 5 3" xfId="14643"/>
    <cellStyle name="40% - 강조색3 3 5 3 2" xfId="14644"/>
    <cellStyle name="40% - 강조색3 3 5 3 2 2" xfId="14645"/>
    <cellStyle name="40% - 강조색3 3 5 3 2 2 2" xfId="14646"/>
    <cellStyle name="40% - 강조색3 3 5 3 2 2 3" xfId="14647"/>
    <cellStyle name="40% - 강조색3 3 5 3 2 3" xfId="14648"/>
    <cellStyle name="40% - 강조색3 3 5 3 2 4" xfId="14649"/>
    <cellStyle name="40% - 강조색3 3 5 3 3" xfId="14650"/>
    <cellStyle name="40% - 강조색3 3 5 3 3 2" xfId="14651"/>
    <cellStyle name="40% - 강조색3 3 5 3 3 3" xfId="14652"/>
    <cellStyle name="40% - 강조색3 3 5 3 4" xfId="14653"/>
    <cellStyle name="40% - 강조색3 3 5 3 5" xfId="14654"/>
    <cellStyle name="40% - 강조색3 3 5 4" xfId="14655"/>
    <cellStyle name="40% - 강조색3 3 5 4 2" xfId="14656"/>
    <cellStyle name="40% - 강조색3 3 5 4 2 2" xfId="14657"/>
    <cellStyle name="40% - 강조색3 3 5 4 2 3" xfId="14658"/>
    <cellStyle name="40% - 강조색3 3 5 4 3" xfId="14659"/>
    <cellStyle name="40% - 강조색3 3 5 4 4" xfId="14660"/>
    <cellStyle name="40% - 강조색3 3 5 5" xfId="14661"/>
    <cellStyle name="40% - 강조색3 3 5 5 2" xfId="14662"/>
    <cellStyle name="40% - 강조색3 3 5 5 3" xfId="14663"/>
    <cellStyle name="40% - 강조색3 3 5 6" xfId="14664"/>
    <cellStyle name="40% - 강조색3 3 5 7" xfId="14665"/>
    <cellStyle name="40% - 강조색3 3 5 8" xfId="14666"/>
    <cellStyle name="40% - 강조색3 3 6" xfId="14667"/>
    <cellStyle name="40% - 강조색3 3 6 2" xfId="14668"/>
    <cellStyle name="40% - 강조색3 3 6 2 2" xfId="14669"/>
    <cellStyle name="40% - 강조색3 3 6 2 2 2" xfId="14670"/>
    <cellStyle name="40% - 강조색3 3 6 2 2 2 2" xfId="14671"/>
    <cellStyle name="40% - 강조색3 3 6 2 2 2 3" xfId="14672"/>
    <cellStyle name="40% - 강조색3 3 6 2 2 3" xfId="14673"/>
    <cellStyle name="40% - 강조색3 3 6 2 2 4" xfId="14674"/>
    <cellStyle name="40% - 강조색3 3 6 2 3" xfId="14675"/>
    <cellStyle name="40% - 강조색3 3 6 2 3 2" xfId="14676"/>
    <cellStyle name="40% - 강조색3 3 6 2 3 3" xfId="14677"/>
    <cellStyle name="40% - 강조색3 3 6 2 4" xfId="14678"/>
    <cellStyle name="40% - 강조색3 3 6 2 5" xfId="14679"/>
    <cellStyle name="40% - 강조색3 3 6 3" xfId="14680"/>
    <cellStyle name="40% - 강조색3 3 6 3 2" xfId="14681"/>
    <cellStyle name="40% - 강조색3 3 6 3 2 2" xfId="14682"/>
    <cellStyle name="40% - 강조색3 3 6 3 2 2 2" xfId="14683"/>
    <cellStyle name="40% - 강조색3 3 6 3 2 2 3" xfId="14684"/>
    <cellStyle name="40% - 강조색3 3 6 3 2 3" xfId="14685"/>
    <cellStyle name="40% - 강조색3 3 6 3 2 4" xfId="14686"/>
    <cellStyle name="40% - 강조색3 3 6 3 3" xfId="14687"/>
    <cellStyle name="40% - 강조색3 3 6 3 3 2" xfId="14688"/>
    <cellStyle name="40% - 강조색3 3 6 3 3 3" xfId="14689"/>
    <cellStyle name="40% - 강조색3 3 6 3 4" xfId="14690"/>
    <cellStyle name="40% - 강조색3 3 6 3 5" xfId="14691"/>
    <cellStyle name="40% - 강조색3 3 6 4" xfId="14692"/>
    <cellStyle name="40% - 강조색3 3 6 4 2" xfId="14693"/>
    <cellStyle name="40% - 강조색3 3 6 4 2 2" xfId="14694"/>
    <cellStyle name="40% - 강조색3 3 6 4 2 3" xfId="14695"/>
    <cellStyle name="40% - 강조색3 3 6 4 3" xfId="14696"/>
    <cellStyle name="40% - 강조색3 3 6 4 4" xfId="14697"/>
    <cellStyle name="40% - 강조색3 3 6 5" xfId="14698"/>
    <cellStyle name="40% - 강조색3 3 6 5 2" xfId="14699"/>
    <cellStyle name="40% - 강조색3 3 6 5 3" xfId="14700"/>
    <cellStyle name="40% - 강조색3 3 6 6" xfId="14701"/>
    <cellStyle name="40% - 강조색3 3 6 7" xfId="14702"/>
    <cellStyle name="40% - 강조색3 3 7" xfId="14703"/>
    <cellStyle name="40% - 강조색3 3 7 2" xfId="14704"/>
    <cellStyle name="40% - 강조색3 3 7 2 2" xfId="14705"/>
    <cellStyle name="40% - 강조색3 3 7 2 2 2" xfId="14706"/>
    <cellStyle name="40% - 강조색3 3 7 2 2 3" xfId="14707"/>
    <cellStyle name="40% - 강조색3 3 7 2 3" xfId="14708"/>
    <cellStyle name="40% - 강조색3 3 7 2 4" xfId="14709"/>
    <cellStyle name="40% - 강조색3 3 7 3" xfId="14710"/>
    <cellStyle name="40% - 강조색3 3 7 3 2" xfId="14711"/>
    <cellStyle name="40% - 강조색3 3 7 3 3" xfId="14712"/>
    <cellStyle name="40% - 강조색3 3 7 4" xfId="14713"/>
    <cellStyle name="40% - 강조색3 3 7 5" xfId="14714"/>
    <cellStyle name="40% - 강조색3 3 8" xfId="14715"/>
    <cellStyle name="40% - 강조색3 3 8 2" xfId="14716"/>
    <cellStyle name="40% - 강조색3 3 8 2 2" xfId="14717"/>
    <cellStyle name="40% - 강조색3 3 8 2 2 2" xfId="14718"/>
    <cellStyle name="40% - 강조색3 3 8 2 2 3" xfId="14719"/>
    <cellStyle name="40% - 강조색3 3 8 2 3" xfId="14720"/>
    <cellStyle name="40% - 강조색3 3 8 2 4" xfId="14721"/>
    <cellStyle name="40% - 강조색3 3 8 3" xfId="14722"/>
    <cellStyle name="40% - 강조색3 3 8 3 2" xfId="14723"/>
    <cellStyle name="40% - 강조색3 3 8 3 3" xfId="14724"/>
    <cellStyle name="40% - 강조색3 3 8 4" xfId="14725"/>
    <cellStyle name="40% - 강조색3 3 8 5" xfId="14726"/>
    <cellStyle name="40% - 강조색3 3 9" xfId="14727"/>
    <cellStyle name="40% - 강조색3 3 9 2" xfId="14728"/>
    <cellStyle name="40% - 강조색3 3 9 2 2" xfId="14729"/>
    <cellStyle name="40% - 강조색3 3 9 2 2 2" xfId="14730"/>
    <cellStyle name="40% - 강조색3 3 9 2 2 3" xfId="14731"/>
    <cellStyle name="40% - 강조색3 3 9 2 3" xfId="14732"/>
    <cellStyle name="40% - 강조색3 3 9 2 4" xfId="14733"/>
    <cellStyle name="40% - 강조색3 3 9 3" xfId="14734"/>
    <cellStyle name="40% - 강조색3 3 9 3 2" xfId="14735"/>
    <cellStyle name="40% - 강조색3 3 9 3 3" xfId="14736"/>
    <cellStyle name="40% - 강조색3 3 9 4" xfId="14737"/>
    <cellStyle name="40% - 강조색3 3 9 5" xfId="14738"/>
    <cellStyle name="40% - 강조색3 30" xfId="14739"/>
    <cellStyle name="40% - 강조색3 30 2" xfId="14740"/>
    <cellStyle name="40% - 강조색3 31" xfId="14741"/>
    <cellStyle name="40% - 강조색3 31 2" xfId="14742"/>
    <cellStyle name="40% - 강조색3 32" xfId="14743"/>
    <cellStyle name="40% - 강조색3 32 2" xfId="14744"/>
    <cellStyle name="40% - 강조색3 33" xfId="14745"/>
    <cellStyle name="40% - 강조색3 33 2" xfId="14746"/>
    <cellStyle name="40% - 강조색3 34" xfId="14747"/>
    <cellStyle name="40% - 강조색3 34 2" xfId="14748"/>
    <cellStyle name="40% - 강조색3 35" xfId="14749"/>
    <cellStyle name="40% - 강조색3 36" xfId="14750"/>
    <cellStyle name="40% - 강조색3 37" xfId="14751"/>
    <cellStyle name="40% - 강조색3 38" xfId="14752"/>
    <cellStyle name="40% - 강조색3 39" xfId="14753"/>
    <cellStyle name="40% - 강조색3 4" xfId="14754"/>
    <cellStyle name="40% - 강조색3 4 10" xfId="14755"/>
    <cellStyle name="40% - 강조색3 4 10 2" xfId="14756"/>
    <cellStyle name="40% - 강조색3 4 10 2 2" xfId="14757"/>
    <cellStyle name="40% - 강조색3 4 10 2 3" xfId="14758"/>
    <cellStyle name="40% - 강조색3 4 10 3" xfId="14759"/>
    <cellStyle name="40% - 강조색3 4 10 4" xfId="14760"/>
    <cellStyle name="40% - 강조색3 4 11" xfId="14761"/>
    <cellStyle name="40% - 강조색3 4 11 2" xfId="14762"/>
    <cellStyle name="40% - 강조색3 4 11 3" xfId="14763"/>
    <cellStyle name="40% - 강조색3 4 12" xfId="14764"/>
    <cellStyle name="40% - 강조색3 4 13" xfId="14765"/>
    <cellStyle name="40% - 강조색3 4 14" xfId="14766"/>
    <cellStyle name="40% - 강조색3 4 2" xfId="14767"/>
    <cellStyle name="40% - 강조색3 4 2 10" xfId="14768"/>
    <cellStyle name="40% - 강조색3 4 2 2" xfId="14769"/>
    <cellStyle name="40% - 강조색3 4 2 2 2" xfId="14770"/>
    <cellStyle name="40% - 강조색3 4 2 2 2 2" xfId="14771"/>
    <cellStyle name="40% - 강조색3 4 2 2 2 2 2" xfId="14772"/>
    <cellStyle name="40% - 강조색3 4 2 2 2 2 2 2" xfId="14773"/>
    <cellStyle name="40% - 강조색3 4 2 2 2 2 2 3" xfId="14774"/>
    <cellStyle name="40% - 강조색3 4 2 2 2 2 3" xfId="14775"/>
    <cellStyle name="40% - 강조색3 4 2 2 2 2 4" xfId="14776"/>
    <cellStyle name="40% - 강조색3 4 2 2 2 3" xfId="14777"/>
    <cellStyle name="40% - 강조색3 4 2 2 2 3 2" xfId="14778"/>
    <cellStyle name="40% - 강조색3 4 2 2 2 3 3" xfId="14779"/>
    <cellStyle name="40% - 강조색3 4 2 2 2 4" xfId="14780"/>
    <cellStyle name="40% - 강조색3 4 2 2 2 5" xfId="14781"/>
    <cellStyle name="40% - 강조색3 4 2 2 3" xfId="14782"/>
    <cellStyle name="40% - 강조색3 4 2 2 3 2" xfId="14783"/>
    <cellStyle name="40% - 강조색3 4 2 2 3 2 2" xfId="14784"/>
    <cellStyle name="40% - 강조색3 4 2 2 3 2 2 2" xfId="14785"/>
    <cellStyle name="40% - 강조색3 4 2 2 3 2 2 3" xfId="14786"/>
    <cellStyle name="40% - 강조색3 4 2 2 3 2 3" xfId="14787"/>
    <cellStyle name="40% - 강조색3 4 2 2 3 2 4" xfId="14788"/>
    <cellStyle name="40% - 강조색3 4 2 2 3 3" xfId="14789"/>
    <cellStyle name="40% - 강조색3 4 2 2 3 3 2" xfId="14790"/>
    <cellStyle name="40% - 강조색3 4 2 2 3 3 3" xfId="14791"/>
    <cellStyle name="40% - 강조색3 4 2 2 3 4" xfId="14792"/>
    <cellStyle name="40% - 강조색3 4 2 2 3 5" xfId="14793"/>
    <cellStyle name="40% - 강조색3 4 2 2 4" xfId="14794"/>
    <cellStyle name="40% - 강조색3 4 2 2 4 2" xfId="14795"/>
    <cellStyle name="40% - 강조색3 4 2 2 4 2 2" xfId="14796"/>
    <cellStyle name="40% - 강조색3 4 2 2 4 2 3" xfId="14797"/>
    <cellStyle name="40% - 강조색3 4 2 2 4 3" xfId="14798"/>
    <cellStyle name="40% - 강조색3 4 2 2 4 4" xfId="14799"/>
    <cellStyle name="40% - 강조색3 4 2 2 5" xfId="14800"/>
    <cellStyle name="40% - 강조색3 4 2 2 5 2" xfId="14801"/>
    <cellStyle name="40% - 강조색3 4 2 2 5 3" xfId="14802"/>
    <cellStyle name="40% - 강조색3 4 2 2 6" xfId="14803"/>
    <cellStyle name="40% - 강조색3 4 2 2 7" xfId="14804"/>
    <cellStyle name="40% - 강조색3 4 2 3" xfId="14805"/>
    <cellStyle name="40% - 강조색3 4 2 3 2" xfId="14806"/>
    <cellStyle name="40% - 강조색3 4 2 3 2 2" xfId="14807"/>
    <cellStyle name="40% - 강조색3 4 2 3 2 2 2" xfId="14808"/>
    <cellStyle name="40% - 강조색3 4 2 3 2 2 2 2" xfId="14809"/>
    <cellStyle name="40% - 강조색3 4 2 3 2 2 2 3" xfId="14810"/>
    <cellStyle name="40% - 강조색3 4 2 3 2 2 3" xfId="14811"/>
    <cellStyle name="40% - 강조색3 4 2 3 2 2 4" xfId="14812"/>
    <cellStyle name="40% - 강조색3 4 2 3 2 3" xfId="14813"/>
    <cellStyle name="40% - 강조색3 4 2 3 2 3 2" xfId="14814"/>
    <cellStyle name="40% - 강조색3 4 2 3 2 3 3" xfId="14815"/>
    <cellStyle name="40% - 강조색3 4 2 3 2 4" xfId="14816"/>
    <cellStyle name="40% - 강조색3 4 2 3 2 5" xfId="14817"/>
    <cellStyle name="40% - 강조색3 4 2 3 3" xfId="14818"/>
    <cellStyle name="40% - 강조색3 4 2 3 3 2" xfId="14819"/>
    <cellStyle name="40% - 강조색3 4 2 3 3 2 2" xfId="14820"/>
    <cellStyle name="40% - 강조색3 4 2 3 3 2 2 2" xfId="14821"/>
    <cellStyle name="40% - 강조색3 4 2 3 3 2 2 3" xfId="14822"/>
    <cellStyle name="40% - 강조색3 4 2 3 3 2 3" xfId="14823"/>
    <cellStyle name="40% - 강조색3 4 2 3 3 2 4" xfId="14824"/>
    <cellStyle name="40% - 강조색3 4 2 3 3 3" xfId="14825"/>
    <cellStyle name="40% - 강조색3 4 2 3 3 3 2" xfId="14826"/>
    <cellStyle name="40% - 강조색3 4 2 3 3 3 3" xfId="14827"/>
    <cellStyle name="40% - 강조색3 4 2 3 3 4" xfId="14828"/>
    <cellStyle name="40% - 강조색3 4 2 3 3 5" xfId="14829"/>
    <cellStyle name="40% - 강조색3 4 2 3 4" xfId="14830"/>
    <cellStyle name="40% - 강조색3 4 2 3 4 2" xfId="14831"/>
    <cellStyle name="40% - 강조색3 4 2 3 4 2 2" xfId="14832"/>
    <cellStyle name="40% - 강조색3 4 2 3 4 2 3" xfId="14833"/>
    <cellStyle name="40% - 강조색3 4 2 3 4 3" xfId="14834"/>
    <cellStyle name="40% - 강조색3 4 2 3 4 4" xfId="14835"/>
    <cellStyle name="40% - 강조색3 4 2 3 5" xfId="14836"/>
    <cellStyle name="40% - 강조색3 4 2 3 5 2" xfId="14837"/>
    <cellStyle name="40% - 강조색3 4 2 3 5 3" xfId="14838"/>
    <cellStyle name="40% - 강조색3 4 2 3 6" xfId="14839"/>
    <cellStyle name="40% - 강조색3 4 2 3 7" xfId="14840"/>
    <cellStyle name="40% - 강조색3 4 2 4" xfId="14841"/>
    <cellStyle name="40% - 강조색3 4 2 4 2" xfId="14842"/>
    <cellStyle name="40% - 강조색3 4 2 4 2 2" xfId="14843"/>
    <cellStyle name="40% - 강조색3 4 2 4 2 2 2" xfId="14844"/>
    <cellStyle name="40% - 강조색3 4 2 4 2 2 3" xfId="14845"/>
    <cellStyle name="40% - 강조색3 4 2 4 2 3" xfId="14846"/>
    <cellStyle name="40% - 강조색3 4 2 4 2 4" xfId="14847"/>
    <cellStyle name="40% - 강조색3 4 2 4 3" xfId="14848"/>
    <cellStyle name="40% - 강조색3 4 2 4 3 2" xfId="14849"/>
    <cellStyle name="40% - 강조색3 4 2 4 3 3" xfId="14850"/>
    <cellStyle name="40% - 강조색3 4 2 4 4" xfId="14851"/>
    <cellStyle name="40% - 강조색3 4 2 4 5" xfId="14852"/>
    <cellStyle name="40% - 강조색3 4 2 5" xfId="14853"/>
    <cellStyle name="40% - 강조색3 4 2 5 2" xfId="14854"/>
    <cellStyle name="40% - 강조색3 4 2 5 2 2" xfId="14855"/>
    <cellStyle name="40% - 강조색3 4 2 5 2 2 2" xfId="14856"/>
    <cellStyle name="40% - 강조색3 4 2 5 2 2 3" xfId="14857"/>
    <cellStyle name="40% - 강조색3 4 2 5 2 3" xfId="14858"/>
    <cellStyle name="40% - 강조색3 4 2 5 2 4" xfId="14859"/>
    <cellStyle name="40% - 강조색3 4 2 5 3" xfId="14860"/>
    <cellStyle name="40% - 강조색3 4 2 5 3 2" xfId="14861"/>
    <cellStyle name="40% - 강조색3 4 2 5 3 3" xfId="14862"/>
    <cellStyle name="40% - 강조색3 4 2 5 4" xfId="14863"/>
    <cellStyle name="40% - 강조색3 4 2 5 5" xfId="14864"/>
    <cellStyle name="40% - 강조색3 4 2 6" xfId="14865"/>
    <cellStyle name="40% - 강조색3 4 2 6 2" xfId="14866"/>
    <cellStyle name="40% - 강조색3 4 2 6 2 2" xfId="14867"/>
    <cellStyle name="40% - 강조색3 4 2 6 2 2 2" xfId="14868"/>
    <cellStyle name="40% - 강조색3 4 2 6 2 2 3" xfId="14869"/>
    <cellStyle name="40% - 강조색3 4 2 6 2 3" xfId="14870"/>
    <cellStyle name="40% - 강조색3 4 2 6 2 4" xfId="14871"/>
    <cellStyle name="40% - 강조색3 4 2 6 3" xfId="14872"/>
    <cellStyle name="40% - 강조색3 4 2 6 3 2" xfId="14873"/>
    <cellStyle name="40% - 강조색3 4 2 6 3 3" xfId="14874"/>
    <cellStyle name="40% - 강조색3 4 2 6 4" xfId="14875"/>
    <cellStyle name="40% - 강조색3 4 2 6 5" xfId="14876"/>
    <cellStyle name="40% - 강조색3 4 2 7" xfId="14877"/>
    <cellStyle name="40% - 강조색3 4 2 7 2" xfId="14878"/>
    <cellStyle name="40% - 강조색3 4 2 7 2 2" xfId="14879"/>
    <cellStyle name="40% - 강조색3 4 2 7 2 3" xfId="14880"/>
    <cellStyle name="40% - 강조색3 4 2 7 3" xfId="14881"/>
    <cellStyle name="40% - 강조색3 4 2 7 4" xfId="14882"/>
    <cellStyle name="40% - 강조색3 4 2 8" xfId="14883"/>
    <cellStyle name="40% - 강조색3 4 2 8 2" xfId="14884"/>
    <cellStyle name="40% - 강조색3 4 2 8 3" xfId="14885"/>
    <cellStyle name="40% - 강조색3 4 2 9" xfId="14886"/>
    <cellStyle name="40% - 강조색3 4 3" xfId="14887"/>
    <cellStyle name="40% - 강조색3 4 3 10" xfId="14888"/>
    <cellStyle name="40% - 강조색3 4 3 2" xfId="14889"/>
    <cellStyle name="40% - 강조색3 4 3 2 2" xfId="14890"/>
    <cellStyle name="40% - 강조색3 4 3 2 2 2" xfId="14891"/>
    <cellStyle name="40% - 강조색3 4 3 2 2 2 2" xfId="14892"/>
    <cellStyle name="40% - 강조색3 4 3 2 2 2 2 2" xfId="14893"/>
    <cellStyle name="40% - 강조색3 4 3 2 2 2 2 3" xfId="14894"/>
    <cellStyle name="40% - 강조색3 4 3 2 2 2 3" xfId="14895"/>
    <cellStyle name="40% - 강조색3 4 3 2 2 2 4" xfId="14896"/>
    <cellStyle name="40% - 강조색3 4 3 2 2 3" xfId="14897"/>
    <cellStyle name="40% - 강조색3 4 3 2 2 3 2" xfId="14898"/>
    <cellStyle name="40% - 강조색3 4 3 2 2 3 3" xfId="14899"/>
    <cellStyle name="40% - 강조색3 4 3 2 2 4" xfId="14900"/>
    <cellStyle name="40% - 강조색3 4 3 2 2 5" xfId="14901"/>
    <cellStyle name="40% - 강조색3 4 3 2 3" xfId="14902"/>
    <cellStyle name="40% - 강조색3 4 3 2 3 2" xfId="14903"/>
    <cellStyle name="40% - 강조색3 4 3 2 3 2 2" xfId="14904"/>
    <cellStyle name="40% - 강조색3 4 3 2 3 2 2 2" xfId="14905"/>
    <cellStyle name="40% - 강조색3 4 3 2 3 2 2 3" xfId="14906"/>
    <cellStyle name="40% - 강조색3 4 3 2 3 2 3" xfId="14907"/>
    <cellStyle name="40% - 강조색3 4 3 2 3 2 4" xfId="14908"/>
    <cellStyle name="40% - 강조색3 4 3 2 3 3" xfId="14909"/>
    <cellStyle name="40% - 강조색3 4 3 2 3 3 2" xfId="14910"/>
    <cellStyle name="40% - 강조색3 4 3 2 3 3 3" xfId="14911"/>
    <cellStyle name="40% - 강조색3 4 3 2 3 4" xfId="14912"/>
    <cellStyle name="40% - 강조색3 4 3 2 3 5" xfId="14913"/>
    <cellStyle name="40% - 강조색3 4 3 2 4" xfId="14914"/>
    <cellStyle name="40% - 강조색3 4 3 2 4 2" xfId="14915"/>
    <cellStyle name="40% - 강조색3 4 3 2 4 2 2" xfId="14916"/>
    <cellStyle name="40% - 강조색3 4 3 2 4 2 3" xfId="14917"/>
    <cellStyle name="40% - 강조색3 4 3 2 4 3" xfId="14918"/>
    <cellStyle name="40% - 강조색3 4 3 2 4 4" xfId="14919"/>
    <cellStyle name="40% - 강조색3 4 3 2 5" xfId="14920"/>
    <cellStyle name="40% - 강조색3 4 3 2 5 2" xfId="14921"/>
    <cellStyle name="40% - 강조색3 4 3 2 5 3" xfId="14922"/>
    <cellStyle name="40% - 강조색3 4 3 2 6" xfId="14923"/>
    <cellStyle name="40% - 강조색3 4 3 2 7" xfId="14924"/>
    <cellStyle name="40% - 강조색3 4 3 3" xfId="14925"/>
    <cellStyle name="40% - 강조색3 4 3 3 2" xfId="14926"/>
    <cellStyle name="40% - 강조색3 4 3 3 2 2" xfId="14927"/>
    <cellStyle name="40% - 강조색3 4 3 3 2 2 2" xfId="14928"/>
    <cellStyle name="40% - 강조색3 4 3 3 2 2 2 2" xfId="14929"/>
    <cellStyle name="40% - 강조색3 4 3 3 2 2 2 3" xfId="14930"/>
    <cellStyle name="40% - 강조색3 4 3 3 2 2 3" xfId="14931"/>
    <cellStyle name="40% - 강조색3 4 3 3 2 2 4" xfId="14932"/>
    <cellStyle name="40% - 강조색3 4 3 3 2 3" xfId="14933"/>
    <cellStyle name="40% - 강조색3 4 3 3 2 3 2" xfId="14934"/>
    <cellStyle name="40% - 강조색3 4 3 3 2 3 3" xfId="14935"/>
    <cellStyle name="40% - 강조색3 4 3 3 2 4" xfId="14936"/>
    <cellStyle name="40% - 강조색3 4 3 3 2 5" xfId="14937"/>
    <cellStyle name="40% - 강조색3 4 3 3 3" xfId="14938"/>
    <cellStyle name="40% - 강조색3 4 3 3 3 2" xfId="14939"/>
    <cellStyle name="40% - 강조색3 4 3 3 3 2 2" xfId="14940"/>
    <cellStyle name="40% - 강조색3 4 3 3 3 2 2 2" xfId="14941"/>
    <cellStyle name="40% - 강조색3 4 3 3 3 2 2 3" xfId="14942"/>
    <cellStyle name="40% - 강조색3 4 3 3 3 2 3" xfId="14943"/>
    <cellStyle name="40% - 강조색3 4 3 3 3 2 4" xfId="14944"/>
    <cellStyle name="40% - 강조색3 4 3 3 3 3" xfId="14945"/>
    <cellStyle name="40% - 강조색3 4 3 3 3 3 2" xfId="14946"/>
    <cellStyle name="40% - 강조색3 4 3 3 3 3 3" xfId="14947"/>
    <cellStyle name="40% - 강조색3 4 3 3 3 4" xfId="14948"/>
    <cellStyle name="40% - 강조색3 4 3 3 3 5" xfId="14949"/>
    <cellStyle name="40% - 강조색3 4 3 3 4" xfId="14950"/>
    <cellStyle name="40% - 강조색3 4 3 3 4 2" xfId="14951"/>
    <cellStyle name="40% - 강조색3 4 3 3 4 2 2" xfId="14952"/>
    <cellStyle name="40% - 강조색3 4 3 3 4 2 3" xfId="14953"/>
    <cellStyle name="40% - 강조색3 4 3 3 4 3" xfId="14954"/>
    <cellStyle name="40% - 강조색3 4 3 3 4 4" xfId="14955"/>
    <cellStyle name="40% - 강조색3 4 3 3 5" xfId="14956"/>
    <cellStyle name="40% - 강조색3 4 3 3 5 2" xfId="14957"/>
    <cellStyle name="40% - 강조색3 4 3 3 5 3" xfId="14958"/>
    <cellStyle name="40% - 강조색3 4 3 3 6" xfId="14959"/>
    <cellStyle name="40% - 강조색3 4 3 3 7" xfId="14960"/>
    <cellStyle name="40% - 강조색3 4 3 4" xfId="14961"/>
    <cellStyle name="40% - 강조색3 4 3 4 2" xfId="14962"/>
    <cellStyle name="40% - 강조색3 4 3 4 2 2" xfId="14963"/>
    <cellStyle name="40% - 강조색3 4 3 4 2 2 2" xfId="14964"/>
    <cellStyle name="40% - 강조색3 4 3 4 2 2 3" xfId="14965"/>
    <cellStyle name="40% - 강조색3 4 3 4 2 3" xfId="14966"/>
    <cellStyle name="40% - 강조색3 4 3 4 2 4" xfId="14967"/>
    <cellStyle name="40% - 강조색3 4 3 4 3" xfId="14968"/>
    <cellStyle name="40% - 강조색3 4 3 4 3 2" xfId="14969"/>
    <cellStyle name="40% - 강조색3 4 3 4 3 3" xfId="14970"/>
    <cellStyle name="40% - 강조색3 4 3 4 4" xfId="14971"/>
    <cellStyle name="40% - 강조색3 4 3 4 5" xfId="14972"/>
    <cellStyle name="40% - 강조색3 4 3 5" xfId="14973"/>
    <cellStyle name="40% - 강조색3 4 3 5 2" xfId="14974"/>
    <cellStyle name="40% - 강조색3 4 3 5 2 2" xfId="14975"/>
    <cellStyle name="40% - 강조색3 4 3 5 2 2 2" xfId="14976"/>
    <cellStyle name="40% - 강조색3 4 3 5 2 2 3" xfId="14977"/>
    <cellStyle name="40% - 강조색3 4 3 5 2 3" xfId="14978"/>
    <cellStyle name="40% - 강조색3 4 3 5 2 4" xfId="14979"/>
    <cellStyle name="40% - 강조색3 4 3 5 3" xfId="14980"/>
    <cellStyle name="40% - 강조색3 4 3 5 3 2" xfId="14981"/>
    <cellStyle name="40% - 강조색3 4 3 5 3 3" xfId="14982"/>
    <cellStyle name="40% - 강조색3 4 3 5 4" xfId="14983"/>
    <cellStyle name="40% - 강조색3 4 3 5 5" xfId="14984"/>
    <cellStyle name="40% - 강조색3 4 3 6" xfId="14985"/>
    <cellStyle name="40% - 강조색3 4 3 6 2" xfId="14986"/>
    <cellStyle name="40% - 강조색3 4 3 6 2 2" xfId="14987"/>
    <cellStyle name="40% - 강조색3 4 3 6 2 2 2" xfId="14988"/>
    <cellStyle name="40% - 강조색3 4 3 6 2 2 3" xfId="14989"/>
    <cellStyle name="40% - 강조색3 4 3 6 2 3" xfId="14990"/>
    <cellStyle name="40% - 강조색3 4 3 6 2 4" xfId="14991"/>
    <cellStyle name="40% - 강조색3 4 3 6 3" xfId="14992"/>
    <cellStyle name="40% - 강조색3 4 3 6 3 2" xfId="14993"/>
    <cellStyle name="40% - 강조색3 4 3 6 3 3" xfId="14994"/>
    <cellStyle name="40% - 강조색3 4 3 6 4" xfId="14995"/>
    <cellStyle name="40% - 강조색3 4 3 6 5" xfId="14996"/>
    <cellStyle name="40% - 강조색3 4 3 7" xfId="14997"/>
    <cellStyle name="40% - 강조색3 4 3 7 2" xfId="14998"/>
    <cellStyle name="40% - 강조색3 4 3 7 2 2" xfId="14999"/>
    <cellStyle name="40% - 강조색3 4 3 7 2 3" xfId="15000"/>
    <cellStyle name="40% - 강조색3 4 3 7 3" xfId="15001"/>
    <cellStyle name="40% - 강조색3 4 3 7 4" xfId="15002"/>
    <cellStyle name="40% - 강조색3 4 3 8" xfId="15003"/>
    <cellStyle name="40% - 강조색3 4 3 8 2" xfId="15004"/>
    <cellStyle name="40% - 강조색3 4 3 8 3" xfId="15005"/>
    <cellStyle name="40% - 강조색3 4 3 9" xfId="15006"/>
    <cellStyle name="40% - 강조색3 4 4" xfId="15007"/>
    <cellStyle name="40% - 강조색3 4 4 10" xfId="15008"/>
    <cellStyle name="40% - 강조색3 4 4 2" xfId="15009"/>
    <cellStyle name="40% - 강조색3 4 4 2 2" xfId="15010"/>
    <cellStyle name="40% - 강조색3 4 4 2 2 2" xfId="15011"/>
    <cellStyle name="40% - 강조색3 4 4 2 2 2 2" xfId="15012"/>
    <cellStyle name="40% - 강조색3 4 4 2 2 2 2 2" xfId="15013"/>
    <cellStyle name="40% - 강조색3 4 4 2 2 2 2 3" xfId="15014"/>
    <cellStyle name="40% - 강조색3 4 4 2 2 2 3" xfId="15015"/>
    <cellStyle name="40% - 강조색3 4 4 2 2 2 4" xfId="15016"/>
    <cellStyle name="40% - 강조색3 4 4 2 2 3" xfId="15017"/>
    <cellStyle name="40% - 강조색3 4 4 2 2 3 2" xfId="15018"/>
    <cellStyle name="40% - 강조색3 4 4 2 2 3 3" xfId="15019"/>
    <cellStyle name="40% - 강조색3 4 4 2 2 4" xfId="15020"/>
    <cellStyle name="40% - 강조색3 4 4 2 2 5" xfId="15021"/>
    <cellStyle name="40% - 강조색3 4 4 2 3" xfId="15022"/>
    <cellStyle name="40% - 강조색3 4 4 2 3 2" xfId="15023"/>
    <cellStyle name="40% - 강조색3 4 4 2 3 2 2" xfId="15024"/>
    <cellStyle name="40% - 강조색3 4 4 2 3 2 2 2" xfId="15025"/>
    <cellStyle name="40% - 강조색3 4 4 2 3 2 2 3" xfId="15026"/>
    <cellStyle name="40% - 강조색3 4 4 2 3 2 3" xfId="15027"/>
    <cellStyle name="40% - 강조색3 4 4 2 3 2 4" xfId="15028"/>
    <cellStyle name="40% - 강조색3 4 4 2 3 3" xfId="15029"/>
    <cellStyle name="40% - 강조색3 4 4 2 3 3 2" xfId="15030"/>
    <cellStyle name="40% - 강조색3 4 4 2 3 3 3" xfId="15031"/>
    <cellStyle name="40% - 강조색3 4 4 2 3 4" xfId="15032"/>
    <cellStyle name="40% - 강조색3 4 4 2 3 5" xfId="15033"/>
    <cellStyle name="40% - 강조색3 4 4 2 4" xfId="15034"/>
    <cellStyle name="40% - 강조색3 4 4 2 4 2" xfId="15035"/>
    <cellStyle name="40% - 강조색3 4 4 2 4 2 2" xfId="15036"/>
    <cellStyle name="40% - 강조색3 4 4 2 4 2 3" xfId="15037"/>
    <cellStyle name="40% - 강조색3 4 4 2 4 3" xfId="15038"/>
    <cellStyle name="40% - 강조색3 4 4 2 4 4" xfId="15039"/>
    <cellStyle name="40% - 강조색3 4 4 2 5" xfId="15040"/>
    <cellStyle name="40% - 강조색3 4 4 2 5 2" xfId="15041"/>
    <cellStyle name="40% - 강조색3 4 4 2 5 3" xfId="15042"/>
    <cellStyle name="40% - 강조색3 4 4 2 6" xfId="15043"/>
    <cellStyle name="40% - 강조색3 4 4 2 7" xfId="15044"/>
    <cellStyle name="40% - 강조색3 4 4 3" xfId="15045"/>
    <cellStyle name="40% - 강조색3 4 4 3 2" xfId="15046"/>
    <cellStyle name="40% - 강조색3 4 4 3 2 2" xfId="15047"/>
    <cellStyle name="40% - 강조색3 4 4 3 2 2 2" xfId="15048"/>
    <cellStyle name="40% - 강조색3 4 4 3 2 2 2 2" xfId="15049"/>
    <cellStyle name="40% - 강조색3 4 4 3 2 2 2 3" xfId="15050"/>
    <cellStyle name="40% - 강조색3 4 4 3 2 2 3" xfId="15051"/>
    <cellStyle name="40% - 강조색3 4 4 3 2 2 4" xfId="15052"/>
    <cellStyle name="40% - 강조색3 4 4 3 2 3" xfId="15053"/>
    <cellStyle name="40% - 강조색3 4 4 3 2 3 2" xfId="15054"/>
    <cellStyle name="40% - 강조색3 4 4 3 2 3 3" xfId="15055"/>
    <cellStyle name="40% - 강조색3 4 4 3 2 4" xfId="15056"/>
    <cellStyle name="40% - 강조색3 4 4 3 2 5" xfId="15057"/>
    <cellStyle name="40% - 강조색3 4 4 3 3" xfId="15058"/>
    <cellStyle name="40% - 강조색3 4 4 3 3 2" xfId="15059"/>
    <cellStyle name="40% - 강조색3 4 4 3 3 2 2" xfId="15060"/>
    <cellStyle name="40% - 강조색3 4 4 3 3 2 2 2" xfId="15061"/>
    <cellStyle name="40% - 강조색3 4 4 3 3 2 2 3" xfId="15062"/>
    <cellStyle name="40% - 강조색3 4 4 3 3 2 3" xfId="15063"/>
    <cellStyle name="40% - 강조색3 4 4 3 3 2 4" xfId="15064"/>
    <cellStyle name="40% - 강조색3 4 4 3 3 3" xfId="15065"/>
    <cellStyle name="40% - 강조색3 4 4 3 3 3 2" xfId="15066"/>
    <cellStyle name="40% - 강조색3 4 4 3 3 3 3" xfId="15067"/>
    <cellStyle name="40% - 강조색3 4 4 3 3 4" xfId="15068"/>
    <cellStyle name="40% - 강조색3 4 4 3 3 5" xfId="15069"/>
    <cellStyle name="40% - 강조색3 4 4 3 4" xfId="15070"/>
    <cellStyle name="40% - 강조색3 4 4 3 4 2" xfId="15071"/>
    <cellStyle name="40% - 강조색3 4 4 3 4 2 2" xfId="15072"/>
    <cellStyle name="40% - 강조색3 4 4 3 4 2 3" xfId="15073"/>
    <cellStyle name="40% - 강조색3 4 4 3 4 3" xfId="15074"/>
    <cellStyle name="40% - 강조색3 4 4 3 4 4" xfId="15075"/>
    <cellStyle name="40% - 강조색3 4 4 3 5" xfId="15076"/>
    <cellStyle name="40% - 강조색3 4 4 3 5 2" xfId="15077"/>
    <cellStyle name="40% - 강조색3 4 4 3 5 3" xfId="15078"/>
    <cellStyle name="40% - 강조색3 4 4 3 6" xfId="15079"/>
    <cellStyle name="40% - 강조색3 4 4 3 7" xfId="15080"/>
    <cellStyle name="40% - 강조색3 4 4 4" xfId="15081"/>
    <cellStyle name="40% - 강조색3 4 4 4 2" xfId="15082"/>
    <cellStyle name="40% - 강조색3 4 4 4 2 2" xfId="15083"/>
    <cellStyle name="40% - 강조색3 4 4 4 2 2 2" xfId="15084"/>
    <cellStyle name="40% - 강조색3 4 4 4 2 2 3" xfId="15085"/>
    <cellStyle name="40% - 강조색3 4 4 4 2 3" xfId="15086"/>
    <cellStyle name="40% - 강조색3 4 4 4 2 4" xfId="15087"/>
    <cellStyle name="40% - 강조색3 4 4 4 3" xfId="15088"/>
    <cellStyle name="40% - 강조색3 4 4 4 3 2" xfId="15089"/>
    <cellStyle name="40% - 강조색3 4 4 4 3 3" xfId="15090"/>
    <cellStyle name="40% - 강조색3 4 4 4 4" xfId="15091"/>
    <cellStyle name="40% - 강조색3 4 4 4 5" xfId="15092"/>
    <cellStyle name="40% - 강조색3 4 4 5" xfId="15093"/>
    <cellStyle name="40% - 강조색3 4 4 5 2" xfId="15094"/>
    <cellStyle name="40% - 강조색3 4 4 5 2 2" xfId="15095"/>
    <cellStyle name="40% - 강조색3 4 4 5 2 2 2" xfId="15096"/>
    <cellStyle name="40% - 강조색3 4 4 5 2 2 3" xfId="15097"/>
    <cellStyle name="40% - 강조색3 4 4 5 2 3" xfId="15098"/>
    <cellStyle name="40% - 강조색3 4 4 5 2 4" xfId="15099"/>
    <cellStyle name="40% - 강조색3 4 4 5 3" xfId="15100"/>
    <cellStyle name="40% - 강조색3 4 4 5 3 2" xfId="15101"/>
    <cellStyle name="40% - 강조색3 4 4 5 3 3" xfId="15102"/>
    <cellStyle name="40% - 강조색3 4 4 5 4" xfId="15103"/>
    <cellStyle name="40% - 강조색3 4 4 5 5" xfId="15104"/>
    <cellStyle name="40% - 강조색3 4 4 6" xfId="15105"/>
    <cellStyle name="40% - 강조색3 4 4 6 2" xfId="15106"/>
    <cellStyle name="40% - 강조색3 4 4 6 2 2" xfId="15107"/>
    <cellStyle name="40% - 강조색3 4 4 6 2 2 2" xfId="15108"/>
    <cellStyle name="40% - 강조색3 4 4 6 2 2 3" xfId="15109"/>
    <cellStyle name="40% - 강조색3 4 4 6 2 3" xfId="15110"/>
    <cellStyle name="40% - 강조색3 4 4 6 2 4" xfId="15111"/>
    <cellStyle name="40% - 강조색3 4 4 6 3" xfId="15112"/>
    <cellStyle name="40% - 강조색3 4 4 6 3 2" xfId="15113"/>
    <cellStyle name="40% - 강조색3 4 4 6 3 3" xfId="15114"/>
    <cellStyle name="40% - 강조색3 4 4 6 4" xfId="15115"/>
    <cellStyle name="40% - 강조색3 4 4 6 5" xfId="15116"/>
    <cellStyle name="40% - 강조색3 4 4 7" xfId="15117"/>
    <cellStyle name="40% - 강조색3 4 4 7 2" xfId="15118"/>
    <cellStyle name="40% - 강조색3 4 4 7 2 2" xfId="15119"/>
    <cellStyle name="40% - 강조색3 4 4 7 2 3" xfId="15120"/>
    <cellStyle name="40% - 강조색3 4 4 7 3" xfId="15121"/>
    <cellStyle name="40% - 강조색3 4 4 7 4" xfId="15122"/>
    <cellStyle name="40% - 강조색3 4 4 8" xfId="15123"/>
    <cellStyle name="40% - 강조색3 4 4 8 2" xfId="15124"/>
    <cellStyle name="40% - 강조색3 4 4 8 3" xfId="15125"/>
    <cellStyle name="40% - 강조색3 4 4 9" xfId="15126"/>
    <cellStyle name="40% - 강조색3 4 5" xfId="15127"/>
    <cellStyle name="40% - 강조색3 4 5 2" xfId="15128"/>
    <cellStyle name="40% - 강조색3 4 5 2 2" xfId="15129"/>
    <cellStyle name="40% - 강조색3 4 5 2 2 2" xfId="15130"/>
    <cellStyle name="40% - 강조색3 4 5 2 2 2 2" xfId="15131"/>
    <cellStyle name="40% - 강조색3 4 5 2 2 2 3" xfId="15132"/>
    <cellStyle name="40% - 강조색3 4 5 2 2 3" xfId="15133"/>
    <cellStyle name="40% - 강조색3 4 5 2 2 4" xfId="15134"/>
    <cellStyle name="40% - 강조색3 4 5 2 3" xfId="15135"/>
    <cellStyle name="40% - 강조색3 4 5 2 3 2" xfId="15136"/>
    <cellStyle name="40% - 강조색3 4 5 2 3 3" xfId="15137"/>
    <cellStyle name="40% - 강조색3 4 5 2 4" xfId="15138"/>
    <cellStyle name="40% - 강조색3 4 5 2 5" xfId="15139"/>
    <cellStyle name="40% - 강조색3 4 5 3" xfId="15140"/>
    <cellStyle name="40% - 강조색3 4 5 3 2" xfId="15141"/>
    <cellStyle name="40% - 강조색3 4 5 3 2 2" xfId="15142"/>
    <cellStyle name="40% - 강조색3 4 5 3 2 2 2" xfId="15143"/>
    <cellStyle name="40% - 강조색3 4 5 3 2 2 3" xfId="15144"/>
    <cellStyle name="40% - 강조색3 4 5 3 2 3" xfId="15145"/>
    <cellStyle name="40% - 강조색3 4 5 3 2 4" xfId="15146"/>
    <cellStyle name="40% - 강조색3 4 5 3 3" xfId="15147"/>
    <cellStyle name="40% - 강조색3 4 5 3 3 2" xfId="15148"/>
    <cellStyle name="40% - 강조색3 4 5 3 3 3" xfId="15149"/>
    <cellStyle name="40% - 강조색3 4 5 3 4" xfId="15150"/>
    <cellStyle name="40% - 강조색3 4 5 3 5" xfId="15151"/>
    <cellStyle name="40% - 강조색3 4 5 4" xfId="15152"/>
    <cellStyle name="40% - 강조색3 4 5 4 2" xfId="15153"/>
    <cellStyle name="40% - 강조색3 4 5 4 2 2" xfId="15154"/>
    <cellStyle name="40% - 강조색3 4 5 4 2 3" xfId="15155"/>
    <cellStyle name="40% - 강조색3 4 5 4 3" xfId="15156"/>
    <cellStyle name="40% - 강조색3 4 5 4 4" xfId="15157"/>
    <cellStyle name="40% - 강조색3 4 5 5" xfId="15158"/>
    <cellStyle name="40% - 강조색3 4 5 5 2" xfId="15159"/>
    <cellStyle name="40% - 강조색3 4 5 5 3" xfId="15160"/>
    <cellStyle name="40% - 강조색3 4 5 6" xfId="15161"/>
    <cellStyle name="40% - 강조색3 4 5 7" xfId="15162"/>
    <cellStyle name="40% - 강조색3 4 6" xfId="15163"/>
    <cellStyle name="40% - 강조색3 4 6 2" xfId="15164"/>
    <cellStyle name="40% - 강조색3 4 6 2 2" xfId="15165"/>
    <cellStyle name="40% - 강조색3 4 6 2 2 2" xfId="15166"/>
    <cellStyle name="40% - 강조색3 4 6 2 2 2 2" xfId="15167"/>
    <cellStyle name="40% - 강조색3 4 6 2 2 2 3" xfId="15168"/>
    <cellStyle name="40% - 강조색3 4 6 2 2 3" xfId="15169"/>
    <cellStyle name="40% - 강조색3 4 6 2 2 4" xfId="15170"/>
    <cellStyle name="40% - 강조색3 4 6 2 3" xfId="15171"/>
    <cellStyle name="40% - 강조색3 4 6 2 3 2" xfId="15172"/>
    <cellStyle name="40% - 강조색3 4 6 2 3 3" xfId="15173"/>
    <cellStyle name="40% - 강조색3 4 6 2 4" xfId="15174"/>
    <cellStyle name="40% - 강조색3 4 6 2 5" xfId="15175"/>
    <cellStyle name="40% - 강조색3 4 6 3" xfId="15176"/>
    <cellStyle name="40% - 강조색3 4 6 3 2" xfId="15177"/>
    <cellStyle name="40% - 강조색3 4 6 3 2 2" xfId="15178"/>
    <cellStyle name="40% - 강조색3 4 6 3 2 2 2" xfId="15179"/>
    <cellStyle name="40% - 강조색3 4 6 3 2 2 3" xfId="15180"/>
    <cellStyle name="40% - 강조색3 4 6 3 2 3" xfId="15181"/>
    <cellStyle name="40% - 강조색3 4 6 3 2 4" xfId="15182"/>
    <cellStyle name="40% - 강조색3 4 6 3 3" xfId="15183"/>
    <cellStyle name="40% - 강조색3 4 6 3 3 2" xfId="15184"/>
    <cellStyle name="40% - 강조색3 4 6 3 3 3" xfId="15185"/>
    <cellStyle name="40% - 강조색3 4 6 3 4" xfId="15186"/>
    <cellStyle name="40% - 강조색3 4 6 3 5" xfId="15187"/>
    <cellStyle name="40% - 강조색3 4 6 4" xfId="15188"/>
    <cellStyle name="40% - 강조색3 4 6 4 2" xfId="15189"/>
    <cellStyle name="40% - 강조색3 4 6 4 2 2" xfId="15190"/>
    <cellStyle name="40% - 강조색3 4 6 4 2 3" xfId="15191"/>
    <cellStyle name="40% - 강조색3 4 6 4 3" xfId="15192"/>
    <cellStyle name="40% - 강조색3 4 6 4 4" xfId="15193"/>
    <cellStyle name="40% - 강조색3 4 6 5" xfId="15194"/>
    <cellStyle name="40% - 강조색3 4 6 5 2" xfId="15195"/>
    <cellStyle name="40% - 강조색3 4 6 5 3" xfId="15196"/>
    <cellStyle name="40% - 강조색3 4 6 6" xfId="15197"/>
    <cellStyle name="40% - 강조색3 4 6 7" xfId="15198"/>
    <cellStyle name="40% - 강조색3 4 7" xfId="15199"/>
    <cellStyle name="40% - 강조색3 4 7 2" xfId="15200"/>
    <cellStyle name="40% - 강조색3 4 7 2 2" xfId="15201"/>
    <cellStyle name="40% - 강조색3 4 7 2 2 2" xfId="15202"/>
    <cellStyle name="40% - 강조색3 4 7 2 2 3" xfId="15203"/>
    <cellStyle name="40% - 강조색3 4 7 2 3" xfId="15204"/>
    <cellStyle name="40% - 강조색3 4 7 2 4" xfId="15205"/>
    <cellStyle name="40% - 강조색3 4 7 3" xfId="15206"/>
    <cellStyle name="40% - 강조색3 4 7 3 2" xfId="15207"/>
    <cellStyle name="40% - 강조색3 4 7 3 3" xfId="15208"/>
    <cellStyle name="40% - 강조색3 4 7 4" xfId="15209"/>
    <cellStyle name="40% - 강조색3 4 7 5" xfId="15210"/>
    <cellStyle name="40% - 강조색3 4 8" xfId="15211"/>
    <cellStyle name="40% - 강조색3 4 8 2" xfId="15212"/>
    <cellStyle name="40% - 강조색3 4 8 2 2" xfId="15213"/>
    <cellStyle name="40% - 강조색3 4 8 2 2 2" xfId="15214"/>
    <cellStyle name="40% - 강조색3 4 8 2 2 3" xfId="15215"/>
    <cellStyle name="40% - 강조색3 4 8 2 3" xfId="15216"/>
    <cellStyle name="40% - 강조색3 4 8 2 4" xfId="15217"/>
    <cellStyle name="40% - 강조색3 4 8 3" xfId="15218"/>
    <cellStyle name="40% - 강조색3 4 8 3 2" xfId="15219"/>
    <cellStyle name="40% - 강조색3 4 8 3 3" xfId="15220"/>
    <cellStyle name="40% - 강조색3 4 8 4" xfId="15221"/>
    <cellStyle name="40% - 강조색3 4 8 5" xfId="15222"/>
    <cellStyle name="40% - 강조색3 4 9" xfId="15223"/>
    <cellStyle name="40% - 강조색3 4 9 2" xfId="15224"/>
    <cellStyle name="40% - 강조색3 4 9 2 2" xfId="15225"/>
    <cellStyle name="40% - 강조색3 4 9 2 2 2" xfId="15226"/>
    <cellStyle name="40% - 강조색3 4 9 2 2 3" xfId="15227"/>
    <cellStyle name="40% - 강조색3 4 9 2 3" xfId="15228"/>
    <cellStyle name="40% - 강조색3 4 9 2 4" xfId="15229"/>
    <cellStyle name="40% - 강조색3 4 9 3" xfId="15230"/>
    <cellStyle name="40% - 강조색3 4 9 3 2" xfId="15231"/>
    <cellStyle name="40% - 강조색3 4 9 3 3" xfId="15232"/>
    <cellStyle name="40% - 강조색3 4 9 4" xfId="15233"/>
    <cellStyle name="40% - 강조색3 4 9 5" xfId="15234"/>
    <cellStyle name="40% - 강조색3 40" xfId="15235"/>
    <cellStyle name="40% - 강조색3 41" xfId="15236"/>
    <cellStyle name="40% - 강조색3 42" xfId="15237"/>
    <cellStyle name="40% - 강조색3 43" xfId="15238"/>
    <cellStyle name="40% - 강조색3 44" xfId="15239"/>
    <cellStyle name="40% - 강조색3 45" xfId="15240"/>
    <cellStyle name="40% - 강조색3 46" xfId="15241"/>
    <cellStyle name="40% - 강조색3 47" xfId="15242"/>
    <cellStyle name="40% - 강조색3 48" xfId="15243"/>
    <cellStyle name="40% - 강조색3 49" xfId="15244"/>
    <cellStyle name="40% - 강조색3 5" xfId="15245"/>
    <cellStyle name="40% - 강조색3 5 10" xfId="15246"/>
    <cellStyle name="40% - 강조색3 5 11" xfId="15247"/>
    <cellStyle name="40% - 강조색3 5 2" xfId="15248"/>
    <cellStyle name="40% - 강조색3 5 2 2" xfId="15249"/>
    <cellStyle name="40% - 강조색3 5 2 2 2" xfId="15250"/>
    <cellStyle name="40% - 강조색3 5 2 2 2 2" xfId="15251"/>
    <cellStyle name="40% - 강조색3 5 2 2 2 2 2" xfId="15252"/>
    <cellStyle name="40% - 강조색3 5 2 2 2 2 3" xfId="15253"/>
    <cellStyle name="40% - 강조색3 5 2 2 2 3" xfId="15254"/>
    <cellStyle name="40% - 강조색3 5 2 2 2 4" xfId="15255"/>
    <cellStyle name="40% - 강조색3 5 2 2 3" xfId="15256"/>
    <cellStyle name="40% - 강조색3 5 2 2 3 2" xfId="15257"/>
    <cellStyle name="40% - 강조색3 5 2 2 3 3" xfId="15258"/>
    <cellStyle name="40% - 강조색3 5 2 2 4" xfId="15259"/>
    <cellStyle name="40% - 강조색3 5 2 2 5" xfId="15260"/>
    <cellStyle name="40% - 강조색3 5 2 3" xfId="15261"/>
    <cellStyle name="40% - 강조색3 5 2 3 2" xfId="15262"/>
    <cellStyle name="40% - 강조색3 5 2 3 2 2" xfId="15263"/>
    <cellStyle name="40% - 강조색3 5 2 3 2 2 2" xfId="15264"/>
    <cellStyle name="40% - 강조색3 5 2 3 2 2 3" xfId="15265"/>
    <cellStyle name="40% - 강조색3 5 2 3 2 3" xfId="15266"/>
    <cellStyle name="40% - 강조색3 5 2 3 2 4" xfId="15267"/>
    <cellStyle name="40% - 강조색3 5 2 3 3" xfId="15268"/>
    <cellStyle name="40% - 강조색3 5 2 3 3 2" xfId="15269"/>
    <cellStyle name="40% - 강조색3 5 2 3 3 3" xfId="15270"/>
    <cellStyle name="40% - 강조색3 5 2 3 4" xfId="15271"/>
    <cellStyle name="40% - 강조색3 5 2 3 5" xfId="15272"/>
    <cellStyle name="40% - 강조색3 5 2 4" xfId="15273"/>
    <cellStyle name="40% - 강조색3 5 2 4 2" xfId="15274"/>
    <cellStyle name="40% - 강조색3 5 2 4 2 2" xfId="15275"/>
    <cellStyle name="40% - 강조색3 5 2 4 2 3" xfId="15276"/>
    <cellStyle name="40% - 강조색3 5 2 4 3" xfId="15277"/>
    <cellStyle name="40% - 강조색3 5 2 4 4" xfId="15278"/>
    <cellStyle name="40% - 강조색3 5 2 5" xfId="15279"/>
    <cellStyle name="40% - 강조색3 5 2 5 2" xfId="15280"/>
    <cellStyle name="40% - 강조색3 5 2 5 3" xfId="15281"/>
    <cellStyle name="40% - 강조색3 5 2 6" xfId="15282"/>
    <cellStyle name="40% - 강조색3 5 2 7" xfId="15283"/>
    <cellStyle name="40% - 강조색3 5 3" xfId="15284"/>
    <cellStyle name="40% - 강조색3 5 3 2" xfId="15285"/>
    <cellStyle name="40% - 강조색3 5 3 2 2" xfId="15286"/>
    <cellStyle name="40% - 강조색3 5 3 2 2 2" xfId="15287"/>
    <cellStyle name="40% - 강조색3 5 3 2 2 2 2" xfId="15288"/>
    <cellStyle name="40% - 강조색3 5 3 2 2 2 3" xfId="15289"/>
    <cellStyle name="40% - 강조색3 5 3 2 2 3" xfId="15290"/>
    <cellStyle name="40% - 강조색3 5 3 2 2 4" xfId="15291"/>
    <cellStyle name="40% - 강조색3 5 3 2 3" xfId="15292"/>
    <cellStyle name="40% - 강조색3 5 3 2 3 2" xfId="15293"/>
    <cellStyle name="40% - 강조색3 5 3 2 3 3" xfId="15294"/>
    <cellStyle name="40% - 강조색3 5 3 2 4" xfId="15295"/>
    <cellStyle name="40% - 강조색3 5 3 2 5" xfId="15296"/>
    <cellStyle name="40% - 강조색3 5 3 3" xfId="15297"/>
    <cellStyle name="40% - 강조색3 5 3 3 2" xfId="15298"/>
    <cellStyle name="40% - 강조색3 5 3 3 2 2" xfId="15299"/>
    <cellStyle name="40% - 강조색3 5 3 3 2 2 2" xfId="15300"/>
    <cellStyle name="40% - 강조색3 5 3 3 2 2 3" xfId="15301"/>
    <cellStyle name="40% - 강조색3 5 3 3 2 3" xfId="15302"/>
    <cellStyle name="40% - 강조색3 5 3 3 2 4" xfId="15303"/>
    <cellStyle name="40% - 강조색3 5 3 3 3" xfId="15304"/>
    <cellStyle name="40% - 강조색3 5 3 3 3 2" xfId="15305"/>
    <cellStyle name="40% - 강조색3 5 3 3 3 3" xfId="15306"/>
    <cellStyle name="40% - 강조색3 5 3 3 4" xfId="15307"/>
    <cellStyle name="40% - 강조색3 5 3 3 5" xfId="15308"/>
    <cellStyle name="40% - 강조색3 5 3 4" xfId="15309"/>
    <cellStyle name="40% - 강조색3 5 3 4 2" xfId="15310"/>
    <cellStyle name="40% - 강조색3 5 3 4 2 2" xfId="15311"/>
    <cellStyle name="40% - 강조색3 5 3 4 2 3" xfId="15312"/>
    <cellStyle name="40% - 강조색3 5 3 4 3" xfId="15313"/>
    <cellStyle name="40% - 강조색3 5 3 4 4" xfId="15314"/>
    <cellStyle name="40% - 강조색3 5 3 5" xfId="15315"/>
    <cellStyle name="40% - 강조색3 5 3 5 2" xfId="15316"/>
    <cellStyle name="40% - 강조색3 5 3 5 3" xfId="15317"/>
    <cellStyle name="40% - 강조색3 5 3 6" xfId="15318"/>
    <cellStyle name="40% - 강조색3 5 3 7" xfId="15319"/>
    <cellStyle name="40% - 강조색3 5 4" xfId="15320"/>
    <cellStyle name="40% - 강조색3 5 4 2" xfId="15321"/>
    <cellStyle name="40% - 강조색3 5 4 2 2" xfId="15322"/>
    <cellStyle name="40% - 강조색3 5 4 2 2 2" xfId="15323"/>
    <cellStyle name="40% - 강조색3 5 4 2 2 3" xfId="15324"/>
    <cellStyle name="40% - 강조색3 5 4 2 3" xfId="15325"/>
    <cellStyle name="40% - 강조색3 5 4 2 4" xfId="15326"/>
    <cellStyle name="40% - 강조색3 5 4 3" xfId="15327"/>
    <cellStyle name="40% - 강조색3 5 4 3 2" xfId="15328"/>
    <cellStyle name="40% - 강조색3 5 4 3 3" xfId="15329"/>
    <cellStyle name="40% - 강조색3 5 4 4" xfId="15330"/>
    <cellStyle name="40% - 강조색3 5 4 5" xfId="15331"/>
    <cellStyle name="40% - 강조색3 5 5" xfId="15332"/>
    <cellStyle name="40% - 강조색3 5 5 2" xfId="15333"/>
    <cellStyle name="40% - 강조색3 5 5 2 2" xfId="15334"/>
    <cellStyle name="40% - 강조색3 5 5 2 2 2" xfId="15335"/>
    <cellStyle name="40% - 강조색3 5 5 2 2 3" xfId="15336"/>
    <cellStyle name="40% - 강조색3 5 5 2 3" xfId="15337"/>
    <cellStyle name="40% - 강조색3 5 5 2 4" xfId="15338"/>
    <cellStyle name="40% - 강조색3 5 5 3" xfId="15339"/>
    <cellStyle name="40% - 강조색3 5 5 3 2" xfId="15340"/>
    <cellStyle name="40% - 강조색3 5 5 3 3" xfId="15341"/>
    <cellStyle name="40% - 강조색3 5 5 4" xfId="15342"/>
    <cellStyle name="40% - 강조색3 5 5 5" xfId="15343"/>
    <cellStyle name="40% - 강조색3 5 6" xfId="15344"/>
    <cellStyle name="40% - 강조색3 5 6 2" xfId="15345"/>
    <cellStyle name="40% - 강조색3 5 6 2 2" xfId="15346"/>
    <cellStyle name="40% - 강조색3 5 6 2 2 2" xfId="15347"/>
    <cellStyle name="40% - 강조색3 5 6 2 2 3" xfId="15348"/>
    <cellStyle name="40% - 강조색3 5 6 2 3" xfId="15349"/>
    <cellStyle name="40% - 강조색3 5 6 2 4" xfId="15350"/>
    <cellStyle name="40% - 강조색3 5 6 3" xfId="15351"/>
    <cellStyle name="40% - 강조색3 5 6 3 2" xfId="15352"/>
    <cellStyle name="40% - 강조색3 5 6 3 3" xfId="15353"/>
    <cellStyle name="40% - 강조색3 5 6 4" xfId="15354"/>
    <cellStyle name="40% - 강조색3 5 6 5" xfId="15355"/>
    <cellStyle name="40% - 강조색3 5 7" xfId="15356"/>
    <cellStyle name="40% - 강조색3 5 7 2" xfId="15357"/>
    <cellStyle name="40% - 강조색3 5 7 2 2" xfId="15358"/>
    <cellStyle name="40% - 강조색3 5 7 2 3" xfId="15359"/>
    <cellStyle name="40% - 강조색3 5 7 3" xfId="15360"/>
    <cellStyle name="40% - 강조색3 5 7 4" xfId="15361"/>
    <cellStyle name="40% - 강조색3 5 8" xfId="15362"/>
    <cellStyle name="40% - 강조색3 5 8 2" xfId="15363"/>
    <cellStyle name="40% - 강조색3 5 8 3" xfId="15364"/>
    <cellStyle name="40% - 강조색3 5 9" xfId="15365"/>
    <cellStyle name="40% - 강조색3 50" xfId="15366"/>
    <cellStyle name="40% - 강조색3 51" xfId="15367"/>
    <cellStyle name="40% - 강조색3 52" xfId="15368"/>
    <cellStyle name="40% - 강조색3 53" xfId="15369"/>
    <cellStyle name="40% - 강조색3 54" xfId="15370"/>
    <cellStyle name="40% - 강조색3 55" xfId="15371"/>
    <cellStyle name="40% - 강조색3 56" xfId="15372"/>
    <cellStyle name="40% - 강조색3 57" xfId="15373"/>
    <cellStyle name="40% - 강조색3 58" xfId="15374"/>
    <cellStyle name="40% - 강조색3 59" xfId="15375"/>
    <cellStyle name="40% - 강조색3 6" xfId="15376"/>
    <cellStyle name="40% - 강조색3 6 10" xfId="15377"/>
    <cellStyle name="40% - 강조색3 6 2" xfId="15378"/>
    <cellStyle name="40% - 강조색3 6 2 2" xfId="15379"/>
    <cellStyle name="40% - 강조색3 6 2 2 2" xfId="15380"/>
    <cellStyle name="40% - 강조색3 6 2 2 2 2" xfId="15381"/>
    <cellStyle name="40% - 강조색3 6 2 2 2 2 2" xfId="15382"/>
    <cellStyle name="40% - 강조색3 6 2 2 2 2 3" xfId="15383"/>
    <cellStyle name="40% - 강조색3 6 2 2 2 3" xfId="15384"/>
    <cellStyle name="40% - 강조색3 6 2 2 2 4" xfId="15385"/>
    <cellStyle name="40% - 강조색3 6 2 2 3" xfId="15386"/>
    <cellStyle name="40% - 강조색3 6 2 2 3 2" xfId="15387"/>
    <cellStyle name="40% - 강조색3 6 2 2 3 3" xfId="15388"/>
    <cellStyle name="40% - 강조색3 6 2 2 4" xfId="15389"/>
    <cellStyle name="40% - 강조색3 6 2 2 5" xfId="15390"/>
    <cellStyle name="40% - 강조색3 6 2 3" xfId="15391"/>
    <cellStyle name="40% - 강조색3 6 2 3 2" xfId="15392"/>
    <cellStyle name="40% - 강조색3 6 2 3 2 2" xfId="15393"/>
    <cellStyle name="40% - 강조색3 6 2 3 2 2 2" xfId="15394"/>
    <cellStyle name="40% - 강조색3 6 2 3 2 2 3" xfId="15395"/>
    <cellStyle name="40% - 강조색3 6 2 3 2 3" xfId="15396"/>
    <cellStyle name="40% - 강조색3 6 2 3 2 4" xfId="15397"/>
    <cellStyle name="40% - 강조색3 6 2 3 3" xfId="15398"/>
    <cellStyle name="40% - 강조색3 6 2 3 3 2" xfId="15399"/>
    <cellStyle name="40% - 강조색3 6 2 3 3 3" xfId="15400"/>
    <cellStyle name="40% - 강조색3 6 2 3 4" xfId="15401"/>
    <cellStyle name="40% - 강조색3 6 2 3 5" xfId="15402"/>
    <cellStyle name="40% - 강조색3 6 2 4" xfId="15403"/>
    <cellStyle name="40% - 강조색3 6 2 4 2" xfId="15404"/>
    <cellStyle name="40% - 강조색3 6 2 4 2 2" xfId="15405"/>
    <cellStyle name="40% - 강조색3 6 2 4 2 3" xfId="15406"/>
    <cellStyle name="40% - 강조색3 6 2 4 3" xfId="15407"/>
    <cellStyle name="40% - 강조색3 6 2 4 4" xfId="15408"/>
    <cellStyle name="40% - 강조색3 6 2 5" xfId="15409"/>
    <cellStyle name="40% - 강조색3 6 2 5 2" xfId="15410"/>
    <cellStyle name="40% - 강조색3 6 2 5 3" xfId="15411"/>
    <cellStyle name="40% - 강조색3 6 2 6" xfId="15412"/>
    <cellStyle name="40% - 강조색3 6 2 7" xfId="15413"/>
    <cellStyle name="40% - 강조색3 6 3" xfId="15414"/>
    <cellStyle name="40% - 강조색3 6 3 2" xfId="15415"/>
    <cellStyle name="40% - 강조색3 6 3 2 2" xfId="15416"/>
    <cellStyle name="40% - 강조색3 6 3 2 2 2" xfId="15417"/>
    <cellStyle name="40% - 강조색3 6 3 2 2 2 2" xfId="15418"/>
    <cellStyle name="40% - 강조색3 6 3 2 2 2 3" xfId="15419"/>
    <cellStyle name="40% - 강조색3 6 3 2 2 3" xfId="15420"/>
    <cellStyle name="40% - 강조색3 6 3 2 2 4" xfId="15421"/>
    <cellStyle name="40% - 강조색3 6 3 2 3" xfId="15422"/>
    <cellStyle name="40% - 강조색3 6 3 2 3 2" xfId="15423"/>
    <cellStyle name="40% - 강조색3 6 3 2 3 3" xfId="15424"/>
    <cellStyle name="40% - 강조색3 6 3 2 4" xfId="15425"/>
    <cellStyle name="40% - 강조색3 6 3 2 5" xfId="15426"/>
    <cellStyle name="40% - 강조색3 6 3 3" xfId="15427"/>
    <cellStyle name="40% - 강조색3 6 3 3 2" xfId="15428"/>
    <cellStyle name="40% - 강조색3 6 3 3 2 2" xfId="15429"/>
    <cellStyle name="40% - 강조색3 6 3 3 2 2 2" xfId="15430"/>
    <cellStyle name="40% - 강조색3 6 3 3 2 2 3" xfId="15431"/>
    <cellStyle name="40% - 강조색3 6 3 3 2 3" xfId="15432"/>
    <cellStyle name="40% - 강조색3 6 3 3 2 4" xfId="15433"/>
    <cellStyle name="40% - 강조색3 6 3 3 3" xfId="15434"/>
    <cellStyle name="40% - 강조색3 6 3 3 3 2" xfId="15435"/>
    <cellStyle name="40% - 강조색3 6 3 3 3 3" xfId="15436"/>
    <cellStyle name="40% - 강조색3 6 3 3 4" xfId="15437"/>
    <cellStyle name="40% - 강조색3 6 3 3 5" xfId="15438"/>
    <cellStyle name="40% - 강조색3 6 3 4" xfId="15439"/>
    <cellStyle name="40% - 강조색3 6 3 4 2" xfId="15440"/>
    <cellStyle name="40% - 강조색3 6 3 4 2 2" xfId="15441"/>
    <cellStyle name="40% - 강조색3 6 3 4 2 3" xfId="15442"/>
    <cellStyle name="40% - 강조색3 6 3 4 3" xfId="15443"/>
    <cellStyle name="40% - 강조색3 6 3 4 4" xfId="15444"/>
    <cellStyle name="40% - 강조색3 6 3 5" xfId="15445"/>
    <cellStyle name="40% - 강조색3 6 3 5 2" xfId="15446"/>
    <cellStyle name="40% - 강조색3 6 3 5 3" xfId="15447"/>
    <cellStyle name="40% - 강조색3 6 3 6" xfId="15448"/>
    <cellStyle name="40% - 강조색3 6 3 7" xfId="15449"/>
    <cellStyle name="40% - 강조색3 6 4" xfId="15450"/>
    <cellStyle name="40% - 강조색3 6 4 2" xfId="15451"/>
    <cellStyle name="40% - 강조색3 6 4 2 2" xfId="15452"/>
    <cellStyle name="40% - 강조색3 6 4 2 2 2" xfId="15453"/>
    <cellStyle name="40% - 강조색3 6 4 2 2 3" xfId="15454"/>
    <cellStyle name="40% - 강조색3 6 4 2 3" xfId="15455"/>
    <cellStyle name="40% - 강조색3 6 4 2 4" xfId="15456"/>
    <cellStyle name="40% - 강조색3 6 4 3" xfId="15457"/>
    <cellStyle name="40% - 강조색3 6 4 3 2" xfId="15458"/>
    <cellStyle name="40% - 강조색3 6 4 3 3" xfId="15459"/>
    <cellStyle name="40% - 강조색3 6 4 4" xfId="15460"/>
    <cellStyle name="40% - 강조색3 6 4 5" xfId="15461"/>
    <cellStyle name="40% - 강조색3 6 5" xfId="15462"/>
    <cellStyle name="40% - 강조색3 6 5 2" xfId="15463"/>
    <cellStyle name="40% - 강조색3 6 5 2 2" xfId="15464"/>
    <cellStyle name="40% - 강조색3 6 5 2 2 2" xfId="15465"/>
    <cellStyle name="40% - 강조색3 6 5 2 2 3" xfId="15466"/>
    <cellStyle name="40% - 강조색3 6 5 2 3" xfId="15467"/>
    <cellStyle name="40% - 강조색3 6 5 2 4" xfId="15468"/>
    <cellStyle name="40% - 강조색3 6 5 3" xfId="15469"/>
    <cellStyle name="40% - 강조색3 6 5 3 2" xfId="15470"/>
    <cellStyle name="40% - 강조색3 6 5 3 3" xfId="15471"/>
    <cellStyle name="40% - 강조색3 6 5 4" xfId="15472"/>
    <cellStyle name="40% - 강조색3 6 5 5" xfId="15473"/>
    <cellStyle name="40% - 강조색3 6 6" xfId="15474"/>
    <cellStyle name="40% - 강조색3 6 6 2" xfId="15475"/>
    <cellStyle name="40% - 강조색3 6 6 2 2" xfId="15476"/>
    <cellStyle name="40% - 강조색3 6 6 2 2 2" xfId="15477"/>
    <cellStyle name="40% - 강조색3 6 6 2 2 3" xfId="15478"/>
    <cellStyle name="40% - 강조색3 6 6 2 3" xfId="15479"/>
    <cellStyle name="40% - 강조색3 6 6 2 4" xfId="15480"/>
    <cellStyle name="40% - 강조색3 6 6 3" xfId="15481"/>
    <cellStyle name="40% - 강조색3 6 6 3 2" xfId="15482"/>
    <cellStyle name="40% - 강조색3 6 6 3 3" xfId="15483"/>
    <cellStyle name="40% - 강조색3 6 6 4" xfId="15484"/>
    <cellStyle name="40% - 강조색3 6 6 5" xfId="15485"/>
    <cellStyle name="40% - 강조색3 6 7" xfId="15486"/>
    <cellStyle name="40% - 강조색3 6 7 2" xfId="15487"/>
    <cellStyle name="40% - 강조색3 6 7 2 2" xfId="15488"/>
    <cellStyle name="40% - 강조색3 6 7 2 3" xfId="15489"/>
    <cellStyle name="40% - 강조색3 6 7 3" xfId="15490"/>
    <cellStyle name="40% - 강조색3 6 7 4" xfId="15491"/>
    <cellStyle name="40% - 강조색3 6 8" xfId="15492"/>
    <cellStyle name="40% - 강조색3 6 8 2" xfId="15493"/>
    <cellStyle name="40% - 강조색3 6 8 3" xfId="15494"/>
    <cellStyle name="40% - 강조색3 6 9" xfId="15495"/>
    <cellStyle name="40% - 강조색3 60" xfId="15496"/>
    <cellStyle name="40% - 강조색3 61" xfId="15497"/>
    <cellStyle name="40% - 강조색3 62" xfId="15498"/>
    <cellStyle name="40% - 강조색3 63" xfId="15499"/>
    <cellStyle name="40% - 강조색3 64" xfId="15500"/>
    <cellStyle name="40% - 강조색3 65" xfId="15501"/>
    <cellStyle name="40% - 강조색3 66" xfId="15502"/>
    <cellStyle name="40% - 강조색3 67" xfId="15503"/>
    <cellStyle name="40% - 강조색3 68" xfId="15504"/>
    <cellStyle name="40% - 강조색3 69" xfId="15505"/>
    <cellStyle name="40% - 강조색3 7" xfId="15506"/>
    <cellStyle name="40% - 강조색3 7 10" xfId="15507"/>
    <cellStyle name="40% - 강조색3 7 2" xfId="15508"/>
    <cellStyle name="40% - 강조색3 7 2 2" xfId="15509"/>
    <cellStyle name="40% - 강조색3 7 2 2 2" xfId="15510"/>
    <cellStyle name="40% - 강조색3 7 2 2 2 2" xfId="15511"/>
    <cellStyle name="40% - 강조색3 7 2 2 2 2 2" xfId="15512"/>
    <cellStyle name="40% - 강조색3 7 2 2 2 2 3" xfId="15513"/>
    <cellStyle name="40% - 강조색3 7 2 2 2 3" xfId="15514"/>
    <cellStyle name="40% - 강조색3 7 2 2 2 4" xfId="15515"/>
    <cellStyle name="40% - 강조색3 7 2 2 3" xfId="15516"/>
    <cellStyle name="40% - 강조색3 7 2 2 3 2" xfId="15517"/>
    <cellStyle name="40% - 강조색3 7 2 2 3 3" xfId="15518"/>
    <cellStyle name="40% - 강조색3 7 2 2 4" xfId="15519"/>
    <cellStyle name="40% - 강조색3 7 2 2 5" xfId="15520"/>
    <cellStyle name="40% - 강조색3 7 2 3" xfId="15521"/>
    <cellStyle name="40% - 강조색3 7 2 3 2" xfId="15522"/>
    <cellStyle name="40% - 강조색3 7 2 3 2 2" xfId="15523"/>
    <cellStyle name="40% - 강조색3 7 2 3 2 2 2" xfId="15524"/>
    <cellStyle name="40% - 강조색3 7 2 3 2 2 3" xfId="15525"/>
    <cellStyle name="40% - 강조색3 7 2 3 2 3" xfId="15526"/>
    <cellStyle name="40% - 강조색3 7 2 3 2 4" xfId="15527"/>
    <cellStyle name="40% - 강조색3 7 2 3 3" xfId="15528"/>
    <cellStyle name="40% - 강조색3 7 2 3 3 2" xfId="15529"/>
    <cellStyle name="40% - 강조색3 7 2 3 3 3" xfId="15530"/>
    <cellStyle name="40% - 강조색3 7 2 3 4" xfId="15531"/>
    <cellStyle name="40% - 강조색3 7 2 3 5" xfId="15532"/>
    <cellStyle name="40% - 강조색3 7 2 4" xfId="15533"/>
    <cellStyle name="40% - 강조색3 7 2 4 2" xfId="15534"/>
    <cellStyle name="40% - 강조색3 7 2 4 2 2" xfId="15535"/>
    <cellStyle name="40% - 강조색3 7 2 4 2 3" xfId="15536"/>
    <cellStyle name="40% - 강조색3 7 2 4 3" xfId="15537"/>
    <cellStyle name="40% - 강조색3 7 2 4 4" xfId="15538"/>
    <cellStyle name="40% - 강조색3 7 2 5" xfId="15539"/>
    <cellStyle name="40% - 강조색3 7 2 5 2" xfId="15540"/>
    <cellStyle name="40% - 강조색3 7 2 5 3" xfId="15541"/>
    <cellStyle name="40% - 강조색3 7 2 6" xfId="15542"/>
    <cellStyle name="40% - 강조색3 7 2 7" xfId="15543"/>
    <cellStyle name="40% - 강조색3 7 3" xfId="15544"/>
    <cellStyle name="40% - 강조색3 7 3 2" xfId="15545"/>
    <cellStyle name="40% - 강조색3 7 3 2 2" xfId="15546"/>
    <cellStyle name="40% - 강조색3 7 3 2 2 2" xfId="15547"/>
    <cellStyle name="40% - 강조색3 7 3 2 2 2 2" xfId="15548"/>
    <cellStyle name="40% - 강조색3 7 3 2 2 2 3" xfId="15549"/>
    <cellStyle name="40% - 강조색3 7 3 2 2 3" xfId="15550"/>
    <cellStyle name="40% - 강조색3 7 3 2 2 4" xfId="15551"/>
    <cellStyle name="40% - 강조색3 7 3 2 3" xfId="15552"/>
    <cellStyle name="40% - 강조색3 7 3 2 3 2" xfId="15553"/>
    <cellStyle name="40% - 강조색3 7 3 2 3 3" xfId="15554"/>
    <cellStyle name="40% - 강조색3 7 3 2 4" xfId="15555"/>
    <cellStyle name="40% - 강조색3 7 3 2 5" xfId="15556"/>
    <cellStyle name="40% - 강조색3 7 3 3" xfId="15557"/>
    <cellStyle name="40% - 강조색3 7 3 3 2" xfId="15558"/>
    <cellStyle name="40% - 강조색3 7 3 3 2 2" xfId="15559"/>
    <cellStyle name="40% - 강조색3 7 3 3 2 2 2" xfId="15560"/>
    <cellStyle name="40% - 강조색3 7 3 3 2 2 3" xfId="15561"/>
    <cellStyle name="40% - 강조색3 7 3 3 2 3" xfId="15562"/>
    <cellStyle name="40% - 강조색3 7 3 3 2 4" xfId="15563"/>
    <cellStyle name="40% - 강조색3 7 3 3 3" xfId="15564"/>
    <cellStyle name="40% - 강조색3 7 3 3 3 2" xfId="15565"/>
    <cellStyle name="40% - 강조색3 7 3 3 3 3" xfId="15566"/>
    <cellStyle name="40% - 강조색3 7 3 3 4" xfId="15567"/>
    <cellStyle name="40% - 강조색3 7 3 3 5" xfId="15568"/>
    <cellStyle name="40% - 강조색3 7 3 4" xfId="15569"/>
    <cellStyle name="40% - 강조색3 7 3 4 2" xfId="15570"/>
    <cellStyle name="40% - 강조색3 7 3 4 2 2" xfId="15571"/>
    <cellStyle name="40% - 강조색3 7 3 4 2 3" xfId="15572"/>
    <cellStyle name="40% - 강조색3 7 3 4 3" xfId="15573"/>
    <cellStyle name="40% - 강조색3 7 3 4 4" xfId="15574"/>
    <cellStyle name="40% - 강조색3 7 3 5" xfId="15575"/>
    <cellStyle name="40% - 강조색3 7 3 5 2" xfId="15576"/>
    <cellStyle name="40% - 강조색3 7 3 5 3" xfId="15577"/>
    <cellStyle name="40% - 강조색3 7 3 6" xfId="15578"/>
    <cellStyle name="40% - 강조색3 7 3 7" xfId="15579"/>
    <cellStyle name="40% - 강조색3 7 4" xfId="15580"/>
    <cellStyle name="40% - 강조색3 7 4 2" xfId="15581"/>
    <cellStyle name="40% - 강조색3 7 4 2 2" xfId="15582"/>
    <cellStyle name="40% - 강조색3 7 4 2 2 2" xfId="15583"/>
    <cellStyle name="40% - 강조색3 7 4 2 2 3" xfId="15584"/>
    <cellStyle name="40% - 강조색3 7 4 2 3" xfId="15585"/>
    <cellStyle name="40% - 강조색3 7 4 2 4" xfId="15586"/>
    <cellStyle name="40% - 강조색3 7 4 3" xfId="15587"/>
    <cellStyle name="40% - 강조색3 7 4 3 2" xfId="15588"/>
    <cellStyle name="40% - 강조색3 7 4 3 3" xfId="15589"/>
    <cellStyle name="40% - 강조색3 7 4 4" xfId="15590"/>
    <cellStyle name="40% - 강조색3 7 4 5" xfId="15591"/>
    <cellStyle name="40% - 강조색3 7 5" xfId="15592"/>
    <cellStyle name="40% - 강조색3 7 5 2" xfId="15593"/>
    <cellStyle name="40% - 강조색3 7 5 2 2" xfId="15594"/>
    <cellStyle name="40% - 강조색3 7 5 2 2 2" xfId="15595"/>
    <cellStyle name="40% - 강조색3 7 5 2 2 3" xfId="15596"/>
    <cellStyle name="40% - 강조색3 7 5 2 3" xfId="15597"/>
    <cellStyle name="40% - 강조색3 7 5 2 4" xfId="15598"/>
    <cellStyle name="40% - 강조색3 7 5 3" xfId="15599"/>
    <cellStyle name="40% - 강조색3 7 5 3 2" xfId="15600"/>
    <cellStyle name="40% - 강조색3 7 5 3 3" xfId="15601"/>
    <cellStyle name="40% - 강조색3 7 5 4" xfId="15602"/>
    <cellStyle name="40% - 강조색3 7 5 5" xfId="15603"/>
    <cellStyle name="40% - 강조색3 7 6" xfId="15604"/>
    <cellStyle name="40% - 강조색3 7 6 2" xfId="15605"/>
    <cellStyle name="40% - 강조색3 7 6 2 2" xfId="15606"/>
    <cellStyle name="40% - 강조색3 7 6 2 2 2" xfId="15607"/>
    <cellStyle name="40% - 강조색3 7 6 2 2 3" xfId="15608"/>
    <cellStyle name="40% - 강조색3 7 6 2 3" xfId="15609"/>
    <cellStyle name="40% - 강조색3 7 6 2 4" xfId="15610"/>
    <cellStyle name="40% - 강조색3 7 6 3" xfId="15611"/>
    <cellStyle name="40% - 강조색3 7 6 3 2" xfId="15612"/>
    <cellStyle name="40% - 강조색3 7 6 3 3" xfId="15613"/>
    <cellStyle name="40% - 강조색3 7 6 4" xfId="15614"/>
    <cellStyle name="40% - 강조색3 7 6 5" xfId="15615"/>
    <cellStyle name="40% - 강조색3 7 7" xfId="15616"/>
    <cellStyle name="40% - 강조색3 7 7 2" xfId="15617"/>
    <cellStyle name="40% - 강조색3 7 7 2 2" xfId="15618"/>
    <cellStyle name="40% - 강조색3 7 7 2 3" xfId="15619"/>
    <cellStyle name="40% - 강조색3 7 7 3" xfId="15620"/>
    <cellStyle name="40% - 강조색3 7 7 4" xfId="15621"/>
    <cellStyle name="40% - 강조색3 7 8" xfId="15622"/>
    <cellStyle name="40% - 강조색3 7 8 2" xfId="15623"/>
    <cellStyle name="40% - 강조색3 7 8 3" xfId="15624"/>
    <cellStyle name="40% - 강조색3 7 9" xfId="15625"/>
    <cellStyle name="40% - 강조색3 8" xfId="15626"/>
    <cellStyle name="40% - 강조색3 8 2" xfId="15627"/>
    <cellStyle name="40% - 강조색3 8 2 2" xfId="15628"/>
    <cellStyle name="40% - 강조색3 8 2 2 2" xfId="15629"/>
    <cellStyle name="40% - 강조색3 8 2 2 2 2" xfId="15630"/>
    <cellStyle name="40% - 강조색3 8 2 2 2 3" xfId="15631"/>
    <cellStyle name="40% - 강조색3 8 2 2 3" xfId="15632"/>
    <cellStyle name="40% - 강조색3 8 2 2 4" xfId="15633"/>
    <cellStyle name="40% - 강조색3 8 2 3" xfId="15634"/>
    <cellStyle name="40% - 강조색3 8 2 3 2" xfId="15635"/>
    <cellStyle name="40% - 강조색3 8 2 3 3" xfId="15636"/>
    <cellStyle name="40% - 강조색3 8 2 4" xfId="15637"/>
    <cellStyle name="40% - 강조색3 8 2 5" xfId="15638"/>
    <cellStyle name="40% - 강조색3 8 3" xfId="15639"/>
    <cellStyle name="40% - 강조색3 8 3 2" xfId="15640"/>
    <cellStyle name="40% - 강조색3 8 3 2 2" xfId="15641"/>
    <cellStyle name="40% - 강조색3 8 3 2 2 2" xfId="15642"/>
    <cellStyle name="40% - 강조색3 8 3 2 2 3" xfId="15643"/>
    <cellStyle name="40% - 강조색3 8 3 2 3" xfId="15644"/>
    <cellStyle name="40% - 강조색3 8 3 2 4" xfId="15645"/>
    <cellStyle name="40% - 강조색3 8 3 3" xfId="15646"/>
    <cellStyle name="40% - 강조색3 8 3 3 2" xfId="15647"/>
    <cellStyle name="40% - 강조색3 8 3 3 3" xfId="15648"/>
    <cellStyle name="40% - 강조색3 8 3 4" xfId="15649"/>
    <cellStyle name="40% - 강조색3 8 3 5" xfId="15650"/>
    <cellStyle name="40% - 강조색3 8 4" xfId="15651"/>
    <cellStyle name="40% - 강조색3 8 4 2" xfId="15652"/>
    <cellStyle name="40% - 강조색3 8 4 2 2" xfId="15653"/>
    <cellStyle name="40% - 강조색3 8 4 2 3" xfId="15654"/>
    <cellStyle name="40% - 강조색3 8 4 3" xfId="15655"/>
    <cellStyle name="40% - 강조색3 8 4 4" xfId="15656"/>
    <cellStyle name="40% - 강조색3 8 5" xfId="15657"/>
    <cellStyle name="40% - 강조색3 8 5 2" xfId="15658"/>
    <cellStyle name="40% - 강조색3 8 5 3" xfId="15659"/>
    <cellStyle name="40% - 강조색3 8 6" xfId="15660"/>
    <cellStyle name="40% - 강조색3 8 7" xfId="15661"/>
    <cellStyle name="40% - 강조색3 9" xfId="15662"/>
    <cellStyle name="40% - 강조색3 9 2" xfId="15663"/>
    <cellStyle name="40% - 강조색3 9 2 2" xfId="15664"/>
    <cellStyle name="40% - 강조색3 9 2 2 2" xfId="15665"/>
    <cellStyle name="40% - 강조색3 9 2 2 2 2" xfId="15666"/>
    <cellStyle name="40% - 강조색3 9 2 2 2 3" xfId="15667"/>
    <cellStyle name="40% - 강조색3 9 2 2 3" xfId="15668"/>
    <cellStyle name="40% - 강조색3 9 2 2 4" xfId="15669"/>
    <cellStyle name="40% - 강조색3 9 2 3" xfId="15670"/>
    <cellStyle name="40% - 강조색3 9 2 3 2" xfId="15671"/>
    <cellStyle name="40% - 강조색3 9 2 3 3" xfId="15672"/>
    <cellStyle name="40% - 강조색3 9 2 4" xfId="15673"/>
    <cellStyle name="40% - 강조색3 9 2 5" xfId="15674"/>
    <cellStyle name="40% - 강조색3 9 3" xfId="15675"/>
    <cellStyle name="40% - 강조색3 9 3 2" xfId="15676"/>
    <cellStyle name="40% - 강조색3 9 3 2 2" xfId="15677"/>
    <cellStyle name="40% - 강조색3 9 3 2 2 2" xfId="15678"/>
    <cellStyle name="40% - 강조색3 9 3 2 2 3" xfId="15679"/>
    <cellStyle name="40% - 강조색3 9 3 2 3" xfId="15680"/>
    <cellStyle name="40% - 강조색3 9 3 2 4" xfId="15681"/>
    <cellStyle name="40% - 강조색3 9 3 3" xfId="15682"/>
    <cellStyle name="40% - 강조색3 9 3 3 2" xfId="15683"/>
    <cellStyle name="40% - 강조색3 9 3 3 3" xfId="15684"/>
    <cellStyle name="40% - 강조색3 9 3 4" xfId="15685"/>
    <cellStyle name="40% - 강조색3 9 3 5" xfId="15686"/>
    <cellStyle name="40% - 강조색3 9 4" xfId="15687"/>
    <cellStyle name="40% - 강조색3 9 4 2" xfId="15688"/>
    <cellStyle name="40% - 강조색3 9 4 2 2" xfId="15689"/>
    <cellStyle name="40% - 강조색3 9 4 2 3" xfId="15690"/>
    <cellStyle name="40% - 강조색3 9 4 3" xfId="15691"/>
    <cellStyle name="40% - 강조색3 9 4 4" xfId="15692"/>
    <cellStyle name="40% - 강조색3 9 5" xfId="15693"/>
    <cellStyle name="40% - 강조색3 9 5 2" xfId="15694"/>
    <cellStyle name="40% - 강조색3 9 5 3" xfId="15695"/>
    <cellStyle name="40% - 강조색3 9 6" xfId="15696"/>
    <cellStyle name="40% - 강조색3 9 7" xfId="15697"/>
    <cellStyle name="40% - 강조색4 10" xfId="15698"/>
    <cellStyle name="40% - 강조색4 10 2" xfId="15699"/>
    <cellStyle name="40% - 강조색4 10 2 2" xfId="15700"/>
    <cellStyle name="40% - 강조색4 10 2 2 2" xfId="15701"/>
    <cellStyle name="40% - 강조색4 10 2 2 2 2" xfId="15702"/>
    <cellStyle name="40% - 강조색4 10 2 2 2 3" xfId="15703"/>
    <cellStyle name="40% - 강조색4 10 2 2 3" xfId="15704"/>
    <cellStyle name="40% - 강조색4 10 2 2 4" xfId="15705"/>
    <cellStyle name="40% - 강조색4 10 2 3" xfId="15706"/>
    <cellStyle name="40% - 강조색4 10 2 3 2" xfId="15707"/>
    <cellStyle name="40% - 강조색4 10 2 3 3" xfId="15708"/>
    <cellStyle name="40% - 강조색4 10 2 4" xfId="15709"/>
    <cellStyle name="40% - 강조색4 10 2 5" xfId="15710"/>
    <cellStyle name="40% - 강조색4 10 3" xfId="15711"/>
    <cellStyle name="40% - 강조색4 10 3 2" xfId="15712"/>
    <cellStyle name="40% - 강조색4 10 3 2 2" xfId="15713"/>
    <cellStyle name="40% - 강조색4 10 3 2 2 2" xfId="15714"/>
    <cellStyle name="40% - 강조색4 10 3 2 2 3" xfId="15715"/>
    <cellStyle name="40% - 강조색4 10 3 2 3" xfId="15716"/>
    <cellStyle name="40% - 강조색4 10 3 2 4" xfId="15717"/>
    <cellStyle name="40% - 강조색4 10 3 3" xfId="15718"/>
    <cellStyle name="40% - 강조색4 10 3 3 2" xfId="15719"/>
    <cellStyle name="40% - 강조색4 10 3 3 3" xfId="15720"/>
    <cellStyle name="40% - 강조색4 10 3 4" xfId="15721"/>
    <cellStyle name="40% - 강조색4 10 3 5" xfId="15722"/>
    <cellStyle name="40% - 강조색4 10 4" xfId="15723"/>
    <cellStyle name="40% - 강조색4 10 4 2" xfId="15724"/>
    <cellStyle name="40% - 강조색4 10 4 2 2" xfId="15725"/>
    <cellStyle name="40% - 강조색4 10 4 2 3" xfId="15726"/>
    <cellStyle name="40% - 강조색4 10 4 3" xfId="15727"/>
    <cellStyle name="40% - 강조색4 10 4 4" xfId="15728"/>
    <cellStyle name="40% - 강조색4 10 5" xfId="15729"/>
    <cellStyle name="40% - 강조색4 10 5 2" xfId="15730"/>
    <cellStyle name="40% - 강조색4 10 5 3" xfId="15731"/>
    <cellStyle name="40% - 강조색4 10 6" xfId="15732"/>
    <cellStyle name="40% - 강조색4 10 7" xfId="15733"/>
    <cellStyle name="40% - 강조색4 11" xfId="15734"/>
    <cellStyle name="40% - 강조색4 11 2" xfId="15735"/>
    <cellStyle name="40% - 강조색4 11 2 2" xfId="15736"/>
    <cellStyle name="40% - 강조색4 11 2 2 2" xfId="15737"/>
    <cellStyle name="40% - 강조색4 11 2 2 3" xfId="15738"/>
    <cellStyle name="40% - 강조색4 11 2 3" xfId="15739"/>
    <cellStyle name="40% - 강조색4 11 2 4" xfId="15740"/>
    <cellStyle name="40% - 강조색4 11 3" xfId="15741"/>
    <cellStyle name="40% - 강조색4 11 3 2" xfId="15742"/>
    <cellStyle name="40% - 강조색4 11 3 3" xfId="15743"/>
    <cellStyle name="40% - 강조색4 11 4" xfId="15744"/>
    <cellStyle name="40% - 강조색4 11 5" xfId="15745"/>
    <cellStyle name="40% - 강조색4 12" xfId="15746"/>
    <cellStyle name="40% - 강조색4 12 2" xfId="15747"/>
    <cellStyle name="40% - 강조색4 12 2 2" xfId="15748"/>
    <cellStyle name="40% - 강조색4 12 2 2 2" xfId="15749"/>
    <cellStyle name="40% - 강조색4 12 2 2 3" xfId="15750"/>
    <cellStyle name="40% - 강조색4 12 2 3" xfId="15751"/>
    <cellStyle name="40% - 강조색4 12 2 4" xfId="15752"/>
    <cellStyle name="40% - 강조색4 12 3" xfId="15753"/>
    <cellStyle name="40% - 강조색4 12 3 2" xfId="15754"/>
    <cellStyle name="40% - 강조색4 12 3 3" xfId="15755"/>
    <cellStyle name="40% - 강조색4 12 4" xfId="15756"/>
    <cellStyle name="40% - 강조색4 12 5" xfId="15757"/>
    <cellStyle name="40% - 강조색4 13" xfId="15758"/>
    <cellStyle name="40% - 강조색4 13 2" xfId="15759"/>
    <cellStyle name="40% - 강조색4 13 2 2" xfId="15760"/>
    <cellStyle name="40% - 강조색4 13 2 3" xfId="15761"/>
    <cellStyle name="40% - 강조색4 13 3" xfId="15762"/>
    <cellStyle name="40% - 강조색4 13 4" xfId="15763"/>
    <cellStyle name="40% - 강조색4 14" xfId="15764"/>
    <cellStyle name="40% - 강조색4 14 2" xfId="15765"/>
    <cellStyle name="40% - 강조색4 14 2 2" xfId="15766"/>
    <cellStyle name="40% - 강조색4 14 2 3" xfId="15767"/>
    <cellStyle name="40% - 강조색4 14 3" xfId="15768"/>
    <cellStyle name="40% - 강조색4 14 4" xfId="15769"/>
    <cellStyle name="40% - 강조색4 15" xfId="15770"/>
    <cellStyle name="40% - 강조색4 15 2" xfId="15771"/>
    <cellStyle name="40% - 강조색4 15 3" xfId="15772"/>
    <cellStyle name="40% - 강조색4 16" xfId="15773"/>
    <cellStyle name="40% - 강조색4 16 2" xfId="15774"/>
    <cellStyle name="40% - 강조색4 16 3" xfId="15775"/>
    <cellStyle name="40% - 강조색4 16 4" xfId="15776"/>
    <cellStyle name="40% - 강조색4 17" xfId="15777"/>
    <cellStyle name="40% - 강조색4 17 2" xfId="15778"/>
    <cellStyle name="40% - 강조색4 17 3" xfId="15779"/>
    <cellStyle name="40% - 강조색4 18" xfId="15780"/>
    <cellStyle name="40% - 강조색4 18 2" xfId="15781"/>
    <cellStyle name="40% - 강조색4 18 3" xfId="15782"/>
    <cellStyle name="40% - 강조색4 19" xfId="15783"/>
    <cellStyle name="40% - 강조색4 19 2" xfId="15784"/>
    <cellStyle name="40% - 강조색4 19 3" xfId="15785"/>
    <cellStyle name="40% - 강조색4 2" xfId="15786"/>
    <cellStyle name="40% - 강조색4 2 2" xfId="15787"/>
    <cellStyle name="40% - 강조색4 2 2 2" xfId="15788"/>
    <cellStyle name="40% - 강조색4 2 2 2 2" xfId="15789"/>
    <cellStyle name="40% - 강조색4 2 2 3" xfId="15790"/>
    <cellStyle name="40% - 강조색4 2 3" xfId="15791"/>
    <cellStyle name="40% - 강조색4 2 3 2" xfId="15792"/>
    <cellStyle name="40% - 강조색4 2 3 2 2" xfId="15793"/>
    <cellStyle name="40% - 강조색4 2 3 3" xfId="15794"/>
    <cellStyle name="40% - 강조색4 2 4" xfId="15795"/>
    <cellStyle name="40% - 강조색4 2 4 2" xfId="15796"/>
    <cellStyle name="40% - 강조색4 2 5" xfId="15797"/>
    <cellStyle name="40% - 강조색4 2 6" xfId="15798"/>
    <cellStyle name="40% - 강조색4 20" xfId="15799"/>
    <cellStyle name="40% - 강조색4 20 2" xfId="15800"/>
    <cellStyle name="40% - 강조색4 20 3" xfId="15801"/>
    <cellStyle name="40% - 강조색4 21" xfId="15802"/>
    <cellStyle name="40% - 강조색4 21 2" xfId="15803"/>
    <cellStyle name="40% - 강조색4 21 3" xfId="15804"/>
    <cellStyle name="40% - 강조색4 22" xfId="15805"/>
    <cellStyle name="40% - 강조색4 22 2" xfId="15806"/>
    <cellStyle name="40% - 강조색4 22 3" xfId="15807"/>
    <cellStyle name="40% - 강조색4 23" xfId="15808"/>
    <cellStyle name="40% - 강조색4 23 2" xfId="15809"/>
    <cellStyle name="40% - 강조색4 23 3" xfId="15810"/>
    <cellStyle name="40% - 강조색4 24" xfId="15811"/>
    <cellStyle name="40% - 강조색4 24 2" xfId="15812"/>
    <cellStyle name="40% - 강조색4 25" xfId="15813"/>
    <cellStyle name="40% - 강조색4 25 2" xfId="15814"/>
    <cellStyle name="40% - 강조색4 26" xfId="15815"/>
    <cellStyle name="40% - 강조색4 26 2" xfId="15816"/>
    <cellStyle name="40% - 강조색4 27" xfId="15817"/>
    <cellStyle name="40% - 강조색4 27 2" xfId="15818"/>
    <cellStyle name="40% - 강조색4 28" xfId="15819"/>
    <cellStyle name="40% - 강조색4 28 2" xfId="15820"/>
    <cellStyle name="40% - 강조색4 29" xfId="15821"/>
    <cellStyle name="40% - 강조색4 29 2" xfId="15822"/>
    <cellStyle name="40% - 강조색4 3" xfId="15823"/>
    <cellStyle name="40% - 강조색4 3 10" xfId="15824"/>
    <cellStyle name="40% - 강조색4 3 10 2" xfId="15825"/>
    <cellStyle name="40% - 강조색4 3 10 2 2" xfId="15826"/>
    <cellStyle name="40% - 강조색4 3 10 2 3" xfId="15827"/>
    <cellStyle name="40% - 강조색4 3 10 3" xfId="15828"/>
    <cellStyle name="40% - 강조색4 3 10 4" xfId="15829"/>
    <cellStyle name="40% - 강조색4 3 11" xfId="15830"/>
    <cellStyle name="40% - 강조색4 3 11 2" xfId="15831"/>
    <cellStyle name="40% - 강조색4 3 11 3" xfId="15832"/>
    <cellStyle name="40% - 강조색4 3 12" xfId="15833"/>
    <cellStyle name="40% - 강조색4 3 13" xfId="15834"/>
    <cellStyle name="40% - 강조색4 3 14" xfId="15835"/>
    <cellStyle name="40% - 강조색4 3 15" xfId="15836"/>
    <cellStyle name="40% - 강조색4 3 2" xfId="15837"/>
    <cellStyle name="40% - 강조색4 3 2 10" xfId="15838"/>
    <cellStyle name="40% - 강조색4 3 2 11" xfId="15839"/>
    <cellStyle name="40% - 강조색4 3 2 12" xfId="15840"/>
    <cellStyle name="40% - 강조색4 3 2 2" xfId="15841"/>
    <cellStyle name="40% - 강조색4 3 2 2 2" xfId="15842"/>
    <cellStyle name="40% - 강조색4 3 2 2 2 2" xfId="15843"/>
    <cellStyle name="40% - 강조색4 3 2 2 2 2 2" xfId="15844"/>
    <cellStyle name="40% - 강조색4 3 2 2 2 2 2 2" xfId="15845"/>
    <cellStyle name="40% - 강조색4 3 2 2 2 2 2 3" xfId="15846"/>
    <cellStyle name="40% - 강조색4 3 2 2 2 2 3" xfId="15847"/>
    <cellStyle name="40% - 강조색4 3 2 2 2 2 4" xfId="15848"/>
    <cellStyle name="40% - 강조색4 3 2 2 2 3" xfId="15849"/>
    <cellStyle name="40% - 강조색4 3 2 2 2 3 2" xfId="15850"/>
    <cellStyle name="40% - 강조색4 3 2 2 2 3 3" xfId="15851"/>
    <cellStyle name="40% - 강조색4 3 2 2 2 4" xfId="15852"/>
    <cellStyle name="40% - 강조색4 3 2 2 2 5" xfId="15853"/>
    <cellStyle name="40% - 강조색4 3 2 2 3" xfId="15854"/>
    <cellStyle name="40% - 강조색4 3 2 2 3 2" xfId="15855"/>
    <cellStyle name="40% - 강조색4 3 2 2 3 2 2" xfId="15856"/>
    <cellStyle name="40% - 강조색4 3 2 2 3 2 2 2" xfId="15857"/>
    <cellStyle name="40% - 강조색4 3 2 2 3 2 2 3" xfId="15858"/>
    <cellStyle name="40% - 강조색4 3 2 2 3 2 3" xfId="15859"/>
    <cellStyle name="40% - 강조색4 3 2 2 3 2 4" xfId="15860"/>
    <cellStyle name="40% - 강조색4 3 2 2 3 3" xfId="15861"/>
    <cellStyle name="40% - 강조색4 3 2 2 3 3 2" xfId="15862"/>
    <cellStyle name="40% - 강조색4 3 2 2 3 3 3" xfId="15863"/>
    <cellStyle name="40% - 강조색4 3 2 2 3 4" xfId="15864"/>
    <cellStyle name="40% - 강조색4 3 2 2 3 5" xfId="15865"/>
    <cellStyle name="40% - 강조색4 3 2 2 4" xfId="15866"/>
    <cellStyle name="40% - 강조색4 3 2 2 4 2" xfId="15867"/>
    <cellStyle name="40% - 강조색4 3 2 2 4 2 2" xfId="15868"/>
    <cellStyle name="40% - 강조색4 3 2 2 4 2 3" xfId="15869"/>
    <cellStyle name="40% - 강조색4 3 2 2 4 3" xfId="15870"/>
    <cellStyle name="40% - 강조색4 3 2 2 4 4" xfId="15871"/>
    <cellStyle name="40% - 강조색4 3 2 2 5" xfId="15872"/>
    <cellStyle name="40% - 강조색4 3 2 2 5 2" xfId="15873"/>
    <cellStyle name="40% - 강조색4 3 2 2 5 3" xfId="15874"/>
    <cellStyle name="40% - 강조색4 3 2 2 6" xfId="15875"/>
    <cellStyle name="40% - 강조색4 3 2 2 7" xfId="15876"/>
    <cellStyle name="40% - 강조색4 3 2 2 8" xfId="15877"/>
    <cellStyle name="40% - 강조색4 3 2 2 9" xfId="15878"/>
    <cellStyle name="40% - 강조색4 3 2 3" xfId="15879"/>
    <cellStyle name="40% - 강조색4 3 2 3 2" xfId="15880"/>
    <cellStyle name="40% - 강조색4 3 2 3 2 2" xfId="15881"/>
    <cellStyle name="40% - 강조색4 3 2 3 2 2 2" xfId="15882"/>
    <cellStyle name="40% - 강조색4 3 2 3 2 2 2 2" xfId="15883"/>
    <cellStyle name="40% - 강조색4 3 2 3 2 2 2 3" xfId="15884"/>
    <cellStyle name="40% - 강조색4 3 2 3 2 2 3" xfId="15885"/>
    <cellStyle name="40% - 강조색4 3 2 3 2 2 4" xfId="15886"/>
    <cellStyle name="40% - 강조색4 3 2 3 2 3" xfId="15887"/>
    <cellStyle name="40% - 강조색4 3 2 3 2 3 2" xfId="15888"/>
    <cellStyle name="40% - 강조색4 3 2 3 2 3 3" xfId="15889"/>
    <cellStyle name="40% - 강조색4 3 2 3 2 4" xfId="15890"/>
    <cellStyle name="40% - 강조색4 3 2 3 2 5" xfId="15891"/>
    <cellStyle name="40% - 강조색4 3 2 3 3" xfId="15892"/>
    <cellStyle name="40% - 강조색4 3 2 3 3 2" xfId="15893"/>
    <cellStyle name="40% - 강조색4 3 2 3 3 2 2" xfId="15894"/>
    <cellStyle name="40% - 강조색4 3 2 3 3 2 2 2" xfId="15895"/>
    <cellStyle name="40% - 강조색4 3 2 3 3 2 2 3" xfId="15896"/>
    <cellStyle name="40% - 강조색4 3 2 3 3 2 3" xfId="15897"/>
    <cellStyle name="40% - 강조색4 3 2 3 3 2 4" xfId="15898"/>
    <cellStyle name="40% - 강조색4 3 2 3 3 3" xfId="15899"/>
    <cellStyle name="40% - 강조색4 3 2 3 3 3 2" xfId="15900"/>
    <cellStyle name="40% - 강조색4 3 2 3 3 3 3" xfId="15901"/>
    <cellStyle name="40% - 강조색4 3 2 3 3 4" xfId="15902"/>
    <cellStyle name="40% - 강조색4 3 2 3 3 5" xfId="15903"/>
    <cellStyle name="40% - 강조색4 3 2 3 4" xfId="15904"/>
    <cellStyle name="40% - 강조색4 3 2 3 4 2" xfId="15905"/>
    <cellStyle name="40% - 강조색4 3 2 3 4 2 2" xfId="15906"/>
    <cellStyle name="40% - 강조색4 3 2 3 4 2 3" xfId="15907"/>
    <cellStyle name="40% - 강조색4 3 2 3 4 3" xfId="15908"/>
    <cellStyle name="40% - 강조색4 3 2 3 4 4" xfId="15909"/>
    <cellStyle name="40% - 강조색4 3 2 3 5" xfId="15910"/>
    <cellStyle name="40% - 강조색4 3 2 3 5 2" xfId="15911"/>
    <cellStyle name="40% - 강조색4 3 2 3 5 3" xfId="15912"/>
    <cellStyle name="40% - 강조색4 3 2 3 6" xfId="15913"/>
    <cellStyle name="40% - 강조색4 3 2 3 7" xfId="15914"/>
    <cellStyle name="40% - 강조색4 3 2 4" xfId="15915"/>
    <cellStyle name="40% - 강조색4 3 2 4 2" xfId="15916"/>
    <cellStyle name="40% - 강조색4 3 2 4 2 2" xfId="15917"/>
    <cellStyle name="40% - 강조색4 3 2 4 2 2 2" xfId="15918"/>
    <cellStyle name="40% - 강조색4 3 2 4 2 2 3" xfId="15919"/>
    <cellStyle name="40% - 강조색4 3 2 4 2 3" xfId="15920"/>
    <cellStyle name="40% - 강조색4 3 2 4 2 4" xfId="15921"/>
    <cellStyle name="40% - 강조색4 3 2 4 3" xfId="15922"/>
    <cellStyle name="40% - 강조색4 3 2 4 3 2" xfId="15923"/>
    <cellStyle name="40% - 강조색4 3 2 4 3 3" xfId="15924"/>
    <cellStyle name="40% - 강조색4 3 2 4 4" xfId="15925"/>
    <cellStyle name="40% - 강조색4 3 2 4 5" xfId="15926"/>
    <cellStyle name="40% - 강조색4 3 2 5" xfId="15927"/>
    <cellStyle name="40% - 강조색4 3 2 5 2" xfId="15928"/>
    <cellStyle name="40% - 강조색4 3 2 5 2 2" xfId="15929"/>
    <cellStyle name="40% - 강조색4 3 2 5 2 2 2" xfId="15930"/>
    <cellStyle name="40% - 강조색4 3 2 5 2 2 3" xfId="15931"/>
    <cellStyle name="40% - 강조색4 3 2 5 2 3" xfId="15932"/>
    <cellStyle name="40% - 강조색4 3 2 5 2 4" xfId="15933"/>
    <cellStyle name="40% - 강조색4 3 2 5 3" xfId="15934"/>
    <cellStyle name="40% - 강조색4 3 2 5 3 2" xfId="15935"/>
    <cellStyle name="40% - 강조색4 3 2 5 3 3" xfId="15936"/>
    <cellStyle name="40% - 강조색4 3 2 5 4" xfId="15937"/>
    <cellStyle name="40% - 강조색4 3 2 5 5" xfId="15938"/>
    <cellStyle name="40% - 강조색4 3 2 6" xfId="15939"/>
    <cellStyle name="40% - 강조색4 3 2 6 2" xfId="15940"/>
    <cellStyle name="40% - 강조색4 3 2 6 2 2" xfId="15941"/>
    <cellStyle name="40% - 강조색4 3 2 6 2 2 2" xfId="15942"/>
    <cellStyle name="40% - 강조색4 3 2 6 2 2 3" xfId="15943"/>
    <cellStyle name="40% - 강조색4 3 2 6 2 3" xfId="15944"/>
    <cellStyle name="40% - 강조색4 3 2 6 2 4" xfId="15945"/>
    <cellStyle name="40% - 강조색4 3 2 6 3" xfId="15946"/>
    <cellStyle name="40% - 강조색4 3 2 6 3 2" xfId="15947"/>
    <cellStyle name="40% - 강조색4 3 2 6 3 3" xfId="15948"/>
    <cellStyle name="40% - 강조색4 3 2 6 4" xfId="15949"/>
    <cellStyle name="40% - 강조색4 3 2 6 5" xfId="15950"/>
    <cellStyle name="40% - 강조색4 3 2 7" xfId="15951"/>
    <cellStyle name="40% - 강조색4 3 2 7 2" xfId="15952"/>
    <cellStyle name="40% - 강조색4 3 2 7 2 2" xfId="15953"/>
    <cellStyle name="40% - 강조색4 3 2 7 2 3" xfId="15954"/>
    <cellStyle name="40% - 강조색4 3 2 7 3" xfId="15955"/>
    <cellStyle name="40% - 강조색4 3 2 7 4" xfId="15956"/>
    <cellStyle name="40% - 강조색4 3 2 8" xfId="15957"/>
    <cellStyle name="40% - 강조색4 3 2 8 2" xfId="15958"/>
    <cellStyle name="40% - 강조색4 3 2 8 3" xfId="15959"/>
    <cellStyle name="40% - 강조색4 3 2 9" xfId="15960"/>
    <cellStyle name="40% - 강조색4 3 3" xfId="15961"/>
    <cellStyle name="40% - 강조색4 3 3 10" xfId="15962"/>
    <cellStyle name="40% - 강조색4 3 3 11" xfId="15963"/>
    <cellStyle name="40% - 강조색4 3 3 12" xfId="15964"/>
    <cellStyle name="40% - 강조색4 3 3 2" xfId="15965"/>
    <cellStyle name="40% - 강조색4 3 3 2 2" xfId="15966"/>
    <cellStyle name="40% - 강조색4 3 3 2 2 2" xfId="15967"/>
    <cellStyle name="40% - 강조색4 3 3 2 2 2 2" xfId="15968"/>
    <cellStyle name="40% - 강조색4 3 3 2 2 2 2 2" xfId="15969"/>
    <cellStyle name="40% - 강조색4 3 3 2 2 2 2 3" xfId="15970"/>
    <cellStyle name="40% - 강조색4 3 3 2 2 2 3" xfId="15971"/>
    <cellStyle name="40% - 강조색4 3 3 2 2 2 4" xfId="15972"/>
    <cellStyle name="40% - 강조색4 3 3 2 2 3" xfId="15973"/>
    <cellStyle name="40% - 강조색4 3 3 2 2 3 2" xfId="15974"/>
    <cellStyle name="40% - 강조색4 3 3 2 2 3 3" xfId="15975"/>
    <cellStyle name="40% - 강조색4 3 3 2 2 4" xfId="15976"/>
    <cellStyle name="40% - 강조색4 3 3 2 2 5" xfId="15977"/>
    <cellStyle name="40% - 강조색4 3 3 2 3" xfId="15978"/>
    <cellStyle name="40% - 강조색4 3 3 2 3 2" xfId="15979"/>
    <cellStyle name="40% - 강조색4 3 3 2 3 2 2" xfId="15980"/>
    <cellStyle name="40% - 강조색4 3 3 2 3 2 2 2" xfId="15981"/>
    <cellStyle name="40% - 강조색4 3 3 2 3 2 2 3" xfId="15982"/>
    <cellStyle name="40% - 강조색4 3 3 2 3 2 3" xfId="15983"/>
    <cellStyle name="40% - 강조색4 3 3 2 3 2 4" xfId="15984"/>
    <cellStyle name="40% - 강조색4 3 3 2 3 3" xfId="15985"/>
    <cellStyle name="40% - 강조색4 3 3 2 3 3 2" xfId="15986"/>
    <cellStyle name="40% - 강조색4 3 3 2 3 3 3" xfId="15987"/>
    <cellStyle name="40% - 강조색4 3 3 2 3 4" xfId="15988"/>
    <cellStyle name="40% - 강조색4 3 3 2 3 5" xfId="15989"/>
    <cellStyle name="40% - 강조색4 3 3 2 4" xfId="15990"/>
    <cellStyle name="40% - 강조색4 3 3 2 4 2" xfId="15991"/>
    <cellStyle name="40% - 강조색4 3 3 2 4 2 2" xfId="15992"/>
    <cellStyle name="40% - 강조색4 3 3 2 4 2 3" xfId="15993"/>
    <cellStyle name="40% - 강조색4 3 3 2 4 3" xfId="15994"/>
    <cellStyle name="40% - 강조색4 3 3 2 4 4" xfId="15995"/>
    <cellStyle name="40% - 강조색4 3 3 2 5" xfId="15996"/>
    <cellStyle name="40% - 강조색4 3 3 2 5 2" xfId="15997"/>
    <cellStyle name="40% - 강조색4 3 3 2 5 3" xfId="15998"/>
    <cellStyle name="40% - 강조색4 3 3 2 6" xfId="15999"/>
    <cellStyle name="40% - 강조색4 3 3 2 7" xfId="16000"/>
    <cellStyle name="40% - 강조색4 3 3 2 8" xfId="16001"/>
    <cellStyle name="40% - 강조색4 3 3 2 9" xfId="16002"/>
    <cellStyle name="40% - 강조색4 3 3 3" xfId="16003"/>
    <cellStyle name="40% - 강조색4 3 3 3 2" xfId="16004"/>
    <cellStyle name="40% - 강조색4 3 3 3 2 2" xfId="16005"/>
    <cellStyle name="40% - 강조색4 3 3 3 2 2 2" xfId="16006"/>
    <cellStyle name="40% - 강조색4 3 3 3 2 2 2 2" xfId="16007"/>
    <cellStyle name="40% - 강조색4 3 3 3 2 2 2 3" xfId="16008"/>
    <cellStyle name="40% - 강조색4 3 3 3 2 2 3" xfId="16009"/>
    <cellStyle name="40% - 강조색4 3 3 3 2 2 4" xfId="16010"/>
    <cellStyle name="40% - 강조색4 3 3 3 2 3" xfId="16011"/>
    <cellStyle name="40% - 강조색4 3 3 3 2 3 2" xfId="16012"/>
    <cellStyle name="40% - 강조색4 3 3 3 2 3 3" xfId="16013"/>
    <cellStyle name="40% - 강조색4 3 3 3 2 4" xfId="16014"/>
    <cellStyle name="40% - 강조색4 3 3 3 2 5" xfId="16015"/>
    <cellStyle name="40% - 강조색4 3 3 3 3" xfId="16016"/>
    <cellStyle name="40% - 강조색4 3 3 3 3 2" xfId="16017"/>
    <cellStyle name="40% - 강조색4 3 3 3 3 2 2" xfId="16018"/>
    <cellStyle name="40% - 강조색4 3 3 3 3 2 2 2" xfId="16019"/>
    <cellStyle name="40% - 강조색4 3 3 3 3 2 2 3" xfId="16020"/>
    <cellStyle name="40% - 강조색4 3 3 3 3 2 3" xfId="16021"/>
    <cellStyle name="40% - 강조색4 3 3 3 3 2 4" xfId="16022"/>
    <cellStyle name="40% - 강조색4 3 3 3 3 3" xfId="16023"/>
    <cellStyle name="40% - 강조색4 3 3 3 3 3 2" xfId="16024"/>
    <cellStyle name="40% - 강조색4 3 3 3 3 3 3" xfId="16025"/>
    <cellStyle name="40% - 강조색4 3 3 3 3 4" xfId="16026"/>
    <cellStyle name="40% - 강조색4 3 3 3 3 5" xfId="16027"/>
    <cellStyle name="40% - 강조색4 3 3 3 4" xfId="16028"/>
    <cellStyle name="40% - 강조색4 3 3 3 4 2" xfId="16029"/>
    <cellStyle name="40% - 강조색4 3 3 3 4 2 2" xfId="16030"/>
    <cellStyle name="40% - 강조색4 3 3 3 4 2 3" xfId="16031"/>
    <cellStyle name="40% - 강조색4 3 3 3 4 3" xfId="16032"/>
    <cellStyle name="40% - 강조색4 3 3 3 4 4" xfId="16033"/>
    <cellStyle name="40% - 강조색4 3 3 3 5" xfId="16034"/>
    <cellStyle name="40% - 강조색4 3 3 3 5 2" xfId="16035"/>
    <cellStyle name="40% - 강조색4 3 3 3 5 3" xfId="16036"/>
    <cellStyle name="40% - 강조색4 3 3 3 6" xfId="16037"/>
    <cellStyle name="40% - 강조색4 3 3 3 7" xfId="16038"/>
    <cellStyle name="40% - 강조색4 3 3 4" xfId="16039"/>
    <cellStyle name="40% - 강조색4 3 3 4 2" xfId="16040"/>
    <cellStyle name="40% - 강조색4 3 3 4 2 2" xfId="16041"/>
    <cellStyle name="40% - 강조색4 3 3 4 2 2 2" xfId="16042"/>
    <cellStyle name="40% - 강조색4 3 3 4 2 2 3" xfId="16043"/>
    <cellStyle name="40% - 강조색4 3 3 4 2 3" xfId="16044"/>
    <cellStyle name="40% - 강조색4 3 3 4 2 4" xfId="16045"/>
    <cellStyle name="40% - 강조색4 3 3 4 3" xfId="16046"/>
    <cellStyle name="40% - 강조색4 3 3 4 3 2" xfId="16047"/>
    <cellStyle name="40% - 강조색4 3 3 4 3 3" xfId="16048"/>
    <cellStyle name="40% - 강조색4 3 3 4 4" xfId="16049"/>
    <cellStyle name="40% - 강조색4 3 3 4 5" xfId="16050"/>
    <cellStyle name="40% - 강조색4 3 3 5" xfId="16051"/>
    <cellStyle name="40% - 강조색4 3 3 5 2" xfId="16052"/>
    <cellStyle name="40% - 강조색4 3 3 5 2 2" xfId="16053"/>
    <cellStyle name="40% - 강조색4 3 3 5 2 2 2" xfId="16054"/>
    <cellStyle name="40% - 강조색4 3 3 5 2 2 3" xfId="16055"/>
    <cellStyle name="40% - 강조색4 3 3 5 2 3" xfId="16056"/>
    <cellStyle name="40% - 강조색4 3 3 5 2 4" xfId="16057"/>
    <cellStyle name="40% - 강조색4 3 3 5 3" xfId="16058"/>
    <cellStyle name="40% - 강조색4 3 3 5 3 2" xfId="16059"/>
    <cellStyle name="40% - 강조색4 3 3 5 3 3" xfId="16060"/>
    <cellStyle name="40% - 강조색4 3 3 5 4" xfId="16061"/>
    <cellStyle name="40% - 강조색4 3 3 5 5" xfId="16062"/>
    <cellStyle name="40% - 강조색4 3 3 6" xfId="16063"/>
    <cellStyle name="40% - 강조색4 3 3 6 2" xfId="16064"/>
    <cellStyle name="40% - 강조색4 3 3 6 2 2" xfId="16065"/>
    <cellStyle name="40% - 강조색4 3 3 6 2 2 2" xfId="16066"/>
    <cellStyle name="40% - 강조색4 3 3 6 2 2 3" xfId="16067"/>
    <cellStyle name="40% - 강조색4 3 3 6 2 3" xfId="16068"/>
    <cellStyle name="40% - 강조색4 3 3 6 2 4" xfId="16069"/>
    <cellStyle name="40% - 강조색4 3 3 6 3" xfId="16070"/>
    <cellStyle name="40% - 강조색4 3 3 6 3 2" xfId="16071"/>
    <cellStyle name="40% - 강조색4 3 3 6 3 3" xfId="16072"/>
    <cellStyle name="40% - 강조색4 3 3 6 4" xfId="16073"/>
    <cellStyle name="40% - 강조색4 3 3 6 5" xfId="16074"/>
    <cellStyle name="40% - 강조색4 3 3 7" xfId="16075"/>
    <cellStyle name="40% - 강조색4 3 3 7 2" xfId="16076"/>
    <cellStyle name="40% - 강조색4 3 3 7 2 2" xfId="16077"/>
    <cellStyle name="40% - 강조색4 3 3 7 2 3" xfId="16078"/>
    <cellStyle name="40% - 강조색4 3 3 7 3" xfId="16079"/>
    <cellStyle name="40% - 강조색4 3 3 7 4" xfId="16080"/>
    <cellStyle name="40% - 강조색4 3 3 8" xfId="16081"/>
    <cellStyle name="40% - 강조색4 3 3 8 2" xfId="16082"/>
    <cellStyle name="40% - 강조색4 3 3 8 3" xfId="16083"/>
    <cellStyle name="40% - 강조색4 3 3 9" xfId="16084"/>
    <cellStyle name="40% - 강조색4 3 4" xfId="16085"/>
    <cellStyle name="40% - 강조색4 3 4 10" xfId="16086"/>
    <cellStyle name="40% - 강조색4 3 4 11" xfId="16087"/>
    <cellStyle name="40% - 강조색4 3 4 12" xfId="16088"/>
    <cellStyle name="40% - 강조색4 3 4 2" xfId="16089"/>
    <cellStyle name="40% - 강조색4 3 4 2 2" xfId="16090"/>
    <cellStyle name="40% - 강조색4 3 4 2 2 2" xfId="16091"/>
    <cellStyle name="40% - 강조색4 3 4 2 2 2 2" xfId="16092"/>
    <cellStyle name="40% - 강조색4 3 4 2 2 2 2 2" xfId="16093"/>
    <cellStyle name="40% - 강조색4 3 4 2 2 2 2 3" xfId="16094"/>
    <cellStyle name="40% - 강조색4 3 4 2 2 2 3" xfId="16095"/>
    <cellStyle name="40% - 강조색4 3 4 2 2 2 4" xfId="16096"/>
    <cellStyle name="40% - 강조색4 3 4 2 2 3" xfId="16097"/>
    <cellStyle name="40% - 강조색4 3 4 2 2 3 2" xfId="16098"/>
    <cellStyle name="40% - 강조색4 3 4 2 2 3 3" xfId="16099"/>
    <cellStyle name="40% - 강조색4 3 4 2 2 4" xfId="16100"/>
    <cellStyle name="40% - 강조색4 3 4 2 2 5" xfId="16101"/>
    <cellStyle name="40% - 강조색4 3 4 2 3" xfId="16102"/>
    <cellStyle name="40% - 강조색4 3 4 2 3 2" xfId="16103"/>
    <cellStyle name="40% - 강조색4 3 4 2 3 2 2" xfId="16104"/>
    <cellStyle name="40% - 강조색4 3 4 2 3 2 2 2" xfId="16105"/>
    <cellStyle name="40% - 강조색4 3 4 2 3 2 2 3" xfId="16106"/>
    <cellStyle name="40% - 강조색4 3 4 2 3 2 3" xfId="16107"/>
    <cellStyle name="40% - 강조색4 3 4 2 3 2 4" xfId="16108"/>
    <cellStyle name="40% - 강조색4 3 4 2 3 3" xfId="16109"/>
    <cellStyle name="40% - 강조색4 3 4 2 3 3 2" xfId="16110"/>
    <cellStyle name="40% - 강조색4 3 4 2 3 3 3" xfId="16111"/>
    <cellStyle name="40% - 강조색4 3 4 2 3 4" xfId="16112"/>
    <cellStyle name="40% - 강조색4 3 4 2 3 5" xfId="16113"/>
    <cellStyle name="40% - 강조색4 3 4 2 4" xfId="16114"/>
    <cellStyle name="40% - 강조색4 3 4 2 4 2" xfId="16115"/>
    <cellStyle name="40% - 강조색4 3 4 2 4 2 2" xfId="16116"/>
    <cellStyle name="40% - 강조색4 3 4 2 4 2 3" xfId="16117"/>
    <cellStyle name="40% - 강조색4 3 4 2 4 3" xfId="16118"/>
    <cellStyle name="40% - 강조색4 3 4 2 4 4" xfId="16119"/>
    <cellStyle name="40% - 강조색4 3 4 2 5" xfId="16120"/>
    <cellStyle name="40% - 강조색4 3 4 2 5 2" xfId="16121"/>
    <cellStyle name="40% - 강조색4 3 4 2 5 3" xfId="16122"/>
    <cellStyle name="40% - 강조색4 3 4 2 6" xfId="16123"/>
    <cellStyle name="40% - 강조색4 3 4 2 7" xfId="16124"/>
    <cellStyle name="40% - 강조색4 3 4 3" xfId="16125"/>
    <cellStyle name="40% - 강조색4 3 4 3 2" xfId="16126"/>
    <cellStyle name="40% - 강조색4 3 4 3 2 2" xfId="16127"/>
    <cellStyle name="40% - 강조색4 3 4 3 2 2 2" xfId="16128"/>
    <cellStyle name="40% - 강조색4 3 4 3 2 2 2 2" xfId="16129"/>
    <cellStyle name="40% - 강조색4 3 4 3 2 2 2 3" xfId="16130"/>
    <cellStyle name="40% - 강조색4 3 4 3 2 2 3" xfId="16131"/>
    <cellStyle name="40% - 강조색4 3 4 3 2 2 4" xfId="16132"/>
    <cellStyle name="40% - 강조색4 3 4 3 2 3" xfId="16133"/>
    <cellStyle name="40% - 강조색4 3 4 3 2 3 2" xfId="16134"/>
    <cellStyle name="40% - 강조색4 3 4 3 2 3 3" xfId="16135"/>
    <cellStyle name="40% - 강조색4 3 4 3 2 4" xfId="16136"/>
    <cellStyle name="40% - 강조색4 3 4 3 2 5" xfId="16137"/>
    <cellStyle name="40% - 강조색4 3 4 3 3" xfId="16138"/>
    <cellStyle name="40% - 강조색4 3 4 3 3 2" xfId="16139"/>
    <cellStyle name="40% - 강조색4 3 4 3 3 2 2" xfId="16140"/>
    <cellStyle name="40% - 강조색4 3 4 3 3 2 2 2" xfId="16141"/>
    <cellStyle name="40% - 강조색4 3 4 3 3 2 2 3" xfId="16142"/>
    <cellStyle name="40% - 강조색4 3 4 3 3 2 3" xfId="16143"/>
    <cellStyle name="40% - 강조색4 3 4 3 3 2 4" xfId="16144"/>
    <cellStyle name="40% - 강조색4 3 4 3 3 3" xfId="16145"/>
    <cellStyle name="40% - 강조색4 3 4 3 3 3 2" xfId="16146"/>
    <cellStyle name="40% - 강조색4 3 4 3 3 3 3" xfId="16147"/>
    <cellStyle name="40% - 강조색4 3 4 3 3 4" xfId="16148"/>
    <cellStyle name="40% - 강조색4 3 4 3 3 5" xfId="16149"/>
    <cellStyle name="40% - 강조색4 3 4 3 4" xfId="16150"/>
    <cellStyle name="40% - 강조색4 3 4 3 4 2" xfId="16151"/>
    <cellStyle name="40% - 강조색4 3 4 3 4 2 2" xfId="16152"/>
    <cellStyle name="40% - 강조색4 3 4 3 4 2 3" xfId="16153"/>
    <cellStyle name="40% - 강조색4 3 4 3 4 3" xfId="16154"/>
    <cellStyle name="40% - 강조색4 3 4 3 4 4" xfId="16155"/>
    <cellStyle name="40% - 강조색4 3 4 3 5" xfId="16156"/>
    <cellStyle name="40% - 강조색4 3 4 3 5 2" xfId="16157"/>
    <cellStyle name="40% - 강조색4 3 4 3 5 3" xfId="16158"/>
    <cellStyle name="40% - 강조색4 3 4 3 6" xfId="16159"/>
    <cellStyle name="40% - 강조색4 3 4 3 7" xfId="16160"/>
    <cellStyle name="40% - 강조색4 3 4 4" xfId="16161"/>
    <cellStyle name="40% - 강조색4 3 4 4 2" xfId="16162"/>
    <cellStyle name="40% - 강조색4 3 4 4 2 2" xfId="16163"/>
    <cellStyle name="40% - 강조색4 3 4 4 2 2 2" xfId="16164"/>
    <cellStyle name="40% - 강조색4 3 4 4 2 2 3" xfId="16165"/>
    <cellStyle name="40% - 강조색4 3 4 4 2 3" xfId="16166"/>
    <cellStyle name="40% - 강조색4 3 4 4 2 4" xfId="16167"/>
    <cellStyle name="40% - 강조색4 3 4 4 3" xfId="16168"/>
    <cellStyle name="40% - 강조색4 3 4 4 3 2" xfId="16169"/>
    <cellStyle name="40% - 강조색4 3 4 4 3 3" xfId="16170"/>
    <cellStyle name="40% - 강조색4 3 4 4 4" xfId="16171"/>
    <cellStyle name="40% - 강조색4 3 4 4 5" xfId="16172"/>
    <cellStyle name="40% - 강조색4 3 4 5" xfId="16173"/>
    <cellStyle name="40% - 강조색4 3 4 5 2" xfId="16174"/>
    <cellStyle name="40% - 강조색4 3 4 5 2 2" xfId="16175"/>
    <cellStyle name="40% - 강조색4 3 4 5 2 2 2" xfId="16176"/>
    <cellStyle name="40% - 강조색4 3 4 5 2 2 3" xfId="16177"/>
    <cellStyle name="40% - 강조색4 3 4 5 2 3" xfId="16178"/>
    <cellStyle name="40% - 강조색4 3 4 5 2 4" xfId="16179"/>
    <cellStyle name="40% - 강조색4 3 4 5 3" xfId="16180"/>
    <cellStyle name="40% - 강조색4 3 4 5 3 2" xfId="16181"/>
    <cellStyle name="40% - 강조색4 3 4 5 3 3" xfId="16182"/>
    <cellStyle name="40% - 강조색4 3 4 5 4" xfId="16183"/>
    <cellStyle name="40% - 강조색4 3 4 5 5" xfId="16184"/>
    <cellStyle name="40% - 강조색4 3 4 6" xfId="16185"/>
    <cellStyle name="40% - 강조색4 3 4 6 2" xfId="16186"/>
    <cellStyle name="40% - 강조색4 3 4 6 2 2" xfId="16187"/>
    <cellStyle name="40% - 강조색4 3 4 6 2 2 2" xfId="16188"/>
    <cellStyle name="40% - 강조색4 3 4 6 2 2 3" xfId="16189"/>
    <cellStyle name="40% - 강조색4 3 4 6 2 3" xfId="16190"/>
    <cellStyle name="40% - 강조색4 3 4 6 2 4" xfId="16191"/>
    <cellStyle name="40% - 강조색4 3 4 6 3" xfId="16192"/>
    <cellStyle name="40% - 강조색4 3 4 6 3 2" xfId="16193"/>
    <cellStyle name="40% - 강조색4 3 4 6 3 3" xfId="16194"/>
    <cellStyle name="40% - 강조색4 3 4 6 4" xfId="16195"/>
    <cellStyle name="40% - 강조색4 3 4 6 5" xfId="16196"/>
    <cellStyle name="40% - 강조색4 3 4 7" xfId="16197"/>
    <cellStyle name="40% - 강조색4 3 4 7 2" xfId="16198"/>
    <cellStyle name="40% - 강조색4 3 4 7 2 2" xfId="16199"/>
    <cellStyle name="40% - 강조색4 3 4 7 2 3" xfId="16200"/>
    <cellStyle name="40% - 강조색4 3 4 7 3" xfId="16201"/>
    <cellStyle name="40% - 강조색4 3 4 7 4" xfId="16202"/>
    <cellStyle name="40% - 강조색4 3 4 8" xfId="16203"/>
    <cellStyle name="40% - 강조색4 3 4 8 2" xfId="16204"/>
    <cellStyle name="40% - 강조색4 3 4 8 3" xfId="16205"/>
    <cellStyle name="40% - 강조색4 3 4 9" xfId="16206"/>
    <cellStyle name="40% - 강조색4 3 5" xfId="16207"/>
    <cellStyle name="40% - 강조색4 3 5 2" xfId="16208"/>
    <cellStyle name="40% - 강조색4 3 5 2 2" xfId="16209"/>
    <cellStyle name="40% - 강조색4 3 5 2 2 2" xfId="16210"/>
    <cellStyle name="40% - 강조색4 3 5 2 2 2 2" xfId="16211"/>
    <cellStyle name="40% - 강조색4 3 5 2 2 2 3" xfId="16212"/>
    <cellStyle name="40% - 강조색4 3 5 2 2 3" xfId="16213"/>
    <cellStyle name="40% - 강조색4 3 5 2 2 4" xfId="16214"/>
    <cellStyle name="40% - 강조색4 3 5 2 3" xfId="16215"/>
    <cellStyle name="40% - 강조색4 3 5 2 3 2" xfId="16216"/>
    <cellStyle name="40% - 강조색4 3 5 2 3 3" xfId="16217"/>
    <cellStyle name="40% - 강조색4 3 5 2 4" xfId="16218"/>
    <cellStyle name="40% - 강조색4 3 5 2 5" xfId="16219"/>
    <cellStyle name="40% - 강조색4 3 5 3" xfId="16220"/>
    <cellStyle name="40% - 강조색4 3 5 3 2" xfId="16221"/>
    <cellStyle name="40% - 강조색4 3 5 3 2 2" xfId="16222"/>
    <cellStyle name="40% - 강조색4 3 5 3 2 2 2" xfId="16223"/>
    <cellStyle name="40% - 강조색4 3 5 3 2 2 3" xfId="16224"/>
    <cellStyle name="40% - 강조색4 3 5 3 2 3" xfId="16225"/>
    <cellStyle name="40% - 강조색4 3 5 3 2 4" xfId="16226"/>
    <cellStyle name="40% - 강조색4 3 5 3 3" xfId="16227"/>
    <cellStyle name="40% - 강조색4 3 5 3 3 2" xfId="16228"/>
    <cellStyle name="40% - 강조색4 3 5 3 3 3" xfId="16229"/>
    <cellStyle name="40% - 강조색4 3 5 3 4" xfId="16230"/>
    <cellStyle name="40% - 강조색4 3 5 3 5" xfId="16231"/>
    <cellStyle name="40% - 강조색4 3 5 4" xfId="16232"/>
    <cellStyle name="40% - 강조색4 3 5 4 2" xfId="16233"/>
    <cellStyle name="40% - 강조색4 3 5 4 2 2" xfId="16234"/>
    <cellStyle name="40% - 강조색4 3 5 4 2 3" xfId="16235"/>
    <cellStyle name="40% - 강조색4 3 5 4 3" xfId="16236"/>
    <cellStyle name="40% - 강조색4 3 5 4 4" xfId="16237"/>
    <cellStyle name="40% - 강조색4 3 5 5" xfId="16238"/>
    <cellStyle name="40% - 강조색4 3 5 5 2" xfId="16239"/>
    <cellStyle name="40% - 강조색4 3 5 5 3" xfId="16240"/>
    <cellStyle name="40% - 강조색4 3 5 6" xfId="16241"/>
    <cellStyle name="40% - 강조색4 3 5 7" xfId="16242"/>
    <cellStyle name="40% - 강조색4 3 5 8" xfId="16243"/>
    <cellStyle name="40% - 강조색4 3 6" xfId="16244"/>
    <cellStyle name="40% - 강조색4 3 6 2" xfId="16245"/>
    <cellStyle name="40% - 강조색4 3 6 2 2" xfId="16246"/>
    <cellStyle name="40% - 강조색4 3 6 2 2 2" xfId="16247"/>
    <cellStyle name="40% - 강조색4 3 6 2 2 2 2" xfId="16248"/>
    <cellStyle name="40% - 강조색4 3 6 2 2 2 3" xfId="16249"/>
    <cellStyle name="40% - 강조색4 3 6 2 2 3" xfId="16250"/>
    <cellStyle name="40% - 강조색4 3 6 2 2 4" xfId="16251"/>
    <cellStyle name="40% - 강조색4 3 6 2 3" xfId="16252"/>
    <cellStyle name="40% - 강조색4 3 6 2 3 2" xfId="16253"/>
    <cellStyle name="40% - 강조색4 3 6 2 3 3" xfId="16254"/>
    <cellStyle name="40% - 강조색4 3 6 2 4" xfId="16255"/>
    <cellStyle name="40% - 강조색4 3 6 2 5" xfId="16256"/>
    <cellStyle name="40% - 강조색4 3 6 3" xfId="16257"/>
    <cellStyle name="40% - 강조색4 3 6 3 2" xfId="16258"/>
    <cellStyle name="40% - 강조색4 3 6 3 2 2" xfId="16259"/>
    <cellStyle name="40% - 강조색4 3 6 3 2 2 2" xfId="16260"/>
    <cellStyle name="40% - 강조색4 3 6 3 2 2 3" xfId="16261"/>
    <cellStyle name="40% - 강조색4 3 6 3 2 3" xfId="16262"/>
    <cellStyle name="40% - 강조색4 3 6 3 2 4" xfId="16263"/>
    <cellStyle name="40% - 강조색4 3 6 3 3" xfId="16264"/>
    <cellStyle name="40% - 강조색4 3 6 3 3 2" xfId="16265"/>
    <cellStyle name="40% - 강조색4 3 6 3 3 3" xfId="16266"/>
    <cellStyle name="40% - 강조색4 3 6 3 4" xfId="16267"/>
    <cellStyle name="40% - 강조색4 3 6 3 5" xfId="16268"/>
    <cellStyle name="40% - 강조색4 3 6 4" xfId="16269"/>
    <cellStyle name="40% - 강조색4 3 6 4 2" xfId="16270"/>
    <cellStyle name="40% - 강조색4 3 6 4 2 2" xfId="16271"/>
    <cellStyle name="40% - 강조색4 3 6 4 2 3" xfId="16272"/>
    <cellStyle name="40% - 강조색4 3 6 4 3" xfId="16273"/>
    <cellStyle name="40% - 강조색4 3 6 4 4" xfId="16274"/>
    <cellStyle name="40% - 강조색4 3 6 5" xfId="16275"/>
    <cellStyle name="40% - 강조색4 3 6 5 2" xfId="16276"/>
    <cellStyle name="40% - 강조색4 3 6 5 3" xfId="16277"/>
    <cellStyle name="40% - 강조색4 3 6 6" xfId="16278"/>
    <cellStyle name="40% - 강조색4 3 6 7" xfId="16279"/>
    <cellStyle name="40% - 강조색4 3 7" xfId="16280"/>
    <cellStyle name="40% - 강조색4 3 7 2" xfId="16281"/>
    <cellStyle name="40% - 강조색4 3 7 2 2" xfId="16282"/>
    <cellStyle name="40% - 강조색4 3 7 2 2 2" xfId="16283"/>
    <cellStyle name="40% - 강조색4 3 7 2 2 3" xfId="16284"/>
    <cellStyle name="40% - 강조색4 3 7 2 3" xfId="16285"/>
    <cellStyle name="40% - 강조색4 3 7 2 4" xfId="16286"/>
    <cellStyle name="40% - 강조색4 3 7 3" xfId="16287"/>
    <cellStyle name="40% - 강조색4 3 7 3 2" xfId="16288"/>
    <cellStyle name="40% - 강조색4 3 7 3 3" xfId="16289"/>
    <cellStyle name="40% - 강조색4 3 7 4" xfId="16290"/>
    <cellStyle name="40% - 강조색4 3 7 5" xfId="16291"/>
    <cellStyle name="40% - 강조색4 3 8" xfId="16292"/>
    <cellStyle name="40% - 강조색4 3 8 2" xfId="16293"/>
    <cellStyle name="40% - 강조색4 3 8 2 2" xfId="16294"/>
    <cellStyle name="40% - 강조색4 3 8 2 2 2" xfId="16295"/>
    <cellStyle name="40% - 강조색4 3 8 2 2 3" xfId="16296"/>
    <cellStyle name="40% - 강조색4 3 8 2 3" xfId="16297"/>
    <cellStyle name="40% - 강조색4 3 8 2 4" xfId="16298"/>
    <cellStyle name="40% - 강조색4 3 8 3" xfId="16299"/>
    <cellStyle name="40% - 강조색4 3 8 3 2" xfId="16300"/>
    <cellStyle name="40% - 강조색4 3 8 3 3" xfId="16301"/>
    <cellStyle name="40% - 강조색4 3 8 4" xfId="16302"/>
    <cellStyle name="40% - 강조색4 3 8 5" xfId="16303"/>
    <cellStyle name="40% - 강조색4 3 9" xfId="16304"/>
    <cellStyle name="40% - 강조색4 3 9 2" xfId="16305"/>
    <cellStyle name="40% - 강조색4 3 9 2 2" xfId="16306"/>
    <cellStyle name="40% - 강조색4 3 9 2 2 2" xfId="16307"/>
    <cellStyle name="40% - 강조색4 3 9 2 2 3" xfId="16308"/>
    <cellStyle name="40% - 강조색4 3 9 2 3" xfId="16309"/>
    <cellStyle name="40% - 강조색4 3 9 2 4" xfId="16310"/>
    <cellStyle name="40% - 강조색4 3 9 3" xfId="16311"/>
    <cellStyle name="40% - 강조색4 3 9 3 2" xfId="16312"/>
    <cellStyle name="40% - 강조색4 3 9 3 3" xfId="16313"/>
    <cellStyle name="40% - 강조색4 3 9 4" xfId="16314"/>
    <cellStyle name="40% - 강조색4 3 9 5" xfId="16315"/>
    <cellStyle name="40% - 강조색4 30" xfId="16316"/>
    <cellStyle name="40% - 강조색4 30 2" xfId="16317"/>
    <cellStyle name="40% - 강조색4 31" xfId="16318"/>
    <cellStyle name="40% - 강조색4 31 2" xfId="16319"/>
    <cellStyle name="40% - 강조색4 32" xfId="16320"/>
    <cellStyle name="40% - 강조색4 32 2" xfId="16321"/>
    <cellStyle name="40% - 강조색4 33" xfId="16322"/>
    <cellStyle name="40% - 강조색4 33 2" xfId="16323"/>
    <cellStyle name="40% - 강조색4 34" xfId="16324"/>
    <cellStyle name="40% - 강조색4 34 2" xfId="16325"/>
    <cellStyle name="40% - 강조색4 35" xfId="16326"/>
    <cellStyle name="40% - 강조색4 36" xfId="16327"/>
    <cellStyle name="40% - 강조색4 37" xfId="16328"/>
    <cellStyle name="40% - 강조색4 38" xfId="16329"/>
    <cellStyle name="40% - 강조색4 39" xfId="16330"/>
    <cellStyle name="40% - 강조색4 4" xfId="16331"/>
    <cellStyle name="40% - 강조색4 4 10" xfId="16332"/>
    <cellStyle name="40% - 강조색4 4 10 2" xfId="16333"/>
    <cellStyle name="40% - 강조색4 4 10 2 2" xfId="16334"/>
    <cellStyle name="40% - 강조색4 4 10 2 3" xfId="16335"/>
    <cellStyle name="40% - 강조색4 4 10 3" xfId="16336"/>
    <cellStyle name="40% - 강조색4 4 10 4" xfId="16337"/>
    <cellStyle name="40% - 강조색4 4 11" xfId="16338"/>
    <cellStyle name="40% - 강조색4 4 11 2" xfId="16339"/>
    <cellStyle name="40% - 강조색4 4 11 3" xfId="16340"/>
    <cellStyle name="40% - 강조색4 4 12" xfId="16341"/>
    <cellStyle name="40% - 강조색4 4 13" xfId="16342"/>
    <cellStyle name="40% - 강조색4 4 14" xfId="16343"/>
    <cellStyle name="40% - 강조색4 4 2" xfId="16344"/>
    <cellStyle name="40% - 강조색4 4 2 10" xfId="16345"/>
    <cellStyle name="40% - 강조색4 4 2 2" xfId="16346"/>
    <cellStyle name="40% - 강조색4 4 2 2 2" xfId="16347"/>
    <cellStyle name="40% - 강조색4 4 2 2 2 2" xfId="16348"/>
    <cellStyle name="40% - 강조색4 4 2 2 2 2 2" xfId="16349"/>
    <cellStyle name="40% - 강조색4 4 2 2 2 2 2 2" xfId="16350"/>
    <cellStyle name="40% - 강조색4 4 2 2 2 2 2 3" xfId="16351"/>
    <cellStyle name="40% - 강조색4 4 2 2 2 2 3" xfId="16352"/>
    <cellStyle name="40% - 강조색4 4 2 2 2 2 4" xfId="16353"/>
    <cellStyle name="40% - 강조색4 4 2 2 2 3" xfId="16354"/>
    <cellStyle name="40% - 강조색4 4 2 2 2 3 2" xfId="16355"/>
    <cellStyle name="40% - 강조색4 4 2 2 2 3 3" xfId="16356"/>
    <cellStyle name="40% - 강조색4 4 2 2 2 4" xfId="16357"/>
    <cellStyle name="40% - 강조색4 4 2 2 2 5" xfId="16358"/>
    <cellStyle name="40% - 강조색4 4 2 2 3" xfId="16359"/>
    <cellStyle name="40% - 강조색4 4 2 2 3 2" xfId="16360"/>
    <cellStyle name="40% - 강조색4 4 2 2 3 2 2" xfId="16361"/>
    <cellStyle name="40% - 강조색4 4 2 2 3 2 2 2" xfId="16362"/>
    <cellStyle name="40% - 강조색4 4 2 2 3 2 2 3" xfId="16363"/>
    <cellStyle name="40% - 강조색4 4 2 2 3 2 3" xfId="16364"/>
    <cellStyle name="40% - 강조색4 4 2 2 3 2 4" xfId="16365"/>
    <cellStyle name="40% - 강조색4 4 2 2 3 3" xfId="16366"/>
    <cellStyle name="40% - 강조색4 4 2 2 3 3 2" xfId="16367"/>
    <cellStyle name="40% - 강조색4 4 2 2 3 3 3" xfId="16368"/>
    <cellStyle name="40% - 강조색4 4 2 2 3 4" xfId="16369"/>
    <cellStyle name="40% - 강조색4 4 2 2 3 5" xfId="16370"/>
    <cellStyle name="40% - 강조색4 4 2 2 4" xfId="16371"/>
    <cellStyle name="40% - 강조색4 4 2 2 4 2" xfId="16372"/>
    <cellStyle name="40% - 강조색4 4 2 2 4 2 2" xfId="16373"/>
    <cellStyle name="40% - 강조색4 4 2 2 4 2 3" xfId="16374"/>
    <cellStyle name="40% - 강조색4 4 2 2 4 3" xfId="16375"/>
    <cellStyle name="40% - 강조색4 4 2 2 4 4" xfId="16376"/>
    <cellStyle name="40% - 강조색4 4 2 2 5" xfId="16377"/>
    <cellStyle name="40% - 강조색4 4 2 2 5 2" xfId="16378"/>
    <cellStyle name="40% - 강조색4 4 2 2 5 3" xfId="16379"/>
    <cellStyle name="40% - 강조색4 4 2 2 6" xfId="16380"/>
    <cellStyle name="40% - 강조색4 4 2 2 7" xfId="16381"/>
    <cellStyle name="40% - 강조색4 4 2 3" xfId="16382"/>
    <cellStyle name="40% - 강조색4 4 2 3 2" xfId="16383"/>
    <cellStyle name="40% - 강조색4 4 2 3 2 2" xfId="16384"/>
    <cellStyle name="40% - 강조색4 4 2 3 2 2 2" xfId="16385"/>
    <cellStyle name="40% - 강조색4 4 2 3 2 2 2 2" xfId="16386"/>
    <cellStyle name="40% - 강조색4 4 2 3 2 2 2 3" xfId="16387"/>
    <cellStyle name="40% - 강조색4 4 2 3 2 2 3" xfId="16388"/>
    <cellStyle name="40% - 강조색4 4 2 3 2 2 4" xfId="16389"/>
    <cellStyle name="40% - 강조색4 4 2 3 2 3" xfId="16390"/>
    <cellStyle name="40% - 강조색4 4 2 3 2 3 2" xfId="16391"/>
    <cellStyle name="40% - 강조색4 4 2 3 2 3 3" xfId="16392"/>
    <cellStyle name="40% - 강조색4 4 2 3 2 4" xfId="16393"/>
    <cellStyle name="40% - 강조색4 4 2 3 2 5" xfId="16394"/>
    <cellStyle name="40% - 강조색4 4 2 3 3" xfId="16395"/>
    <cellStyle name="40% - 강조색4 4 2 3 3 2" xfId="16396"/>
    <cellStyle name="40% - 강조색4 4 2 3 3 2 2" xfId="16397"/>
    <cellStyle name="40% - 강조색4 4 2 3 3 2 2 2" xfId="16398"/>
    <cellStyle name="40% - 강조색4 4 2 3 3 2 2 3" xfId="16399"/>
    <cellStyle name="40% - 강조색4 4 2 3 3 2 3" xfId="16400"/>
    <cellStyle name="40% - 강조색4 4 2 3 3 2 4" xfId="16401"/>
    <cellStyle name="40% - 강조색4 4 2 3 3 3" xfId="16402"/>
    <cellStyle name="40% - 강조색4 4 2 3 3 3 2" xfId="16403"/>
    <cellStyle name="40% - 강조색4 4 2 3 3 3 3" xfId="16404"/>
    <cellStyle name="40% - 강조색4 4 2 3 3 4" xfId="16405"/>
    <cellStyle name="40% - 강조색4 4 2 3 3 5" xfId="16406"/>
    <cellStyle name="40% - 강조색4 4 2 3 4" xfId="16407"/>
    <cellStyle name="40% - 강조색4 4 2 3 4 2" xfId="16408"/>
    <cellStyle name="40% - 강조색4 4 2 3 4 2 2" xfId="16409"/>
    <cellStyle name="40% - 강조색4 4 2 3 4 2 3" xfId="16410"/>
    <cellStyle name="40% - 강조색4 4 2 3 4 3" xfId="16411"/>
    <cellStyle name="40% - 강조색4 4 2 3 4 4" xfId="16412"/>
    <cellStyle name="40% - 강조색4 4 2 3 5" xfId="16413"/>
    <cellStyle name="40% - 강조색4 4 2 3 5 2" xfId="16414"/>
    <cellStyle name="40% - 강조색4 4 2 3 5 3" xfId="16415"/>
    <cellStyle name="40% - 강조색4 4 2 3 6" xfId="16416"/>
    <cellStyle name="40% - 강조색4 4 2 3 7" xfId="16417"/>
    <cellStyle name="40% - 강조색4 4 2 4" xfId="16418"/>
    <cellStyle name="40% - 강조색4 4 2 4 2" xfId="16419"/>
    <cellStyle name="40% - 강조색4 4 2 4 2 2" xfId="16420"/>
    <cellStyle name="40% - 강조색4 4 2 4 2 2 2" xfId="16421"/>
    <cellStyle name="40% - 강조색4 4 2 4 2 2 3" xfId="16422"/>
    <cellStyle name="40% - 강조색4 4 2 4 2 3" xfId="16423"/>
    <cellStyle name="40% - 강조색4 4 2 4 2 4" xfId="16424"/>
    <cellStyle name="40% - 강조색4 4 2 4 3" xfId="16425"/>
    <cellStyle name="40% - 강조색4 4 2 4 3 2" xfId="16426"/>
    <cellStyle name="40% - 강조색4 4 2 4 3 3" xfId="16427"/>
    <cellStyle name="40% - 강조색4 4 2 4 4" xfId="16428"/>
    <cellStyle name="40% - 강조색4 4 2 4 5" xfId="16429"/>
    <cellStyle name="40% - 강조색4 4 2 5" xfId="16430"/>
    <cellStyle name="40% - 강조색4 4 2 5 2" xfId="16431"/>
    <cellStyle name="40% - 강조색4 4 2 5 2 2" xfId="16432"/>
    <cellStyle name="40% - 강조색4 4 2 5 2 2 2" xfId="16433"/>
    <cellStyle name="40% - 강조색4 4 2 5 2 2 3" xfId="16434"/>
    <cellStyle name="40% - 강조색4 4 2 5 2 3" xfId="16435"/>
    <cellStyle name="40% - 강조색4 4 2 5 2 4" xfId="16436"/>
    <cellStyle name="40% - 강조색4 4 2 5 3" xfId="16437"/>
    <cellStyle name="40% - 강조색4 4 2 5 3 2" xfId="16438"/>
    <cellStyle name="40% - 강조색4 4 2 5 3 3" xfId="16439"/>
    <cellStyle name="40% - 강조색4 4 2 5 4" xfId="16440"/>
    <cellStyle name="40% - 강조색4 4 2 5 5" xfId="16441"/>
    <cellStyle name="40% - 강조색4 4 2 6" xfId="16442"/>
    <cellStyle name="40% - 강조색4 4 2 6 2" xfId="16443"/>
    <cellStyle name="40% - 강조색4 4 2 6 2 2" xfId="16444"/>
    <cellStyle name="40% - 강조색4 4 2 6 2 2 2" xfId="16445"/>
    <cellStyle name="40% - 강조색4 4 2 6 2 2 3" xfId="16446"/>
    <cellStyle name="40% - 강조색4 4 2 6 2 3" xfId="16447"/>
    <cellStyle name="40% - 강조색4 4 2 6 2 4" xfId="16448"/>
    <cellStyle name="40% - 강조색4 4 2 6 3" xfId="16449"/>
    <cellStyle name="40% - 강조색4 4 2 6 3 2" xfId="16450"/>
    <cellStyle name="40% - 강조색4 4 2 6 3 3" xfId="16451"/>
    <cellStyle name="40% - 강조색4 4 2 6 4" xfId="16452"/>
    <cellStyle name="40% - 강조색4 4 2 6 5" xfId="16453"/>
    <cellStyle name="40% - 강조색4 4 2 7" xfId="16454"/>
    <cellStyle name="40% - 강조색4 4 2 7 2" xfId="16455"/>
    <cellStyle name="40% - 강조색4 4 2 7 2 2" xfId="16456"/>
    <cellStyle name="40% - 강조색4 4 2 7 2 3" xfId="16457"/>
    <cellStyle name="40% - 강조색4 4 2 7 3" xfId="16458"/>
    <cellStyle name="40% - 강조색4 4 2 7 4" xfId="16459"/>
    <cellStyle name="40% - 강조색4 4 2 8" xfId="16460"/>
    <cellStyle name="40% - 강조색4 4 2 8 2" xfId="16461"/>
    <cellStyle name="40% - 강조색4 4 2 8 3" xfId="16462"/>
    <cellStyle name="40% - 강조색4 4 2 9" xfId="16463"/>
    <cellStyle name="40% - 강조색4 4 3" xfId="16464"/>
    <cellStyle name="40% - 강조색4 4 3 10" xfId="16465"/>
    <cellStyle name="40% - 강조색4 4 3 2" xfId="16466"/>
    <cellStyle name="40% - 강조색4 4 3 2 2" xfId="16467"/>
    <cellStyle name="40% - 강조색4 4 3 2 2 2" xfId="16468"/>
    <cellStyle name="40% - 강조색4 4 3 2 2 2 2" xfId="16469"/>
    <cellStyle name="40% - 강조색4 4 3 2 2 2 2 2" xfId="16470"/>
    <cellStyle name="40% - 강조색4 4 3 2 2 2 2 3" xfId="16471"/>
    <cellStyle name="40% - 강조색4 4 3 2 2 2 3" xfId="16472"/>
    <cellStyle name="40% - 강조색4 4 3 2 2 2 4" xfId="16473"/>
    <cellStyle name="40% - 강조색4 4 3 2 2 3" xfId="16474"/>
    <cellStyle name="40% - 강조색4 4 3 2 2 3 2" xfId="16475"/>
    <cellStyle name="40% - 강조색4 4 3 2 2 3 3" xfId="16476"/>
    <cellStyle name="40% - 강조색4 4 3 2 2 4" xfId="16477"/>
    <cellStyle name="40% - 강조색4 4 3 2 2 5" xfId="16478"/>
    <cellStyle name="40% - 강조색4 4 3 2 3" xfId="16479"/>
    <cellStyle name="40% - 강조색4 4 3 2 3 2" xfId="16480"/>
    <cellStyle name="40% - 강조색4 4 3 2 3 2 2" xfId="16481"/>
    <cellStyle name="40% - 강조색4 4 3 2 3 2 2 2" xfId="16482"/>
    <cellStyle name="40% - 강조색4 4 3 2 3 2 2 3" xfId="16483"/>
    <cellStyle name="40% - 강조색4 4 3 2 3 2 3" xfId="16484"/>
    <cellStyle name="40% - 강조색4 4 3 2 3 2 4" xfId="16485"/>
    <cellStyle name="40% - 강조색4 4 3 2 3 3" xfId="16486"/>
    <cellStyle name="40% - 강조색4 4 3 2 3 3 2" xfId="16487"/>
    <cellStyle name="40% - 강조색4 4 3 2 3 3 3" xfId="16488"/>
    <cellStyle name="40% - 강조색4 4 3 2 3 4" xfId="16489"/>
    <cellStyle name="40% - 강조색4 4 3 2 3 5" xfId="16490"/>
    <cellStyle name="40% - 강조색4 4 3 2 4" xfId="16491"/>
    <cellStyle name="40% - 강조색4 4 3 2 4 2" xfId="16492"/>
    <cellStyle name="40% - 강조색4 4 3 2 4 2 2" xfId="16493"/>
    <cellStyle name="40% - 강조색4 4 3 2 4 2 3" xfId="16494"/>
    <cellStyle name="40% - 강조색4 4 3 2 4 3" xfId="16495"/>
    <cellStyle name="40% - 강조색4 4 3 2 4 4" xfId="16496"/>
    <cellStyle name="40% - 강조색4 4 3 2 5" xfId="16497"/>
    <cellStyle name="40% - 강조색4 4 3 2 5 2" xfId="16498"/>
    <cellStyle name="40% - 강조색4 4 3 2 5 3" xfId="16499"/>
    <cellStyle name="40% - 강조색4 4 3 2 6" xfId="16500"/>
    <cellStyle name="40% - 강조색4 4 3 2 7" xfId="16501"/>
    <cellStyle name="40% - 강조색4 4 3 3" xfId="16502"/>
    <cellStyle name="40% - 강조색4 4 3 3 2" xfId="16503"/>
    <cellStyle name="40% - 강조색4 4 3 3 2 2" xfId="16504"/>
    <cellStyle name="40% - 강조색4 4 3 3 2 2 2" xfId="16505"/>
    <cellStyle name="40% - 강조색4 4 3 3 2 2 2 2" xfId="16506"/>
    <cellStyle name="40% - 강조색4 4 3 3 2 2 2 3" xfId="16507"/>
    <cellStyle name="40% - 강조색4 4 3 3 2 2 3" xfId="16508"/>
    <cellStyle name="40% - 강조색4 4 3 3 2 2 4" xfId="16509"/>
    <cellStyle name="40% - 강조색4 4 3 3 2 3" xfId="16510"/>
    <cellStyle name="40% - 강조색4 4 3 3 2 3 2" xfId="16511"/>
    <cellStyle name="40% - 강조색4 4 3 3 2 3 3" xfId="16512"/>
    <cellStyle name="40% - 강조색4 4 3 3 2 4" xfId="16513"/>
    <cellStyle name="40% - 강조색4 4 3 3 2 5" xfId="16514"/>
    <cellStyle name="40% - 강조색4 4 3 3 3" xfId="16515"/>
    <cellStyle name="40% - 강조색4 4 3 3 3 2" xfId="16516"/>
    <cellStyle name="40% - 강조색4 4 3 3 3 2 2" xfId="16517"/>
    <cellStyle name="40% - 강조색4 4 3 3 3 2 2 2" xfId="16518"/>
    <cellStyle name="40% - 강조색4 4 3 3 3 2 2 3" xfId="16519"/>
    <cellStyle name="40% - 강조색4 4 3 3 3 2 3" xfId="16520"/>
    <cellStyle name="40% - 강조색4 4 3 3 3 2 4" xfId="16521"/>
    <cellStyle name="40% - 강조색4 4 3 3 3 3" xfId="16522"/>
    <cellStyle name="40% - 강조색4 4 3 3 3 3 2" xfId="16523"/>
    <cellStyle name="40% - 강조색4 4 3 3 3 3 3" xfId="16524"/>
    <cellStyle name="40% - 강조색4 4 3 3 3 4" xfId="16525"/>
    <cellStyle name="40% - 강조색4 4 3 3 3 5" xfId="16526"/>
    <cellStyle name="40% - 강조색4 4 3 3 4" xfId="16527"/>
    <cellStyle name="40% - 강조색4 4 3 3 4 2" xfId="16528"/>
    <cellStyle name="40% - 강조색4 4 3 3 4 2 2" xfId="16529"/>
    <cellStyle name="40% - 강조색4 4 3 3 4 2 3" xfId="16530"/>
    <cellStyle name="40% - 강조색4 4 3 3 4 3" xfId="16531"/>
    <cellStyle name="40% - 강조색4 4 3 3 4 4" xfId="16532"/>
    <cellStyle name="40% - 강조색4 4 3 3 5" xfId="16533"/>
    <cellStyle name="40% - 강조색4 4 3 3 5 2" xfId="16534"/>
    <cellStyle name="40% - 강조색4 4 3 3 5 3" xfId="16535"/>
    <cellStyle name="40% - 강조색4 4 3 3 6" xfId="16536"/>
    <cellStyle name="40% - 강조색4 4 3 3 7" xfId="16537"/>
    <cellStyle name="40% - 강조색4 4 3 4" xfId="16538"/>
    <cellStyle name="40% - 강조색4 4 3 4 2" xfId="16539"/>
    <cellStyle name="40% - 강조색4 4 3 4 2 2" xfId="16540"/>
    <cellStyle name="40% - 강조색4 4 3 4 2 2 2" xfId="16541"/>
    <cellStyle name="40% - 강조색4 4 3 4 2 2 3" xfId="16542"/>
    <cellStyle name="40% - 강조색4 4 3 4 2 3" xfId="16543"/>
    <cellStyle name="40% - 강조색4 4 3 4 2 4" xfId="16544"/>
    <cellStyle name="40% - 강조색4 4 3 4 3" xfId="16545"/>
    <cellStyle name="40% - 강조색4 4 3 4 3 2" xfId="16546"/>
    <cellStyle name="40% - 강조색4 4 3 4 3 3" xfId="16547"/>
    <cellStyle name="40% - 강조색4 4 3 4 4" xfId="16548"/>
    <cellStyle name="40% - 강조색4 4 3 4 5" xfId="16549"/>
    <cellStyle name="40% - 강조색4 4 3 5" xfId="16550"/>
    <cellStyle name="40% - 강조색4 4 3 5 2" xfId="16551"/>
    <cellStyle name="40% - 강조색4 4 3 5 2 2" xfId="16552"/>
    <cellStyle name="40% - 강조색4 4 3 5 2 2 2" xfId="16553"/>
    <cellStyle name="40% - 강조색4 4 3 5 2 2 3" xfId="16554"/>
    <cellStyle name="40% - 강조색4 4 3 5 2 3" xfId="16555"/>
    <cellStyle name="40% - 강조색4 4 3 5 2 4" xfId="16556"/>
    <cellStyle name="40% - 강조색4 4 3 5 3" xfId="16557"/>
    <cellStyle name="40% - 강조색4 4 3 5 3 2" xfId="16558"/>
    <cellStyle name="40% - 강조색4 4 3 5 3 3" xfId="16559"/>
    <cellStyle name="40% - 강조색4 4 3 5 4" xfId="16560"/>
    <cellStyle name="40% - 강조색4 4 3 5 5" xfId="16561"/>
    <cellStyle name="40% - 강조색4 4 3 6" xfId="16562"/>
    <cellStyle name="40% - 강조색4 4 3 6 2" xfId="16563"/>
    <cellStyle name="40% - 강조색4 4 3 6 2 2" xfId="16564"/>
    <cellStyle name="40% - 강조색4 4 3 6 2 2 2" xfId="16565"/>
    <cellStyle name="40% - 강조색4 4 3 6 2 2 3" xfId="16566"/>
    <cellStyle name="40% - 강조색4 4 3 6 2 3" xfId="16567"/>
    <cellStyle name="40% - 강조색4 4 3 6 2 4" xfId="16568"/>
    <cellStyle name="40% - 강조색4 4 3 6 3" xfId="16569"/>
    <cellStyle name="40% - 강조색4 4 3 6 3 2" xfId="16570"/>
    <cellStyle name="40% - 강조색4 4 3 6 3 3" xfId="16571"/>
    <cellStyle name="40% - 강조색4 4 3 6 4" xfId="16572"/>
    <cellStyle name="40% - 강조색4 4 3 6 5" xfId="16573"/>
    <cellStyle name="40% - 강조색4 4 3 7" xfId="16574"/>
    <cellStyle name="40% - 강조색4 4 3 7 2" xfId="16575"/>
    <cellStyle name="40% - 강조색4 4 3 7 2 2" xfId="16576"/>
    <cellStyle name="40% - 강조색4 4 3 7 2 3" xfId="16577"/>
    <cellStyle name="40% - 강조색4 4 3 7 3" xfId="16578"/>
    <cellStyle name="40% - 강조색4 4 3 7 4" xfId="16579"/>
    <cellStyle name="40% - 강조색4 4 3 8" xfId="16580"/>
    <cellStyle name="40% - 강조색4 4 3 8 2" xfId="16581"/>
    <cellStyle name="40% - 강조색4 4 3 8 3" xfId="16582"/>
    <cellStyle name="40% - 강조색4 4 3 9" xfId="16583"/>
    <cellStyle name="40% - 강조색4 4 4" xfId="16584"/>
    <cellStyle name="40% - 강조색4 4 4 10" xfId="16585"/>
    <cellStyle name="40% - 강조색4 4 4 2" xfId="16586"/>
    <cellStyle name="40% - 강조색4 4 4 2 2" xfId="16587"/>
    <cellStyle name="40% - 강조색4 4 4 2 2 2" xfId="16588"/>
    <cellStyle name="40% - 강조색4 4 4 2 2 2 2" xfId="16589"/>
    <cellStyle name="40% - 강조색4 4 4 2 2 2 2 2" xfId="16590"/>
    <cellStyle name="40% - 강조색4 4 4 2 2 2 2 3" xfId="16591"/>
    <cellStyle name="40% - 강조색4 4 4 2 2 2 3" xfId="16592"/>
    <cellStyle name="40% - 강조색4 4 4 2 2 2 4" xfId="16593"/>
    <cellStyle name="40% - 강조색4 4 4 2 2 3" xfId="16594"/>
    <cellStyle name="40% - 강조색4 4 4 2 2 3 2" xfId="16595"/>
    <cellStyle name="40% - 강조색4 4 4 2 2 3 3" xfId="16596"/>
    <cellStyle name="40% - 강조색4 4 4 2 2 4" xfId="16597"/>
    <cellStyle name="40% - 강조색4 4 4 2 2 5" xfId="16598"/>
    <cellStyle name="40% - 강조색4 4 4 2 3" xfId="16599"/>
    <cellStyle name="40% - 강조색4 4 4 2 3 2" xfId="16600"/>
    <cellStyle name="40% - 강조색4 4 4 2 3 2 2" xfId="16601"/>
    <cellStyle name="40% - 강조색4 4 4 2 3 2 2 2" xfId="16602"/>
    <cellStyle name="40% - 강조색4 4 4 2 3 2 2 3" xfId="16603"/>
    <cellStyle name="40% - 강조색4 4 4 2 3 2 3" xfId="16604"/>
    <cellStyle name="40% - 강조색4 4 4 2 3 2 4" xfId="16605"/>
    <cellStyle name="40% - 강조색4 4 4 2 3 3" xfId="16606"/>
    <cellStyle name="40% - 강조색4 4 4 2 3 3 2" xfId="16607"/>
    <cellStyle name="40% - 강조색4 4 4 2 3 3 3" xfId="16608"/>
    <cellStyle name="40% - 강조색4 4 4 2 3 4" xfId="16609"/>
    <cellStyle name="40% - 강조색4 4 4 2 3 5" xfId="16610"/>
    <cellStyle name="40% - 강조색4 4 4 2 4" xfId="16611"/>
    <cellStyle name="40% - 강조색4 4 4 2 4 2" xfId="16612"/>
    <cellStyle name="40% - 강조색4 4 4 2 4 2 2" xfId="16613"/>
    <cellStyle name="40% - 강조색4 4 4 2 4 2 3" xfId="16614"/>
    <cellStyle name="40% - 강조색4 4 4 2 4 3" xfId="16615"/>
    <cellStyle name="40% - 강조색4 4 4 2 4 4" xfId="16616"/>
    <cellStyle name="40% - 강조색4 4 4 2 5" xfId="16617"/>
    <cellStyle name="40% - 강조색4 4 4 2 5 2" xfId="16618"/>
    <cellStyle name="40% - 강조색4 4 4 2 5 3" xfId="16619"/>
    <cellStyle name="40% - 강조색4 4 4 2 6" xfId="16620"/>
    <cellStyle name="40% - 강조색4 4 4 2 7" xfId="16621"/>
    <cellStyle name="40% - 강조색4 4 4 3" xfId="16622"/>
    <cellStyle name="40% - 강조색4 4 4 3 2" xfId="16623"/>
    <cellStyle name="40% - 강조색4 4 4 3 2 2" xfId="16624"/>
    <cellStyle name="40% - 강조색4 4 4 3 2 2 2" xfId="16625"/>
    <cellStyle name="40% - 강조색4 4 4 3 2 2 2 2" xfId="16626"/>
    <cellStyle name="40% - 강조색4 4 4 3 2 2 2 3" xfId="16627"/>
    <cellStyle name="40% - 강조색4 4 4 3 2 2 3" xfId="16628"/>
    <cellStyle name="40% - 강조색4 4 4 3 2 2 4" xfId="16629"/>
    <cellStyle name="40% - 강조색4 4 4 3 2 3" xfId="16630"/>
    <cellStyle name="40% - 강조색4 4 4 3 2 3 2" xfId="16631"/>
    <cellStyle name="40% - 강조색4 4 4 3 2 3 3" xfId="16632"/>
    <cellStyle name="40% - 강조색4 4 4 3 2 4" xfId="16633"/>
    <cellStyle name="40% - 강조색4 4 4 3 2 5" xfId="16634"/>
    <cellStyle name="40% - 강조색4 4 4 3 3" xfId="16635"/>
    <cellStyle name="40% - 강조색4 4 4 3 3 2" xfId="16636"/>
    <cellStyle name="40% - 강조색4 4 4 3 3 2 2" xfId="16637"/>
    <cellStyle name="40% - 강조색4 4 4 3 3 2 2 2" xfId="16638"/>
    <cellStyle name="40% - 강조색4 4 4 3 3 2 2 3" xfId="16639"/>
    <cellStyle name="40% - 강조색4 4 4 3 3 2 3" xfId="16640"/>
    <cellStyle name="40% - 강조색4 4 4 3 3 2 4" xfId="16641"/>
    <cellStyle name="40% - 강조색4 4 4 3 3 3" xfId="16642"/>
    <cellStyle name="40% - 강조색4 4 4 3 3 3 2" xfId="16643"/>
    <cellStyle name="40% - 강조색4 4 4 3 3 3 3" xfId="16644"/>
    <cellStyle name="40% - 강조색4 4 4 3 3 4" xfId="16645"/>
    <cellStyle name="40% - 강조색4 4 4 3 3 5" xfId="16646"/>
    <cellStyle name="40% - 강조색4 4 4 3 4" xfId="16647"/>
    <cellStyle name="40% - 강조색4 4 4 3 4 2" xfId="16648"/>
    <cellStyle name="40% - 강조색4 4 4 3 4 2 2" xfId="16649"/>
    <cellStyle name="40% - 강조색4 4 4 3 4 2 3" xfId="16650"/>
    <cellStyle name="40% - 강조색4 4 4 3 4 3" xfId="16651"/>
    <cellStyle name="40% - 강조색4 4 4 3 4 4" xfId="16652"/>
    <cellStyle name="40% - 강조색4 4 4 3 5" xfId="16653"/>
    <cellStyle name="40% - 강조색4 4 4 3 5 2" xfId="16654"/>
    <cellStyle name="40% - 강조색4 4 4 3 5 3" xfId="16655"/>
    <cellStyle name="40% - 강조색4 4 4 3 6" xfId="16656"/>
    <cellStyle name="40% - 강조색4 4 4 3 7" xfId="16657"/>
    <cellStyle name="40% - 강조색4 4 4 4" xfId="16658"/>
    <cellStyle name="40% - 강조색4 4 4 4 2" xfId="16659"/>
    <cellStyle name="40% - 강조색4 4 4 4 2 2" xfId="16660"/>
    <cellStyle name="40% - 강조색4 4 4 4 2 2 2" xfId="16661"/>
    <cellStyle name="40% - 강조색4 4 4 4 2 2 3" xfId="16662"/>
    <cellStyle name="40% - 강조색4 4 4 4 2 3" xfId="16663"/>
    <cellStyle name="40% - 강조색4 4 4 4 2 4" xfId="16664"/>
    <cellStyle name="40% - 강조색4 4 4 4 3" xfId="16665"/>
    <cellStyle name="40% - 강조색4 4 4 4 3 2" xfId="16666"/>
    <cellStyle name="40% - 강조색4 4 4 4 3 3" xfId="16667"/>
    <cellStyle name="40% - 강조색4 4 4 4 4" xfId="16668"/>
    <cellStyle name="40% - 강조색4 4 4 4 5" xfId="16669"/>
    <cellStyle name="40% - 강조색4 4 4 5" xfId="16670"/>
    <cellStyle name="40% - 강조색4 4 4 5 2" xfId="16671"/>
    <cellStyle name="40% - 강조색4 4 4 5 2 2" xfId="16672"/>
    <cellStyle name="40% - 강조색4 4 4 5 2 2 2" xfId="16673"/>
    <cellStyle name="40% - 강조색4 4 4 5 2 2 3" xfId="16674"/>
    <cellStyle name="40% - 강조색4 4 4 5 2 3" xfId="16675"/>
    <cellStyle name="40% - 강조색4 4 4 5 2 4" xfId="16676"/>
    <cellStyle name="40% - 강조색4 4 4 5 3" xfId="16677"/>
    <cellStyle name="40% - 강조색4 4 4 5 3 2" xfId="16678"/>
    <cellStyle name="40% - 강조색4 4 4 5 3 3" xfId="16679"/>
    <cellStyle name="40% - 강조색4 4 4 5 4" xfId="16680"/>
    <cellStyle name="40% - 강조색4 4 4 5 5" xfId="16681"/>
    <cellStyle name="40% - 강조색4 4 4 6" xfId="16682"/>
    <cellStyle name="40% - 강조색4 4 4 6 2" xfId="16683"/>
    <cellStyle name="40% - 강조색4 4 4 6 2 2" xfId="16684"/>
    <cellStyle name="40% - 강조색4 4 4 6 2 2 2" xfId="16685"/>
    <cellStyle name="40% - 강조색4 4 4 6 2 2 3" xfId="16686"/>
    <cellStyle name="40% - 강조색4 4 4 6 2 3" xfId="16687"/>
    <cellStyle name="40% - 강조색4 4 4 6 2 4" xfId="16688"/>
    <cellStyle name="40% - 강조색4 4 4 6 3" xfId="16689"/>
    <cellStyle name="40% - 강조색4 4 4 6 3 2" xfId="16690"/>
    <cellStyle name="40% - 강조색4 4 4 6 3 3" xfId="16691"/>
    <cellStyle name="40% - 강조색4 4 4 6 4" xfId="16692"/>
    <cellStyle name="40% - 강조색4 4 4 6 5" xfId="16693"/>
    <cellStyle name="40% - 강조색4 4 4 7" xfId="16694"/>
    <cellStyle name="40% - 강조색4 4 4 7 2" xfId="16695"/>
    <cellStyle name="40% - 강조색4 4 4 7 2 2" xfId="16696"/>
    <cellStyle name="40% - 강조색4 4 4 7 2 3" xfId="16697"/>
    <cellStyle name="40% - 강조색4 4 4 7 3" xfId="16698"/>
    <cellStyle name="40% - 강조색4 4 4 7 4" xfId="16699"/>
    <cellStyle name="40% - 강조색4 4 4 8" xfId="16700"/>
    <cellStyle name="40% - 강조색4 4 4 8 2" xfId="16701"/>
    <cellStyle name="40% - 강조색4 4 4 8 3" xfId="16702"/>
    <cellStyle name="40% - 강조색4 4 4 9" xfId="16703"/>
    <cellStyle name="40% - 강조색4 4 5" xfId="16704"/>
    <cellStyle name="40% - 강조색4 4 5 2" xfId="16705"/>
    <cellStyle name="40% - 강조색4 4 5 2 2" xfId="16706"/>
    <cellStyle name="40% - 강조색4 4 5 2 2 2" xfId="16707"/>
    <cellStyle name="40% - 강조색4 4 5 2 2 2 2" xfId="16708"/>
    <cellStyle name="40% - 강조색4 4 5 2 2 2 3" xfId="16709"/>
    <cellStyle name="40% - 강조색4 4 5 2 2 3" xfId="16710"/>
    <cellStyle name="40% - 강조색4 4 5 2 2 4" xfId="16711"/>
    <cellStyle name="40% - 강조색4 4 5 2 3" xfId="16712"/>
    <cellStyle name="40% - 강조색4 4 5 2 3 2" xfId="16713"/>
    <cellStyle name="40% - 강조색4 4 5 2 3 3" xfId="16714"/>
    <cellStyle name="40% - 강조색4 4 5 2 4" xfId="16715"/>
    <cellStyle name="40% - 강조색4 4 5 2 5" xfId="16716"/>
    <cellStyle name="40% - 강조색4 4 5 3" xfId="16717"/>
    <cellStyle name="40% - 강조색4 4 5 3 2" xfId="16718"/>
    <cellStyle name="40% - 강조색4 4 5 3 2 2" xfId="16719"/>
    <cellStyle name="40% - 강조색4 4 5 3 2 2 2" xfId="16720"/>
    <cellStyle name="40% - 강조색4 4 5 3 2 2 3" xfId="16721"/>
    <cellStyle name="40% - 강조색4 4 5 3 2 3" xfId="16722"/>
    <cellStyle name="40% - 강조색4 4 5 3 2 4" xfId="16723"/>
    <cellStyle name="40% - 강조색4 4 5 3 3" xfId="16724"/>
    <cellStyle name="40% - 강조색4 4 5 3 3 2" xfId="16725"/>
    <cellStyle name="40% - 강조색4 4 5 3 3 3" xfId="16726"/>
    <cellStyle name="40% - 강조색4 4 5 3 4" xfId="16727"/>
    <cellStyle name="40% - 강조색4 4 5 3 5" xfId="16728"/>
    <cellStyle name="40% - 강조색4 4 5 4" xfId="16729"/>
    <cellStyle name="40% - 강조색4 4 5 4 2" xfId="16730"/>
    <cellStyle name="40% - 강조색4 4 5 4 2 2" xfId="16731"/>
    <cellStyle name="40% - 강조색4 4 5 4 2 3" xfId="16732"/>
    <cellStyle name="40% - 강조색4 4 5 4 3" xfId="16733"/>
    <cellStyle name="40% - 강조색4 4 5 4 4" xfId="16734"/>
    <cellStyle name="40% - 강조색4 4 5 5" xfId="16735"/>
    <cellStyle name="40% - 강조색4 4 5 5 2" xfId="16736"/>
    <cellStyle name="40% - 강조색4 4 5 5 3" xfId="16737"/>
    <cellStyle name="40% - 강조색4 4 5 6" xfId="16738"/>
    <cellStyle name="40% - 강조색4 4 5 7" xfId="16739"/>
    <cellStyle name="40% - 강조색4 4 6" xfId="16740"/>
    <cellStyle name="40% - 강조색4 4 6 2" xfId="16741"/>
    <cellStyle name="40% - 강조색4 4 6 2 2" xfId="16742"/>
    <cellStyle name="40% - 강조색4 4 6 2 2 2" xfId="16743"/>
    <cellStyle name="40% - 강조색4 4 6 2 2 2 2" xfId="16744"/>
    <cellStyle name="40% - 강조색4 4 6 2 2 2 3" xfId="16745"/>
    <cellStyle name="40% - 강조색4 4 6 2 2 3" xfId="16746"/>
    <cellStyle name="40% - 강조색4 4 6 2 2 4" xfId="16747"/>
    <cellStyle name="40% - 강조색4 4 6 2 3" xfId="16748"/>
    <cellStyle name="40% - 강조색4 4 6 2 3 2" xfId="16749"/>
    <cellStyle name="40% - 강조색4 4 6 2 3 3" xfId="16750"/>
    <cellStyle name="40% - 강조색4 4 6 2 4" xfId="16751"/>
    <cellStyle name="40% - 강조색4 4 6 2 5" xfId="16752"/>
    <cellStyle name="40% - 강조색4 4 6 3" xfId="16753"/>
    <cellStyle name="40% - 강조색4 4 6 3 2" xfId="16754"/>
    <cellStyle name="40% - 강조색4 4 6 3 2 2" xfId="16755"/>
    <cellStyle name="40% - 강조색4 4 6 3 2 2 2" xfId="16756"/>
    <cellStyle name="40% - 강조색4 4 6 3 2 2 3" xfId="16757"/>
    <cellStyle name="40% - 강조색4 4 6 3 2 3" xfId="16758"/>
    <cellStyle name="40% - 강조색4 4 6 3 2 4" xfId="16759"/>
    <cellStyle name="40% - 강조색4 4 6 3 3" xfId="16760"/>
    <cellStyle name="40% - 강조색4 4 6 3 3 2" xfId="16761"/>
    <cellStyle name="40% - 강조색4 4 6 3 3 3" xfId="16762"/>
    <cellStyle name="40% - 강조색4 4 6 3 4" xfId="16763"/>
    <cellStyle name="40% - 강조색4 4 6 3 5" xfId="16764"/>
    <cellStyle name="40% - 강조색4 4 6 4" xfId="16765"/>
    <cellStyle name="40% - 강조색4 4 6 4 2" xfId="16766"/>
    <cellStyle name="40% - 강조색4 4 6 4 2 2" xfId="16767"/>
    <cellStyle name="40% - 강조색4 4 6 4 2 3" xfId="16768"/>
    <cellStyle name="40% - 강조색4 4 6 4 3" xfId="16769"/>
    <cellStyle name="40% - 강조색4 4 6 4 4" xfId="16770"/>
    <cellStyle name="40% - 강조색4 4 6 5" xfId="16771"/>
    <cellStyle name="40% - 강조색4 4 6 5 2" xfId="16772"/>
    <cellStyle name="40% - 강조색4 4 6 5 3" xfId="16773"/>
    <cellStyle name="40% - 강조색4 4 6 6" xfId="16774"/>
    <cellStyle name="40% - 강조색4 4 6 7" xfId="16775"/>
    <cellStyle name="40% - 강조색4 4 7" xfId="16776"/>
    <cellStyle name="40% - 강조색4 4 7 2" xfId="16777"/>
    <cellStyle name="40% - 강조색4 4 7 2 2" xfId="16778"/>
    <cellStyle name="40% - 강조색4 4 7 2 2 2" xfId="16779"/>
    <cellStyle name="40% - 강조색4 4 7 2 2 3" xfId="16780"/>
    <cellStyle name="40% - 강조색4 4 7 2 3" xfId="16781"/>
    <cellStyle name="40% - 강조색4 4 7 2 4" xfId="16782"/>
    <cellStyle name="40% - 강조색4 4 7 3" xfId="16783"/>
    <cellStyle name="40% - 강조색4 4 7 3 2" xfId="16784"/>
    <cellStyle name="40% - 강조색4 4 7 3 3" xfId="16785"/>
    <cellStyle name="40% - 강조색4 4 7 4" xfId="16786"/>
    <cellStyle name="40% - 강조색4 4 7 5" xfId="16787"/>
    <cellStyle name="40% - 강조색4 4 8" xfId="16788"/>
    <cellStyle name="40% - 강조색4 4 8 2" xfId="16789"/>
    <cellStyle name="40% - 강조색4 4 8 2 2" xfId="16790"/>
    <cellStyle name="40% - 강조색4 4 8 2 2 2" xfId="16791"/>
    <cellStyle name="40% - 강조색4 4 8 2 2 3" xfId="16792"/>
    <cellStyle name="40% - 강조색4 4 8 2 3" xfId="16793"/>
    <cellStyle name="40% - 강조색4 4 8 2 4" xfId="16794"/>
    <cellStyle name="40% - 강조색4 4 8 3" xfId="16795"/>
    <cellStyle name="40% - 강조색4 4 8 3 2" xfId="16796"/>
    <cellStyle name="40% - 강조색4 4 8 3 3" xfId="16797"/>
    <cellStyle name="40% - 강조색4 4 8 4" xfId="16798"/>
    <cellStyle name="40% - 강조색4 4 8 5" xfId="16799"/>
    <cellStyle name="40% - 강조색4 4 9" xfId="16800"/>
    <cellStyle name="40% - 강조색4 4 9 2" xfId="16801"/>
    <cellStyle name="40% - 강조색4 4 9 2 2" xfId="16802"/>
    <cellStyle name="40% - 강조색4 4 9 2 2 2" xfId="16803"/>
    <cellStyle name="40% - 강조색4 4 9 2 2 3" xfId="16804"/>
    <cellStyle name="40% - 강조색4 4 9 2 3" xfId="16805"/>
    <cellStyle name="40% - 강조색4 4 9 2 4" xfId="16806"/>
    <cellStyle name="40% - 강조색4 4 9 3" xfId="16807"/>
    <cellStyle name="40% - 강조색4 4 9 3 2" xfId="16808"/>
    <cellStyle name="40% - 강조색4 4 9 3 3" xfId="16809"/>
    <cellStyle name="40% - 강조색4 4 9 4" xfId="16810"/>
    <cellStyle name="40% - 강조색4 4 9 5" xfId="16811"/>
    <cellStyle name="40% - 강조색4 40" xfId="16812"/>
    <cellStyle name="40% - 강조색4 41" xfId="16813"/>
    <cellStyle name="40% - 강조색4 42" xfId="16814"/>
    <cellStyle name="40% - 강조색4 43" xfId="16815"/>
    <cellStyle name="40% - 강조색4 44" xfId="16816"/>
    <cellStyle name="40% - 강조색4 45" xfId="16817"/>
    <cellStyle name="40% - 강조색4 46" xfId="16818"/>
    <cellStyle name="40% - 강조색4 47" xfId="16819"/>
    <cellStyle name="40% - 강조색4 48" xfId="16820"/>
    <cellStyle name="40% - 강조색4 49" xfId="16821"/>
    <cellStyle name="40% - 강조색4 5" xfId="16822"/>
    <cellStyle name="40% - 강조색4 5 10" xfId="16823"/>
    <cellStyle name="40% - 강조색4 5 11" xfId="16824"/>
    <cellStyle name="40% - 강조색4 5 2" xfId="16825"/>
    <cellStyle name="40% - 강조색4 5 2 2" xfId="16826"/>
    <cellStyle name="40% - 강조색4 5 2 2 2" xfId="16827"/>
    <cellStyle name="40% - 강조색4 5 2 2 2 2" xfId="16828"/>
    <cellStyle name="40% - 강조색4 5 2 2 2 2 2" xfId="16829"/>
    <cellStyle name="40% - 강조색4 5 2 2 2 2 3" xfId="16830"/>
    <cellStyle name="40% - 강조색4 5 2 2 2 3" xfId="16831"/>
    <cellStyle name="40% - 강조색4 5 2 2 2 4" xfId="16832"/>
    <cellStyle name="40% - 강조색4 5 2 2 3" xfId="16833"/>
    <cellStyle name="40% - 강조색4 5 2 2 3 2" xfId="16834"/>
    <cellStyle name="40% - 강조색4 5 2 2 3 3" xfId="16835"/>
    <cellStyle name="40% - 강조색4 5 2 2 4" xfId="16836"/>
    <cellStyle name="40% - 강조색4 5 2 2 5" xfId="16837"/>
    <cellStyle name="40% - 강조색4 5 2 3" xfId="16838"/>
    <cellStyle name="40% - 강조색4 5 2 3 2" xfId="16839"/>
    <cellStyle name="40% - 강조색4 5 2 3 2 2" xfId="16840"/>
    <cellStyle name="40% - 강조색4 5 2 3 2 2 2" xfId="16841"/>
    <cellStyle name="40% - 강조색4 5 2 3 2 2 3" xfId="16842"/>
    <cellStyle name="40% - 강조색4 5 2 3 2 3" xfId="16843"/>
    <cellStyle name="40% - 강조색4 5 2 3 2 4" xfId="16844"/>
    <cellStyle name="40% - 강조색4 5 2 3 3" xfId="16845"/>
    <cellStyle name="40% - 강조색4 5 2 3 3 2" xfId="16846"/>
    <cellStyle name="40% - 강조색4 5 2 3 3 3" xfId="16847"/>
    <cellStyle name="40% - 강조색4 5 2 3 4" xfId="16848"/>
    <cellStyle name="40% - 강조색4 5 2 3 5" xfId="16849"/>
    <cellStyle name="40% - 강조색4 5 2 4" xfId="16850"/>
    <cellStyle name="40% - 강조색4 5 2 4 2" xfId="16851"/>
    <cellStyle name="40% - 강조색4 5 2 4 2 2" xfId="16852"/>
    <cellStyle name="40% - 강조색4 5 2 4 2 3" xfId="16853"/>
    <cellStyle name="40% - 강조색4 5 2 4 3" xfId="16854"/>
    <cellStyle name="40% - 강조색4 5 2 4 4" xfId="16855"/>
    <cellStyle name="40% - 강조색4 5 2 5" xfId="16856"/>
    <cellStyle name="40% - 강조색4 5 2 5 2" xfId="16857"/>
    <cellStyle name="40% - 강조색4 5 2 5 3" xfId="16858"/>
    <cellStyle name="40% - 강조색4 5 2 6" xfId="16859"/>
    <cellStyle name="40% - 강조색4 5 2 7" xfId="16860"/>
    <cellStyle name="40% - 강조색4 5 3" xfId="16861"/>
    <cellStyle name="40% - 강조색4 5 3 2" xfId="16862"/>
    <cellStyle name="40% - 강조색4 5 3 2 2" xfId="16863"/>
    <cellStyle name="40% - 강조색4 5 3 2 2 2" xfId="16864"/>
    <cellStyle name="40% - 강조색4 5 3 2 2 2 2" xfId="16865"/>
    <cellStyle name="40% - 강조색4 5 3 2 2 2 3" xfId="16866"/>
    <cellStyle name="40% - 강조색4 5 3 2 2 3" xfId="16867"/>
    <cellStyle name="40% - 강조색4 5 3 2 2 4" xfId="16868"/>
    <cellStyle name="40% - 강조색4 5 3 2 3" xfId="16869"/>
    <cellStyle name="40% - 강조색4 5 3 2 3 2" xfId="16870"/>
    <cellStyle name="40% - 강조색4 5 3 2 3 3" xfId="16871"/>
    <cellStyle name="40% - 강조색4 5 3 2 4" xfId="16872"/>
    <cellStyle name="40% - 강조색4 5 3 2 5" xfId="16873"/>
    <cellStyle name="40% - 강조색4 5 3 3" xfId="16874"/>
    <cellStyle name="40% - 강조색4 5 3 3 2" xfId="16875"/>
    <cellStyle name="40% - 강조색4 5 3 3 2 2" xfId="16876"/>
    <cellStyle name="40% - 강조색4 5 3 3 2 2 2" xfId="16877"/>
    <cellStyle name="40% - 강조색4 5 3 3 2 2 3" xfId="16878"/>
    <cellStyle name="40% - 강조색4 5 3 3 2 3" xfId="16879"/>
    <cellStyle name="40% - 강조색4 5 3 3 2 4" xfId="16880"/>
    <cellStyle name="40% - 강조색4 5 3 3 3" xfId="16881"/>
    <cellStyle name="40% - 강조색4 5 3 3 3 2" xfId="16882"/>
    <cellStyle name="40% - 강조색4 5 3 3 3 3" xfId="16883"/>
    <cellStyle name="40% - 강조색4 5 3 3 4" xfId="16884"/>
    <cellStyle name="40% - 강조색4 5 3 3 5" xfId="16885"/>
    <cellStyle name="40% - 강조색4 5 3 4" xfId="16886"/>
    <cellStyle name="40% - 강조색4 5 3 4 2" xfId="16887"/>
    <cellStyle name="40% - 강조색4 5 3 4 2 2" xfId="16888"/>
    <cellStyle name="40% - 강조색4 5 3 4 2 3" xfId="16889"/>
    <cellStyle name="40% - 강조색4 5 3 4 3" xfId="16890"/>
    <cellStyle name="40% - 강조색4 5 3 4 4" xfId="16891"/>
    <cellStyle name="40% - 강조색4 5 3 5" xfId="16892"/>
    <cellStyle name="40% - 강조색4 5 3 5 2" xfId="16893"/>
    <cellStyle name="40% - 강조색4 5 3 5 3" xfId="16894"/>
    <cellStyle name="40% - 강조색4 5 3 6" xfId="16895"/>
    <cellStyle name="40% - 강조색4 5 3 7" xfId="16896"/>
    <cellStyle name="40% - 강조색4 5 4" xfId="16897"/>
    <cellStyle name="40% - 강조색4 5 4 2" xfId="16898"/>
    <cellStyle name="40% - 강조색4 5 4 2 2" xfId="16899"/>
    <cellStyle name="40% - 강조색4 5 4 2 2 2" xfId="16900"/>
    <cellStyle name="40% - 강조색4 5 4 2 2 3" xfId="16901"/>
    <cellStyle name="40% - 강조색4 5 4 2 3" xfId="16902"/>
    <cellStyle name="40% - 강조색4 5 4 2 4" xfId="16903"/>
    <cellStyle name="40% - 강조색4 5 4 3" xfId="16904"/>
    <cellStyle name="40% - 강조색4 5 4 3 2" xfId="16905"/>
    <cellStyle name="40% - 강조색4 5 4 3 3" xfId="16906"/>
    <cellStyle name="40% - 강조색4 5 4 4" xfId="16907"/>
    <cellStyle name="40% - 강조색4 5 4 5" xfId="16908"/>
    <cellStyle name="40% - 강조색4 5 5" xfId="16909"/>
    <cellStyle name="40% - 강조색4 5 5 2" xfId="16910"/>
    <cellStyle name="40% - 강조색4 5 5 2 2" xfId="16911"/>
    <cellStyle name="40% - 강조색4 5 5 2 2 2" xfId="16912"/>
    <cellStyle name="40% - 강조색4 5 5 2 2 3" xfId="16913"/>
    <cellStyle name="40% - 강조색4 5 5 2 3" xfId="16914"/>
    <cellStyle name="40% - 강조색4 5 5 2 4" xfId="16915"/>
    <cellStyle name="40% - 강조색4 5 5 3" xfId="16916"/>
    <cellStyle name="40% - 강조색4 5 5 3 2" xfId="16917"/>
    <cellStyle name="40% - 강조색4 5 5 3 3" xfId="16918"/>
    <cellStyle name="40% - 강조색4 5 5 4" xfId="16919"/>
    <cellStyle name="40% - 강조색4 5 5 5" xfId="16920"/>
    <cellStyle name="40% - 강조색4 5 6" xfId="16921"/>
    <cellStyle name="40% - 강조색4 5 6 2" xfId="16922"/>
    <cellStyle name="40% - 강조색4 5 6 2 2" xfId="16923"/>
    <cellStyle name="40% - 강조색4 5 6 2 2 2" xfId="16924"/>
    <cellStyle name="40% - 강조색4 5 6 2 2 3" xfId="16925"/>
    <cellStyle name="40% - 강조색4 5 6 2 3" xfId="16926"/>
    <cellStyle name="40% - 강조색4 5 6 2 4" xfId="16927"/>
    <cellStyle name="40% - 강조색4 5 6 3" xfId="16928"/>
    <cellStyle name="40% - 강조색4 5 6 3 2" xfId="16929"/>
    <cellStyle name="40% - 강조색4 5 6 3 3" xfId="16930"/>
    <cellStyle name="40% - 강조색4 5 6 4" xfId="16931"/>
    <cellStyle name="40% - 강조색4 5 6 5" xfId="16932"/>
    <cellStyle name="40% - 강조색4 5 7" xfId="16933"/>
    <cellStyle name="40% - 강조색4 5 7 2" xfId="16934"/>
    <cellStyle name="40% - 강조색4 5 7 2 2" xfId="16935"/>
    <cellStyle name="40% - 강조색4 5 7 2 3" xfId="16936"/>
    <cellStyle name="40% - 강조색4 5 7 3" xfId="16937"/>
    <cellStyle name="40% - 강조색4 5 7 4" xfId="16938"/>
    <cellStyle name="40% - 강조색4 5 8" xfId="16939"/>
    <cellStyle name="40% - 강조색4 5 8 2" xfId="16940"/>
    <cellStyle name="40% - 강조색4 5 8 3" xfId="16941"/>
    <cellStyle name="40% - 강조색4 5 9" xfId="16942"/>
    <cellStyle name="40% - 강조색4 50" xfId="16943"/>
    <cellStyle name="40% - 강조색4 51" xfId="16944"/>
    <cellStyle name="40% - 강조색4 52" xfId="16945"/>
    <cellStyle name="40% - 강조색4 53" xfId="16946"/>
    <cellStyle name="40% - 강조색4 54" xfId="16947"/>
    <cellStyle name="40% - 강조색4 55" xfId="16948"/>
    <cellStyle name="40% - 강조색4 56" xfId="16949"/>
    <cellStyle name="40% - 강조색4 57" xfId="16950"/>
    <cellStyle name="40% - 강조색4 58" xfId="16951"/>
    <cellStyle name="40% - 강조색4 59" xfId="16952"/>
    <cellStyle name="40% - 강조색4 6" xfId="16953"/>
    <cellStyle name="40% - 강조색4 6 10" xfId="16954"/>
    <cellStyle name="40% - 강조색4 6 2" xfId="16955"/>
    <cellStyle name="40% - 강조색4 6 2 2" xfId="16956"/>
    <cellStyle name="40% - 강조색4 6 2 2 2" xfId="16957"/>
    <cellStyle name="40% - 강조색4 6 2 2 2 2" xfId="16958"/>
    <cellStyle name="40% - 강조색4 6 2 2 2 2 2" xfId="16959"/>
    <cellStyle name="40% - 강조색4 6 2 2 2 2 3" xfId="16960"/>
    <cellStyle name="40% - 강조색4 6 2 2 2 3" xfId="16961"/>
    <cellStyle name="40% - 강조색4 6 2 2 2 4" xfId="16962"/>
    <cellStyle name="40% - 강조색4 6 2 2 3" xfId="16963"/>
    <cellStyle name="40% - 강조색4 6 2 2 3 2" xfId="16964"/>
    <cellStyle name="40% - 강조색4 6 2 2 3 3" xfId="16965"/>
    <cellStyle name="40% - 강조색4 6 2 2 4" xfId="16966"/>
    <cellStyle name="40% - 강조색4 6 2 2 5" xfId="16967"/>
    <cellStyle name="40% - 강조색4 6 2 3" xfId="16968"/>
    <cellStyle name="40% - 강조색4 6 2 3 2" xfId="16969"/>
    <cellStyle name="40% - 강조색4 6 2 3 2 2" xfId="16970"/>
    <cellStyle name="40% - 강조색4 6 2 3 2 2 2" xfId="16971"/>
    <cellStyle name="40% - 강조색4 6 2 3 2 2 3" xfId="16972"/>
    <cellStyle name="40% - 강조색4 6 2 3 2 3" xfId="16973"/>
    <cellStyle name="40% - 강조색4 6 2 3 2 4" xfId="16974"/>
    <cellStyle name="40% - 강조색4 6 2 3 3" xfId="16975"/>
    <cellStyle name="40% - 강조색4 6 2 3 3 2" xfId="16976"/>
    <cellStyle name="40% - 강조색4 6 2 3 3 3" xfId="16977"/>
    <cellStyle name="40% - 강조색4 6 2 3 4" xfId="16978"/>
    <cellStyle name="40% - 강조색4 6 2 3 5" xfId="16979"/>
    <cellStyle name="40% - 강조색4 6 2 4" xfId="16980"/>
    <cellStyle name="40% - 강조색4 6 2 4 2" xfId="16981"/>
    <cellStyle name="40% - 강조색4 6 2 4 2 2" xfId="16982"/>
    <cellStyle name="40% - 강조색4 6 2 4 2 3" xfId="16983"/>
    <cellStyle name="40% - 강조색4 6 2 4 3" xfId="16984"/>
    <cellStyle name="40% - 강조색4 6 2 4 4" xfId="16985"/>
    <cellStyle name="40% - 강조색4 6 2 5" xfId="16986"/>
    <cellStyle name="40% - 강조색4 6 2 5 2" xfId="16987"/>
    <cellStyle name="40% - 강조색4 6 2 5 3" xfId="16988"/>
    <cellStyle name="40% - 강조색4 6 2 6" xfId="16989"/>
    <cellStyle name="40% - 강조색4 6 2 7" xfId="16990"/>
    <cellStyle name="40% - 강조색4 6 3" xfId="16991"/>
    <cellStyle name="40% - 강조색4 6 3 2" xfId="16992"/>
    <cellStyle name="40% - 강조색4 6 3 2 2" xfId="16993"/>
    <cellStyle name="40% - 강조색4 6 3 2 2 2" xfId="16994"/>
    <cellStyle name="40% - 강조색4 6 3 2 2 2 2" xfId="16995"/>
    <cellStyle name="40% - 강조색4 6 3 2 2 2 3" xfId="16996"/>
    <cellStyle name="40% - 강조색4 6 3 2 2 3" xfId="16997"/>
    <cellStyle name="40% - 강조색4 6 3 2 2 4" xfId="16998"/>
    <cellStyle name="40% - 강조색4 6 3 2 3" xfId="16999"/>
    <cellStyle name="40% - 강조색4 6 3 2 3 2" xfId="17000"/>
    <cellStyle name="40% - 강조색4 6 3 2 3 3" xfId="17001"/>
    <cellStyle name="40% - 강조색4 6 3 2 4" xfId="17002"/>
    <cellStyle name="40% - 강조색4 6 3 2 5" xfId="17003"/>
    <cellStyle name="40% - 강조색4 6 3 3" xfId="17004"/>
    <cellStyle name="40% - 강조색4 6 3 3 2" xfId="17005"/>
    <cellStyle name="40% - 강조색4 6 3 3 2 2" xfId="17006"/>
    <cellStyle name="40% - 강조색4 6 3 3 2 2 2" xfId="17007"/>
    <cellStyle name="40% - 강조색4 6 3 3 2 2 3" xfId="17008"/>
    <cellStyle name="40% - 강조색4 6 3 3 2 3" xfId="17009"/>
    <cellStyle name="40% - 강조색4 6 3 3 2 4" xfId="17010"/>
    <cellStyle name="40% - 강조색4 6 3 3 3" xfId="17011"/>
    <cellStyle name="40% - 강조색4 6 3 3 3 2" xfId="17012"/>
    <cellStyle name="40% - 강조색4 6 3 3 3 3" xfId="17013"/>
    <cellStyle name="40% - 강조색4 6 3 3 4" xfId="17014"/>
    <cellStyle name="40% - 강조색4 6 3 3 5" xfId="17015"/>
    <cellStyle name="40% - 강조색4 6 3 4" xfId="17016"/>
    <cellStyle name="40% - 강조색4 6 3 4 2" xfId="17017"/>
    <cellStyle name="40% - 강조색4 6 3 4 2 2" xfId="17018"/>
    <cellStyle name="40% - 강조색4 6 3 4 2 3" xfId="17019"/>
    <cellStyle name="40% - 강조색4 6 3 4 3" xfId="17020"/>
    <cellStyle name="40% - 강조색4 6 3 4 4" xfId="17021"/>
    <cellStyle name="40% - 강조색4 6 3 5" xfId="17022"/>
    <cellStyle name="40% - 강조색4 6 3 5 2" xfId="17023"/>
    <cellStyle name="40% - 강조색4 6 3 5 3" xfId="17024"/>
    <cellStyle name="40% - 강조색4 6 3 6" xfId="17025"/>
    <cellStyle name="40% - 강조색4 6 3 7" xfId="17026"/>
    <cellStyle name="40% - 강조색4 6 4" xfId="17027"/>
    <cellStyle name="40% - 강조색4 6 4 2" xfId="17028"/>
    <cellStyle name="40% - 강조색4 6 4 2 2" xfId="17029"/>
    <cellStyle name="40% - 강조색4 6 4 2 2 2" xfId="17030"/>
    <cellStyle name="40% - 강조색4 6 4 2 2 3" xfId="17031"/>
    <cellStyle name="40% - 강조색4 6 4 2 3" xfId="17032"/>
    <cellStyle name="40% - 강조색4 6 4 2 4" xfId="17033"/>
    <cellStyle name="40% - 강조색4 6 4 3" xfId="17034"/>
    <cellStyle name="40% - 강조색4 6 4 3 2" xfId="17035"/>
    <cellStyle name="40% - 강조색4 6 4 3 3" xfId="17036"/>
    <cellStyle name="40% - 강조색4 6 4 4" xfId="17037"/>
    <cellStyle name="40% - 강조색4 6 4 5" xfId="17038"/>
    <cellStyle name="40% - 강조색4 6 5" xfId="17039"/>
    <cellStyle name="40% - 강조색4 6 5 2" xfId="17040"/>
    <cellStyle name="40% - 강조색4 6 5 2 2" xfId="17041"/>
    <cellStyle name="40% - 강조색4 6 5 2 2 2" xfId="17042"/>
    <cellStyle name="40% - 강조색4 6 5 2 2 3" xfId="17043"/>
    <cellStyle name="40% - 강조색4 6 5 2 3" xfId="17044"/>
    <cellStyle name="40% - 강조색4 6 5 2 4" xfId="17045"/>
    <cellStyle name="40% - 강조색4 6 5 3" xfId="17046"/>
    <cellStyle name="40% - 강조색4 6 5 3 2" xfId="17047"/>
    <cellStyle name="40% - 강조색4 6 5 3 3" xfId="17048"/>
    <cellStyle name="40% - 강조색4 6 5 4" xfId="17049"/>
    <cellStyle name="40% - 강조색4 6 5 5" xfId="17050"/>
    <cellStyle name="40% - 강조색4 6 6" xfId="17051"/>
    <cellStyle name="40% - 강조색4 6 6 2" xfId="17052"/>
    <cellStyle name="40% - 강조색4 6 6 2 2" xfId="17053"/>
    <cellStyle name="40% - 강조색4 6 6 2 2 2" xfId="17054"/>
    <cellStyle name="40% - 강조색4 6 6 2 2 3" xfId="17055"/>
    <cellStyle name="40% - 강조색4 6 6 2 3" xfId="17056"/>
    <cellStyle name="40% - 강조색4 6 6 2 4" xfId="17057"/>
    <cellStyle name="40% - 강조색4 6 6 3" xfId="17058"/>
    <cellStyle name="40% - 강조색4 6 6 3 2" xfId="17059"/>
    <cellStyle name="40% - 강조색4 6 6 3 3" xfId="17060"/>
    <cellStyle name="40% - 강조색4 6 6 4" xfId="17061"/>
    <cellStyle name="40% - 강조색4 6 6 5" xfId="17062"/>
    <cellStyle name="40% - 강조색4 6 7" xfId="17063"/>
    <cellStyle name="40% - 강조색4 6 7 2" xfId="17064"/>
    <cellStyle name="40% - 강조색4 6 7 2 2" xfId="17065"/>
    <cellStyle name="40% - 강조색4 6 7 2 3" xfId="17066"/>
    <cellStyle name="40% - 강조색4 6 7 3" xfId="17067"/>
    <cellStyle name="40% - 강조색4 6 7 4" xfId="17068"/>
    <cellStyle name="40% - 강조색4 6 8" xfId="17069"/>
    <cellStyle name="40% - 강조색4 6 8 2" xfId="17070"/>
    <cellStyle name="40% - 강조색4 6 8 3" xfId="17071"/>
    <cellStyle name="40% - 강조색4 6 9" xfId="17072"/>
    <cellStyle name="40% - 강조색4 60" xfId="17073"/>
    <cellStyle name="40% - 강조색4 61" xfId="17074"/>
    <cellStyle name="40% - 강조색4 62" xfId="17075"/>
    <cellStyle name="40% - 강조색4 63" xfId="17076"/>
    <cellStyle name="40% - 강조색4 64" xfId="17077"/>
    <cellStyle name="40% - 강조색4 65" xfId="17078"/>
    <cellStyle name="40% - 강조색4 66" xfId="17079"/>
    <cellStyle name="40% - 강조색4 67" xfId="17080"/>
    <cellStyle name="40% - 강조색4 68" xfId="17081"/>
    <cellStyle name="40% - 강조색4 69" xfId="17082"/>
    <cellStyle name="40% - 강조색4 7" xfId="17083"/>
    <cellStyle name="40% - 강조색4 7 10" xfId="17084"/>
    <cellStyle name="40% - 강조색4 7 2" xfId="17085"/>
    <cellStyle name="40% - 강조색4 7 2 2" xfId="17086"/>
    <cellStyle name="40% - 강조색4 7 2 2 2" xfId="17087"/>
    <cellStyle name="40% - 강조색4 7 2 2 2 2" xfId="17088"/>
    <cellStyle name="40% - 강조색4 7 2 2 2 2 2" xfId="17089"/>
    <cellStyle name="40% - 강조색4 7 2 2 2 2 3" xfId="17090"/>
    <cellStyle name="40% - 강조색4 7 2 2 2 3" xfId="17091"/>
    <cellStyle name="40% - 강조색4 7 2 2 2 4" xfId="17092"/>
    <cellStyle name="40% - 강조색4 7 2 2 3" xfId="17093"/>
    <cellStyle name="40% - 강조색4 7 2 2 3 2" xfId="17094"/>
    <cellStyle name="40% - 강조색4 7 2 2 3 3" xfId="17095"/>
    <cellStyle name="40% - 강조색4 7 2 2 4" xfId="17096"/>
    <cellStyle name="40% - 강조색4 7 2 2 5" xfId="17097"/>
    <cellStyle name="40% - 강조색4 7 2 3" xfId="17098"/>
    <cellStyle name="40% - 강조색4 7 2 3 2" xfId="17099"/>
    <cellStyle name="40% - 강조색4 7 2 3 2 2" xfId="17100"/>
    <cellStyle name="40% - 강조색4 7 2 3 2 2 2" xfId="17101"/>
    <cellStyle name="40% - 강조색4 7 2 3 2 2 3" xfId="17102"/>
    <cellStyle name="40% - 강조색4 7 2 3 2 3" xfId="17103"/>
    <cellStyle name="40% - 강조색4 7 2 3 2 4" xfId="17104"/>
    <cellStyle name="40% - 강조색4 7 2 3 3" xfId="17105"/>
    <cellStyle name="40% - 강조색4 7 2 3 3 2" xfId="17106"/>
    <cellStyle name="40% - 강조색4 7 2 3 3 3" xfId="17107"/>
    <cellStyle name="40% - 강조색4 7 2 3 4" xfId="17108"/>
    <cellStyle name="40% - 강조색4 7 2 3 5" xfId="17109"/>
    <cellStyle name="40% - 강조색4 7 2 4" xfId="17110"/>
    <cellStyle name="40% - 강조색4 7 2 4 2" xfId="17111"/>
    <cellStyle name="40% - 강조색4 7 2 4 2 2" xfId="17112"/>
    <cellStyle name="40% - 강조색4 7 2 4 2 3" xfId="17113"/>
    <cellStyle name="40% - 강조색4 7 2 4 3" xfId="17114"/>
    <cellStyle name="40% - 강조색4 7 2 4 4" xfId="17115"/>
    <cellStyle name="40% - 강조색4 7 2 5" xfId="17116"/>
    <cellStyle name="40% - 강조색4 7 2 5 2" xfId="17117"/>
    <cellStyle name="40% - 강조색4 7 2 5 3" xfId="17118"/>
    <cellStyle name="40% - 강조색4 7 2 6" xfId="17119"/>
    <cellStyle name="40% - 강조색4 7 2 7" xfId="17120"/>
    <cellStyle name="40% - 강조색4 7 3" xfId="17121"/>
    <cellStyle name="40% - 강조색4 7 3 2" xfId="17122"/>
    <cellStyle name="40% - 강조색4 7 3 2 2" xfId="17123"/>
    <cellStyle name="40% - 강조색4 7 3 2 2 2" xfId="17124"/>
    <cellStyle name="40% - 강조색4 7 3 2 2 2 2" xfId="17125"/>
    <cellStyle name="40% - 강조색4 7 3 2 2 2 3" xfId="17126"/>
    <cellStyle name="40% - 강조색4 7 3 2 2 3" xfId="17127"/>
    <cellStyle name="40% - 강조색4 7 3 2 2 4" xfId="17128"/>
    <cellStyle name="40% - 강조색4 7 3 2 3" xfId="17129"/>
    <cellStyle name="40% - 강조색4 7 3 2 3 2" xfId="17130"/>
    <cellStyle name="40% - 강조색4 7 3 2 3 3" xfId="17131"/>
    <cellStyle name="40% - 강조색4 7 3 2 4" xfId="17132"/>
    <cellStyle name="40% - 강조색4 7 3 2 5" xfId="17133"/>
    <cellStyle name="40% - 강조색4 7 3 3" xfId="17134"/>
    <cellStyle name="40% - 강조색4 7 3 3 2" xfId="17135"/>
    <cellStyle name="40% - 강조색4 7 3 3 2 2" xfId="17136"/>
    <cellStyle name="40% - 강조색4 7 3 3 2 2 2" xfId="17137"/>
    <cellStyle name="40% - 강조색4 7 3 3 2 2 3" xfId="17138"/>
    <cellStyle name="40% - 강조색4 7 3 3 2 3" xfId="17139"/>
    <cellStyle name="40% - 강조색4 7 3 3 2 4" xfId="17140"/>
    <cellStyle name="40% - 강조색4 7 3 3 3" xfId="17141"/>
    <cellStyle name="40% - 강조색4 7 3 3 3 2" xfId="17142"/>
    <cellStyle name="40% - 강조색4 7 3 3 3 3" xfId="17143"/>
    <cellStyle name="40% - 강조색4 7 3 3 4" xfId="17144"/>
    <cellStyle name="40% - 강조색4 7 3 3 5" xfId="17145"/>
    <cellStyle name="40% - 강조색4 7 3 4" xfId="17146"/>
    <cellStyle name="40% - 강조색4 7 3 4 2" xfId="17147"/>
    <cellStyle name="40% - 강조색4 7 3 4 2 2" xfId="17148"/>
    <cellStyle name="40% - 강조색4 7 3 4 2 3" xfId="17149"/>
    <cellStyle name="40% - 강조색4 7 3 4 3" xfId="17150"/>
    <cellStyle name="40% - 강조색4 7 3 4 4" xfId="17151"/>
    <cellStyle name="40% - 강조색4 7 3 5" xfId="17152"/>
    <cellStyle name="40% - 강조색4 7 3 5 2" xfId="17153"/>
    <cellStyle name="40% - 강조색4 7 3 5 3" xfId="17154"/>
    <cellStyle name="40% - 강조색4 7 3 6" xfId="17155"/>
    <cellStyle name="40% - 강조색4 7 3 7" xfId="17156"/>
    <cellStyle name="40% - 강조색4 7 4" xfId="17157"/>
    <cellStyle name="40% - 강조색4 7 4 2" xfId="17158"/>
    <cellStyle name="40% - 강조색4 7 4 2 2" xfId="17159"/>
    <cellStyle name="40% - 강조색4 7 4 2 2 2" xfId="17160"/>
    <cellStyle name="40% - 강조색4 7 4 2 2 3" xfId="17161"/>
    <cellStyle name="40% - 강조색4 7 4 2 3" xfId="17162"/>
    <cellStyle name="40% - 강조색4 7 4 2 4" xfId="17163"/>
    <cellStyle name="40% - 강조색4 7 4 3" xfId="17164"/>
    <cellStyle name="40% - 강조색4 7 4 3 2" xfId="17165"/>
    <cellStyle name="40% - 강조색4 7 4 3 3" xfId="17166"/>
    <cellStyle name="40% - 강조색4 7 4 4" xfId="17167"/>
    <cellStyle name="40% - 강조색4 7 4 5" xfId="17168"/>
    <cellStyle name="40% - 강조색4 7 5" xfId="17169"/>
    <cellStyle name="40% - 강조색4 7 5 2" xfId="17170"/>
    <cellStyle name="40% - 강조색4 7 5 2 2" xfId="17171"/>
    <cellStyle name="40% - 강조색4 7 5 2 2 2" xfId="17172"/>
    <cellStyle name="40% - 강조색4 7 5 2 2 3" xfId="17173"/>
    <cellStyle name="40% - 강조색4 7 5 2 3" xfId="17174"/>
    <cellStyle name="40% - 강조색4 7 5 2 4" xfId="17175"/>
    <cellStyle name="40% - 강조색4 7 5 3" xfId="17176"/>
    <cellStyle name="40% - 강조색4 7 5 3 2" xfId="17177"/>
    <cellStyle name="40% - 강조색4 7 5 3 3" xfId="17178"/>
    <cellStyle name="40% - 강조색4 7 5 4" xfId="17179"/>
    <cellStyle name="40% - 강조색4 7 5 5" xfId="17180"/>
    <cellStyle name="40% - 강조색4 7 6" xfId="17181"/>
    <cellStyle name="40% - 강조색4 7 6 2" xfId="17182"/>
    <cellStyle name="40% - 강조색4 7 6 2 2" xfId="17183"/>
    <cellStyle name="40% - 강조색4 7 6 2 2 2" xfId="17184"/>
    <cellStyle name="40% - 강조색4 7 6 2 2 3" xfId="17185"/>
    <cellStyle name="40% - 강조색4 7 6 2 3" xfId="17186"/>
    <cellStyle name="40% - 강조색4 7 6 2 4" xfId="17187"/>
    <cellStyle name="40% - 강조색4 7 6 3" xfId="17188"/>
    <cellStyle name="40% - 강조색4 7 6 3 2" xfId="17189"/>
    <cellStyle name="40% - 강조색4 7 6 3 3" xfId="17190"/>
    <cellStyle name="40% - 강조색4 7 6 4" xfId="17191"/>
    <cellStyle name="40% - 강조색4 7 6 5" xfId="17192"/>
    <cellStyle name="40% - 강조색4 7 7" xfId="17193"/>
    <cellStyle name="40% - 강조색4 7 7 2" xfId="17194"/>
    <cellStyle name="40% - 강조색4 7 7 2 2" xfId="17195"/>
    <cellStyle name="40% - 강조색4 7 7 2 3" xfId="17196"/>
    <cellStyle name="40% - 강조색4 7 7 3" xfId="17197"/>
    <cellStyle name="40% - 강조색4 7 7 4" xfId="17198"/>
    <cellStyle name="40% - 강조색4 7 8" xfId="17199"/>
    <cellStyle name="40% - 강조색4 7 8 2" xfId="17200"/>
    <cellStyle name="40% - 강조색4 7 8 3" xfId="17201"/>
    <cellStyle name="40% - 강조색4 7 9" xfId="17202"/>
    <cellStyle name="40% - 강조색4 8" xfId="17203"/>
    <cellStyle name="40% - 강조색4 8 2" xfId="17204"/>
    <cellStyle name="40% - 강조색4 8 2 2" xfId="17205"/>
    <cellStyle name="40% - 강조색4 8 2 2 2" xfId="17206"/>
    <cellStyle name="40% - 강조색4 8 2 2 2 2" xfId="17207"/>
    <cellStyle name="40% - 강조색4 8 2 2 2 3" xfId="17208"/>
    <cellStyle name="40% - 강조색4 8 2 2 3" xfId="17209"/>
    <cellStyle name="40% - 강조색4 8 2 2 4" xfId="17210"/>
    <cellStyle name="40% - 강조색4 8 2 3" xfId="17211"/>
    <cellStyle name="40% - 강조색4 8 2 3 2" xfId="17212"/>
    <cellStyle name="40% - 강조색4 8 2 3 3" xfId="17213"/>
    <cellStyle name="40% - 강조색4 8 2 4" xfId="17214"/>
    <cellStyle name="40% - 강조색4 8 2 5" xfId="17215"/>
    <cellStyle name="40% - 강조색4 8 3" xfId="17216"/>
    <cellStyle name="40% - 강조색4 8 3 2" xfId="17217"/>
    <cellStyle name="40% - 강조색4 8 3 2 2" xfId="17218"/>
    <cellStyle name="40% - 강조색4 8 3 2 2 2" xfId="17219"/>
    <cellStyle name="40% - 강조색4 8 3 2 2 3" xfId="17220"/>
    <cellStyle name="40% - 강조색4 8 3 2 3" xfId="17221"/>
    <cellStyle name="40% - 강조색4 8 3 2 4" xfId="17222"/>
    <cellStyle name="40% - 강조색4 8 3 3" xfId="17223"/>
    <cellStyle name="40% - 강조색4 8 3 3 2" xfId="17224"/>
    <cellStyle name="40% - 강조색4 8 3 3 3" xfId="17225"/>
    <cellStyle name="40% - 강조색4 8 3 4" xfId="17226"/>
    <cellStyle name="40% - 강조색4 8 3 5" xfId="17227"/>
    <cellStyle name="40% - 강조색4 8 4" xfId="17228"/>
    <cellStyle name="40% - 강조색4 8 4 2" xfId="17229"/>
    <cellStyle name="40% - 강조색4 8 4 2 2" xfId="17230"/>
    <cellStyle name="40% - 강조색4 8 4 2 3" xfId="17231"/>
    <cellStyle name="40% - 강조색4 8 4 3" xfId="17232"/>
    <cellStyle name="40% - 강조색4 8 4 4" xfId="17233"/>
    <cellStyle name="40% - 강조색4 8 5" xfId="17234"/>
    <cellStyle name="40% - 강조색4 8 5 2" xfId="17235"/>
    <cellStyle name="40% - 강조색4 8 5 3" xfId="17236"/>
    <cellStyle name="40% - 강조색4 8 6" xfId="17237"/>
    <cellStyle name="40% - 강조색4 8 7" xfId="17238"/>
    <cellStyle name="40% - 강조색4 9" xfId="17239"/>
    <cellStyle name="40% - 강조색4 9 2" xfId="17240"/>
    <cellStyle name="40% - 강조색4 9 2 2" xfId="17241"/>
    <cellStyle name="40% - 강조색4 9 2 2 2" xfId="17242"/>
    <cellStyle name="40% - 강조색4 9 2 2 2 2" xfId="17243"/>
    <cellStyle name="40% - 강조색4 9 2 2 2 3" xfId="17244"/>
    <cellStyle name="40% - 강조색4 9 2 2 3" xfId="17245"/>
    <cellStyle name="40% - 강조색4 9 2 2 4" xfId="17246"/>
    <cellStyle name="40% - 강조색4 9 2 3" xfId="17247"/>
    <cellStyle name="40% - 강조색4 9 2 3 2" xfId="17248"/>
    <cellStyle name="40% - 강조색4 9 2 3 3" xfId="17249"/>
    <cellStyle name="40% - 강조색4 9 2 4" xfId="17250"/>
    <cellStyle name="40% - 강조색4 9 2 5" xfId="17251"/>
    <cellStyle name="40% - 강조색4 9 3" xfId="17252"/>
    <cellStyle name="40% - 강조색4 9 3 2" xfId="17253"/>
    <cellStyle name="40% - 강조색4 9 3 2 2" xfId="17254"/>
    <cellStyle name="40% - 강조색4 9 3 2 2 2" xfId="17255"/>
    <cellStyle name="40% - 강조색4 9 3 2 2 3" xfId="17256"/>
    <cellStyle name="40% - 강조색4 9 3 2 3" xfId="17257"/>
    <cellStyle name="40% - 강조색4 9 3 2 4" xfId="17258"/>
    <cellStyle name="40% - 강조색4 9 3 3" xfId="17259"/>
    <cellStyle name="40% - 강조색4 9 3 3 2" xfId="17260"/>
    <cellStyle name="40% - 강조색4 9 3 3 3" xfId="17261"/>
    <cellStyle name="40% - 강조색4 9 3 4" xfId="17262"/>
    <cellStyle name="40% - 강조색4 9 3 5" xfId="17263"/>
    <cellStyle name="40% - 강조색4 9 4" xfId="17264"/>
    <cellStyle name="40% - 강조색4 9 4 2" xfId="17265"/>
    <cellStyle name="40% - 강조색4 9 4 2 2" xfId="17266"/>
    <cellStyle name="40% - 강조색4 9 4 2 3" xfId="17267"/>
    <cellStyle name="40% - 강조색4 9 4 3" xfId="17268"/>
    <cellStyle name="40% - 강조색4 9 4 4" xfId="17269"/>
    <cellStyle name="40% - 강조색4 9 5" xfId="17270"/>
    <cellStyle name="40% - 강조색4 9 5 2" xfId="17271"/>
    <cellStyle name="40% - 강조색4 9 5 3" xfId="17272"/>
    <cellStyle name="40% - 강조색4 9 6" xfId="17273"/>
    <cellStyle name="40% - 강조색4 9 7" xfId="17274"/>
    <cellStyle name="40% - 강조색5 10" xfId="17275"/>
    <cellStyle name="40% - 강조색5 10 2" xfId="17276"/>
    <cellStyle name="40% - 강조색5 10 2 2" xfId="17277"/>
    <cellStyle name="40% - 강조색5 10 2 2 2" xfId="17278"/>
    <cellStyle name="40% - 강조색5 10 2 2 2 2" xfId="17279"/>
    <cellStyle name="40% - 강조색5 10 2 2 2 3" xfId="17280"/>
    <cellStyle name="40% - 강조색5 10 2 2 3" xfId="17281"/>
    <cellStyle name="40% - 강조색5 10 2 2 4" xfId="17282"/>
    <cellStyle name="40% - 강조색5 10 2 3" xfId="17283"/>
    <cellStyle name="40% - 강조색5 10 2 3 2" xfId="17284"/>
    <cellStyle name="40% - 강조색5 10 2 3 3" xfId="17285"/>
    <cellStyle name="40% - 강조색5 10 2 4" xfId="17286"/>
    <cellStyle name="40% - 강조색5 10 2 5" xfId="17287"/>
    <cellStyle name="40% - 강조색5 10 3" xfId="17288"/>
    <cellStyle name="40% - 강조색5 10 3 2" xfId="17289"/>
    <cellStyle name="40% - 강조색5 10 3 2 2" xfId="17290"/>
    <cellStyle name="40% - 강조색5 10 3 2 2 2" xfId="17291"/>
    <cellStyle name="40% - 강조색5 10 3 2 2 3" xfId="17292"/>
    <cellStyle name="40% - 강조색5 10 3 2 3" xfId="17293"/>
    <cellStyle name="40% - 강조색5 10 3 2 4" xfId="17294"/>
    <cellStyle name="40% - 강조색5 10 3 3" xfId="17295"/>
    <cellStyle name="40% - 강조색5 10 3 3 2" xfId="17296"/>
    <cellStyle name="40% - 강조색5 10 3 3 3" xfId="17297"/>
    <cellStyle name="40% - 강조색5 10 3 4" xfId="17298"/>
    <cellStyle name="40% - 강조색5 10 3 5" xfId="17299"/>
    <cellStyle name="40% - 강조색5 10 4" xfId="17300"/>
    <cellStyle name="40% - 강조색5 10 4 2" xfId="17301"/>
    <cellStyle name="40% - 강조색5 10 4 2 2" xfId="17302"/>
    <cellStyle name="40% - 강조색5 10 4 2 3" xfId="17303"/>
    <cellStyle name="40% - 강조색5 10 4 3" xfId="17304"/>
    <cellStyle name="40% - 강조색5 10 4 4" xfId="17305"/>
    <cellStyle name="40% - 강조색5 10 5" xfId="17306"/>
    <cellStyle name="40% - 강조색5 10 5 2" xfId="17307"/>
    <cellStyle name="40% - 강조색5 10 5 3" xfId="17308"/>
    <cellStyle name="40% - 강조색5 10 6" xfId="17309"/>
    <cellStyle name="40% - 강조색5 10 7" xfId="17310"/>
    <cellStyle name="40% - 강조색5 11" xfId="17311"/>
    <cellStyle name="40% - 강조색5 11 2" xfId="17312"/>
    <cellStyle name="40% - 강조색5 11 2 2" xfId="17313"/>
    <cellStyle name="40% - 강조색5 11 2 2 2" xfId="17314"/>
    <cellStyle name="40% - 강조색5 11 2 2 3" xfId="17315"/>
    <cellStyle name="40% - 강조색5 11 2 3" xfId="17316"/>
    <cellStyle name="40% - 강조색5 11 2 4" xfId="17317"/>
    <cellStyle name="40% - 강조색5 11 3" xfId="17318"/>
    <cellStyle name="40% - 강조색5 11 3 2" xfId="17319"/>
    <cellStyle name="40% - 강조색5 11 3 3" xfId="17320"/>
    <cellStyle name="40% - 강조색5 11 4" xfId="17321"/>
    <cellStyle name="40% - 강조색5 11 5" xfId="17322"/>
    <cellStyle name="40% - 강조색5 12" xfId="17323"/>
    <cellStyle name="40% - 강조색5 12 2" xfId="17324"/>
    <cellStyle name="40% - 강조색5 12 2 2" xfId="17325"/>
    <cellStyle name="40% - 강조색5 12 2 2 2" xfId="17326"/>
    <cellStyle name="40% - 강조색5 12 2 2 3" xfId="17327"/>
    <cellStyle name="40% - 강조색5 12 2 3" xfId="17328"/>
    <cellStyle name="40% - 강조색5 12 2 4" xfId="17329"/>
    <cellStyle name="40% - 강조색5 12 3" xfId="17330"/>
    <cellStyle name="40% - 강조색5 12 3 2" xfId="17331"/>
    <cellStyle name="40% - 강조색5 12 3 3" xfId="17332"/>
    <cellStyle name="40% - 강조색5 12 4" xfId="17333"/>
    <cellStyle name="40% - 강조색5 12 5" xfId="17334"/>
    <cellStyle name="40% - 강조색5 13" xfId="17335"/>
    <cellStyle name="40% - 강조색5 13 2" xfId="17336"/>
    <cellStyle name="40% - 강조색5 13 2 2" xfId="17337"/>
    <cellStyle name="40% - 강조색5 13 2 3" xfId="17338"/>
    <cellStyle name="40% - 강조색5 13 3" xfId="17339"/>
    <cellStyle name="40% - 강조색5 13 4" xfId="17340"/>
    <cellStyle name="40% - 강조색5 14" xfId="17341"/>
    <cellStyle name="40% - 강조색5 14 2" xfId="17342"/>
    <cellStyle name="40% - 강조색5 14 2 2" xfId="17343"/>
    <cellStyle name="40% - 강조색5 14 2 3" xfId="17344"/>
    <cellStyle name="40% - 강조색5 14 3" xfId="17345"/>
    <cellStyle name="40% - 강조색5 14 4" xfId="17346"/>
    <cellStyle name="40% - 강조색5 15" xfId="17347"/>
    <cellStyle name="40% - 강조색5 15 2" xfId="17348"/>
    <cellStyle name="40% - 강조색5 15 3" xfId="17349"/>
    <cellStyle name="40% - 강조색5 16" xfId="17350"/>
    <cellStyle name="40% - 강조색5 16 2" xfId="17351"/>
    <cellStyle name="40% - 강조색5 16 3" xfId="17352"/>
    <cellStyle name="40% - 강조색5 16 4" xfId="17353"/>
    <cellStyle name="40% - 강조색5 17" xfId="17354"/>
    <cellStyle name="40% - 강조색5 17 2" xfId="17355"/>
    <cellStyle name="40% - 강조색5 17 3" xfId="17356"/>
    <cellStyle name="40% - 강조색5 18" xfId="17357"/>
    <cellStyle name="40% - 강조색5 18 2" xfId="17358"/>
    <cellStyle name="40% - 강조색5 18 3" xfId="17359"/>
    <cellStyle name="40% - 강조색5 19" xfId="17360"/>
    <cellStyle name="40% - 강조색5 19 2" xfId="17361"/>
    <cellStyle name="40% - 강조색5 19 3" xfId="17362"/>
    <cellStyle name="40% - 강조색5 2" xfId="17363"/>
    <cellStyle name="40% - 강조색5 2 2" xfId="17364"/>
    <cellStyle name="40% - 강조색5 2 2 2" xfId="17365"/>
    <cellStyle name="40% - 강조색5 2 2 2 2" xfId="17366"/>
    <cellStyle name="40% - 강조색5 2 2 3" xfId="17367"/>
    <cellStyle name="40% - 강조색5 2 3" xfId="17368"/>
    <cellStyle name="40% - 강조색5 2 3 2" xfId="17369"/>
    <cellStyle name="40% - 강조색5 2 3 2 2" xfId="17370"/>
    <cellStyle name="40% - 강조색5 2 3 3" xfId="17371"/>
    <cellStyle name="40% - 강조색5 2 4" xfId="17372"/>
    <cellStyle name="40% - 강조색5 2 4 2" xfId="17373"/>
    <cellStyle name="40% - 강조색5 2 5" xfId="17374"/>
    <cellStyle name="40% - 강조색5 2 6" xfId="17375"/>
    <cellStyle name="40% - 강조색5 20" xfId="17376"/>
    <cellStyle name="40% - 강조색5 20 2" xfId="17377"/>
    <cellStyle name="40% - 강조색5 20 3" xfId="17378"/>
    <cellStyle name="40% - 강조색5 21" xfId="17379"/>
    <cellStyle name="40% - 강조색5 21 2" xfId="17380"/>
    <cellStyle name="40% - 강조색5 21 3" xfId="17381"/>
    <cellStyle name="40% - 강조색5 22" xfId="17382"/>
    <cellStyle name="40% - 강조색5 22 2" xfId="17383"/>
    <cellStyle name="40% - 강조색5 22 3" xfId="17384"/>
    <cellStyle name="40% - 강조색5 23" xfId="17385"/>
    <cellStyle name="40% - 강조색5 23 2" xfId="17386"/>
    <cellStyle name="40% - 강조색5 23 3" xfId="17387"/>
    <cellStyle name="40% - 강조색5 24" xfId="17388"/>
    <cellStyle name="40% - 강조색5 24 2" xfId="17389"/>
    <cellStyle name="40% - 강조색5 25" xfId="17390"/>
    <cellStyle name="40% - 강조색5 25 2" xfId="17391"/>
    <cellStyle name="40% - 강조색5 26" xfId="17392"/>
    <cellStyle name="40% - 강조색5 26 2" xfId="17393"/>
    <cellStyle name="40% - 강조색5 27" xfId="17394"/>
    <cellStyle name="40% - 강조색5 27 2" xfId="17395"/>
    <cellStyle name="40% - 강조색5 28" xfId="17396"/>
    <cellStyle name="40% - 강조색5 28 2" xfId="17397"/>
    <cellStyle name="40% - 강조색5 29" xfId="17398"/>
    <cellStyle name="40% - 강조색5 29 2" xfId="17399"/>
    <cellStyle name="40% - 강조색5 3" xfId="17400"/>
    <cellStyle name="40% - 강조색5 3 10" xfId="17401"/>
    <cellStyle name="40% - 강조색5 3 10 2" xfId="17402"/>
    <cellStyle name="40% - 강조색5 3 10 2 2" xfId="17403"/>
    <cellStyle name="40% - 강조색5 3 10 2 3" xfId="17404"/>
    <cellStyle name="40% - 강조색5 3 10 3" xfId="17405"/>
    <cellStyle name="40% - 강조색5 3 10 4" xfId="17406"/>
    <cellStyle name="40% - 강조색5 3 11" xfId="17407"/>
    <cellStyle name="40% - 강조색5 3 11 2" xfId="17408"/>
    <cellStyle name="40% - 강조색5 3 11 3" xfId="17409"/>
    <cellStyle name="40% - 강조색5 3 12" xfId="17410"/>
    <cellStyle name="40% - 강조색5 3 13" xfId="17411"/>
    <cellStyle name="40% - 강조색5 3 14" xfId="17412"/>
    <cellStyle name="40% - 강조색5 3 15" xfId="17413"/>
    <cellStyle name="40% - 강조색5 3 2" xfId="17414"/>
    <cellStyle name="40% - 강조색5 3 2 10" xfId="17415"/>
    <cellStyle name="40% - 강조색5 3 2 11" xfId="17416"/>
    <cellStyle name="40% - 강조색5 3 2 12" xfId="17417"/>
    <cellStyle name="40% - 강조색5 3 2 2" xfId="17418"/>
    <cellStyle name="40% - 강조색5 3 2 2 2" xfId="17419"/>
    <cellStyle name="40% - 강조색5 3 2 2 2 2" xfId="17420"/>
    <cellStyle name="40% - 강조색5 3 2 2 2 2 2" xfId="17421"/>
    <cellStyle name="40% - 강조색5 3 2 2 2 2 2 2" xfId="17422"/>
    <cellStyle name="40% - 강조색5 3 2 2 2 2 2 3" xfId="17423"/>
    <cellStyle name="40% - 강조색5 3 2 2 2 2 3" xfId="17424"/>
    <cellStyle name="40% - 강조색5 3 2 2 2 2 4" xfId="17425"/>
    <cellStyle name="40% - 강조색5 3 2 2 2 3" xfId="17426"/>
    <cellStyle name="40% - 강조색5 3 2 2 2 3 2" xfId="17427"/>
    <cellStyle name="40% - 강조색5 3 2 2 2 3 3" xfId="17428"/>
    <cellStyle name="40% - 강조색5 3 2 2 2 4" xfId="17429"/>
    <cellStyle name="40% - 강조색5 3 2 2 2 5" xfId="17430"/>
    <cellStyle name="40% - 강조색5 3 2 2 3" xfId="17431"/>
    <cellStyle name="40% - 강조색5 3 2 2 3 2" xfId="17432"/>
    <cellStyle name="40% - 강조색5 3 2 2 3 2 2" xfId="17433"/>
    <cellStyle name="40% - 강조색5 3 2 2 3 2 2 2" xfId="17434"/>
    <cellStyle name="40% - 강조색5 3 2 2 3 2 2 3" xfId="17435"/>
    <cellStyle name="40% - 강조색5 3 2 2 3 2 3" xfId="17436"/>
    <cellStyle name="40% - 강조색5 3 2 2 3 2 4" xfId="17437"/>
    <cellStyle name="40% - 강조색5 3 2 2 3 3" xfId="17438"/>
    <cellStyle name="40% - 강조색5 3 2 2 3 3 2" xfId="17439"/>
    <cellStyle name="40% - 강조색5 3 2 2 3 3 3" xfId="17440"/>
    <cellStyle name="40% - 강조색5 3 2 2 3 4" xfId="17441"/>
    <cellStyle name="40% - 강조색5 3 2 2 3 5" xfId="17442"/>
    <cellStyle name="40% - 강조색5 3 2 2 4" xfId="17443"/>
    <cellStyle name="40% - 강조색5 3 2 2 4 2" xfId="17444"/>
    <cellStyle name="40% - 강조색5 3 2 2 4 2 2" xfId="17445"/>
    <cellStyle name="40% - 강조색5 3 2 2 4 2 3" xfId="17446"/>
    <cellStyle name="40% - 강조색5 3 2 2 4 3" xfId="17447"/>
    <cellStyle name="40% - 강조색5 3 2 2 4 4" xfId="17448"/>
    <cellStyle name="40% - 강조색5 3 2 2 5" xfId="17449"/>
    <cellStyle name="40% - 강조색5 3 2 2 5 2" xfId="17450"/>
    <cellStyle name="40% - 강조색5 3 2 2 5 3" xfId="17451"/>
    <cellStyle name="40% - 강조색5 3 2 2 6" xfId="17452"/>
    <cellStyle name="40% - 강조색5 3 2 2 7" xfId="17453"/>
    <cellStyle name="40% - 강조색5 3 2 2 8" xfId="17454"/>
    <cellStyle name="40% - 강조색5 3 2 2 9" xfId="17455"/>
    <cellStyle name="40% - 강조색5 3 2 3" xfId="17456"/>
    <cellStyle name="40% - 강조색5 3 2 3 2" xfId="17457"/>
    <cellStyle name="40% - 강조색5 3 2 3 2 2" xfId="17458"/>
    <cellStyle name="40% - 강조색5 3 2 3 2 2 2" xfId="17459"/>
    <cellStyle name="40% - 강조색5 3 2 3 2 2 2 2" xfId="17460"/>
    <cellStyle name="40% - 강조색5 3 2 3 2 2 2 3" xfId="17461"/>
    <cellStyle name="40% - 강조색5 3 2 3 2 2 3" xfId="17462"/>
    <cellStyle name="40% - 강조색5 3 2 3 2 2 4" xfId="17463"/>
    <cellStyle name="40% - 강조색5 3 2 3 2 3" xfId="17464"/>
    <cellStyle name="40% - 강조색5 3 2 3 2 3 2" xfId="17465"/>
    <cellStyle name="40% - 강조색5 3 2 3 2 3 3" xfId="17466"/>
    <cellStyle name="40% - 강조색5 3 2 3 2 4" xfId="17467"/>
    <cellStyle name="40% - 강조색5 3 2 3 2 5" xfId="17468"/>
    <cellStyle name="40% - 강조색5 3 2 3 3" xfId="17469"/>
    <cellStyle name="40% - 강조색5 3 2 3 3 2" xfId="17470"/>
    <cellStyle name="40% - 강조색5 3 2 3 3 2 2" xfId="17471"/>
    <cellStyle name="40% - 강조색5 3 2 3 3 2 2 2" xfId="17472"/>
    <cellStyle name="40% - 강조색5 3 2 3 3 2 2 3" xfId="17473"/>
    <cellStyle name="40% - 강조색5 3 2 3 3 2 3" xfId="17474"/>
    <cellStyle name="40% - 강조색5 3 2 3 3 2 4" xfId="17475"/>
    <cellStyle name="40% - 강조색5 3 2 3 3 3" xfId="17476"/>
    <cellStyle name="40% - 강조색5 3 2 3 3 3 2" xfId="17477"/>
    <cellStyle name="40% - 강조색5 3 2 3 3 3 3" xfId="17478"/>
    <cellStyle name="40% - 강조색5 3 2 3 3 4" xfId="17479"/>
    <cellStyle name="40% - 강조색5 3 2 3 3 5" xfId="17480"/>
    <cellStyle name="40% - 강조색5 3 2 3 4" xfId="17481"/>
    <cellStyle name="40% - 강조색5 3 2 3 4 2" xfId="17482"/>
    <cellStyle name="40% - 강조색5 3 2 3 4 2 2" xfId="17483"/>
    <cellStyle name="40% - 강조색5 3 2 3 4 2 3" xfId="17484"/>
    <cellStyle name="40% - 강조색5 3 2 3 4 3" xfId="17485"/>
    <cellStyle name="40% - 강조색5 3 2 3 4 4" xfId="17486"/>
    <cellStyle name="40% - 강조색5 3 2 3 5" xfId="17487"/>
    <cellStyle name="40% - 강조색5 3 2 3 5 2" xfId="17488"/>
    <cellStyle name="40% - 강조색5 3 2 3 5 3" xfId="17489"/>
    <cellStyle name="40% - 강조색5 3 2 3 6" xfId="17490"/>
    <cellStyle name="40% - 강조색5 3 2 3 7" xfId="17491"/>
    <cellStyle name="40% - 강조색5 3 2 4" xfId="17492"/>
    <cellStyle name="40% - 강조색5 3 2 4 2" xfId="17493"/>
    <cellStyle name="40% - 강조색5 3 2 4 2 2" xfId="17494"/>
    <cellStyle name="40% - 강조색5 3 2 4 2 2 2" xfId="17495"/>
    <cellStyle name="40% - 강조색5 3 2 4 2 2 3" xfId="17496"/>
    <cellStyle name="40% - 강조색5 3 2 4 2 3" xfId="17497"/>
    <cellStyle name="40% - 강조색5 3 2 4 2 4" xfId="17498"/>
    <cellStyle name="40% - 강조색5 3 2 4 3" xfId="17499"/>
    <cellStyle name="40% - 강조색5 3 2 4 3 2" xfId="17500"/>
    <cellStyle name="40% - 강조색5 3 2 4 3 3" xfId="17501"/>
    <cellStyle name="40% - 강조색5 3 2 4 4" xfId="17502"/>
    <cellStyle name="40% - 강조색5 3 2 4 5" xfId="17503"/>
    <cellStyle name="40% - 강조색5 3 2 5" xfId="17504"/>
    <cellStyle name="40% - 강조색5 3 2 5 2" xfId="17505"/>
    <cellStyle name="40% - 강조색5 3 2 5 2 2" xfId="17506"/>
    <cellStyle name="40% - 강조색5 3 2 5 2 2 2" xfId="17507"/>
    <cellStyle name="40% - 강조색5 3 2 5 2 2 3" xfId="17508"/>
    <cellStyle name="40% - 강조색5 3 2 5 2 3" xfId="17509"/>
    <cellStyle name="40% - 강조색5 3 2 5 2 4" xfId="17510"/>
    <cellStyle name="40% - 강조색5 3 2 5 3" xfId="17511"/>
    <cellStyle name="40% - 강조색5 3 2 5 3 2" xfId="17512"/>
    <cellStyle name="40% - 강조색5 3 2 5 3 3" xfId="17513"/>
    <cellStyle name="40% - 강조색5 3 2 5 4" xfId="17514"/>
    <cellStyle name="40% - 강조색5 3 2 5 5" xfId="17515"/>
    <cellStyle name="40% - 강조색5 3 2 6" xfId="17516"/>
    <cellStyle name="40% - 강조색5 3 2 6 2" xfId="17517"/>
    <cellStyle name="40% - 강조색5 3 2 6 2 2" xfId="17518"/>
    <cellStyle name="40% - 강조색5 3 2 6 2 2 2" xfId="17519"/>
    <cellStyle name="40% - 강조색5 3 2 6 2 2 3" xfId="17520"/>
    <cellStyle name="40% - 강조색5 3 2 6 2 3" xfId="17521"/>
    <cellStyle name="40% - 강조색5 3 2 6 2 4" xfId="17522"/>
    <cellStyle name="40% - 강조색5 3 2 6 3" xfId="17523"/>
    <cellStyle name="40% - 강조색5 3 2 6 3 2" xfId="17524"/>
    <cellStyle name="40% - 강조색5 3 2 6 3 3" xfId="17525"/>
    <cellStyle name="40% - 강조색5 3 2 6 4" xfId="17526"/>
    <cellStyle name="40% - 강조색5 3 2 6 5" xfId="17527"/>
    <cellStyle name="40% - 강조색5 3 2 7" xfId="17528"/>
    <cellStyle name="40% - 강조색5 3 2 7 2" xfId="17529"/>
    <cellStyle name="40% - 강조색5 3 2 7 2 2" xfId="17530"/>
    <cellStyle name="40% - 강조색5 3 2 7 2 3" xfId="17531"/>
    <cellStyle name="40% - 강조색5 3 2 7 3" xfId="17532"/>
    <cellStyle name="40% - 강조색5 3 2 7 4" xfId="17533"/>
    <cellStyle name="40% - 강조색5 3 2 8" xfId="17534"/>
    <cellStyle name="40% - 강조색5 3 2 8 2" xfId="17535"/>
    <cellStyle name="40% - 강조색5 3 2 8 3" xfId="17536"/>
    <cellStyle name="40% - 강조색5 3 2 9" xfId="17537"/>
    <cellStyle name="40% - 강조색5 3 3" xfId="17538"/>
    <cellStyle name="40% - 강조색5 3 3 10" xfId="17539"/>
    <cellStyle name="40% - 강조색5 3 3 11" xfId="17540"/>
    <cellStyle name="40% - 강조색5 3 3 12" xfId="17541"/>
    <cellStyle name="40% - 강조색5 3 3 2" xfId="17542"/>
    <cellStyle name="40% - 강조색5 3 3 2 2" xfId="17543"/>
    <cellStyle name="40% - 강조색5 3 3 2 2 2" xfId="17544"/>
    <cellStyle name="40% - 강조색5 3 3 2 2 2 2" xfId="17545"/>
    <cellStyle name="40% - 강조색5 3 3 2 2 2 2 2" xfId="17546"/>
    <cellStyle name="40% - 강조색5 3 3 2 2 2 2 3" xfId="17547"/>
    <cellStyle name="40% - 강조색5 3 3 2 2 2 3" xfId="17548"/>
    <cellStyle name="40% - 강조색5 3 3 2 2 2 4" xfId="17549"/>
    <cellStyle name="40% - 강조색5 3 3 2 2 3" xfId="17550"/>
    <cellStyle name="40% - 강조색5 3 3 2 2 3 2" xfId="17551"/>
    <cellStyle name="40% - 강조색5 3 3 2 2 3 3" xfId="17552"/>
    <cellStyle name="40% - 강조색5 3 3 2 2 4" xfId="17553"/>
    <cellStyle name="40% - 강조색5 3 3 2 2 5" xfId="17554"/>
    <cellStyle name="40% - 강조색5 3 3 2 3" xfId="17555"/>
    <cellStyle name="40% - 강조색5 3 3 2 3 2" xfId="17556"/>
    <cellStyle name="40% - 강조색5 3 3 2 3 2 2" xfId="17557"/>
    <cellStyle name="40% - 강조색5 3 3 2 3 2 2 2" xfId="17558"/>
    <cellStyle name="40% - 강조색5 3 3 2 3 2 2 3" xfId="17559"/>
    <cellStyle name="40% - 강조색5 3 3 2 3 2 3" xfId="17560"/>
    <cellStyle name="40% - 강조색5 3 3 2 3 2 4" xfId="17561"/>
    <cellStyle name="40% - 강조색5 3 3 2 3 3" xfId="17562"/>
    <cellStyle name="40% - 강조색5 3 3 2 3 3 2" xfId="17563"/>
    <cellStyle name="40% - 강조색5 3 3 2 3 3 3" xfId="17564"/>
    <cellStyle name="40% - 강조색5 3 3 2 3 4" xfId="17565"/>
    <cellStyle name="40% - 강조색5 3 3 2 3 5" xfId="17566"/>
    <cellStyle name="40% - 강조색5 3 3 2 4" xfId="17567"/>
    <cellStyle name="40% - 강조색5 3 3 2 4 2" xfId="17568"/>
    <cellStyle name="40% - 강조색5 3 3 2 4 2 2" xfId="17569"/>
    <cellStyle name="40% - 강조색5 3 3 2 4 2 3" xfId="17570"/>
    <cellStyle name="40% - 강조색5 3 3 2 4 3" xfId="17571"/>
    <cellStyle name="40% - 강조색5 3 3 2 4 4" xfId="17572"/>
    <cellStyle name="40% - 강조색5 3 3 2 5" xfId="17573"/>
    <cellStyle name="40% - 강조색5 3 3 2 5 2" xfId="17574"/>
    <cellStyle name="40% - 강조색5 3 3 2 5 3" xfId="17575"/>
    <cellStyle name="40% - 강조색5 3 3 2 6" xfId="17576"/>
    <cellStyle name="40% - 강조색5 3 3 2 7" xfId="17577"/>
    <cellStyle name="40% - 강조색5 3 3 2 8" xfId="17578"/>
    <cellStyle name="40% - 강조색5 3 3 2 9" xfId="17579"/>
    <cellStyle name="40% - 강조색5 3 3 3" xfId="17580"/>
    <cellStyle name="40% - 강조색5 3 3 3 2" xfId="17581"/>
    <cellStyle name="40% - 강조색5 3 3 3 2 2" xfId="17582"/>
    <cellStyle name="40% - 강조색5 3 3 3 2 2 2" xfId="17583"/>
    <cellStyle name="40% - 강조색5 3 3 3 2 2 2 2" xfId="17584"/>
    <cellStyle name="40% - 강조색5 3 3 3 2 2 2 3" xfId="17585"/>
    <cellStyle name="40% - 강조색5 3 3 3 2 2 3" xfId="17586"/>
    <cellStyle name="40% - 강조색5 3 3 3 2 2 4" xfId="17587"/>
    <cellStyle name="40% - 강조색5 3 3 3 2 3" xfId="17588"/>
    <cellStyle name="40% - 강조색5 3 3 3 2 3 2" xfId="17589"/>
    <cellStyle name="40% - 강조색5 3 3 3 2 3 3" xfId="17590"/>
    <cellStyle name="40% - 강조색5 3 3 3 2 4" xfId="17591"/>
    <cellStyle name="40% - 강조색5 3 3 3 2 5" xfId="17592"/>
    <cellStyle name="40% - 강조색5 3 3 3 3" xfId="17593"/>
    <cellStyle name="40% - 강조색5 3 3 3 3 2" xfId="17594"/>
    <cellStyle name="40% - 강조색5 3 3 3 3 2 2" xfId="17595"/>
    <cellStyle name="40% - 강조색5 3 3 3 3 2 2 2" xfId="17596"/>
    <cellStyle name="40% - 강조색5 3 3 3 3 2 2 3" xfId="17597"/>
    <cellStyle name="40% - 강조색5 3 3 3 3 2 3" xfId="17598"/>
    <cellStyle name="40% - 강조색5 3 3 3 3 2 4" xfId="17599"/>
    <cellStyle name="40% - 강조색5 3 3 3 3 3" xfId="17600"/>
    <cellStyle name="40% - 강조색5 3 3 3 3 3 2" xfId="17601"/>
    <cellStyle name="40% - 강조색5 3 3 3 3 3 3" xfId="17602"/>
    <cellStyle name="40% - 강조색5 3 3 3 3 4" xfId="17603"/>
    <cellStyle name="40% - 강조색5 3 3 3 3 5" xfId="17604"/>
    <cellStyle name="40% - 강조색5 3 3 3 4" xfId="17605"/>
    <cellStyle name="40% - 강조색5 3 3 3 4 2" xfId="17606"/>
    <cellStyle name="40% - 강조색5 3 3 3 4 2 2" xfId="17607"/>
    <cellStyle name="40% - 강조색5 3 3 3 4 2 3" xfId="17608"/>
    <cellStyle name="40% - 강조색5 3 3 3 4 3" xfId="17609"/>
    <cellStyle name="40% - 강조색5 3 3 3 4 4" xfId="17610"/>
    <cellStyle name="40% - 강조색5 3 3 3 5" xfId="17611"/>
    <cellStyle name="40% - 강조색5 3 3 3 5 2" xfId="17612"/>
    <cellStyle name="40% - 강조색5 3 3 3 5 3" xfId="17613"/>
    <cellStyle name="40% - 강조색5 3 3 3 6" xfId="17614"/>
    <cellStyle name="40% - 강조색5 3 3 3 7" xfId="17615"/>
    <cellStyle name="40% - 강조색5 3 3 4" xfId="17616"/>
    <cellStyle name="40% - 강조색5 3 3 4 2" xfId="17617"/>
    <cellStyle name="40% - 강조색5 3 3 4 2 2" xfId="17618"/>
    <cellStyle name="40% - 강조색5 3 3 4 2 2 2" xfId="17619"/>
    <cellStyle name="40% - 강조색5 3 3 4 2 2 3" xfId="17620"/>
    <cellStyle name="40% - 강조색5 3 3 4 2 3" xfId="17621"/>
    <cellStyle name="40% - 강조색5 3 3 4 2 4" xfId="17622"/>
    <cellStyle name="40% - 강조색5 3 3 4 3" xfId="17623"/>
    <cellStyle name="40% - 강조색5 3 3 4 3 2" xfId="17624"/>
    <cellStyle name="40% - 강조색5 3 3 4 3 3" xfId="17625"/>
    <cellStyle name="40% - 강조색5 3 3 4 4" xfId="17626"/>
    <cellStyle name="40% - 강조색5 3 3 4 5" xfId="17627"/>
    <cellStyle name="40% - 강조색5 3 3 5" xfId="17628"/>
    <cellStyle name="40% - 강조색5 3 3 5 2" xfId="17629"/>
    <cellStyle name="40% - 강조색5 3 3 5 2 2" xfId="17630"/>
    <cellStyle name="40% - 강조색5 3 3 5 2 2 2" xfId="17631"/>
    <cellStyle name="40% - 강조색5 3 3 5 2 2 3" xfId="17632"/>
    <cellStyle name="40% - 강조색5 3 3 5 2 3" xfId="17633"/>
    <cellStyle name="40% - 강조색5 3 3 5 2 4" xfId="17634"/>
    <cellStyle name="40% - 강조색5 3 3 5 3" xfId="17635"/>
    <cellStyle name="40% - 강조색5 3 3 5 3 2" xfId="17636"/>
    <cellStyle name="40% - 강조색5 3 3 5 3 3" xfId="17637"/>
    <cellStyle name="40% - 강조색5 3 3 5 4" xfId="17638"/>
    <cellStyle name="40% - 강조색5 3 3 5 5" xfId="17639"/>
    <cellStyle name="40% - 강조색5 3 3 6" xfId="17640"/>
    <cellStyle name="40% - 강조색5 3 3 6 2" xfId="17641"/>
    <cellStyle name="40% - 강조색5 3 3 6 2 2" xfId="17642"/>
    <cellStyle name="40% - 강조색5 3 3 6 2 2 2" xfId="17643"/>
    <cellStyle name="40% - 강조색5 3 3 6 2 2 3" xfId="17644"/>
    <cellStyle name="40% - 강조색5 3 3 6 2 3" xfId="17645"/>
    <cellStyle name="40% - 강조색5 3 3 6 2 4" xfId="17646"/>
    <cellStyle name="40% - 강조색5 3 3 6 3" xfId="17647"/>
    <cellStyle name="40% - 강조색5 3 3 6 3 2" xfId="17648"/>
    <cellStyle name="40% - 강조색5 3 3 6 3 3" xfId="17649"/>
    <cellStyle name="40% - 강조색5 3 3 6 4" xfId="17650"/>
    <cellStyle name="40% - 강조색5 3 3 6 5" xfId="17651"/>
    <cellStyle name="40% - 강조색5 3 3 7" xfId="17652"/>
    <cellStyle name="40% - 강조색5 3 3 7 2" xfId="17653"/>
    <cellStyle name="40% - 강조색5 3 3 7 2 2" xfId="17654"/>
    <cellStyle name="40% - 강조색5 3 3 7 2 3" xfId="17655"/>
    <cellStyle name="40% - 강조색5 3 3 7 3" xfId="17656"/>
    <cellStyle name="40% - 강조색5 3 3 7 4" xfId="17657"/>
    <cellStyle name="40% - 강조색5 3 3 8" xfId="17658"/>
    <cellStyle name="40% - 강조색5 3 3 8 2" xfId="17659"/>
    <cellStyle name="40% - 강조색5 3 3 8 3" xfId="17660"/>
    <cellStyle name="40% - 강조색5 3 3 9" xfId="17661"/>
    <cellStyle name="40% - 강조색5 3 4" xfId="17662"/>
    <cellStyle name="40% - 강조색5 3 4 10" xfId="17663"/>
    <cellStyle name="40% - 강조색5 3 4 11" xfId="17664"/>
    <cellStyle name="40% - 강조색5 3 4 12" xfId="17665"/>
    <cellStyle name="40% - 강조색5 3 4 2" xfId="17666"/>
    <cellStyle name="40% - 강조색5 3 4 2 2" xfId="17667"/>
    <cellStyle name="40% - 강조색5 3 4 2 2 2" xfId="17668"/>
    <cellStyle name="40% - 강조색5 3 4 2 2 2 2" xfId="17669"/>
    <cellStyle name="40% - 강조색5 3 4 2 2 2 2 2" xfId="17670"/>
    <cellStyle name="40% - 강조색5 3 4 2 2 2 2 3" xfId="17671"/>
    <cellStyle name="40% - 강조색5 3 4 2 2 2 3" xfId="17672"/>
    <cellStyle name="40% - 강조색5 3 4 2 2 2 4" xfId="17673"/>
    <cellStyle name="40% - 강조색5 3 4 2 2 3" xfId="17674"/>
    <cellStyle name="40% - 강조색5 3 4 2 2 3 2" xfId="17675"/>
    <cellStyle name="40% - 강조색5 3 4 2 2 3 3" xfId="17676"/>
    <cellStyle name="40% - 강조색5 3 4 2 2 4" xfId="17677"/>
    <cellStyle name="40% - 강조색5 3 4 2 2 5" xfId="17678"/>
    <cellStyle name="40% - 강조색5 3 4 2 3" xfId="17679"/>
    <cellStyle name="40% - 강조색5 3 4 2 3 2" xfId="17680"/>
    <cellStyle name="40% - 강조색5 3 4 2 3 2 2" xfId="17681"/>
    <cellStyle name="40% - 강조색5 3 4 2 3 2 2 2" xfId="17682"/>
    <cellStyle name="40% - 강조색5 3 4 2 3 2 2 3" xfId="17683"/>
    <cellStyle name="40% - 강조색5 3 4 2 3 2 3" xfId="17684"/>
    <cellStyle name="40% - 강조색5 3 4 2 3 2 4" xfId="17685"/>
    <cellStyle name="40% - 강조색5 3 4 2 3 3" xfId="17686"/>
    <cellStyle name="40% - 강조색5 3 4 2 3 3 2" xfId="17687"/>
    <cellStyle name="40% - 강조색5 3 4 2 3 3 3" xfId="17688"/>
    <cellStyle name="40% - 강조색5 3 4 2 3 4" xfId="17689"/>
    <cellStyle name="40% - 강조색5 3 4 2 3 5" xfId="17690"/>
    <cellStyle name="40% - 강조색5 3 4 2 4" xfId="17691"/>
    <cellStyle name="40% - 강조색5 3 4 2 4 2" xfId="17692"/>
    <cellStyle name="40% - 강조색5 3 4 2 4 2 2" xfId="17693"/>
    <cellStyle name="40% - 강조색5 3 4 2 4 2 3" xfId="17694"/>
    <cellStyle name="40% - 강조색5 3 4 2 4 3" xfId="17695"/>
    <cellStyle name="40% - 강조색5 3 4 2 4 4" xfId="17696"/>
    <cellStyle name="40% - 강조색5 3 4 2 5" xfId="17697"/>
    <cellStyle name="40% - 강조색5 3 4 2 5 2" xfId="17698"/>
    <cellStyle name="40% - 강조색5 3 4 2 5 3" xfId="17699"/>
    <cellStyle name="40% - 강조색5 3 4 2 6" xfId="17700"/>
    <cellStyle name="40% - 강조색5 3 4 2 7" xfId="17701"/>
    <cellStyle name="40% - 강조색5 3 4 3" xfId="17702"/>
    <cellStyle name="40% - 강조색5 3 4 3 2" xfId="17703"/>
    <cellStyle name="40% - 강조색5 3 4 3 2 2" xfId="17704"/>
    <cellStyle name="40% - 강조색5 3 4 3 2 2 2" xfId="17705"/>
    <cellStyle name="40% - 강조색5 3 4 3 2 2 2 2" xfId="17706"/>
    <cellStyle name="40% - 강조색5 3 4 3 2 2 2 3" xfId="17707"/>
    <cellStyle name="40% - 강조색5 3 4 3 2 2 3" xfId="17708"/>
    <cellStyle name="40% - 강조색5 3 4 3 2 2 4" xfId="17709"/>
    <cellStyle name="40% - 강조색5 3 4 3 2 3" xfId="17710"/>
    <cellStyle name="40% - 강조색5 3 4 3 2 3 2" xfId="17711"/>
    <cellStyle name="40% - 강조색5 3 4 3 2 3 3" xfId="17712"/>
    <cellStyle name="40% - 강조색5 3 4 3 2 4" xfId="17713"/>
    <cellStyle name="40% - 강조색5 3 4 3 2 5" xfId="17714"/>
    <cellStyle name="40% - 강조색5 3 4 3 3" xfId="17715"/>
    <cellStyle name="40% - 강조색5 3 4 3 3 2" xfId="17716"/>
    <cellStyle name="40% - 강조색5 3 4 3 3 2 2" xfId="17717"/>
    <cellStyle name="40% - 강조색5 3 4 3 3 2 2 2" xfId="17718"/>
    <cellStyle name="40% - 강조색5 3 4 3 3 2 2 3" xfId="17719"/>
    <cellStyle name="40% - 강조색5 3 4 3 3 2 3" xfId="17720"/>
    <cellStyle name="40% - 강조색5 3 4 3 3 2 4" xfId="17721"/>
    <cellStyle name="40% - 강조색5 3 4 3 3 3" xfId="17722"/>
    <cellStyle name="40% - 강조색5 3 4 3 3 3 2" xfId="17723"/>
    <cellStyle name="40% - 강조색5 3 4 3 3 3 3" xfId="17724"/>
    <cellStyle name="40% - 강조색5 3 4 3 3 4" xfId="17725"/>
    <cellStyle name="40% - 강조색5 3 4 3 3 5" xfId="17726"/>
    <cellStyle name="40% - 강조색5 3 4 3 4" xfId="17727"/>
    <cellStyle name="40% - 강조색5 3 4 3 4 2" xfId="17728"/>
    <cellStyle name="40% - 강조색5 3 4 3 4 2 2" xfId="17729"/>
    <cellStyle name="40% - 강조색5 3 4 3 4 2 3" xfId="17730"/>
    <cellStyle name="40% - 강조색5 3 4 3 4 3" xfId="17731"/>
    <cellStyle name="40% - 강조색5 3 4 3 4 4" xfId="17732"/>
    <cellStyle name="40% - 강조색5 3 4 3 5" xfId="17733"/>
    <cellStyle name="40% - 강조색5 3 4 3 5 2" xfId="17734"/>
    <cellStyle name="40% - 강조색5 3 4 3 5 3" xfId="17735"/>
    <cellStyle name="40% - 강조색5 3 4 3 6" xfId="17736"/>
    <cellStyle name="40% - 강조색5 3 4 3 7" xfId="17737"/>
    <cellStyle name="40% - 강조색5 3 4 4" xfId="17738"/>
    <cellStyle name="40% - 강조색5 3 4 4 2" xfId="17739"/>
    <cellStyle name="40% - 강조색5 3 4 4 2 2" xfId="17740"/>
    <cellStyle name="40% - 강조색5 3 4 4 2 2 2" xfId="17741"/>
    <cellStyle name="40% - 강조색5 3 4 4 2 2 3" xfId="17742"/>
    <cellStyle name="40% - 강조색5 3 4 4 2 3" xfId="17743"/>
    <cellStyle name="40% - 강조색5 3 4 4 2 4" xfId="17744"/>
    <cellStyle name="40% - 강조색5 3 4 4 3" xfId="17745"/>
    <cellStyle name="40% - 강조색5 3 4 4 3 2" xfId="17746"/>
    <cellStyle name="40% - 강조색5 3 4 4 3 3" xfId="17747"/>
    <cellStyle name="40% - 강조색5 3 4 4 4" xfId="17748"/>
    <cellStyle name="40% - 강조색5 3 4 4 5" xfId="17749"/>
    <cellStyle name="40% - 강조색5 3 4 5" xfId="17750"/>
    <cellStyle name="40% - 강조색5 3 4 5 2" xfId="17751"/>
    <cellStyle name="40% - 강조색5 3 4 5 2 2" xfId="17752"/>
    <cellStyle name="40% - 강조색5 3 4 5 2 2 2" xfId="17753"/>
    <cellStyle name="40% - 강조색5 3 4 5 2 2 3" xfId="17754"/>
    <cellStyle name="40% - 강조색5 3 4 5 2 3" xfId="17755"/>
    <cellStyle name="40% - 강조색5 3 4 5 2 4" xfId="17756"/>
    <cellStyle name="40% - 강조색5 3 4 5 3" xfId="17757"/>
    <cellStyle name="40% - 강조색5 3 4 5 3 2" xfId="17758"/>
    <cellStyle name="40% - 강조색5 3 4 5 3 3" xfId="17759"/>
    <cellStyle name="40% - 강조색5 3 4 5 4" xfId="17760"/>
    <cellStyle name="40% - 강조색5 3 4 5 5" xfId="17761"/>
    <cellStyle name="40% - 강조색5 3 4 6" xfId="17762"/>
    <cellStyle name="40% - 강조색5 3 4 6 2" xfId="17763"/>
    <cellStyle name="40% - 강조색5 3 4 6 2 2" xfId="17764"/>
    <cellStyle name="40% - 강조색5 3 4 6 2 2 2" xfId="17765"/>
    <cellStyle name="40% - 강조색5 3 4 6 2 2 3" xfId="17766"/>
    <cellStyle name="40% - 강조색5 3 4 6 2 3" xfId="17767"/>
    <cellStyle name="40% - 강조색5 3 4 6 2 4" xfId="17768"/>
    <cellStyle name="40% - 강조색5 3 4 6 3" xfId="17769"/>
    <cellStyle name="40% - 강조색5 3 4 6 3 2" xfId="17770"/>
    <cellStyle name="40% - 강조색5 3 4 6 3 3" xfId="17771"/>
    <cellStyle name="40% - 강조색5 3 4 6 4" xfId="17772"/>
    <cellStyle name="40% - 강조색5 3 4 6 5" xfId="17773"/>
    <cellStyle name="40% - 강조색5 3 4 7" xfId="17774"/>
    <cellStyle name="40% - 강조색5 3 4 7 2" xfId="17775"/>
    <cellStyle name="40% - 강조색5 3 4 7 2 2" xfId="17776"/>
    <cellStyle name="40% - 강조색5 3 4 7 2 3" xfId="17777"/>
    <cellStyle name="40% - 강조색5 3 4 7 3" xfId="17778"/>
    <cellStyle name="40% - 강조색5 3 4 7 4" xfId="17779"/>
    <cellStyle name="40% - 강조색5 3 4 8" xfId="17780"/>
    <cellStyle name="40% - 강조색5 3 4 8 2" xfId="17781"/>
    <cellStyle name="40% - 강조색5 3 4 8 3" xfId="17782"/>
    <cellStyle name="40% - 강조색5 3 4 9" xfId="17783"/>
    <cellStyle name="40% - 강조색5 3 5" xfId="17784"/>
    <cellStyle name="40% - 강조색5 3 5 2" xfId="17785"/>
    <cellStyle name="40% - 강조색5 3 5 2 2" xfId="17786"/>
    <cellStyle name="40% - 강조색5 3 5 2 2 2" xfId="17787"/>
    <cellStyle name="40% - 강조색5 3 5 2 2 2 2" xfId="17788"/>
    <cellStyle name="40% - 강조색5 3 5 2 2 2 3" xfId="17789"/>
    <cellStyle name="40% - 강조색5 3 5 2 2 3" xfId="17790"/>
    <cellStyle name="40% - 강조색5 3 5 2 2 4" xfId="17791"/>
    <cellStyle name="40% - 강조색5 3 5 2 3" xfId="17792"/>
    <cellStyle name="40% - 강조색5 3 5 2 3 2" xfId="17793"/>
    <cellStyle name="40% - 강조색5 3 5 2 3 3" xfId="17794"/>
    <cellStyle name="40% - 강조색5 3 5 2 4" xfId="17795"/>
    <cellStyle name="40% - 강조색5 3 5 2 5" xfId="17796"/>
    <cellStyle name="40% - 강조색5 3 5 3" xfId="17797"/>
    <cellStyle name="40% - 강조색5 3 5 3 2" xfId="17798"/>
    <cellStyle name="40% - 강조색5 3 5 3 2 2" xfId="17799"/>
    <cellStyle name="40% - 강조색5 3 5 3 2 2 2" xfId="17800"/>
    <cellStyle name="40% - 강조색5 3 5 3 2 2 3" xfId="17801"/>
    <cellStyle name="40% - 강조색5 3 5 3 2 3" xfId="17802"/>
    <cellStyle name="40% - 강조색5 3 5 3 2 4" xfId="17803"/>
    <cellStyle name="40% - 강조색5 3 5 3 3" xfId="17804"/>
    <cellStyle name="40% - 강조색5 3 5 3 3 2" xfId="17805"/>
    <cellStyle name="40% - 강조색5 3 5 3 3 3" xfId="17806"/>
    <cellStyle name="40% - 강조색5 3 5 3 4" xfId="17807"/>
    <cellStyle name="40% - 강조색5 3 5 3 5" xfId="17808"/>
    <cellStyle name="40% - 강조색5 3 5 4" xfId="17809"/>
    <cellStyle name="40% - 강조색5 3 5 4 2" xfId="17810"/>
    <cellStyle name="40% - 강조색5 3 5 4 2 2" xfId="17811"/>
    <cellStyle name="40% - 강조색5 3 5 4 2 3" xfId="17812"/>
    <cellStyle name="40% - 강조색5 3 5 4 3" xfId="17813"/>
    <cellStyle name="40% - 강조색5 3 5 4 4" xfId="17814"/>
    <cellStyle name="40% - 강조색5 3 5 5" xfId="17815"/>
    <cellStyle name="40% - 강조색5 3 5 5 2" xfId="17816"/>
    <cellStyle name="40% - 강조색5 3 5 5 3" xfId="17817"/>
    <cellStyle name="40% - 강조색5 3 5 6" xfId="17818"/>
    <cellStyle name="40% - 강조색5 3 5 7" xfId="17819"/>
    <cellStyle name="40% - 강조색5 3 5 8" xfId="17820"/>
    <cellStyle name="40% - 강조색5 3 6" xfId="17821"/>
    <cellStyle name="40% - 강조색5 3 6 2" xfId="17822"/>
    <cellStyle name="40% - 강조색5 3 6 2 2" xfId="17823"/>
    <cellStyle name="40% - 강조색5 3 6 2 2 2" xfId="17824"/>
    <cellStyle name="40% - 강조색5 3 6 2 2 2 2" xfId="17825"/>
    <cellStyle name="40% - 강조색5 3 6 2 2 2 3" xfId="17826"/>
    <cellStyle name="40% - 강조색5 3 6 2 2 3" xfId="17827"/>
    <cellStyle name="40% - 강조색5 3 6 2 2 4" xfId="17828"/>
    <cellStyle name="40% - 강조색5 3 6 2 3" xfId="17829"/>
    <cellStyle name="40% - 강조색5 3 6 2 3 2" xfId="17830"/>
    <cellStyle name="40% - 강조색5 3 6 2 3 3" xfId="17831"/>
    <cellStyle name="40% - 강조색5 3 6 2 4" xfId="17832"/>
    <cellStyle name="40% - 강조색5 3 6 2 5" xfId="17833"/>
    <cellStyle name="40% - 강조색5 3 6 3" xfId="17834"/>
    <cellStyle name="40% - 강조색5 3 6 3 2" xfId="17835"/>
    <cellStyle name="40% - 강조색5 3 6 3 2 2" xfId="17836"/>
    <cellStyle name="40% - 강조색5 3 6 3 2 2 2" xfId="17837"/>
    <cellStyle name="40% - 강조색5 3 6 3 2 2 3" xfId="17838"/>
    <cellStyle name="40% - 강조색5 3 6 3 2 3" xfId="17839"/>
    <cellStyle name="40% - 강조색5 3 6 3 2 4" xfId="17840"/>
    <cellStyle name="40% - 강조색5 3 6 3 3" xfId="17841"/>
    <cellStyle name="40% - 강조색5 3 6 3 3 2" xfId="17842"/>
    <cellStyle name="40% - 강조색5 3 6 3 3 3" xfId="17843"/>
    <cellStyle name="40% - 강조색5 3 6 3 4" xfId="17844"/>
    <cellStyle name="40% - 강조색5 3 6 3 5" xfId="17845"/>
    <cellStyle name="40% - 강조색5 3 6 4" xfId="17846"/>
    <cellStyle name="40% - 강조색5 3 6 4 2" xfId="17847"/>
    <cellStyle name="40% - 강조색5 3 6 4 2 2" xfId="17848"/>
    <cellStyle name="40% - 강조색5 3 6 4 2 3" xfId="17849"/>
    <cellStyle name="40% - 강조색5 3 6 4 3" xfId="17850"/>
    <cellStyle name="40% - 강조색5 3 6 4 4" xfId="17851"/>
    <cellStyle name="40% - 강조색5 3 6 5" xfId="17852"/>
    <cellStyle name="40% - 강조색5 3 6 5 2" xfId="17853"/>
    <cellStyle name="40% - 강조색5 3 6 5 3" xfId="17854"/>
    <cellStyle name="40% - 강조색5 3 6 6" xfId="17855"/>
    <cellStyle name="40% - 강조색5 3 6 7" xfId="17856"/>
    <cellStyle name="40% - 강조색5 3 7" xfId="17857"/>
    <cellStyle name="40% - 강조색5 3 7 2" xfId="17858"/>
    <cellStyle name="40% - 강조색5 3 7 2 2" xfId="17859"/>
    <cellStyle name="40% - 강조색5 3 7 2 2 2" xfId="17860"/>
    <cellStyle name="40% - 강조색5 3 7 2 2 3" xfId="17861"/>
    <cellStyle name="40% - 강조색5 3 7 2 3" xfId="17862"/>
    <cellStyle name="40% - 강조색5 3 7 2 4" xfId="17863"/>
    <cellStyle name="40% - 강조색5 3 7 3" xfId="17864"/>
    <cellStyle name="40% - 강조색5 3 7 3 2" xfId="17865"/>
    <cellStyle name="40% - 강조색5 3 7 3 3" xfId="17866"/>
    <cellStyle name="40% - 강조색5 3 7 4" xfId="17867"/>
    <cellStyle name="40% - 강조색5 3 7 5" xfId="17868"/>
    <cellStyle name="40% - 강조색5 3 8" xfId="17869"/>
    <cellStyle name="40% - 강조색5 3 8 2" xfId="17870"/>
    <cellStyle name="40% - 강조색5 3 8 2 2" xfId="17871"/>
    <cellStyle name="40% - 강조색5 3 8 2 2 2" xfId="17872"/>
    <cellStyle name="40% - 강조색5 3 8 2 2 3" xfId="17873"/>
    <cellStyle name="40% - 강조색5 3 8 2 3" xfId="17874"/>
    <cellStyle name="40% - 강조색5 3 8 2 4" xfId="17875"/>
    <cellStyle name="40% - 강조색5 3 8 3" xfId="17876"/>
    <cellStyle name="40% - 강조색5 3 8 3 2" xfId="17877"/>
    <cellStyle name="40% - 강조색5 3 8 3 3" xfId="17878"/>
    <cellStyle name="40% - 강조색5 3 8 4" xfId="17879"/>
    <cellStyle name="40% - 강조색5 3 8 5" xfId="17880"/>
    <cellStyle name="40% - 강조색5 3 9" xfId="17881"/>
    <cellStyle name="40% - 강조색5 3 9 2" xfId="17882"/>
    <cellStyle name="40% - 강조색5 3 9 2 2" xfId="17883"/>
    <cellStyle name="40% - 강조색5 3 9 2 2 2" xfId="17884"/>
    <cellStyle name="40% - 강조색5 3 9 2 2 3" xfId="17885"/>
    <cellStyle name="40% - 강조색5 3 9 2 3" xfId="17886"/>
    <cellStyle name="40% - 강조색5 3 9 2 4" xfId="17887"/>
    <cellStyle name="40% - 강조색5 3 9 3" xfId="17888"/>
    <cellStyle name="40% - 강조색5 3 9 3 2" xfId="17889"/>
    <cellStyle name="40% - 강조색5 3 9 3 3" xfId="17890"/>
    <cellStyle name="40% - 강조색5 3 9 4" xfId="17891"/>
    <cellStyle name="40% - 강조색5 3 9 5" xfId="17892"/>
    <cellStyle name="40% - 강조색5 30" xfId="17893"/>
    <cellStyle name="40% - 강조색5 30 2" xfId="17894"/>
    <cellStyle name="40% - 강조색5 31" xfId="17895"/>
    <cellStyle name="40% - 강조색5 31 2" xfId="17896"/>
    <cellStyle name="40% - 강조색5 32" xfId="17897"/>
    <cellStyle name="40% - 강조색5 32 2" xfId="17898"/>
    <cellStyle name="40% - 강조색5 33" xfId="17899"/>
    <cellStyle name="40% - 강조색5 33 2" xfId="17900"/>
    <cellStyle name="40% - 강조색5 34" xfId="17901"/>
    <cellStyle name="40% - 강조색5 34 2" xfId="17902"/>
    <cellStyle name="40% - 강조색5 35" xfId="17903"/>
    <cellStyle name="40% - 강조색5 36" xfId="17904"/>
    <cellStyle name="40% - 강조색5 37" xfId="17905"/>
    <cellStyle name="40% - 강조색5 38" xfId="17906"/>
    <cellStyle name="40% - 강조색5 39" xfId="17907"/>
    <cellStyle name="40% - 강조색5 4" xfId="17908"/>
    <cellStyle name="40% - 강조색5 4 10" xfId="17909"/>
    <cellStyle name="40% - 강조색5 4 10 2" xfId="17910"/>
    <cellStyle name="40% - 강조색5 4 10 2 2" xfId="17911"/>
    <cellStyle name="40% - 강조색5 4 10 2 3" xfId="17912"/>
    <cellStyle name="40% - 강조색5 4 10 3" xfId="17913"/>
    <cellStyle name="40% - 강조색5 4 10 4" xfId="17914"/>
    <cellStyle name="40% - 강조색5 4 11" xfId="17915"/>
    <cellStyle name="40% - 강조색5 4 11 2" xfId="17916"/>
    <cellStyle name="40% - 강조색5 4 11 3" xfId="17917"/>
    <cellStyle name="40% - 강조색5 4 12" xfId="17918"/>
    <cellStyle name="40% - 강조색5 4 13" xfId="17919"/>
    <cellStyle name="40% - 강조색5 4 14" xfId="17920"/>
    <cellStyle name="40% - 강조색5 4 2" xfId="17921"/>
    <cellStyle name="40% - 강조색5 4 2 10" xfId="17922"/>
    <cellStyle name="40% - 강조색5 4 2 2" xfId="17923"/>
    <cellStyle name="40% - 강조색5 4 2 2 2" xfId="17924"/>
    <cellStyle name="40% - 강조색5 4 2 2 2 2" xfId="17925"/>
    <cellStyle name="40% - 강조색5 4 2 2 2 2 2" xfId="17926"/>
    <cellStyle name="40% - 강조색5 4 2 2 2 2 2 2" xfId="17927"/>
    <cellStyle name="40% - 강조색5 4 2 2 2 2 2 3" xfId="17928"/>
    <cellStyle name="40% - 강조색5 4 2 2 2 2 3" xfId="17929"/>
    <cellStyle name="40% - 강조색5 4 2 2 2 2 4" xfId="17930"/>
    <cellStyle name="40% - 강조색5 4 2 2 2 3" xfId="17931"/>
    <cellStyle name="40% - 강조색5 4 2 2 2 3 2" xfId="17932"/>
    <cellStyle name="40% - 강조색5 4 2 2 2 3 3" xfId="17933"/>
    <cellStyle name="40% - 강조색5 4 2 2 2 4" xfId="17934"/>
    <cellStyle name="40% - 강조색5 4 2 2 2 5" xfId="17935"/>
    <cellStyle name="40% - 강조색5 4 2 2 3" xfId="17936"/>
    <cellStyle name="40% - 강조색5 4 2 2 3 2" xfId="17937"/>
    <cellStyle name="40% - 강조색5 4 2 2 3 2 2" xfId="17938"/>
    <cellStyle name="40% - 강조색5 4 2 2 3 2 2 2" xfId="17939"/>
    <cellStyle name="40% - 강조색5 4 2 2 3 2 2 3" xfId="17940"/>
    <cellStyle name="40% - 강조색5 4 2 2 3 2 3" xfId="17941"/>
    <cellStyle name="40% - 강조색5 4 2 2 3 2 4" xfId="17942"/>
    <cellStyle name="40% - 강조색5 4 2 2 3 3" xfId="17943"/>
    <cellStyle name="40% - 강조색5 4 2 2 3 3 2" xfId="17944"/>
    <cellStyle name="40% - 강조색5 4 2 2 3 3 3" xfId="17945"/>
    <cellStyle name="40% - 강조색5 4 2 2 3 4" xfId="17946"/>
    <cellStyle name="40% - 강조색5 4 2 2 3 5" xfId="17947"/>
    <cellStyle name="40% - 강조색5 4 2 2 4" xfId="17948"/>
    <cellStyle name="40% - 강조색5 4 2 2 4 2" xfId="17949"/>
    <cellStyle name="40% - 강조색5 4 2 2 4 2 2" xfId="17950"/>
    <cellStyle name="40% - 강조색5 4 2 2 4 2 3" xfId="17951"/>
    <cellStyle name="40% - 강조색5 4 2 2 4 3" xfId="17952"/>
    <cellStyle name="40% - 강조색5 4 2 2 4 4" xfId="17953"/>
    <cellStyle name="40% - 강조색5 4 2 2 5" xfId="17954"/>
    <cellStyle name="40% - 강조색5 4 2 2 5 2" xfId="17955"/>
    <cellStyle name="40% - 강조색5 4 2 2 5 3" xfId="17956"/>
    <cellStyle name="40% - 강조색5 4 2 2 6" xfId="17957"/>
    <cellStyle name="40% - 강조색5 4 2 2 7" xfId="17958"/>
    <cellStyle name="40% - 강조색5 4 2 3" xfId="17959"/>
    <cellStyle name="40% - 강조색5 4 2 3 2" xfId="17960"/>
    <cellStyle name="40% - 강조색5 4 2 3 2 2" xfId="17961"/>
    <cellStyle name="40% - 강조색5 4 2 3 2 2 2" xfId="17962"/>
    <cellStyle name="40% - 강조색5 4 2 3 2 2 2 2" xfId="17963"/>
    <cellStyle name="40% - 강조색5 4 2 3 2 2 2 3" xfId="17964"/>
    <cellStyle name="40% - 강조색5 4 2 3 2 2 3" xfId="17965"/>
    <cellStyle name="40% - 강조색5 4 2 3 2 2 4" xfId="17966"/>
    <cellStyle name="40% - 강조색5 4 2 3 2 3" xfId="17967"/>
    <cellStyle name="40% - 강조색5 4 2 3 2 3 2" xfId="17968"/>
    <cellStyle name="40% - 강조색5 4 2 3 2 3 3" xfId="17969"/>
    <cellStyle name="40% - 강조색5 4 2 3 2 4" xfId="17970"/>
    <cellStyle name="40% - 강조색5 4 2 3 2 5" xfId="17971"/>
    <cellStyle name="40% - 강조색5 4 2 3 3" xfId="17972"/>
    <cellStyle name="40% - 강조색5 4 2 3 3 2" xfId="17973"/>
    <cellStyle name="40% - 강조색5 4 2 3 3 2 2" xfId="17974"/>
    <cellStyle name="40% - 강조색5 4 2 3 3 2 2 2" xfId="17975"/>
    <cellStyle name="40% - 강조색5 4 2 3 3 2 2 3" xfId="17976"/>
    <cellStyle name="40% - 강조색5 4 2 3 3 2 3" xfId="17977"/>
    <cellStyle name="40% - 강조색5 4 2 3 3 2 4" xfId="17978"/>
    <cellStyle name="40% - 강조색5 4 2 3 3 3" xfId="17979"/>
    <cellStyle name="40% - 강조색5 4 2 3 3 3 2" xfId="17980"/>
    <cellStyle name="40% - 강조색5 4 2 3 3 3 3" xfId="17981"/>
    <cellStyle name="40% - 강조색5 4 2 3 3 4" xfId="17982"/>
    <cellStyle name="40% - 강조색5 4 2 3 3 5" xfId="17983"/>
    <cellStyle name="40% - 강조색5 4 2 3 4" xfId="17984"/>
    <cellStyle name="40% - 강조색5 4 2 3 4 2" xfId="17985"/>
    <cellStyle name="40% - 강조색5 4 2 3 4 2 2" xfId="17986"/>
    <cellStyle name="40% - 강조색5 4 2 3 4 2 3" xfId="17987"/>
    <cellStyle name="40% - 강조색5 4 2 3 4 3" xfId="17988"/>
    <cellStyle name="40% - 강조색5 4 2 3 4 4" xfId="17989"/>
    <cellStyle name="40% - 강조색5 4 2 3 5" xfId="17990"/>
    <cellStyle name="40% - 강조색5 4 2 3 5 2" xfId="17991"/>
    <cellStyle name="40% - 강조색5 4 2 3 5 3" xfId="17992"/>
    <cellStyle name="40% - 강조색5 4 2 3 6" xfId="17993"/>
    <cellStyle name="40% - 강조색5 4 2 3 7" xfId="17994"/>
    <cellStyle name="40% - 강조색5 4 2 4" xfId="17995"/>
    <cellStyle name="40% - 강조색5 4 2 4 2" xfId="17996"/>
    <cellStyle name="40% - 강조색5 4 2 4 2 2" xfId="17997"/>
    <cellStyle name="40% - 강조색5 4 2 4 2 2 2" xfId="17998"/>
    <cellStyle name="40% - 강조색5 4 2 4 2 2 3" xfId="17999"/>
    <cellStyle name="40% - 강조색5 4 2 4 2 3" xfId="18000"/>
    <cellStyle name="40% - 강조색5 4 2 4 2 4" xfId="18001"/>
    <cellStyle name="40% - 강조색5 4 2 4 3" xfId="18002"/>
    <cellStyle name="40% - 강조색5 4 2 4 3 2" xfId="18003"/>
    <cellStyle name="40% - 강조색5 4 2 4 3 3" xfId="18004"/>
    <cellStyle name="40% - 강조색5 4 2 4 4" xfId="18005"/>
    <cellStyle name="40% - 강조색5 4 2 4 5" xfId="18006"/>
    <cellStyle name="40% - 강조색5 4 2 5" xfId="18007"/>
    <cellStyle name="40% - 강조색5 4 2 5 2" xfId="18008"/>
    <cellStyle name="40% - 강조색5 4 2 5 2 2" xfId="18009"/>
    <cellStyle name="40% - 강조색5 4 2 5 2 2 2" xfId="18010"/>
    <cellStyle name="40% - 강조색5 4 2 5 2 2 3" xfId="18011"/>
    <cellStyle name="40% - 강조색5 4 2 5 2 3" xfId="18012"/>
    <cellStyle name="40% - 강조색5 4 2 5 2 4" xfId="18013"/>
    <cellStyle name="40% - 강조색5 4 2 5 3" xfId="18014"/>
    <cellStyle name="40% - 강조색5 4 2 5 3 2" xfId="18015"/>
    <cellStyle name="40% - 강조색5 4 2 5 3 3" xfId="18016"/>
    <cellStyle name="40% - 강조색5 4 2 5 4" xfId="18017"/>
    <cellStyle name="40% - 강조색5 4 2 5 5" xfId="18018"/>
    <cellStyle name="40% - 강조색5 4 2 6" xfId="18019"/>
    <cellStyle name="40% - 강조색5 4 2 6 2" xfId="18020"/>
    <cellStyle name="40% - 강조색5 4 2 6 2 2" xfId="18021"/>
    <cellStyle name="40% - 강조색5 4 2 6 2 2 2" xfId="18022"/>
    <cellStyle name="40% - 강조색5 4 2 6 2 2 3" xfId="18023"/>
    <cellStyle name="40% - 강조색5 4 2 6 2 3" xfId="18024"/>
    <cellStyle name="40% - 강조색5 4 2 6 2 4" xfId="18025"/>
    <cellStyle name="40% - 강조색5 4 2 6 3" xfId="18026"/>
    <cellStyle name="40% - 강조색5 4 2 6 3 2" xfId="18027"/>
    <cellStyle name="40% - 강조색5 4 2 6 3 3" xfId="18028"/>
    <cellStyle name="40% - 강조색5 4 2 6 4" xfId="18029"/>
    <cellStyle name="40% - 강조색5 4 2 6 5" xfId="18030"/>
    <cellStyle name="40% - 강조색5 4 2 7" xfId="18031"/>
    <cellStyle name="40% - 강조색5 4 2 7 2" xfId="18032"/>
    <cellStyle name="40% - 강조색5 4 2 7 2 2" xfId="18033"/>
    <cellStyle name="40% - 강조색5 4 2 7 2 3" xfId="18034"/>
    <cellStyle name="40% - 강조색5 4 2 7 3" xfId="18035"/>
    <cellStyle name="40% - 강조색5 4 2 7 4" xfId="18036"/>
    <cellStyle name="40% - 강조색5 4 2 8" xfId="18037"/>
    <cellStyle name="40% - 강조색5 4 2 8 2" xfId="18038"/>
    <cellStyle name="40% - 강조색5 4 2 8 3" xfId="18039"/>
    <cellStyle name="40% - 강조색5 4 2 9" xfId="18040"/>
    <cellStyle name="40% - 강조색5 4 3" xfId="18041"/>
    <cellStyle name="40% - 강조색5 4 3 10" xfId="18042"/>
    <cellStyle name="40% - 강조색5 4 3 2" xfId="18043"/>
    <cellStyle name="40% - 강조색5 4 3 2 2" xfId="18044"/>
    <cellStyle name="40% - 강조색5 4 3 2 2 2" xfId="18045"/>
    <cellStyle name="40% - 강조색5 4 3 2 2 2 2" xfId="18046"/>
    <cellStyle name="40% - 강조색5 4 3 2 2 2 2 2" xfId="18047"/>
    <cellStyle name="40% - 강조색5 4 3 2 2 2 2 3" xfId="18048"/>
    <cellStyle name="40% - 강조색5 4 3 2 2 2 3" xfId="18049"/>
    <cellStyle name="40% - 강조색5 4 3 2 2 2 4" xfId="18050"/>
    <cellStyle name="40% - 강조색5 4 3 2 2 3" xfId="18051"/>
    <cellStyle name="40% - 강조색5 4 3 2 2 3 2" xfId="18052"/>
    <cellStyle name="40% - 강조색5 4 3 2 2 3 3" xfId="18053"/>
    <cellStyle name="40% - 강조색5 4 3 2 2 4" xfId="18054"/>
    <cellStyle name="40% - 강조색5 4 3 2 2 5" xfId="18055"/>
    <cellStyle name="40% - 강조색5 4 3 2 3" xfId="18056"/>
    <cellStyle name="40% - 강조색5 4 3 2 3 2" xfId="18057"/>
    <cellStyle name="40% - 강조색5 4 3 2 3 2 2" xfId="18058"/>
    <cellStyle name="40% - 강조색5 4 3 2 3 2 2 2" xfId="18059"/>
    <cellStyle name="40% - 강조색5 4 3 2 3 2 2 3" xfId="18060"/>
    <cellStyle name="40% - 강조색5 4 3 2 3 2 3" xfId="18061"/>
    <cellStyle name="40% - 강조색5 4 3 2 3 2 4" xfId="18062"/>
    <cellStyle name="40% - 강조색5 4 3 2 3 3" xfId="18063"/>
    <cellStyle name="40% - 강조색5 4 3 2 3 3 2" xfId="18064"/>
    <cellStyle name="40% - 강조색5 4 3 2 3 3 3" xfId="18065"/>
    <cellStyle name="40% - 강조색5 4 3 2 3 4" xfId="18066"/>
    <cellStyle name="40% - 강조색5 4 3 2 3 5" xfId="18067"/>
    <cellStyle name="40% - 강조색5 4 3 2 4" xfId="18068"/>
    <cellStyle name="40% - 강조색5 4 3 2 4 2" xfId="18069"/>
    <cellStyle name="40% - 강조색5 4 3 2 4 2 2" xfId="18070"/>
    <cellStyle name="40% - 강조색5 4 3 2 4 2 3" xfId="18071"/>
    <cellStyle name="40% - 강조색5 4 3 2 4 3" xfId="18072"/>
    <cellStyle name="40% - 강조색5 4 3 2 4 4" xfId="18073"/>
    <cellStyle name="40% - 강조색5 4 3 2 5" xfId="18074"/>
    <cellStyle name="40% - 강조색5 4 3 2 5 2" xfId="18075"/>
    <cellStyle name="40% - 강조색5 4 3 2 5 3" xfId="18076"/>
    <cellStyle name="40% - 강조색5 4 3 2 6" xfId="18077"/>
    <cellStyle name="40% - 강조색5 4 3 2 7" xfId="18078"/>
    <cellStyle name="40% - 강조색5 4 3 3" xfId="18079"/>
    <cellStyle name="40% - 강조색5 4 3 3 2" xfId="18080"/>
    <cellStyle name="40% - 강조색5 4 3 3 2 2" xfId="18081"/>
    <cellStyle name="40% - 강조색5 4 3 3 2 2 2" xfId="18082"/>
    <cellStyle name="40% - 강조색5 4 3 3 2 2 2 2" xfId="18083"/>
    <cellStyle name="40% - 강조색5 4 3 3 2 2 2 3" xfId="18084"/>
    <cellStyle name="40% - 강조색5 4 3 3 2 2 3" xfId="18085"/>
    <cellStyle name="40% - 강조색5 4 3 3 2 2 4" xfId="18086"/>
    <cellStyle name="40% - 강조색5 4 3 3 2 3" xfId="18087"/>
    <cellStyle name="40% - 강조색5 4 3 3 2 3 2" xfId="18088"/>
    <cellStyle name="40% - 강조색5 4 3 3 2 3 3" xfId="18089"/>
    <cellStyle name="40% - 강조색5 4 3 3 2 4" xfId="18090"/>
    <cellStyle name="40% - 강조색5 4 3 3 2 5" xfId="18091"/>
    <cellStyle name="40% - 강조색5 4 3 3 3" xfId="18092"/>
    <cellStyle name="40% - 강조색5 4 3 3 3 2" xfId="18093"/>
    <cellStyle name="40% - 강조색5 4 3 3 3 2 2" xfId="18094"/>
    <cellStyle name="40% - 강조색5 4 3 3 3 2 2 2" xfId="18095"/>
    <cellStyle name="40% - 강조색5 4 3 3 3 2 2 3" xfId="18096"/>
    <cellStyle name="40% - 강조색5 4 3 3 3 2 3" xfId="18097"/>
    <cellStyle name="40% - 강조색5 4 3 3 3 2 4" xfId="18098"/>
    <cellStyle name="40% - 강조색5 4 3 3 3 3" xfId="18099"/>
    <cellStyle name="40% - 강조색5 4 3 3 3 3 2" xfId="18100"/>
    <cellStyle name="40% - 강조색5 4 3 3 3 3 3" xfId="18101"/>
    <cellStyle name="40% - 강조색5 4 3 3 3 4" xfId="18102"/>
    <cellStyle name="40% - 강조색5 4 3 3 3 5" xfId="18103"/>
    <cellStyle name="40% - 강조색5 4 3 3 4" xfId="18104"/>
    <cellStyle name="40% - 강조색5 4 3 3 4 2" xfId="18105"/>
    <cellStyle name="40% - 강조색5 4 3 3 4 2 2" xfId="18106"/>
    <cellStyle name="40% - 강조색5 4 3 3 4 2 3" xfId="18107"/>
    <cellStyle name="40% - 강조색5 4 3 3 4 3" xfId="18108"/>
    <cellStyle name="40% - 강조색5 4 3 3 4 4" xfId="18109"/>
    <cellStyle name="40% - 강조색5 4 3 3 5" xfId="18110"/>
    <cellStyle name="40% - 강조색5 4 3 3 5 2" xfId="18111"/>
    <cellStyle name="40% - 강조색5 4 3 3 5 3" xfId="18112"/>
    <cellStyle name="40% - 강조색5 4 3 3 6" xfId="18113"/>
    <cellStyle name="40% - 강조색5 4 3 3 7" xfId="18114"/>
    <cellStyle name="40% - 강조색5 4 3 4" xfId="18115"/>
    <cellStyle name="40% - 강조색5 4 3 4 2" xfId="18116"/>
    <cellStyle name="40% - 강조색5 4 3 4 2 2" xfId="18117"/>
    <cellStyle name="40% - 강조색5 4 3 4 2 2 2" xfId="18118"/>
    <cellStyle name="40% - 강조색5 4 3 4 2 2 3" xfId="18119"/>
    <cellStyle name="40% - 강조색5 4 3 4 2 3" xfId="18120"/>
    <cellStyle name="40% - 강조색5 4 3 4 2 4" xfId="18121"/>
    <cellStyle name="40% - 강조색5 4 3 4 3" xfId="18122"/>
    <cellStyle name="40% - 강조색5 4 3 4 3 2" xfId="18123"/>
    <cellStyle name="40% - 강조색5 4 3 4 3 3" xfId="18124"/>
    <cellStyle name="40% - 강조색5 4 3 4 4" xfId="18125"/>
    <cellStyle name="40% - 강조색5 4 3 4 5" xfId="18126"/>
    <cellStyle name="40% - 강조색5 4 3 5" xfId="18127"/>
    <cellStyle name="40% - 강조색5 4 3 5 2" xfId="18128"/>
    <cellStyle name="40% - 강조색5 4 3 5 2 2" xfId="18129"/>
    <cellStyle name="40% - 강조색5 4 3 5 2 2 2" xfId="18130"/>
    <cellStyle name="40% - 강조색5 4 3 5 2 2 3" xfId="18131"/>
    <cellStyle name="40% - 강조색5 4 3 5 2 3" xfId="18132"/>
    <cellStyle name="40% - 강조색5 4 3 5 2 4" xfId="18133"/>
    <cellStyle name="40% - 강조색5 4 3 5 3" xfId="18134"/>
    <cellStyle name="40% - 강조색5 4 3 5 3 2" xfId="18135"/>
    <cellStyle name="40% - 강조색5 4 3 5 3 3" xfId="18136"/>
    <cellStyle name="40% - 강조색5 4 3 5 4" xfId="18137"/>
    <cellStyle name="40% - 강조색5 4 3 5 5" xfId="18138"/>
    <cellStyle name="40% - 강조색5 4 3 6" xfId="18139"/>
    <cellStyle name="40% - 강조색5 4 3 6 2" xfId="18140"/>
    <cellStyle name="40% - 강조색5 4 3 6 2 2" xfId="18141"/>
    <cellStyle name="40% - 강조색5 4 3 6 2 2 2" xfId="18142"/>
    <cellStyle name="40% - 강조색5 4 3 6 2 2 3" xfId="18143"/>
    <cellStyle name="40% - 강조색5 4 3 6 2 3" xfId="18144"/>
    <cellStyle name="40% - 강조색5 4 3 6 2 4" xfId="18145"/>
    <cellStyle name="40% - 강조색5 4 3 6 3" xfId="18146"/>
    <cellStyle name="40% - 강조색5 4 3 6 3 2" xfId="18147"/>
    <cellStyle name="40% - 강조색5 4 3 6 3 3" xfId="18148"/>
    <cellStyle name="40% - 강조색5 4 3 6 4" xfId="18149"/>
    <cellStyle name="40% - 강조색5 4 3 6 5" xfId="18150"/>
    <cellStyle name="40% - 강조색5 4 3 7" xfId="18151"/>
    <cellStyle name="40% - 강조색5 4 3 7 2" xfId="18152"/>
    <cellStyle name="40% - 강조색5 4 3 7 2 2" xfId="18153"/>
    <cellStyle name="40% - 강조색5 4 3 7 2 3" xfId="18154"/>
    <cellStyle name="40% - 강조색5 4 3 7 3" xfId="18155"/>
    <cellStyle name="40% - 강조색5 4 3 7 4" xfId="18156"/>
    <cellStyle name="40% - 강조색5 4 3 8" xfId="18157"/>
    <cellStyle name="40% - 강조색5 4 3 8 2" xfId="18158"/>
    <cellStyle name="40% - 강조색5 4 3 8 3" xfId="18159"/>
    <cellStyle name="40% - 강조색5 4 3 9" xfId="18160"/>
    <cellStyle name="40% - 강조색5 4 4" xfId="18161"/>
    <cellStyle name="40% - 강조색5 4 4 10" xfId="18162"/>
    <cellStyle name="40% - 강조색5 4 4 2" xfId="18163"/>
    <cellStyle name="40% - 강조색5 4 4 2 2" xfId="18164"/>
    <cellStyle name="40% - 강조색5 4 4 2 2 2" xfId="18165"/>
    <cellStyle name="40% - 강조색5 4 4 2 2 2 2" xfId="18166"/>
    <cellStyle name="40% - 강조색5 4 4 2 2 2 2 2" xfId="18167"/>
    <cellStyle name="40% - 강조색5 4 4 2 2 2 2 3" xfId="18168"/>
    <cellStyle name="40% - 강조색5 4 4 2 2 2 3" xfId="18169"/>
    <cellStyle name="40% - 강조색5 4 4 2 2 2 4" xfId="18170"/>
    <cellStyle name="40% - 강조색5 4 4 2 2 3" xfId="18171"/>
    <cellStyle name="40% - 강조색5 4 4 2 2 3 2" xfId="18172"/>
    <cellStyle name="40% - 강조색5 4 4 2 2 3 3" xfId="18173"/>
    <cellStyle name="40% - 강조색5 4 4 2 2 4" xfId="18174"/>
    <cellStyle name="40% - 강조색5 4 4 2 2 5" xfId="18175"/>
    <cellStyle name="40% - 강조색5 4 4 2 3" xfId="18176"/>
    <cellStyle name="40% - 강조색5 4 4 2 3 2" xfId="18177"/>
    <cellStyle name="40% - 강조색5 4 4 2 3 2 2" xfId="18178"/>
    <cellStyle name="40% - 강조색5 4 4 2 3 2 2 2" xfId="18179"/>
    <cellStyle name="40% - 강조색5 4 4 2 3 2 2 3" xfId="18180"/>
    <cellStyle name="40% - 강조색5 4 4 2 3 2 3" xfId="18181"/>
    <cellStyle name="40% - 강조색5 4 4 2 3 2 4" xfId="18182"/>
    <cellStyle name="40% - 강조색5 4 4 2 3 3" xfId="18183"/>
    <cellStyle name="40% - 강조색5 4 4 2 3 3 2" xfId="18184"/>
    <cellStyle name="40% - 강조색5 4 4 2 3 3 3" xfId="18185"/>
    <cellStyle name="40% - 강조색5 4 4 2 3 4" xfId="18186"/>
    <cellStyle name="40% - 강조색5 4 4 2 3 5" xfId="18187"/>
    <cellStyle name="40% - 강조색5 4 4 2 4" xfId="18188"/>
    <cellStyle name="40% - 강조색5 4 4 2 4 2" xfId="18189"/>
    <cellStyle name="40% - 강조색5 4 4 2 4 2 2" xfId="18190"/>
    <cellStyle name="40% - 강조색5 4 4 2 4 2 3" xfId="18191"/>
    <cellStyle name="40% - 강조색5 4 4 2 4 3" xfId="18192"/>
    <cellStyle name="40% - 강조색5 4 4 2 4 4" xfId="18193"/>
    <cellStyle name="40% - 강조색5 4 4 2 5" xfId="18194"/>
    <cellStyle name="40% - 강조색5 4 4 2 5 2" xfId="18195"/>
    <cellStyle name="40% - 강조색5 4 4 2 5 3" xfId="18196"/>
    <cellStyle name="40% - 강조색5 4 4 2 6" xfId="18197"/>
    <cellStyle name="40% - 강조색5 4 4 2 7" xfId="18198"/>
    <cellStyle name="40% - 강조색5 4 4 3" xfId="18199"/>
    <cellStyle name="40% - 강조색5 4 4 3 2" xfId="18200"/>
    <cellStyle name="40% - 강조색5 4 4 3 2 2" xfId="18201"/>
    <cellStyle name="40% - 강조색5 4 4 3 2 2 2" xfId="18202"/>
    <cellStyle name="40% - 강조색5 4 4 3 2 2 2 2" xfId="18203"/>
    <cellStyle name="40% - 강조색5 4 4 3 2 2 2 3" xfId="18204"/>
    <cellStyle name="40% - 강조색5 4 4 3 2 2 3" xfId="18205"/>
    <cellStyle name="40% - 강조색5 4 4 3 2 2 4" xfId="18206"/>
    <cellStyle name="40% - 강조색5 4 4 3 2 3" xfId="18207"/>
    <cellStyle name="40% - 강조색5 4 4 3 2 3 2" xfId="18208"/>
    <cellStyle name="40% - 강조색5 4 4 3 2 3 3" xfId="18209"/>
    <cellStyle name="40% - 강조색5 4 4 3 2 4" xfId="18210"/>
    <cellStyle name="40% - 강조색5 4 4 3 2 5" xfId="18211"/>
    <cellStyle name="40% - 강조색5 4 4 3 3" xfId="18212"/>
    <cellStyle name="40% - 강조색5 4 4 3 3 2" xfId="18213"/>
    <cellStyle name="40% - 강조색5 4 4 3 3 2 2" xfId="18214"/>
    <cellStyle name="40% - 강조색5 4 4 3 3 2 2 2" xfId="18215"/>
    <cellStyle name="40% - 강조색5 4 4 3 3 2 2 3" xfId="18216"/>
    <cellStyle name="40% - 강조색5 4 4 3 3 2 3" xfId="18217"/>
    <cellStyle name="40% - 강조색5 4 4 3 3 2 4" xfId="18218"/>
    <cellStyle name="40% - 강조색5 4 4 3 3 3" xfId="18219"/>
    <cellStyle name="40% - 강조색5 4 4 3 3 3 2" xfId="18220"/>
    <cellStyle name="40% - 강조색5 4 4 3 3 3 3" xfId="18221"/>
    <cellStyle name="40% - 강조색5 4 4 3 3 4" xfId="18222"/>
    <cellStyle name="40% - 강조색5 4 4 3 3 5" xfId="18223"/>
    <cellStyle name="40% - 강조색5 4 4 3 4" xfId="18224"/>
    <cellStyle name="40% - 강조색5 4 4 3 4 2" xfId="18225"/>
    <cellStyle name="40% - 강조색5 4 4 3 4 2 2" xfId="18226"/>
    <cellStyle name="40% - 강조색5 4 4 3 4 2 3" xfId="18227"/>
    <cellStyle name="40% - 강조색5 4 4 3 4 3" xfId="18228"/>
    <cellStyle name="40% - 강조색5 4 4 3 4 4" xfId="18229"/>
    <cellStyle name="40% - 강조색5 4 4 3 5" xfId="18230"/>
    <cellStyle name="40% - 강조색5 4 4 3 5 2" xfId="18231"/>
    <cellStyle name="40% - 강조색5 4 4 3 5 3" xfId="18232"/>
    <cellStyle name="40% - 강조색5 4 4 3 6" xfId="18233"/>
    <cellStyle name="40% - 강조색5 4 4 3 7" xfId="18234"/>
    <cellStyle name="40% - 강조색5 4 4 4" xfId="18235"/>
    <cellStyle name="40% - 강조색5 4 4 4 2" xfId="18236"/>
    <cellStyle name="40% - 강조색5 4 4 4 2 2" xfId="18237"/>
    <cellStyle name="40% - 강조색5 4 4 4 2 2 2" xfId="18238"/>
    <cellStyle name="40% - 강조색5 4 4 4 2 2 3" xfId="18239"/>
    <cellStyle name="40% - 강조색5 4 4 4 2 3" xfId="18240"/>
    <cellStyle name="40% - 강조색5 4 4 4 2 4" xfId="18241"/>
    <cellStyle name="40% - 강조색5 4 4 4 3" xfId="18242"/>
    <cellStyle name="40% - 강조색5 4 4 4 3 2" xfId="18243"/>
    <cellStyle name="40% - 강조색5 4 4 4 3 3" xfId="18244"/>
    <cellStyle name="40% - 강조색5 4 4 4 4" xfId="18245"/>
    <cellStyle name="40% - 강조색5 4 4 4 5" xfId="18246"/>
    <cellStyle name="40% - 강조색5 4 4 5" xfId="18247"/>
    <cellStyle name="40% - 강조색5 4 4 5 2" xfId="18248"/>
    <cellStyle name="40% - 강조색5 4 4 5 2 2" xfId="18249"/>
    <cellStyle name="40% - 강조색5 4 4 5 2 2 2" xfId="18250"/>
    <cellStyle name="40% - 강조색5 4 4 5 2 2 3" xfId="18251"/>
    <cellStyle name="40% - 강조색5 4 4 5 2 3" xfId="18252"/>
    <cellStyle name="40% - 강조색5 4 4 5 2 4" xfId="18253"/>
    <cellStyle name="40% - 강조색5 4 4 5 3" xfId="18254"/>
    <cellStyle name="40% - 강조색5 4 4 5 3 2" xfId="18255"/>
    <cellStyle name="40% - 강조색5 4 4 5 3 3" xfId="18256"/>
    <cellStyle name="40% - 강조색5 4 4 5 4" xfId="18257"/>
    <cellStyle name="40% - 강조색5 4 4 5 5" xfId="18258"/>
    <cellStyle name="40% - 강조색5 4 4 6" xfId="18259"/>
    <cellStyle name="40% - 강조색5 4 4 6 2" xfId="18260"/>
    <cellStyle name="40% - 강조색5 4 4 6 2 2" xfId="18261"/>
    <cellStyle name="40% - 강조색5 4 4 6 2 2 2" xfId="18262"/>
    <cellStyle name="40% - 강조색5 4 4 6 2 2 3" xfId="18263"/>
    <cellStyle name="40% - 강조색5 4 4 6 2 3" xfId="18264"/>
    <cellStyle name="40% - 강조색5 4 4 6 2 4" xfId="18265"/>
    <cellStyle name="40% - 강조색5 4 4 6 3" xfId="18266"/>
    <cellStyle name="40% - 강조색5 4 4 6 3 2" xfId="18267"/>
    <cellStyle name="40% - 강조색5 4 4 6 3 3" xfId="18268"/>
    <cellStyle name="40% - 강조색5 4 4 6 4" xfId="18269"/>
    <cellStyle name="40% - 강조색5 4 4 6 5" xfId="18270"/>
    <cellStyle name="40% - 강조색5 4 4 7" xfId="18271"/>
    <cellStyle name="40% - 강조색5 4 4 7 2" xfId="18272"/>
    <cellStyle name="40% - 강조색5 4 4 7 2 2" xfId="18273"/>
    <cellStyle name="40% - 강조색5 4 4 7 2 3" xfId="18274"/>
    <cellStyle name="40% - 강조색5 4 4 7 3" xfId="18275"/>
    <cellStyle name="40% - 강조색5 4 4 7 4" xfId="18276"/>
    <cellStyle name="40% - 강조색5 4 4 8" xfId="18277"/>
    <cellStyle name="40% - 강조색5 4 4 8 2" xfId="18278"/>
    <cellStyle name="40% - 강조색5 4 4 8 3" xfId="18279"/>
    <cellStyle name="40% - 강조색5 4 4 9" xfId="18280"/>
    <cellStyle name="40% - 강조색5 4 5" xfId="18281"/>
    <cellStyle name="40% - 강조색5 4 5 2" xfId="18282"/>
    <cellStyle name="40% - 강조색5 4 5 2 2" xfId="18283"/>
    <cellStyle name="40% - 강조색5 4 5 2 2 2" xfId="18284"/>
    <cellStyle name="40% - 강조색5 4 5 2 2 2 2" xfId="18285"/>
    <cellStyle name="40% - 강조색5 4 5 2 2 2 3" xfId="18286"/>
    <cellStyle name="40% - 강조색5 4 5 2 2 3" xfId="18287"/>
    <cellStyle name="40% - 강조색5 4 5 2 2 4" xfId="18288"/>
    <cellStyle name="40% - 강조색5 4 5 2 3" xfId="18289"/>
    <cellStyle name="40% - 강조색5 4 5 2 3 2" xfId="18290"/>
    <cellStyle name="40% - 강조색5 4 5 2 3 3" xfId="18291"/>
    <cellStyle name="40% - 강조색5 4 5 2 4" xfId="18292"/>
    <cellStyle name="40% - 강조색5 4 5 2 5" xfId="18293"/>
    <cellStyle name="40% - 강조색5 4 5 3" xfId="18294"/>
    <cellStyle name="40% - 강조색5 4 5 3 2" xfId="18295"/>
    <cellStyle name="40% - 강조색5 4 5 3 2 2" xfId="18296"/>
    <cellStyle name="40% - 강조색5 4 5 3 2 2 2" xfId="18297"/>
    <cellStyle name="40% - 강조색5 4 5 3 2 2 3" xfId="18298"/>
    <cellStyle name="40% - 강조색5 4 5 3 2 3" xfId="18299"/>
    <cellStyle name="40% - 강조색5 4 5 3 2 4" xfId="18300"/>
    <cellStyle name="40% - 강조색5 4 5 3 3" xfId="18301"/>
    <cellStyle name="40% - 강조색5 4 5 3 3 2" xfId="18302"/>
    <cellStyle name="40% - 강조색5 4 5 3 3 3" xfId="18303"/>
    <cellStyle name="40% - 강조색5 4 5 3 4" xfId="18304"/>
    <cellStyle name="40% - 강조색5 4 5 3 5" xfId="18305"/>
    <cellStyle name="40% - 강조색5 4 5 4" xfId="18306"/>
    <cellStyle name="40% - 강조색5 4 5 4 2" xfId="18307"/>
    <cellStyle name="40% - 강조색5 4 5 4 2 2" xfId="18308"/>
    <cellStyle name="40% - 강조색5 4 5 4 2 3" xfId="18309"/>
    <cellStyle name="40% - 강조색5 4 5 4 3" xfId="18310"/>
    <cellStyle name="40% - 강조색5 4 5 4 4" xfId="18311"/>
    <cellStyle name="40% - 강조색5 4 5 5" xfId="18312"/>
    <cellStyle name="40% - 강조색5 4 5 5 2" xfId="18313"/>
    <cellStyle name="40% - 강조색5 4 5 5 3" xfId="18314"/>
    <cellStyle name="40% - 강조색5 4 5 6" xfId="18315"/>
    <cellStyle name="40% - 강조색5 4 5 7" xfId="18316"/>
    <cellStyle name="40% - 강조색5 4 6" xfId="18317"/>
    <cellStyle name="40% - 강조색5 4 6 2" xfId="18318"/>
    <cellStyle name="40% - 강조색5 4 6 2 2" xfId="18319"/>
    <cellStyle name="40% - 강조색5 4 6 2 2 2" xfId="18320"/>
    <cellStyle name="40% - 강조색5 4 6 2 2 2 2" xfId="18321"/>
    <cellStyle name="40% - 강조색5 4 6 2 2 2 3" xfId="18322"/>
    <cellStyle name="40% - 강조색5 4 6 2 2 3" xfId="18323"/>
    <cellStyle name="40% - 강조색5 4 6 2 2 4" xfId="18324"/>
    <cellStyle name="40% - 강조색5 4 6 2 3" xfId="18325"/>
    <cellStyle name="40% - 강조색5 4 6 2 3 2" xfId="18326"/>
    <cellStyle name="40% - 강조색5 4 6 2 3 3" xfId="18327"/>
    <cellStyle name="40% - 강조색5 4 6 2 4" xfId="18328"/>
    <cellStyle name="40% - 강조색5 4 6 2 5" xfId="18329"/>
    <cellStyle name="40% - 강조색5 4 6 3" xfId="18330"/>
    <cellStyle name="40% - 강조색5 4 6 3 2" xfId="18331"/>
    <cellStyle name="40% - 강조색5 4 6 3 2 2" xfId="18332"/>
    <cellStyle name="40% - 강조색5 4 6 3 2 2 2" xfId="18333"/>
    <cellStyle name="40% - 강조색5 4 6 3 2 2 3" xfId="18334"/>
    <cellStyle name="40% - 강조색5 4 6 3 2 3" xfId="18335"/>
    <cellStyle name="40% - 강조색5 4 6 3 2 4" xfId="18336"/>
    <cellStyle name="40% - 강조색5 4 6 3 3" xfId="18337"/>
    <cellStyle name="40% - 강조색5 4 6 3 3 2" xfId="18338"/>
    <cellStyle name="40% - 강조색5 4 6 3 3 3" xfId="18339"/>
    <cellStyle name="40% - 강조색5 4 6 3 4" xfId="18340"/>
    <cellStyle name="40% - 강조색5 4 6 3 5" xfId="18341"/>
    <cellStyle name="40% - 강조색5 4 6 4" xfId="18342"/>
    <cellStyle name="40% - 강조색5 4 6 4 2" xfId="18343"/>
    <cellStyle name="40% - 강조색5 4 6 4 2 2" xfId="18344"/>
    <cellStyle name="40% - 강조색5 4 6 4 2 3" xfId="18345"/>
    <cellStyle name="40% - 강조색5 4 6 4 3" xfId="18346"/>
    <cellStyle name="40% - 강조색5 4 6 4 4" xfId="18347"/>
    <cellStyle name="40% - 강조색5 4 6 5" xfId="18348"/>
    <cellStyle name="40% - 강조색5 4 6 5 2" xfId="18349"/>
    <cellStyle name="40% - 강조색5 4 6 5 3" xfId="18350"/>
    <cellStyle name="40% - 강조색5 4 6 6" xfId="18351"/>
    <cellStyle name="40% - 강조색5 4 6 7" xfId="18352"/>
    <cellStyle name="40% - 강조색5 4 7" xfId="18353"/>
    <cellStyle name="40% - 강조색5 4 7 2" xfId="18354"/>
    <cellStyle name="40% - 강조색5 4 7 2 2" xfId="18355"/>
    <cellStyle name="40% - 강조색5 4 7 2 2 2" xfId="18356"/>
    <cellStyle name="40% - 강조색5 4 7 2 2 3" xfId="18357"/>
    <cellStyle name="40% - 강조색5 4 7 2 3" xfId="18358"/>
    <cellStyle name="40% - 강조색5 4 7 2 4" xfId="18359"/>
    <cellStyle name="40% - 강조색5 4 7 3" xfId="18360"/>
    <cellStyle name="40% - 강조색5 4 7 3 2" xfId="18361"/>
    <cellStyle name="40% - 강조색5 4 7 3 3" xfId="18362"/>
    <cellStyle name="40% - 강조색5 4 7 4" xfId="18363"/>
    <cellStyle name="40% - 강조색5 4 7 5" xfId="18364"/>
    <cellStyle name="40% - 강조색5 4 8" xfId="18365"/>
    <cellStyle name="40% - 강조색5 4 8 2" xfId="18366"/>
    <cellStyle name="40% - 강조색5 4 8 2 2" xfId="18367"/>
    <cellStyle name="40% - 강조색5 4 8 2 2 2" xfId="18368"/>
    <cellStyle name="40% - 강조색5 4 8 2 2 3" xfId="18369"/>
    <cellStyle name="40% - 강조색5 4 8 2 3" xfId="18370"/>
    <cellStyle name="40% - 강조색5 4 8 2 4" xfId="18371"/>
    <cellStyle name="40% - 강조색5 4 8 3" xfId="18372"/>
    <cellStyle name="40% - 강조색5 4 8 3 2" xfId="18373"/>
    <cellStyle name="40% - 강조색5 4 8 3 3" xfId="18374"/>
    <cellStyle name="40% - 강조색5 4 8 4" xfId="18375"/>
    <cellStyle name="40% - 강조색5 4 8 5" xfId="18376"/>
    <cellStyle name="40% - 강조색5 4 9" xfId="18377"/>
    <cellStyle name="40% - 강조색5 4 9 2" xfId="18378"/>
    <cellStyle name="40% - 강조색5 4 9 2 2" xfId="18379"/>
    <cellStyle name="40% - 강조색5 4 9 2 2 2" xfId="18380"/>
    <cellStyle name="40% - 강조색5 4 9 2 2 3" xfId="18381"/>
    <cellStyle name="40% - 강조색5 4 9 2 3" xfId="18382"/>
    <cellStyle name="40% - 강조색5 4 9 2 4" xfId="18383"/>
    <cellStyle name="40% - 강조색5 4 9 3" xfId="18384"/>
    <cellStyle name="40% - 강조색5 4 9 3 2" xfId="18385"/>
    <cellStyle name="40% - 강조색5 4 9 3 3" xfId="18386"/>
    <cellStyle name="40% - 강조색5 4 9 4" xfId="18387"/>
    <cellStyle name="40% - 강조색5 4 9 5" xfId="18388"/>
    <cellStyle name="40% - 강조색5 40" xfId="18389"/>
    <cellStyle name="40% - 강조색5 41" xfId="18390"/>
    <cellStyle name="40% - 강조색5 42" xfId="18391"/>
    <cellStyle name="40% - 강조색5 43" xfId="18392"/>
    <cellStyle name="40% - 강조색5 44" xfId="18393"/>
    <cellStyle name="40% - 강조색5 45" xfId="18394"/>
    <cellStyle name="40% - 강조색5 46" xfId="18395"/>
    <cellStyle name="40% - 강조색5 47" xfId="18396"/>
    <cellStyle name="40% - 강조색5 48" xfId="18397"/>
    <cellStyle name="40% - 강조색5 49" xfId="18398"/>
    <cellStyle name="40% - 강조색5 5" xfId="18399"/>
    <cellStyle name="40% - 강조색5 5 10" xfId="18400"/>
    <cellStyle name="40% - 강조색5 5 11" xfId="18401"/>
    <cellStyle name="40% - 강조색5 5 2" xfId="18402"/>
    <cellStyle name="40% - 강조색5 5 2 2" xfId="18403"/>
    <cellStyle name="40% - 강조색5 5 2 2 2" xfId="18404"/>
    <cellStyle name="40% - 강조색5 5 2 2 2 2" xfId="18405"/>
    <cellStyle name="40% - 강조색5 5 2 2 2 2 2" xfId="18406"/>
    <cellStyle name="40% - 강조색5 5 2 2 2 2 3" xfId="18407"/>
    <cellStyle name="40% - 강조색5 5 2 2 2 3" xfId="18408"/>
    <cellStyle name="40% - 강조색5 5 2 2 2 4" xfId="18409"/>
    <cellStyle name="40% - 강조색5 5 2 2 3" xfId="18410"/>
    <cellStyle name="40% - 강조색5 5 2 2 3 2" xfId="18411"/>
    <cellStyle name="40% - 강조색5 5 2 2 3 3" xfId="18412"/>
    <cellStyle name="40% - 강조색5 5 2 2 4" xfId="18413"/>
    <cellStyle name="40% - 강조색5 5 2 2 5" xfId="18414"/>
    <cellStyle name="40% - 강조색5 5 2 3" xfId="18415"/>
    <cellStyle name="40% - 강조색5 5 2 3 2" xfId="18416"/>
    <cellStyle name="40% - 강조색5 5 2 3 2 2" xfId="18417"/>
    <cellStyle name="40% - 강조색5 5 2 3 2 2 2" xfId="18418"/>
    <cellStyle name="40% - 강조색5 5 2 3 2 2 3" xfId="18419"/>
    <cellStyle name="40% - 강조색5 5 2 3 2 3" xfId="18420"/>
    <cellStyle name="40% - 강조색5 5 2 3 2 4" xfId="18421"/>
    <cellStyle name="40% - 강조색5 5 2 3 3" xfId="18422"/>
    <cellStyle name="40% - 강조색5 5 2 3 3 2" xfId="18423"/>
    <cellStyle name="40% - 강조색5 5 2 3 3 3" xfId="18424"/>
    <cellStyle name="40% - 강조색5 5 2 3 4" xfId="18425"/>
    <cellStyle name="40% - 강조색5 5 2 3 5" xfId="18426"/>
    <cellStyle name="40% - 강조색5 5 2 4" xfId="18427"/>
    <cellStyle name="40% - 강조색5 5 2 4 2" xfId="18428"/>
    <cellStyle name="40% - 강조색5 5 2 4 2 2" xfId="18429"/>
    <cellStyle name="40% - 강조색5 5 2 4 2 3" xfId="18430"/>
    <cellStyle name="40% - 강조색5 5 2 4 3" xfId="18431"/>
    <cellStyle name="40% - 강조색5 5 2 4 4" xfId="18432"/>
    <cellStyle name="40% - 강조색5 5 2 5" xfId="18433"/>
    <cellStyle name="40% - 강조색5 5 2 5 2" xfId="18434"/>
    <cellStyle name="40% - 강조색5 5 2 5 3" xfId="18435"/>
    <cellStyle name="40% - 강조색5 5 2 6" xfId="18436"/>
    <cellStyle name="40% - 강조색5 5 2 7" xfId="18437"/>
    <cellStyle name="40% - 강조색5 5 3" xfId="18438"/>
    <cellStyle name="40% - 강조색5 5 3 2" xfId="18439"/>
    <cellStyle name="40% - 강조색5 5 3 2 2" xfId="18440"/>
    <cellStyle name="40% - 강조색5 5 3 2 2 2" xfId="18441"/>
    <cellStyle name="40% - 강조색5 5 3 2 2 2 2" xfId="18442"/>
    <cellStyle name="40% - 강조색5 5 3 2 2 2 3" xfId="18443"/>
    <cellStyle name="40% - 강조색5 5 3 2 2 3" xfId="18444"/>
    <cellStyle name="40% - 강조색5 5 3 2 2 4" xfId="18445"/>
    <cellStyle name="40% - 강조색5 5 3 2 3" xfId="18446"/>
    <cellStyle name="40% - 강조색5 5 3 2 3 2" xfId="18447"/>
    <cellStyle name="40% - 강조색5 5 3 2 3 3" xfId="18448"/>
    <cellStyle name="40% - 강조색5 5 3 2 4" xfId="18449"/>
    <cellStyle name="40% - 강조색5 5 3 2 5" xfId="18450"/>
    <cellStyle name="40% - 강조색5 5 3 3" xfId="18451"/>
    <cellStyle name="40% - 강조색5 5 3 3 2" xfId="18452"/>
    <cellStyle name="40% - 강조색5 5 3 3 2 2" xfId="18453"/>
    <cellStyle name="40% - 강조색5 5 3 3 2 2 2" xfId="18454"/>
    <cellStyle name="40% - 강조색5 5 3 3 2 2 3" xfId="18455"/>
    <cellStyle name="40% - 강조색5 5 3 3 2 3" xfId="18456"/>
    <cellStyle name="40% - 강조색5 5 3 3 2 4" xfId="18457"/>
    <cellStyle name="40% - 강조색5 5 3 3 3" xfId="18458"/>
    <cellStyle name="40% - 강조색5 5 3 3 3 2" xfId="18459"/>
    <cellStyle name="40% - 강조색5 5 3 3 3 3" xfId="18460"/>
    <cellStyle name="40% - 강조색5 5 3 3 4" xfId="18461"/>
    <cellStyle name="40% - 강조색5 5 3 3 5" xfId="18462"/>
    <cellStyle name="40% - 강조색5 5 3 4" xfId="18463"/>
    <cellStyle name="40% - 강조색5 5 3 4 2" xfId="18464"/>
    <cellStyle name="40% - 강조색5 5 3 4 2 2" xfId="18465"/>
    <cellStyle name="40% - 강조색5 5 3 4 2 3" xfId="18466"/>
    <cellStyle name="40% - 강조색5 5 3 4 3" xfId="18467"/>
    <cellStyle name="40% - 강조색5 5 3 4 4" xfId="18468"/>
    <cellStyle name="40% - 강조색5 5 3 5" xfId="18469"/>
    <cellStyle name="40% - 강조색5 5 3 5 2" xfId="18470"/>
    <cellStyle name="40% - 강조색5 5 3 5 3" xfId="18471"/>
    <cellStyle name="40% - 강조색5 5 3 6" xfId="18472"/>
    <cellStyle name="40% - 강조색5 5 3 7" xfId="18473"/>
    <cellStyle name="40% - 강조색5 5 4" xfId="18474"/>
    <cellStyle name="40% - 강조색5 5 4 2" xfId="18475"/>
    <cellStyle name="40% - 강조색5 5 4 2 2" xfId="18476"/>
    <cellStyle name="40% - 강조색5 5 4 2 2 2" xfId="18477"/>
    <cellStyle name="40% - 강조색5 5 4 2 2 3" xfId="18478"/>
    <cellStyle name="40% - 강조색5 5 4 2 3" xfId="18479"/>
    <cellStyle name="40% - 강조색5 5 4 2 4" xfId="18480"/>
    <cellStyle name="40% - 강조색5 5 4 3" xfId="18481"/>
    <cellStyle name="40% - 강조색5 5 4 3 2" xfId="18482"/>
    <cellStyle name="40% - 강조색5 5 4 3 3" xfId="18483"/>
    <cellStyle name="40% - 강조색5 5 4 4" xfId="18484"/>
    <cellStyle name="40% - 강조색5 5 4 5" xfId="18485"/>
    <cellStyle name="40% - 강조색5 5 5" xfId="18486"/>
    <cellStyle name="40% - 강조색5 5 5 2" xfId="18487"/>
    <cellStyle name="40% - 강조색5 5 5 2 2" xfId="18488"/>
    <cellStyle name="40% - 강조색5 5 5 2 2 2" xfId="18489"/>
    <cellStyle name="40% - 강조색5 5 5 2 2 3" xfId="18490"/>
    <cellStyle name="40% - 강조색5 5 5 2 3" xfId="18491"/>
    <cellStyle name="40% - 강조색5 5 5 2 4" xfId="18492"/>
    <cellStyle name="40% - 강조색5 5 5 3" xfId="18493"/>
    <cellStyle name="40% - 강조색5 5 5 3 2" xfId="18494"/>
    <cellStyle name="40% - 강조색5 5 5 3 3" xfId="18495"/>
    <cellStyle name="40% - 강조색5 5 5 4" xfId="18496"/>
    <cellStyle name="40% - 강조색5 5 5 5" xfId="18497"/>
    <cellStyle name="40% - 강조색5 5 6" xfId="18498"/>
    <cellStyle name="40% - 강조색5 5 6 2" xfId="18499"/>
    <cellStyle name="40% - 강조색5 5 6 2 2" xfId="18500"/>
    <cellStyle name="40% - 강조색5 5 6 2 2 2" xfId="18501"/>
    <cellStyle name="40% - 강조색5 5 6 2 2 3" xfId="18502"/>
    <cellStyle name="40% - 강조색5 5 6 2 3" xfId="18503"/>
    <cellStyle name="40% - 강조색5 5 6 2 4" xfId="18504"/>
    <cellStyle name="40% - 강조색5 5 6 3" xfId="18505"/>
    <cellStyle name="40% - 강조색5 5 6 3 2" xfId="18506"/>
    <cellStyle name="40% - 강조색5 5 6 3 3" xfId="18507"/>
    <cellStyle name="40% - 강조색5 5 6 4" xfId="18508"/>
    <cellStyle name="40% - 강조색5 5 6 5" xfId="18509"/>
    <cellStyle name="40% - 강조색5 5 7" xfId="18510"/>
    <cellStyle name="40% - 강조색5 5 7 2" xfId="18511"/>
    <cellStyle name="40% - 강조색5 5 7 2 2" xfId="18512"/>
    <cellStyle name="40% - 강조색5 5 7 2 3" xfId="18513"/>
    <cellStyle name="40% - 강조색5 5 7 3" xfId="18514"/>
    <cellStyle name="40% - 강조색5 5 7 4" xfId="18515"/>
    <cellStyle name="40% - 강조색5 5 8" xfId="18516"/>
    <cellStyle name="40% - 강조색5 5 8 2" xfId="18517"/>
    <cellStyle name="40% - 강조색5 5 8 3" xfId="18518"/>
    <cellStyle name="40% - 강조색5 5 9" xfId="18519"/>
    <cellStyle name="40% - 강조색5 50" xfId="18520"/>
    <cellStyle name="40% - 강조색5 51" xfId="18521"/>
    <cellStyle name="40% - 강조색5 52" xfId="18522"/>
    <cellStyle name="40% - 강조색5 53" xfId="18523"/>
    <cellStyle name="40% - 강조색5 54" xfId="18524"/>
    <cellStyle name="40% - 강조색5 55" xfId="18525"/>
    <cellStyle name="40% - 강조색5 56" xfId="18526"/>
    <cellStyle name="40% - 강조색5 57" xfId="18527"/>
    <cellStyle name="40% - 강조색5 58" xfId="18528"/>
    <cellStyle name="40% - 강조색5 59" xfId="18529"/>
    <cellStyle name="40% - 강조색5 6" xfId="18530"/>
    <cellStyle name="40% - 강조색5 6 10" xfId="18531"/>
    <cellStyle name="40% - 강조색5 6 2" xfId="18532"/>
    <cellStyle name="40% - 강조색5 6 2 2" xfId="18533"/>
    <cellStyle name="40% - 강조색5 6 2 2 2" xfId="18534"/>
    <cellStyle name="40% - 강조색5 6 2 2 2 2" xfId="18535"/>
    <cellStyle name="40% - 강조색5 6 2 2 2 2 2" xfId="18536"/>
    <cellStyle name="40% - 강조색5 6 2 2 2 2 3" xfId="18537"/>
    <cellStyle name="40% - 강조색5 6 2 2 2 3" xfId="18538"/>
    <cellStyle name="40% - 강조색5 6 2 2 2 4" xfId="18539"/>
    <cellStyle name="40% - 강조색5 6 2 2 3" xfId="18540"/>
    <cellStyle name="40% - 강조색5 6 2 2 3 2" xfId="18541"/>
    <cellStyle name="40% - 강조색5 6 2 2 3 3" xfId="18542"/>
    <cellStyle name="40% - 강조색5 6 2 2 4" xfId="18543"/>
    <cellStyle name="40% - 강조색5 6 2 2 5" xfId="18544"/>
    <cellStyle name="40% - 강조색5 6 2 3" xfId="18545"/>
    <cellStyle name="40% - 강조색5 6 2 3 2" xfId="18546"/>
    <cellStyle name="40% - 강조색5 6 2 3 2 2" xfId="18547"/>
    <cellStyle name="40% - 강조색5 6 2 3 2 2 2" xfId="18548"/>
    <cellStyle name="40% - 강조색5 6 2 3 2 2 3" xfId="18549"/>
    <cellStyle name="40% - 강조색5 6 2 3 2 3" xfId="18550"/>
    <cellStyle name="40% - 강조색5 6 2 3 2 4" xfId="18551"/>
    <cellStyle name="40% - 강조색5 6 2 3 3" xfId="18552"/>
    <cellStyle name="40% - 강조색5 6 2 3 3 2" xfId="18553"/>
    <cellStyle name="40% - 강조색5 6 2 3 3 3" xfId="18554"/>
    <cellStyle name="40% - 강조색5 6 2 3 4" xfId="18555"/>
    <cellStyle name="40% - 강조색5 6 2 3 5" xfId="18556"/>
    <cellStyle name="40% - 강조색5 6 2 4" xfId="18557"/>
    <cellStyle name="40% - 강조색5 6 2 4 2" xfId="18558"/>
    <cellStyle name="40% - 강조색5 6 2 4 2 2" xfId="18559"/>
    <cellStyle name="40% - 강조색5 6 2 4 2 3" xfId="18560"/>
    <cellStyle name="40% - 강조색5 6 2 4 3" xfId="18561"/>
    <cellStyle name="40% - 강조색5 6 2 4 4" xfId="18562"/>
    <cellStyle name="40% - 강조색5 6 2 5" xfId="18563"/>
    <cellStyle name="40% - 강조색5 6 2 5 2" xfId="18564"/>
    <cellStyle name="40% - 강조색5 6 2 5 3" xfId="18565"/>
    <cellStyle name="40% - 강조색5 6 2 6" xfId="18566"/>
    <cellStyle name="40% - 강조색5 6 2 7" xfId="18567"/>
    <cellStyle name="40% - 강조색5 6 3" xfId="18568"/>
    <cellStyle name="40% - 강조색5 6 3 2" xfId="18569"/>
    <cellStyle name="40% - 강조색5 6 3 2 2" xfId="18570"/>
    <cellStyle name="40% - 강조색5 6 3 2 2 2" xfId="18571"/>
    <cellStyle name="40% - 강조색5 6 3 2 2 2 2" xfId="18572"/>
    <cellStyle name="40% - 강조색5 6 3 2 2 2 3" xfId="18573"/>
    <cellStyle name="40% - 강조색5 6 3 2 2 3" xfId="18574"/>
    <cellStyle name="40% - 강조색5 6 3 2 2 4" xfId="18575"/>
    <cellStyle name="40% - 강조색5 6 3 2 3" xfId="18576"/>
    <cellStyle name="40% - 강조색5 6 3 2 3 2" xfId="18577"/>
    <cellStyle name="40% - 강조색5 6 3 2 3 3" xfId="18578"/>
    <cellStyle name="40% - 강조색5 6 3 2 4" xfId="18579"/>
    <cellStyle name="40% - 강조색5 6 3 2 5" xfId="18580"/>
    <cellStyle name="40% - 강조색5 6 3 3" xfId="18581"/>
    <cellStyle name="40% - 강조색5 6 3 3 2" xfId="18582"/>
    <cellStyle name="40% - 강조색5 6 3 3 2 2" xfId="18583"/>
    <cellStyle name="40% - 강조색5 6 3 3 2 2 2" xfId="18584"/>
    <cellStyle name="40% - 강조색5 6 3 3 2 2 3" xfId="18585"/>
    <cellStyle name="40% - 강조색5 6 3 3 2 3" xfId="18586"/>
    <cellStyle name="40% - 강조색5 6 3 3 2 4" xfId="18587"/>
    <cellStyle name="40% - 강조색5 6 3 3 3" xfId="18588"/>
    <cellStyle name="40% - 강조색5 6 3 3 3 2" xfId="18589"/>
    <cellStyle name="40% - 강조색5 6 3 3 3 3" xfId="18590"/>
    <cellStyle name="40% - 강조색5 6 3 3 4" xfId="18591"/>
    <cellStyle name="40% - 강조색5 6 3 3 5" xfId="18592"/>
    <cellStyle name="40% - 강조색5 6 3 4" xfId="18593"/>
    <cellStyle name="40% - 강조색5 6 3 4 2" xfId="18594"/>
    <cellStyle name="40% - 강조색5 6 3 4 2 2" xfId="18595"/>
    <cellStyle name="40% - 강조색5 6 3 4 2 3" xfId="18596"/>
    <cellStyle name="40% - 강조색5 6 3 4 3" xfId="18597"/>
    <cellStyle name="40% - 강조색5 6 3 4 4" xfId="18598"/>
    <cellStyle name="40% - 강조색5 6 3 5" xfId="18599"/>
    <cellStyle name="40% - 강조색5 6 3 5 2" xfId="18600"/>
    <cellStyle name="40% - 강조색5 6 3 5 3" xfId="18601"/>
    <cellStyle name="40% - 강조색5 6 3 6" xfId="18602"/>
    <cellStyle name="40% - 강조색5 6 3 7" xfId="18603"/>
    <cellStyle name="40% - 강조색5 6 4" xfId="18604"/>
    <cellStyle name="40% - 강조색5 6 4 2" xfId="18605"/>
    <cellStyle name="40% - 강조색5 6 4 2 2" xfId="18606"/>
    <cellStyle name="40% - 강조색5 6 4 2 2 2" xfId="18607"/>
    <cellStyle name="40% - 강조색5 6 4 2 2 3" xfId="18608"/>
    <cellStyle name="40% - 강조색5 6 4 2 3" xfId="18609"/>
    <cellStyle name="40% - 강조색5 6 4 2 4" xfId="18610"/>
    <cellStyle name="40% - 강조색5 6 4 3" xfId="18611"/>
    <cellStyle name="40% - 강조색5 6 4 3 2" xfId="18612"/>
    <cellStyle name="40% - 강조색5 6 4 3 3" xfId="18613"/>
    <cellStyle name="40% - 강조색5 6 4 4" xfId="18614"/>
    <cellStyle name="40% - 강조색5 6 4 5" xfId="18615"/>
    <cellStyle name="40% - 강조색5 6 5" xfId="18616"/>
    <cellStyle name="40% - 강조색5 6 5 2" xfId="18617"/>
    <cellStyle name="40% - 강조색5 6 5 2 2" xfId="18618"/>
    <cellStyle name="40% - 강조색5 6 5 2 2 2" xfId="18619"/>
    <cellStyle name="40% - 강조색5 6 5 2 2 3" xfId="18620"/>
    <cellStyle name="40% - 강조색5 6 5 2 3" xfId="18621"/>
    <cellStyle name="40% - 강조색5 6 5 2 4" xfId="18622"/>
    <cellStyle name="40% - 강조색5 6 5 3" xfId="18623"/>
    <cellStyle name="40% - 강조색5 6 5 3 2" xfId="18624"/>
    <cellStyle name="40% - 강조색5 6 5 3 3" xfId="18625"/>
    <cellStyle name="40% - 강조색5 6 5 4" xfId="18626"/>
    <cellStyle name="40% - 강조색5 6 5 5" xfId="18627"/>
    <cellStyle name="40% - 강조색5 6 6" xfId="18628"/>
    <cellStyle name="40% - 강조색5 6 6 2" xfId="18629"/>
    <cellStyle name="40% - 강조색5 6 6 2 2" xfId="18630"/>
    <cellStyle name="40% - 강조색5 6 6 2 2 2" xfId="18631"/>
    <cellStyle name="40% - 강조색5 6 6 2 2 3" xfId="18632"/>
    <cellStyle name="40% - 강조색5 6 6 2 3" xfId="18633"/>
    <cellStyle name="40% - 강조색5 6 6 2 4" xfId="18634"/>
    <cellStyle name="40% - 강조색5 6 6 3" xfId="18635"/>
    <cellStyle name="40% - 강조색5 6 6 3 2" xfId="18636"/>
    <cellStyle name="40% - 강조색5 6 6 3 3" xfId="18637"/>
    <cellStyle name="40% - 강조색5 6 6 4" xfId="18638"/>
    <cellStyle name="40% - 강조색5 6 6 5" xfId="18639"/>
    <cellStyle name="40% - 강조색5 6 7" xfId="18640"/>
    <cellStyle name="40% - 강조색5 6 7 2" xfId="18641"/>
    <cellStyle name="40% - 강조색5 6 7 2 2" xfId="18642"/>
    <cellStyle name="40% - 강조색5 6 7 2 3" xfId="18643"/>
    <cellStyle name="40% - 강조색5 6 7 3" xfId="18644"/>
    <cellStyle name="40% - 강조색5 6 7 4" xfId="18645"/>
    <cellStyle name="40% - 강조색5 6 8" xfId="18646"/>
    <cellStyle name="40% - 강조색5 6 8 2" xfId="18647"/>
    <cellStyle name="40% - 강조색5 6 8 3" xfId="18648"/>
    <cellStyle name="40% - 강조색5 6 9" xfId="18649"/>
    <cellStyle name="40% - 강조색5 60" xfId="18650"/>
    <cellStyle name="40% - 강조색5 61" xfId="18651"/>
    <cellStyle name="40% - 강조색5 62" xfId="18652"/>
    <cellStyle name="40% - 강조색5 63" xfId="18653"/>
    <cellStyle name="40% - 강조색5 64" xfId="18654"/>
    <cellStyle name="40% - 강조색5 65" xfId="18655"/>
    <cellStyle name="40% - 강조색5 66" xfId="18656"/>
    <cellStyle name="40% - 강조색5 67" xfId="18657"/>
    <cellStyle name="40% - 강조색5 68" xfId="18658"/>
    <cellStyle name="40% - 강조색5 69" xfId="18659"/>
    <cellStyle name="40% - 강조색5 7" xfId="18660"/>
    <cellStyle name="40% - 강조색5 7 10" xfId="18661"/>
    <cellStyle name="40% - 강조색5 7 2" xfId="18662"/>
    <cellStyle name="40% - 강조색5 7 2 2" xfId="18663"/>
    <cellStyle name="40% - 강조색5 7 2 2 2" xfId="18664"/>
    <cellStyle name="40% - 강조색5 7 2 2 2 2" xfId="18665"/>
    <cellStyle name="40% - 강조색5 7 2 2 2 2 2" xfId="18666"/>
    <cellStyle name="40% - 강조색5 7 2 2 2 2 3" xfId="18667"/>
    <cellStyle name="40% - 강조색5 7 2 2 2 3" xfId="18668"/>
    <cellStyle name="40% - 강조색5 7 2 2 2 4" xfId="18669"/>
    <cellStyle name="40% - 강조색5 7 2 2 3" xfId="18670"/>
    <cellStyle name="40% - 강조색5 7 2 2 3 2" xfId="18671"/>
    <cellStyle name="40% - 강조색5 7 2 2 3 3" xfId="18672"/>
    <cellStyle name="40% - 강조색5 7 2 2 4" xfId="18673"/>
    <cellStyle name="40% - 강조색5 7 2 2 5" xfId="18674"/>
    <cellStyle name="40% - 강조색5 7 2 3" xfId="18675"/>
    <cellStyle name="40% - 강조색5 7 2 3 2" xfId="18676"/>
    <cellStyle name="40% - 강조색5 7 2 3 2 2" xfId="18677"/>
    <cellStyle name="40% - 강조색5 7 2 3 2 2 2" xfId="18678"/>
    <cellStyle name="40% - 강조색5 7 2 3 2 2 3" xfId="18679"/>
    <cellStyle name="40% - 강조색5 7 2 3 2 3" xfId="18680"/>
    <cellStyle name="40% - 강조색5 7 2 3 2 4" xfId="18681"/>
    <cellStyle name="40% - 강조색5 7 2 3 3" xfId="18682"/>
    <cellStyle name="40% - 강조색5 7 2 3 3 2" xfId="18683"/>
    <cellStyle name="40% - 강조색5 7 2 3 3 3" xfId="18684"/>
    <cellStyle name="40% - 강조색5 7 2 3 4" xfId="18685"/>
    <cellStyle name="40% - 강조색5 7 2 3 5" xfId="18686"/>
    <cellStyle name="40% - 강조색5 7 2 4" xfId="18687"/>
    <cellStyle name="40% - 강조색5 7 2 4 2" xfId="18688"/>
    <cellStyle name="40% - 강조색5 7 2 4 2 2" xfId="18689"/>
    <cellStyle name="40% - 강조색5 7 2 4 2 3" xfId="18690"/>
    <cellStyle name="40% - 강조색5 7 2 4 3" xfId="18691"/>
    <cellStyle name="40% - 강조색5 7 2 4 4" xfId="18692"/>
    <cellStyle name="40% - 강조색5 7 2 5" xfId="18693"/>
    <cellStyle name="40% - 강조색5 7 2 5 2" xfId="18694"/>
    <cellStyle name="40% - 강조색5 7 2 5 3" xfId="18695"/>
    <cellStyle name="40% - 강조색5 7 2 6" xfId="18696"/>
    <cellStyle name="40% - 강조색5 7 2 7" xfId="18697"/>
    <cellStyle name="40% - 강조색5 7 3" xfId="18698"/>
    <cellStyle name="40% - 강조색5 7 3 2" xfId="18699"/>
    <cellStyle name="40% - 강조색5 7 3 2 2" xfId="18700"/>
    <cellStyle name="40% - 강조색5 7 3 2 2 2" xfId="18701"/>
    <cellStyle name="40% - 강조색5 7 3 2 2 2 2" xfId="18702"/>
    <cellStyle name="40% - 강조색5 7 3 2 2 2 3" xfId="18703"/>
    <cellStyle name="40% - 강조색5 7 3 2 2 3" xfId="18704"/>
    <cellStyle name="40% - 강조색5 7 3 2 2 4" xfId="18705"/>
    <cellStyle name="40% - 강조색5 7 3 2 3" xfId="18706"/>
    <cellStyle name="40% - 강조색5 7 3 2 3 2" xfId="18707"/>
    <cellStyle name="40% - 강조색5 7 3 2 3 3" xfId="18708"/>
    <cellStyle name="40% - 강조색5 7 3 2 4" xfId="18709"/>
    <cellStyle name="40% - 강조색5 7 3 2 5" xfId="18710"/>
    <cellStyle name="40% - 강조색5 7 3 3" xfId="18711"/>
    <cellStyle name="40% - 강조색5 7 3 3 2" xfId="18712"/>
    <cellStyle name="40% - 강조색5 7 3 3 2 2" xfId="18713"/>
    <cellStyle name="40% - 강조색5 7 3 3 2 2 2" xfId="18714"/>
    <cellStyle name="40% - 강조색5 7 3 3 2 2 3" xfId="18715"/>
    <cellStyle name="40% - 강조색5 7 3 3 2 3" xfId="18716"/>
    <cellStyle name="40% - 강조색5 7 3 3 2 4" xfId="18717"/>
    <cellStyle name="40% - 강조색5 7 3 3 3" xfId="18718"/>
    <cellStyle name="40% - 강조색5 7 3 3 3 2" xfId="18719"/>
    <cellStyle name="40% - 강조색5 7 3 3 3 3" xfId="18720"/>
    <cellStyle name="40% - 강조색5 7 3 3 4" xfId="18721"/>
    <cellStyle name="40% - 강조색5 7 3 3 5" xfId="18722"/>
    <cellStyle name="40% - 강조색5 7 3 4" xfId="18723"/>
    <cellStyle name="40% - 강조색5 7 3 4 2" xfId="18724"/>
    <cellStyle name="40% - 강조색5 7 3 4 2 2" xfId="18725"/>
    <cellStyle name="40% - 강조색5 7 3 4 2 3" xfId="18726"/>
    <cellStyle name="40% - 강조색5 7 3 4 3" xfId="18727"/>
    <cellStyle name="40% - 강조색5 7 3 4 4" xfId="18728"/>
    <cellStyle name="40% - 강조색5 7 3 5" xfId="18729"/>
    <cellStyle name="40% - 강조색5 7 3 5 2" xfId="18730"/>
    <cellStyle name="40% - 강조색5 7 3 5 3" xfId="18731"/>
    <cellStyle name="40% - 강조색5 7 3 6" xfId="18732"/>
    <cellStyle name="40% - 강조색5 7 3 7" xfId="18733"/>
    <cellStyle name="40% - 강조색5 7 4" xfId="18734"/>
    <cellStyle name="40% - 강조색5 7 4 2" xfId="18735"/>
    <cellStyle name="40% - 강조색5 7 4 2 2" xfId="18736"/>
    <cellStyle name="40% - 강조색5 7 4 2 2 2" xfId="18737"/>
    <cellStyle name="40% - 강조색5 7 4 2 2 3" xfId="18738"/>
    <cellStyle name="40% - 강조색5 7 4 2 3" xfId="18739"/>
    <cellStyle name="40% - 강조색5 7 4 2 4" xfId="18740"/>
    <cellStyle name="40% - 강조색5 7 4 3" xfId="18741"/>
    <cellStyle name="40% - 강조색5 7 4 3 2" xfId="18742"/>
    <cellStyle name="40% - 강조색5 7 4 3 3" xfId="18743"/>
    <cellStyle name="40% - 강조색5 7 4 4" xfId="18744"/>
    <cellStyle name="40% - 강조색5 7 4 5" xfId="18745"/>
    <cellStyle name="40% - 강조색5 7 5" xfId="18746"/>
    <cellStyle name="40% - 강조색5 7 5 2" xfId="18747"/>
    <cellStyle name="40% - 강조색5 7 5 2 2" xfId="18748"/>
    <cellStyle name="40% - 강조색5 7 5 2 2 2" xfId="18749"/>
    <cellStyle name="40% - 강조색5 7 5 2 2 3" xfId="18750"/>
    <cellStyle name="40% - 강조색5 7 5 2 3" xfId="18751"/>
    <cellStyle name="40% - 강조색5 7 5 2 4" xfId="18752"/>
    <cellStyle name="40% - 강조색5 7 5 3" xfId="18753"/>
    <cellStyle name="40% - 강조색5 7 5 3 2" xfId="18754"/>
    <cellStyle name="40% - 강조색5 7 5 3 3" xfId="18755"/>
    <cellStyle name="40% - 강조색5 7 5 4" xfId="18756"/>
    <cellStyle name="40% - 강조색5 7 5 5" xfId="18757"/>
    <cellStyle name="40% - 강조색5 7 6" xfId="18758"/>
    <cellStyle name="40% - 강조색5 7 6 2" xfId="18759"/>
    <cellStyle name="40% - 강조색5 7 6 2 2" xfId="18760"/>
    <cellStyle name="40% - 강조색5 7 6 2 2 2" xfId="18761"/>
    <cellStyle name="40% - 강조색5 7 6 2 2 3" xfId="18762"/>
    <cellStyle name="40% - 강조색5 7 6 2 3" xfId="18763"/>
    <cellStyle name="40% - 강조색5 7 6 2 4" xfId="18764"/>
    <cellStyle name="40% - 강조색5 7 6 3" xfId="18765"/>
    <cellStyle name="40% - 강조색5 7 6 3 2" xfId="18766"/>
    <cellStyle name="40% - 강조색5 7 6 3 3" xfId="18767"/>
    <cellStyle name="40% - 강조색5 7 6 4" xfId="18768"/>
    <cellStyle name="40% - 강조색5 7 6 5" xfId="18769"/>
    <cellStyle name="40% - 강조색5 7 7" xfId="18770"/>
    <cellStyle name="40% - 강조색5 7 7 2" xfId="18771"/>
    <cellStyle name="40% - 강조색5 7 7 2 2" xfId="18772"/>
    <cellStyle name="40% - 강조색5 7 7 2 3" xfId="18773"/>
    <cellStyle name="40% - 강조색5 7 7 3" xfId="18774"/>
    <cellStyle name="40% - 강조색5 7 7 4" xfId="18775"/>
    <cellStyle name="40% - 강조색5 7 8" xfId="18776"/>
    <cellStyle name="40% - 강조색5 7 8 2" xfId="18777"/>
    <cellStyle name="40% - 강조색5 7 8 3" xfId="18778"/>
    <cellStyle name="40% - 강조색5 7 9" xfId="18779"/>
    <cellStyle name="40% - 강조색5 8" xfId="18780"/>
    <cellStyle name="40% - 강조색5 8 2" xfId="18781"/>
    <cellStyle name="40% - 강조색5 8 2 2" xfId="18782"/>
    <cellStyle name="40% - 강조색5 8 2 2 2" xfId="18783"/>
    <cellStyle name="40% - 강조색5 8 2 2 2 2" xfId="18784"/>
    <cellStyle name="40% - 강조색5 8 2 2 2 3" xfId="18785"/>
    <cellStyle name="40% - 강조색5 8 2 2 3" xfId="18786"/>
    <cellStyle name="40% - 강조색5 8 2 2 4" xfId="18787"/>
    <cellStyle name="40% - 강조색5 8 2 3" xfId="18788"/>
    <cellStyle name="40% - 강조색5 8 2 3 2" xfId="18789"/>
    <cellStyle name="40% - 강조색5 8 2 3 3" xfId="18790"/>
    <cellStyle name="40% - 강조색5 8 2 4" xfId="18791"/>
    <cellStyle name="40% - 강조색5 8 2 5" xfId="18792"/>
    <cellStyle name="40% - 강조색5 8 3" xfId="18793"/>
    <cellStyle name="40% - 강조색5 8 3 2" xfId="18794"/>
    <cellStyle name="40% - 강조색5 8 3 2 2" xfId="18795"/>
    <cellStyle name="40% - 강조색5 8 3 2 2 2" xfId="18796"/>
    <cellStyle name="40% - 강조색5 8 3 2 2 3" xfId="18797"/>
    <cellStyle name="40% - 강조색5 8 3 2 3" xfId="18798"/>
    <cellStyle name="40% - 강조색5 8 3 2 4" xfId="18799"/>
    <cellStyle name="40% - 강조색5 8 3 3" xfId="18800"/>
    <cellStyle name="40% - 강조색5 8 3 3 2" xfId="18801"/>
    <cellStyle name="40% - 강조색5 8 3 3 3" xfId="18802"/>
    <cellStyle name="40% - 강조색5 8 3 4" xfId="18803"/>
    <cellStyle name="40% - 강조색5 8 3 5" xfId="18804"/>
    <cellStyle name="40% - 강조색5 8 4" xfId="18805"/>
    <cellStyle name="40% - 강조색5 8 4 2" xfId="18806"/>
    <cellStyle name="40% - 강조색5 8 4 2 2" xfId="18807"/>
    <cellStyle name="40% - 강조색5 8 4 2 3" xfId="18808"/>
    <cellStyle name="40% - 강조색5 8 4 3" xfId="18809"/>
    <cellStyle name="40% - 강조색5 8 4 4" xfId="18810"/>
    <cellStyle name="40% - 강조색5 8 5" xfId="18811"/>
    <cellStyle name="40% - 강조색5 8 5 2" xfId="18812"/>
    <cellStyle name="40% - 강조색5 8 5 3" xfId="18813"/>
    <cellStyle name="40% - 강조색5 8 6" xfId="18814"/>
    <cellStyle name="40% - 강조색5 8 7" xfId="18815"/>
    <cellStyle name="40% - 강조색5 9" xfId="18816"/>
    <cellStyle name="40% - 강조색5 9 2" xfId="18817"/>
    <cellStyle name="40% - 강조색5 9 2 2" xfId="18818"/>
    <cellStyle name="40% - 강조색5 9 2 2 2" xfId="18819"/>
    <cellStyle name="40% - 강조색5 9 2 2 2 2" xfId="18820"/>
    <cellStyle name="40% - 강조색5 9 2 2 2 3" xfId="18821"/>
    <cellStyle name="40% - 강조색5 9 2 2 3" xfId="18822"/>
    <cellStyle name="40% - 강조색5 9 2 2 4" xfId="18823"/>
    <cellStyle name="40% - 강조색5 9 2 3" xfId="18824"/>
    <cellStyle name="40% - 강조색5 9 2 3 2" xfId="18825"/>
    <cellStyle name="40% - 강조색5 9 2 3 3" xfId="18826"/>
    <cellStyle name="40% - 강조색5 9 2 4" xfId="18827"/>
    <cellStyle name="40% - 강조색5 9 2 5" xfId="18828"/>
    <cellStyle name="40% - 강조색5 9 3" xfId="18829"/>
    <cellStyle name="40% - 강조색5 9 3 2" xfId="18830"/>
    <cellStyle name="40% - 강조색5 9 3 2 2" xfId="18831"/>
    <cellStyle name="40% - 강조색5 9 3 2 2 2" xfId="18832"/>
    <cellStyle name="40% - 강조색5 9 3 2 2 3" xfId="18833"/>
    <cellStyle name="40% - 강조색5 9 3 2 3" xfId="18834"/>
    <cellStyle name="40% - 강조색5 9 3 2 4" xfId="18835"/>
    <cellStyle name="40% - 강조색5 9 3 3" xfId="18836"/>
    <cellStyle name="40% - 강조색5 9 3 3 2" xfId="18837"/>
    <cellStyle name="40% - 강조색5 9 3 3 3" xfId="18838"/>
    <cellStyle name="40% - 강조색5 9 3 4" xfId="18839"/>
    <cellStyle name="40% - 강조색5 9 3 5" xfId="18840"/>
    <cellStyle name="40% - 강조색5 9 4" xfId="18841"/>
    <cellStyle name="40% - 강조색5 9 4 2" xfId="18842"/>
    <cellStyle name="40% - 강조색5 9 4 2 2" xfId="18843"/>
    <cellStyle name="40% - 강조색5 9 4 2 3" xfId="18844"/>
    <cellStyle name="40% - 강조색5 9 4 3" xfId="18845"/>
    <cellStyle name="40% - 강조색5 9 4 4" xfId="18846"/>
    <cellStyle name="40% - 강조색5 9 5" xfId="18847"/>
    <cellStyle name="40% - 강조색5 9 5 2" xfId="18848"/>
    <cellStyle name="40% - 강조색5 9 5 3" xfId="18849"/>
    <cellStyle name="40% - 강조색5 9 6" xfId="18850"/>
    <cellStyle name="40% - 강조색5 9 7" xfId="18851"/>
    <cellStyle name="40% - 강조색6 10" xfId="18852"/>
    <cellStyle name="40% - 강조색6 10 2" xfId="18853"/>
    <cellStyle name="40% - 강조색6 10 2 2" xfId="18854"/>
    <cellStyle name="40% - 강조색6 10 2 2 2" xfId="18855"/>
    <cellStyle name="40% - 강조색6 10 2 2 2 2" xfId="18856"/>
    <cellStyle name="40% - 강조색6 10 2 2 2 3" xfId="18857"/>
    <cellStyle name="40% - 강조색6 10 2 2 3" xfId="18858"/>
    <cellStyle name="40% - 강조색6 10 2 2 4" xfId="18859"/>
    <cellStyle name="40% - 강조색6 10 2 3" xfId="18860"/>
    <cellStyle name="40% - 강조색6 10 2 3 2" xfId="18861"/>
    <cellStyle name="40% - 강조색6 10 2 3 3" xfId="18862"/>
    <cellStyle name="40% - 강조색6 10 2 4" xfId="18863"/>
    <cellStyle name="40% - 강조색6 10 2 5" xfId="18864"/>
    <cellStyle name="40% - 강조색6 10 3" xfId="18865"/>
    <cellStyle name="40% - 강조색6 10 3 2" xfId="18866"/>
    <cellStyle name="40% - 강조색6 10 3 2 2" xfId="18867"/>
    <cellStyle name="40% - 강조색6 10 3 2 2 2" xfId="18868"/>
    <cellStyle name="40% - 강조색6 10 3 2 2 3" xfId="18869"/>
    <cellStyle name="40% - 강조색6 10 3 2 3" xfId="18870"/>
    <cellStyle name="40% - 강조색6 10 3 2 4" xfId="18871"/>
    <cellStyle name="40% - 강조색6 10 3 3" xfId="18872"/>
    <cellStyle name="40% - 강조색6 10 3 3 2" xfId="18873"/>
    <cellStyle name="40% - 강조색6 10 3 3 3" xfId="18874"/>
    <cellStyle name="40% - 강조색6 10 3 4" xfId="18875"/>
    <cellStyle name="40% - 강조색6 10 3 5" xfId="18876"/>
    <cellStyle name="40% - 강조색6 10 4" xfId="18877"/>
    <cellStyle name="40% - 강조색6 10 4 2" xfId="18878"/>
    <cellStyle name="40% - 강조색6 10 4 2 2" xfId="18879"/>
    <cellStyle name="40% - 강조색6 10 4 2 3" xfId="18880"/>
    <cellStyle name="40% - 강조색6 10 4 3" xfId="18881"/>
    <cellStyle name="40% - 강조색6 10 4 4" xfId="18882"/>
    <cellStyle name="40% - 강조색6 10 5" xfId="18883"/>
    <cellStyle name="40% - 강조색6 10 5 2" xfId="18884"/>
    <cellStyle name="40% - 강조색6 10 5 3" xfId="18885"/>
    <cellStyle name="40% - 강조색6 10 6" xfId="18886"/>
    <cellStyle name="40% - 강조색6 10 7" xfId="18887"/>
    <cellStyle name="40% - 강조색6 11" xfId="18888"/>
    <cellStyle name="40% - 강조색6 11 2" xfId="18889"/>
    <cellStyle name="40% - 강조색6 11 2 2" xfId="18890"/>
    <cellStyle name="40% - 강조색6 11 2 2 2" xfId="18891"/>
    <cellStyle name="40% - 강조색6 11 2 2 3" xfId="18892"/>
    <cellStyle name="40% - 강조색6 11 2 3" xfId="18893"/>
    <cellStyle name="40% - 강조색6 11 2 4" xfId="18894"/>
    <cellStyle name="40% - 강조색6 11 3" xfId="18895"/>
    <cellStyle name="40% - 강조색6 11 3 2" xfId="18896"/>
    <cellStyle name="40% - 강조색6 11 3 3" xfId="18897"/>
    <cellStyle name="40% - 강조색6 11 4" xfId="18898"/>
    <cellStyle name="40% - 강조색6 11 5" xfId="18899"/>
    <cellStyle name="40% - 강조색6 12" xfId="18900"/>
    <cellStyle name="40% - 강조색6 12 2" xfId="18901"/>
    <cellStyle name="40% - 강조색6 12 2 2" xfId="18902"/>
    <cellStyle name="40% - 강조색6 12 2 2 2" xfId="18903"/>
    <cellStyle name="40% - 강조색6 12 2 2 3" xfId="18904"/>
    <cellStyle name="40% - 강조색6 12 2 3" xfId="18905"/>
    <cellStyle name="40% - 강조색6 12 2 4" xfId="18906"/>
    <cellStyle name="40% - 강조색6 12 3" xfId="18907"/>
    <cellStyle name="40% - 강조색6 12 3 2" xfId="18908"/>
    <cellStyle name="40% - 강조색6 12 3 3" xfId="18909"/>
    <cellStyle name="40% - 강조색6 12 4" xfId="18910"/>
    <cellStyle name="40% - 강조색6 12 5" xfId="18911"/>
    <cellStyle name="40% - 강조색6 13" xfId="18912"/>
    <cellStyle name="40% - 강조색6 13 2" xfId="18913"/>
    <cellStyle name="40% - 강조색6 13 2 2" xfId="18914"/>
    <cellStyle name="40% - 강조색6 13 2 3" xfId="18915"/>
    <cellStyle name="40% - 강조색6 13 3" xfId="18916"/>
    <cellStyle name="40% - 강조색6 13 4" xfId="18917"/>
    <cellStyle name="40% - 강조색6 14" xfId="18918"/>
    <cellStyle name="40% - 강조색6 14 2" xfId="18919"/>
    <cellStyle name="40% - 강조색6 14 2 2" xfId="18920"/>
    <cellStyle name="40% - 강조색6 14 2 3" xfId="18921"/>
    <cellStyle name="40% - 강조색6 14 3" xfId="18922"/>
    <cellStyle name="40% - 강조색6 14 4" xfId="18923"/>
    <cellStyle name="40% - 강조색6 15" xfId="18924"/>
    <cellStyle name="40% - 강조색6 15 2" xfId="18925"/>
    <cellStyle name="40% - 강조색6 15 3" xfId="18926"/>
    <cellStyle name="40% - 강조색6 16" xfId="18927"/>
    <cellStyle name="40% - 강조색6 16 2" xfId="18928"/>
    <cellStyle name="40% - 강조색6 16 3" xfId="18929"/>
    <cellStyle name="40% - 강조색6 16 4" xfId="18930"/>
    <cellStyle name="40% - 강조색6 17" xfId="18931"/>
    <cellStyle name="40% - 강조색6 17 2" xfId="18932"/>
    <cellStyle name="40% - 강조색6 17 3" xfId="18933"/>
    <cellStyle name="40% - 강조색6 18" xfId="18934"/>
    <cellStyle name="40% - 강조색6 18 2" xfId="18935"/>
    <cellStyle name="40% - 강조색6 18 3" xfId="18936"/>
    <cellStyle name="40% - 강조색6 19" xfId="18937"/>
    <cellStyle name="40% - 강조색6 19 2" xfId="18938"/>
    <cellStyle name="40% - 강조색6 19 3" xfId="18939"/>
    <cellStyle name="40% - 강조색6 2" xfId="18940"/>
    <cellStyle name="40% - 강조색6 2 2" xfId="18941"/>
    <cellStyle name="40% - 강조색6 2 2 2" xfId="18942"/>
    <cellStyle name="40% - 강조색6 2 2 2 2" xfId="18943"/>
    <cellStyle name="40% - 강조색6 2 2 3" xfId="18944"/>
    <cellStyle name="40% - 강조색6 2 3" xfId="18945"/>
    <cellStyle name="40% - 강조색6 2 3 2" xfId="18946"/>
    <cellStyle name="40% - 강조색6 2 3 2 2" xfId="18947"/>
    <cellStyle name="40% - 강조색6 2 3 3" xfId="18948"/>
    <cellStyle name="40% - 강조색6 2 4" xfId="18949"/>
    <cellStyle name="40% - 강조색6 2 4 2" xfId="18950"/>
    <cellStyle name="40% - 강조색6 2 5" xfId="18951"/>
    <cellStyle name="40% - 강조색6 2 6" xfId="18952"/>
    <cellStyle name="40% - 강조색6 20" xfId="18953"/>
    <cellStyle name="40% - 강조색6 20 2" xfId="18954"/>
    <cellStyle name="40% - 강조색6 20 3" xfId="18955"/>
    <cellStyle name="40% - 강조색6 21" xfId="18956"/>
    <cellStyle name="40% - 강조색6 21 2" xfId="18957"/>
    <cellStyle name="40% - 강조색6 21 3" xfId="18958"/>
    <cellStyle name="40% - 강조색6 22" xfId="18959"/>
    <cellStyle name="40% - 강조색6 22 2" xfId="18960"/>
    <cellStyle name="40% - 강조색6 22 3" xfId="18961"/>
    <cellStyle name="40% - 강조색6 23" xfId="18962"/>
    <cellStyle name="40% - 강조색6 23 2" xfId="18963"/>
    <cellStyle name="40% - 강조색6 23 3" xfId="18964"/>
    <cellStyle name="40% - 강조색6 24" xfId="18965"/>
    <cellStyle name="40% - 강조색6 24 2" xfId="18966"/>
    <cellStyle name="40% - 강조색6 25" xfId="18967"/>
    <cellStyle name="40% - 강조색6 25 2" xfId="18968"/>
    <cellStyle name="40% - 강조색6 26" xfId="18969"/>
    <cellStyle name="40% - 강조색6 26 2" xfId="18970"/>
    <cellStyle name="40% - 강조색6 27" xfId="18971"/>
    <cellStyle name="40% - 강조색6 27 2" xfId="18972"/>
    <cellStyle name="40% - 강조색6 28" xfId="18973"/>
    <cellStyle name="40% - 강조색6 28 2" xfId="18974"/>
    <cellStyle name="40% - 강조색6 29" xfId="18975"/>
    <cellStyle name="40% - 강조색6 29 2" xfId="18976"/>
    <cellStyle name="40% - 강조색6 3" xfId="18977"/>
    <cellStyle name="40% - 강조색6 3 10" xfId="18978"/>
    <cellStyle name="40% - 강조색6 3 10 2" xfId="18979"/>
    <cellStyle name="40% - 강조색6 3 10 2 2" xfId="18980"/>
    <cellStyle name="40% - 강조색6 3 10 2 3" xfId="18981"/>
    <cellStyle name="40% - 강조색6 3 10 3" xfId="18982"/>
    <cellStyle name="40% - 강조색6 3 10 4" xfId="18983"/>
    <cellStyle name="40% - 강조색6 3 11" xfId="18984"/>
    <cellStyle name="40% - 강조색6 3 11 2" xfId="18985"/>
    <cellStyle name="40% - 강조색6 3 11 3" xfId="18986"/>
    <cellStyle name="40% - 강조색6 3 12" xfId="18987"/>
    <cellStyle name="40% - 강조색6 3 13" xfId="18988"/>
    <cellStyle name="40% - 강조색6 3 14" xfId="18989"/>
    <cellStyle name="40% - 강조색6 3 15" xfId="18990"/>
    <cellStyle name="40% - 강조색6 3 2" xfId="18991"/>
    <cellStyle name="40% - 강조색6 3 2 10" xfId="18992"/>
    <cellStyle name="40% - 강조색6 3 2 11" xfId="18993"/>
    <cellStyle name="40% - 강조색6 3 2 12" xfId="18994"/>
    <cellStyle name="40% - 강조색6 3 2 2" xfId="18995"/>
    <cellStyle name="40% - 강조색6 3 2 2 2" xfId="18996"/>
    <cellStyle name="40% - 강조색6 3 2 2 2 2" xfId="18997"/>
    <cellStyle name="40% - 강조색6 3 2 2 2 2 2" xfId="18998"/>
    <cellStyle name="40% - 강조색6 3 2 2 2 2 2 2" xfId="18999"/>
    <cellStyle name="40% - 강조색6 3 2 2 2 2 2 3" xfId="19000"/>
    <cellStyle name="40% - 강조색6 3 2 2 2 2 3" xfId="19001"/>
    <cellStyle name="40% - 강조색6 3 2 2 2 2 4" xfId="19002"/>
    <cellStyle name="40% - 강조색6 3 2 2 2 3" xfId="19003"/>
    <cellStyle name="40% - 강조색6 3 2 2 2 3 2" xfId="19004"/>
    <cellStyle name="40% - 강조색6 3 2 2 2 3 3" xfId="19005"/>
    <cellStyle name="40% - 강조색6 3 2 2 2 4" xfId="19006"/>
    <cellStyle name="40% - 강조색6 3 2 2 2 5" xfId="19007"/>
    <cellStyle name="40% - 강조색6 3 2 2 3" xfId="19008"/>
    <cellStyle name="40% - 강조색6 3 2 2 3 2" xfId="19009"/>
    <cellStyle name="40% - 강조색6 3 2 2 3 2 2" xfId="19010"/>
    <cellStyle name="40% - 강조색6 3 2 2 3 2 2 2" xfId="19011"/>
    <cellStyle name="40% - 강조색6 3 2 2 3 2 2 3" xfId="19012"/>
    <cellStyle name="40% - 강조색6 3 2 2 3 2 3" xfId="19013"/>
    <cellStyle name="40% - 강조색6 3 2 2 3 2 4" xfId="19014"/>
    <cellStyle name="40% - 강조색6 3 2 2 3 3" xfId="19015"/>
    <cellStyle name="40% - 강조색6 3 2 2 3 3 2" xfId="19016"/>
    <cellStyle name="40% - 강조색6 3 2 2 3 3 3" xfId="19017"/>
    <cellStyle name="40% - 강조색6 3 2 2 3 4" xfId="19018"/>
    <cellStyle name="40% - 강조색6 3 2 2 3 5" xfId="19019"/>
    <cellStyle name="40% - 강조색6 3 2 2 4" xfId="19020"/>
    <cellStyle name="40% - 강조색6 3 2 2 4 2" xfId="19021"/>
    <cellStyle name="40% - 강조색6 3 2 2 4 2 2" xfId="19022"/>
    <cellStyle name="40% - 강조색6 3 2 2 4 2 3" xfId="19023"/>
    <cellStyle name="40% - 강조색6 3 2 2 4 3" xfId="19024"/>
    <cellStyle name="40% - 강조색6 3 2 2 4 4" xfId="19025"/>
    <cellStyle name="40% - 강조색6 3 2 2 5" xfId="19026"/>
    <cellStyle name="40% - 강조색6 3 2 2 5 2" xfId="19027"/>
    <cellStyle name="40% - 강조색6 3 2 2 5 3" xfId="19028"/>
    <cellStyle name="40% - 강조색6 3 2 2 6" xfId="19029"/>
    <cellStyle name="40% - 강조색6 3 2 2 7" xfId="19030"/>
    <cellStyle name="40% - 강조색6 3 2 2 8" xfId="19031"/>
    <cellStyle name="40% - 강조색6 3 2 2 9" xfId="19032"/>
    <cellStyle name="40% - 강조색6 3 2 3" xfId="19033"/>
    <cellStyle name="40% - 강조색6 3 2 3 2" xfId="19034"/>
    <cellStyle name="40% - 강조색6 3 2 3 2 2" xfId="19035"/>
    <cellStyle name="40% - 강조색6 3 2 3 2 2 2" xfId="19036"/>
    <cellStyle name="40% - 강조색6 3 2 3 2 2 2 2" xfId="19037"/>
    <cellStyle name="40% - 강조색6 3 2 3 2 2 2 3" xfId="19038"/>
    <cellStyle name="40% - 강조색6 3 2 3 2 2 3" xfId="19039"/>
    <cellStyle name="40% - 강조색6 3 2 3 2 2 4" xfId="19040"/>
    <cellStyle name="40% - 강조색6 3 2 3 2 3" xfId="19041"/>
    <cellStyle name="40% - 강조색6 3 2 3 2 3 2" xfId="19042"/>
    <cellStyle name="40% - 강조색6 3 2 3 2 3 3" xfId="19043"/>
    <cellStyle name="40% - 강조색6 3 2 3 2 4" xfId="19044"/>
    <cellStyle name="40% - 강조색6 3 2 3 2 5" xfId="19045"/>
    <cellStyle name="40% - 강조색6 3 2 3 3" xfId="19046"/>
    <cellStyle name="40% - 강조색6 3 2 3 3 2" xfId="19047"/>
    <cellStyle name="40% - 강조색6 3 2 3 3 2 2" xfId="19048"/>
    <cellStyle name="40% - 강조색6 3 2 3 3 2 2 2" xfId="19049"/>
    <cellStyle name="40% - 강조색6 3 2 3 3 2 2 3" xfId="19050"/>
    <cellStyle name="40% - 강조색6 3 2 3 3 2 3" xfId="19051"/>
    <cellStyle name="40% - 강조색6 3 2 3 3 2 4" xfId="19052"/>
    <cellStyle name="40% - 강조색6 3 2 3 3 3" xfId="19053"/>
    <cellStyle name="40% - 강조색6 3 2 3 3 3 2" xfId="19054"/>
    <cellStyle name="40% - 강조색6 3 2 3 3 3 3" xfId="19055"/>
    <cellStyle name="40% - 강조색6 3 2 3 3 4" xfId="19056"/>
    <cellStyle name="40% - 강조색6 3 2 3 3 5" xfId="19057"/>
    <cellStyle name="40% - 강조색6 3 2 3 4" xfId="19058"/>
    <cellStyle name="40% - 강조색6 3 2 3 4 2" xfId="19059"/>
    <cellStyle name="40% - 강조색6 3 2 3 4 2 2" xfId="19060"/>
    <cellStyle name="40% - 강조색6 3 2 3 4 2 3" xfId="19061"/>
    <cellStyle name="40% - 강조색6 3 2 3 4 3" xfId="19062"/>
    <cellStyle name="40% - 강조색6 3 2 3 4 4" xfId="19063"/>
    <cellStyle name="40% - 강조색6 3 2 3 5" xfId="19064"/>
    <cellStyle name="40% - 강조색6 3 2 3 5 2" xfId="19065"/>
    <cellStyle name="40% - 강조색6 3 2 3 5 3" xfId="19066"/>
    <cellStyle name="40% - 강조색6 3 2 3 6" xfId="19067"/>
    <cellStyle name="40% - 강조색6 3 2 3 7" xfId="19068"/>
    <cellStyle name="40% - 강조색6 3 2 4" xfId="19069"/>
    <cellStyle name="40% - 강조색6 3 2 4 2" xfId="19070"/>
    <cellStyle name="40% - 강조색6 3 2 4 2 2" xfId="19071"/>
    <cellStyle name="40% - 강조색6 3 2 4 2 2 2" xfId="19072"/>
    <cellStyle name="40% - 강조색6 3 2 4 2 2 3" xfId="19073"/>
    <cellStyle name="40% - 강조색6 3 2 4 2 3" xfId="19074"/>
    <cellStyle name="40% - 강조색6 3 2 4 2 4" xfId="19075"/>
    <cellStyle name="40% - 강조색6 3 2 4 3" xfId="19076"/>
    <cellStyle name="40% - 강조색6 3 2 4 3 2" xfId="19077"/>
    <cellStyle name="40% - 강조색6 3 2 4 3 3" xfId="19078"/>
    <cellStyle name="40% - 강조색6 3 2 4 4" xfId="19079"/>
    <cellStyle name="40% - 강조색6 3 2 4 5" xfId="19080"/>
    <cellStyle name="40% - 강조색6 3 2 5" xfId="19081"/>
    <cellStyle name="40% - 강조색6 3 2 5 2" xfId="19082"/>
    <cellStyle name="40% - 강조색6 3 2 5 2 2" xfId="19083"/>
    <cellStyle name="40% - 강조색6 3 2 5 2 2 2" xfId="19084"/>
    <cellStyle name="40% - 강조색6 3 2 5 2 2 3" xfId="19085"/>
    <cellStyle name="40% - 강조색6 3 2 5 2 3" xfId="19086"/>
    <cellStyle name="40% - 강조색6 3 2 5 2 4" xfId="19087"/>
    <cellStyle name="40% - 강조색6 3 2 5 3" xfId="19088"/>
    <cellStyle name="40% - 강조색6 3 2 5 3 2" xfId="19089"/>
    <cellStyle name="40% - 강조색6 3 2 5 3 3" xfId="19090"/>
    <cellStyle name="40% - 강조색6 3 2 5 4" xfId="19091"/>
    <cellStyle name="40% - 강조색6 3 2 5 5" xfId="19092"/>
    <cellStyle name="40% - 강조색6 3 2 6" xfId="19093"/>
    <cellStyle name="40% - 강조색6 3 2 6 2" xfId="19094"/>
    <cellStyle name="40% - 강조색6 3 2 6 2 2" xfId="19095"/>
    <cellStyle name="40% - 강조색6 3 2 6 2 2 2" xfId="19096"/>
    <cellStyle name="40% - 강조색6 3 2 6 2 2 3" xfId="19097"/>
    <cellStyle name="40% - 강조색6 3 2 6 2 3" xfId="19098"/>
    <cellStyle name="40% - 강조색6 3 2 6 2 4" xfId="19099"/>
    <cellStyle name="40% - 강조색6 3 2 6 3" xfId="19100"/>
    <cellStyle name="40% - 강조색6 3 2 6 3 2" xfId="19101"/>
    <cellStyle name="40% - 강조색6 3 2 6 3 3" xfId="19102"/>
    <cellStyle name="40% - 강조색6 3 2 6 4" xfId="19103"/>
    <cellStyle name="40% - 강조색6 3 2 6 5" xfId="19104"/>
    <cellStyle name="40% - 강조색6 3 2 7" xfId="19105"/>
    <cellStyle name="40% - 강조색6 3 2 7 2" xfId="19106"/>
    <cellStyle name="40% - 강조색6 3 2 7 2 2" xfId="19107"/>
    <cellStyle name="40% - 강조색6 3 2 7 2 3" xfId="19108"/>
    <cellStyle name="40% - 강조색6 3 2 7 3" xfId="19109"/>
    <cellStyle name="40% - 강조색6 3 2 7 4" xfId="19110"/>
    <cellStyle name="40% - 강조색6 3 2 8" xfId="19111"/>
    <cellStyle name="40% - 강조색6 3 2 8 2" xfId="19112"/>
    <cellStyle name="40% - 강조색6 3 2 8 3" xfId="19113"/>
    <cellStyle name="40% - 강조색6 3 2 9" xfId="19114"/>
    <cellStyle name="40% - 강조색6 3 3" xfId="19115"/>
    <cellStyle name="40% - 강조색6 3 3 10" xfId="19116"/>
    <cellStyle name="40% - 강조색6 3 3 11" xfId="19117"/>
    <cellStyle name="40% - 강조색6 3 3 12" xfId="19118"/>
    <cellStyle name="40% - 강조색6 3 3 2" xfId="19119"/>
    <cellStyle name="40% - 강조색6 3 3 2 2" xfId="19120"/>
    <cellStyle name="40% - 강조색6 3 3 2 2 2" xfId="19121"/>
    <cellStyle name="40% - 강조색6 3 3 2 2 2 2" xfId="19122"/>
    <cellStyle name="40% - 강조색6 3 3 2 2 2 2 2" xfId="19123"/>
    <cellStyle name="40% - 강조색6 3 3 2 2 2 2 3" xfId="19124"/>
    <cellStyle name="40% - 강조색6 3 3 2 2 2 3" xfId="19125"/>
    <cellStyle name="40% - 강조색6 3 3 2 2 2 4" xfId="19126"/>
    <cellStyle name="40% - 강조색6 3 3 2 2 3" xfId="19127"/>
    <cellStyle name="40% - 강조색6 3 3 2 2 3 2" xfId="19128"/>
    <cellStyle name="40% - 강조색6 3 3 2 2 3 3" xfId="19129"/>
    <cellStyle name="40% - 강조색6 3 3 2 2 4" xfId="19130"/>
    <cellStyle name="40% - 강조색6 3 3 2 2 5" xfId="19131"/>
    <cellStyle name="40% - 강조색6 3 3 2 3" xfId="19132"/>
    <cellStyle name="40% - 강조색6 3 3 2 3 2" xfId="19133"/>
    <cellStyle name="40% - 강조색6 3 3 2 3 2 2" xfId="19134"/>
    <cellStyle name="40% - 강조색6 3 3 2 3 2 2 2" xfId="19135"/>
    <cellStyle name="40% - 강조색6 3 3 2 3 2 2 3" xfId="19136"/>
    <cellStyle name="40% - 강조색6 3 3 2 3 2 3" xfId="19137"/>
    <cellStyle name="40% - 강조색6 3 3 2 3 2 4" xfId="19138"/>
    <cellStyle name="40% - 강조색6 3 3 2 3 3" xfId="19139"/>
    <cellStyle name="40% - 강조색6 3 3 2 3 3 2" xfId="19140"/>
    <cellStyle name="40% - 강조색6 3 3 2 3 3 3" xfId="19141"/>
    <cellStyle name="40% - 강조색6 3 3 2 3 4" xfId="19142"/>
    <cellStyle name="40% - 강조색6 3 3 2 3 5" xfId="19143"/>
    <cellStyle name="40% - 강조색6 3 3 2 4" xfId="19144"/>
    <cellStyle name="40% - 강조색6 3 3 2 4 2" xfId="19145"/>
    <cellStyle name="40% - 강조색6 3 3 2 4 2 2" xfId="19146"/>
    <cellStyle name="40% - 강조색6 3 3 2 4 2 3" xfId="19147"/>
    <cellStyle name="40% - 강조색6 3 3 2 4 3" xfId="19148"/>
    <cellStyle name="40% - 강조색6 3 3 2 4 4" xfId="19149"/>
    <cellStyle name="40% - 강조색6 3 3 2 5" xfId="19150"/>
    <cellStyle name="40% - 강조색6 3 3 2 5 2" xfId="19151"/>
    <cellStyle name="40% - 강조색6 3 3 2 5 3" xfId="19152"/>
    <cellStyle name="40% - 강조색6 3 3 2 6" xfId="19153"/>
    <cellStyle name="40% - 강조색6 3 3 2 7" xfId="19154"/>
    <cellStyle name="40% - 강조색6 3 3 2 8" xfId="19155"/>
    <cellStyle name="40% - 강조색6 3 3 2 9" xfId="19156"/>
    <cellStyle name="40% - 강조색6 3 3 3" xfId="19157"/>
    <cellStyle name="40% - 강조색6 3 3 3 2" xfId="19158"/>
    <cellStyle name="40% - 강조색6 3 3 3 2 2" xfId="19159"/>
    <cellStyle name="40% - 강조색6 3 3 3 2 2 2" xfId="19160"/>
    <cellStyle name="40% - 강조색6 3 3 3 2 2 2 2" xfId="19161"/>
    <cellStyle name="40% - 강조색6 3 3 3 2 2 2 3" xfId="19162"/>
    <cellStyle name="40% - 강조색6 3 3 3 2 2 3" xfId="19163"/>
    <cellStyle name="40% - 강조색6 3 3 3 2 2 4" xfId="19164"/>
    <cellStyle name="40% - 강조색6 3 3 3 2 3" xfId="19165"/>
    <cellStyle name="40% - 강조색6 3 3 3 2 3 2" xfId="19166"/>
    <cellStyle name="40% - 강조색6 3 3 3 2 3 3" xfId="19167"/>
    <cellStyle name="40% - 강조색6 3 3 3 2 4" xfId="19168"/>
    <cellStyle name="40% - 강조색6 3 3 3 2 5" xfId="19169"/>
    <cellStyle name="40% - 강조색6 3 3 3 3" xfId="19170"/>
    <cellStyle name="40% - 강조색6 3 3 3 3 2" xfId="19171"/>
    <cellStyle name="40% - 강조색6 3 3 3 3 2 2" xfId="19172"/>
    <cellStyle name="40% - 강조색6 3 3 3 3 2 2 2" xfId="19173"/>
    <cellStyle name="40% - 강조색6 3 3 3 3 2 2 3" xfId="19174"/>
    <cellStyle name="40% - 강조색6 3 3 3 3 2 3" xfId="19175"/>
    <cellStyle name="40% - 강조색6 3 3 3 3 2 4" xfId="19176"/>
    <cellStyle name="40% - 강조색6 3 3 3 3 3" xfId="19177"/>
    <cellStyle name="40% - 강조색6 3 3 3 3 3 2" xfId="19178"/>
    <cellStyle name="40% - 강조색6 3 3 3 3 3 3" xfId="19179"/>
    <cellStyle name="40% - 강조색6 3 3 3 3 4" xfId="19180"/>
    <cellStyle name="40% - 강조색6 3 3 3 3 5" xfId="19181"/>
    <cellStyle name="40% - 강조색6 3 3 3 4" xfId="19182"/>
    <cellStyle name="40% - 강조색6 3 3 3 4 2" xfId="19183"/>
    <cellStyle name="40% - 강조색6 3 3 3 4 2 2" xfId="19184"/>
    <cellStyle name="40% - 강조색6 3 3 3 4 2 3" xfId="19185"/>
    <cellStyle name="40% - 강조색6 3 3 3 4 3" xfId="19186"/>
    <cellStyle name="40% - 강조색6 3 3 3 4 4" xfId="19187"/>
    <cellStyle name="40% - 강조색6 3 3 3 5" xfId="19188"/>
    <cellStyle name="40% - 강조색6 3 3 3 5 2" xfId="19189"/>
    <cellStyle name="40% - 강조색6 3 3 3 5 3" xfId="19190"/>
    <cellStyle name="40% - 강조색6 3 3 3 6" xfId="19191"/>
    <cellStyle name="40% - 강조색6 3 3 3 7" xfId="19192"/>
    <cellStyle name="40% - 강조색6 3 3 4" xfId="19193"/>
    <cellStyle name="40% - 강조색6 3 3 4 2" xfId="19194"/>
    <cellStyle name="40% - 강조색6 3 3 4 2 2" xfId="19195"/>
    <cellStyle name="40% - 강조색6 3 3 4 2 2 2" xfId="19196"/>
    <cellStyle name="40% - 강조색6 3 3 4 2 2 3" xfId="19197"/>
    <cellStyle name="40% - 강조색6 3 3 4 2 3" xfId="19198"/>
    <cellStyle name="40% - 강조색6 3 3 4 2 4" xfId="19199"/>
    <cellStyle name="40% - 강조색6 3 3 4 3" xfId="19200"/>
    <cellStyle name="40% - 강조색6 3 3 4 3 2" xfId="19201"/>
    <cellStyle name="40% - 강조색6 3 3 4 3 3" xfId="19202"/>
    <cellStyle name="40% - 강조색6 3 3 4 4" xfId="19203"/>
    <cellStyle name="40% - 강조색6 3 3 4 5" xfId="19204"/>
    <cellStyle name="40% - 강조색6 3 3 5" xfId="19205"/>
    <cellStyle name="40% - 강조색6 3 3 5 2" xfId="19206"/>
    <cellStyle name="40% - 강조색6 3 3 5 2 2" xfId="19207"/>
    <cellStyle name="40% - 강조색6 3 3 5 2 2 2" xfId="19208"/>
    <cellStyle name="40% - 강조색6 3 3 5 2 2 3" xfId="19209"/>
    <cellStyle name="40% - 강조색6 3 3 5 2 3" xfId="19210"/>
    <cellStyle name="40% - 강조색6 3 3 5 2 4" xfId="19211"/>
    <cellStyle name="40% - 강조색6 3 3 5 3" xfId="19212"/>
    <cellStyle name="40% - 강조색6 3 3 5 3 2" xfId="19213"/>
    <cellStyle name="40% - 강조색6 3 3 5 3 3" xfId="19214"/>
    <cellStyle name="40% - 강조색6 3 3 5 4" xfId="19215"/>
    <cellStyle name="40% - 강조색6 3 3 5 5" xfId="19216"/>
    <cellStyle name="40% - 강조색6 3 3 6" xfId="19217"/>
    <cellStyle name="40% - 강조색6 3 3 6 2" xfId="19218"/>
    <cellStyle name="40% - 강조색6 3 3 6 2 2" xfId="19219"/>
    <cellStyle name="40% - 강조색6 3 3 6 2 2 2" xfId="19220"/>
    <cellStyle name="40% - 강조색6 3 3 6 2 2 3" xfId="19221"/>
    <cellStyle name="40% - 강조색6 3 3 6 2 3" xfId="19222"/>
    <cellStyle name="40% - 강조색6 3 3 6 2 4" xfId="19223"/>
    <cellStyle name="40% - 강조색6 3 3 6 3" xfId="19224"/>
    <cellStyle name="40% - 강조색6 3 3 6 3 2" xfId="19225"/>
    <cellStyle name="40% - 강조색6 3 3 6 3 3" xfId="19226"/>
    <cellStyle name="40% - 강조색6 3 3 6 4" xfId="19227"/>
    <cellStyle name="40% - 강조색6 3 3 6 5" xfId="19228"/>
    <cellStyle name="40% - 강조색6 3 3 7" xfId="19229"/>
    <cellStyle name="40% - 강조색6 3 3 7 2" xfId="19230"/>
    <cellStyle name="40% - 강조색6 3 3 7 2 2" xfId="19231"/>
    <cellStyle name="40% - 강조색6 3 3 7 2 3" xfId="19232"/>
    <cellStyle name="40% - 강조색6 3 3 7 3" xfId="19233"/>
    <cellStyle name="40% - 강조색6 3 3 7 4" xfId="19234"/>
    <cellStyle name="40% - 강조색6 3 3 8" xfId="19235"/>
    <cellStyle name="40% - 강조색6 3 3 8 2" xfId="19236"/>
    <cellStyle name="40% - 강조색6 3 3 8 3" xfId="19237"/>
    <cellStyle name="40% - 강조색6 3 3 9" xfId="19238"/>
    <cellStyle name="40% - 강조색6 3 4" xfId="19239"/>
    <cellStyle name="40% - 강조색6 3 4 10" xfId="19240"/>
    <cellStyle name="40% - 강조색6 3 4 11" xfId="19241"/>
    <cellStyle name="40% - 강조색6 3 4 12" xfId="19242"/>
    <cellStyle name="40% - 강조색6 3 4 2" xfId="19243"/>
    <cellStyle name="40% - 강조색6 3 4 2 2" xfId="19244"/>
    <cellStyle name="40% - 강조색6 3 4 2 2 2" xfId="19245"/>
    <cellStyle name="40% - 강조색6 3 4 2 2 2 2" xfId="19246"/>
    <cellStyle name="40% - 강조색6 3 4 2 2 2 2 2" xfId="19247"/>
    <cellStyle name="40% - 강조색6 3 4 2 2 2 2 3" xfId="19248"/>
    <cellStyle name="40% - 강조색6 3 4 2 2 2 3" xfId="19249"/>
    <cellStyle name="40% - 강조색6 3 4 2 2 2 4" xfId="19250"/>
    <cellStyle name="40% - 강조색6 3 4 2 2 3" xfId="19251"/>
    <cellStyle name="40% - 강조색6 3 4 2 2 3 2" xfId="19252"/>
    <cellStyle name="40% - 강조색6 3 4 2 2 3 3" xfId="19253"/>
    <cellStyle name="40% - 강조색6 3 4 2 2 4" xfId="19254"/>
    <cellStyle name="40% - 강조색6 3 4 2 2 5" xfId="19255"/>
    <cellStyle name="40% - 강조색6 3 4 2 3" xfId="19256"/>
    <cellStyle name="40% - 강조색6 3 4 2 3 2" xfId="19257"/>
    <cellStyle name="40% - 강조색6 3 4 2 3 2 2" xfId="19258"/>
    <cellStyle name="40% - 강조색6 3 4 2 3 2 2 2" xfId="19259"/>
    <cellStyle name="40% - 강조색6 3 4 2 3 2 2 3" xfId="19260"/>
    <cellStyle name="40% - 강조색6 3 4 2 3 2 3" xfId="19261"/>
    <cellStyle name="40% - 강조색6 3 4 2 3 2 4" xfId="19262"/>
    <cellStyle name="40% - 강조색6 3 4 2 3 3" xfId="19263"/>
    <cellStyle name="40% - 강조색6 3 4 2 3 3 2" xfId="19264"/>
    <cellStyle name="40% - 강조색6 3 4 2 3 3 3" xfId="19265"/>
    <cellStyle name="40% - 강조색6 3 4 2 3 4" xfId="19266"/>
    <cellStyle name="40% - 강조색6 3 4 2 3 5" xfId="19267"/>
    <cellStyle name="40% - 강조색6 3 4 2 4" xfId="19268"/>
    <cellStyle name="40% - 강조색6 3 4 2 4 2" xfId="19269"/>
    <cellStyle name="40% - 강조색6 3 4 2 4 2 2" xfId="19270"/>
    <cellStyle name="40% - 강조색6 3 4 2 4 2 3" xfId="19271"/>
    <cellStyle name="40% - 강조색6 3 4 2 4 3" xfId="19272"/>
    <cellStyle name="40% - 강조색6 3 4 2 4 4" xfId="19273"/>
    <cellStyle name="40% - 강조색6 3 4 2 5" xfId="19274"/>
    <cellStyle name="40% - 강조색6 3 4 2 5 2" xfId="19275"/>
    <cellStyle name="40% - 강조색6 3 4 2 5 3" xfId="19276"/>
    <cellStyle name="40% - 강조색6 3 4 2 6" xfId="19277"/>
    <cellStyle name="40% - 강조색6 3 4 2 7" xfId="19278"/>
    <cellStyle name="40% - 강조색6 3 4 3" xfId="19279"/>
    <cellStyle name="40% - 강조색6 3 4 3 2" xfId="19280"/>
    <cellStyle name="40% - 강조색6 3 4 3 2 2" xfId="19281"/>
    <cellStyle name="40% - 강조색6 3 4 3 2 2 2" xfId="19282"/>
    <cellStyle name="40% - 강조색6 3 4 3 2 2 2 2" xfId="19283"/>
    <cellStyle name="40% - 강조색6 3 4 3 2 2 2 3" xfId="19284"/>
    <cellStyle name="40% - 강조색6 3 4 3 2 2 3" xfId="19285"/>
    <cellStyle name="40% - 강조색6 3 4 3 2 2 4" xfId="19286"/>
    <cellStyle name="40% - 강조색6 3 4 3 2 3" xfId="19287"/>
    <cellStyle name="40% - 강조색6 3 4 3 2 3 2" xfId="19288"/>
    <cellStyle name="40% - 강조색6 3 4 3 2 3 3" xfId="19289"/>
    <cellStyle name="40% - 강조색6 3 4 3 2 4" xfId="19290"/>
    <cellStyle name="40% - 강조색6 3 4 3 2 5" xfId="19291"/>
    <cellStyle name="40% - 강조색6 3 4 3 3" xfId="19292"/>
    <cellStyle name="40% - 강조색6 3 4 3 3 2" xfId="19293"/>
    <cellStyle name="40% - 강조색6 3 4 3 3 2 2" xfId="19294"/>
    <cellStyle name="40% - 강조색6 3 4 3 3 2 2 2" xfId="19295"/>
    <cellStyle name="40% - 강조색6 3 4 3 3 2 2 3" xfId="19296"/>
    <cellStyle name="40% - 강조색6 3 4 3 3 2 3" xfId="19297"/>
    <cellStyle name="40% - 강조색6 3 4 3 3 2 4" xfId="19298"/>
    <cellStyle name="40% - 강조색6 3 4 3 3 3" xfId="19299"/>
    <cellStyle name="40% - 강조색6 3 4 3 3 3 2" xfId="19300"/>
    <cellStyle name="40% - 강조색6 3 4 3 3 3 3" xfId="19301"/>
    <cellStyle name="40% - 강조색6 3 4 3 3 4" xfId="19302"/>
    <cellStyle name="40% - 강조색6 3 4 3 3 5" xfId="19303"/>
    <cellStyle name="40% - 강조색6 3 4 3 4" xfId="19304"/>
    <cellStyle name="40% - 강조색6 3 4 3 4 2" xfId="19305"/>
    <cellStyle name="40% - 강조색6 3 4 3 4 2 2" xfId="19306"/>
    <cellStyle name="40% - 강조색6 3 4 3 4 2 3" xfId="19307"/>
    <cellStyle name="40% - 강조색6 3 4 3 4 3" xfId="19308"/>
    <cellStyle name="40% - 강조색6 3 4 3 4 4" xfId="19309"/>
    <cellStyle name="40% - 강조색6 3 4 3 5" xfId="19310"/>
    <cellStyle name="40% - 강조색6 3 4 3 5 2" xfId="19311"/>
    <cellStyle name="40% - 강조색6 3 4 3 5 3" xfId="19312"/>
    <cellStyle name="40% - 강조색6 3 4 3 6" xfId="19313"/>
    <cellStyle name="40% - 강조색6 3 4 3 7" xfId="19314"/>
    <cellStyle name="40% - 강조색6 3 4 4" xfId="19315"/>
    <cellStyle name="40% - 강조색6 3 4 4 2" xfId="19316"/>
    <cellStyle name="40% - 강조색6 3 4 4 2 2" xfId="19317"/>
    <cellStyle name="40% - 강조색6 3 4 4 2 2 2" xfId="19318"/>
    <cellStyle name="40% - 강조색6 3 4 4 2 2 3" xfId="19319"/>
    <cellStyle name="40% - 강조색6 3 4 4 2 3" xfId="19320"/>
    <cellStyle name="40% - 강조색6 3 4 4 2 4" xfId="19321"/>
    <cellStyle name="40% - 강조색6 3 4 4 3" xfId="19322"/>
    <cellStyle name="40% - 강조색6 3 4 4 3 2" xfId="19323"/>
    <cellStyle name="40% - 강조색6 3 4 4 3 3" xfId="19324"/>
    <cellStyle name="40% - 강조색6 3 4 4 4" xfId="19325"/>
    <cellStyle name="40% - 강조색6 3 4 4 5" xfId="19326"/>
    <cellStyle name="40% - 강조색6 3 4 5" xfId="19327"/>
    <cellStyle name="40% - 강조색6 3 4 5 2" xfId="19328"/>
    <cellStyle name="40% - 강조색6 3 4 5 2 2" xfId="19329"/>
    <cellStyle name="40% - 강조색6 3 4 5 2 2 2" xfId="19330"/>
    <cellStyle name="40% - 강조색6 3 4 5 2 2 3" xfId="19331"/>
    <cellStyle name="40% - 강조색6 3 4 5 2 3" xfId="19332"/>
    <cellStyle name="40% - 강조색6 3 4 5 2 4" xfId="19333"/>
    <cellStyle name="40% - 강조색6 3 4 5 3" xfId="19334"/>
    <cellStyle name="40% - 강조색6 3 4 5 3 2" xfId="19335"/>
    <cellStyle name="40% - 강조색6 3 4 5 3 3" xfId="19336"/>
    <cellStyle name="40% - 강조색6 3 4 5 4" xfId="19337"/>
    <cellStyle name="40% - 강조색6 3 4 5 5" xfId="19338"/>
    <cellStyle name="40% - 강조색6 3 4 6" xfId="19339"/>
    <cellStyle name="40% - 강조색6 3 4 6 2" xfId="19340"/>
    <cellStyle name="40% - 강조색6 3 4 6 2 2" xfId="19341"/>
    <cellStyle name="40% - 강조색6 3 4 6 2 2 2" xfId="19342"/>
    <cellStyle name="40% - 강조색6 3 4 6 2 2 3" xfId="19343"/>
    <cellStyle name="40% - 강조색6 3 4 6 2 3" xfId="19344"/>
    <cellStyle name="40% - 강조색6 3 4 6 2 4" xfId="19345"/>
    <cellStyle name="40% - 강조색6 3 4 6 3" xfId="19346"/>
    <cellStyle name="40% - 강조색6 3 4 6 3 2" xfId="19347"/>
    <cellStyle name="40% - 강조색6 3 4 6 3 3" xfId="19348"/>
    <cellStyle name="40% - 강조색6 3 4 6 4" xfId="19349"/>
    <cellStyle name="40% - 강조색6 3 4 6 5" xfId="19350"/>
    <cellStyle name="40% - 강조색6 3 4 7" xfId="19351"/>
    <cellStyle name="40% - 강조색6 3 4 7 2" xfId="19352"/>
    <cellStyle name="40% - 강조색6 3 4 7 2 2" xfId="19353"/>
    <cellStyle name="40% - 강조색6 3 4 7 2 3" xfId="19354"/>
    <cellStyle name="40% - 강조색6 3 4 7 3" xfId="19355"/>
    <cellStyle name="40% - 강조색6 3 4 7 4" xfId="19356"/>
    <cellStyle name="40% - 강조색6 3 4 8" xfId="19357"/>
    <cellStyle name="40% - 강조색6 3 4 8 2" xfId="19358"/>
    <cellStyle name="40% - 강조색6 3 4 8 3" xfId="19359"/>
    <cellStyle name="40% - 강조색6 3 4 9" xfId="19360"/>
    <cellStyle name="40% - 강조색6 3 5" xfId="19361"/>
    <cellStyle name="40% - 강조색6 3 5 2" xfId="19362"/>
    <cellStyle name="40% - 강조색6 3 5 2 2" xfId="19363"/>
    <cellStyle name="40% - 강조색6 3 5 2 2 2" xfId="19364"/>
    <cellStyle name="40% - 강조색6 3 5 2 2 2 2" xfId="19365"/>
    <cellStyle name="40% - 강조색6 3 5 2 2 2 3" xfId="19366"/>
    <cellStyle name="40% - 강조색6 3 5 2 2 3" xfId="19367"/>
    <cellStyle name="40% - 강조색6 3 5 2 2 4" xfId="19368"/>
    <cellStyle name="40% - 강조색6 3 5 2 3" xfId="19369"/>
    <cellStyle name="40% - 강조색6 3 5 2 3 2" xfId="19370"/>
    <cellStyle name="40% - 강조색6 3 5 2 3 3" xfId="19371"/>
    <cellStyle name="40% - 강조색6 3 5 2 4" xfId="19372"/>
    <cellStyle name="40% - 강조색6 3 5 2 5" xfId="19373"/>
    <cellStyle name="40% - 강조색6 3 5 3" xfId="19374"/>
    <cellStyle name="40% - 강조색6 3 5 3 2" xfId="19375"/>
    <cellStyle name="40% - 강조색6 3 5 3 2 2" xfId="19376"/>
    <cellStyle name="40% - 강조색6 3 5 3 2 2 2" xfId="19377"/>
    <cellStyle name="40% - 강조색6 3 5 3 2 2 3" xfId="19378"/>
    <cellStyle name="40% - 강조색6 3 5 3 2 3" xfId="19379"/>
    <cellStyle name="40% - 강조색6 3 5 3 2 4" xfId="19380"/>
    <cellStyle name="40% - 강조색6 3 5 3 3" xfId="19381"/>
    <cellStyle name="40% - 강조색6 3 5 3 3 2" xfId="19382"/>
    <cellStyle name="40% - 강조색6 3 5 3 3 3" xfId="19383"/>
    <cellStyle name="40% - 강조색6 3 5 3 4" xfId="19384"/>
    <cellStyle name="40% - 강조색6 3 5 3 5" xfId="19385"/>
    <cellStyle name="40% - 강조색6 3 5 4" xfId="19386"/>
    <cellStyle name="40% - 강조색6 3 5 4 2" xfId="19387"/>
    <cellStyle name="40% - 강조색6 3 5 4 2 2" xfId="19388"/>
    <cellStyle name="40% - 강조색6 3 5 4 2 3" xfId="19389"/>
    <cellStyle name="40% - 강조색6 3 5 4 3" xfId="19390"/>
    <cellStyle name="40% - 강조색6 3 5 4 4" xfId="19391"/>
    <cellStyle name="40% - 강조색6 3 5 5" xfId="19392"/>
    <cellStyle name="40% - 강조색6 3 5 5 2" xfId="19393"/>
    <cellStyle name="40% - 강조색6 3 5 5 3" xfId="19394"/>
    <cellStyle name="40% - 강조색6 3 5 6" xfId="19395"/>
    <cellStyle name="40% - 강조색6 3 5 7" xfId="19396"/>
    <cellStyle name="40% - 강조색6 3 5 8" xfId="19397"/>
    <cellStyle name="40% - 강조색6 3 6" xfId="19398"/>
    <cellStyle name="40% - 강조색6 3 6 2" xfId="19399"/>
    <cellStyle name="40% - 강조색6 3 6 2 2" xfId="19400"/>
    <cellStyle name="40% - 강조색6 3 6 2 2 2" xfId="19401"/>
    <cellStyle name="40% - 강조색6 3 6 2 2 2 2" xfId="19402"/>
    <cellStyle name="40% - 강조색6 3 6 2 2 2 3" xfId="19403"/>
    <cellStyle name="40% - 강조색6 3 6 2 2 3" xfId="19404"/>
    <cellStyle name="40% - 강조색6 3 6 2 2 4" xfId="19405"/>
    <cellStyle name="40% - 강조색6 3 6 2 3" xfId="19406"/>
    <cellStyle name="40% - 강조색6 3 6 2 3 2" xfId="19407"/>
    <cellStyle name="40% - 강조색6 3 6 2 3 3" xfId="19408"/>
    <cellStyle name="40% - 강조색6 3 6 2 4" xfId="19409"/>
    <cellStyle name="40% - 강조색6 3 6 2 5" xfId="19410"/>
    <cellStyle name="40% - 강조색6 3 6 3" xfId="19411"/>
    <cellStyle name="40% - 강조색6 3 6 3 2" xfId="19412"/>
    <cellStyle name="40% - 강조색6 3 6 3 2 2" xfId="19413"/>
    <cellStyle name="40% - 강조색6 3 6 3 2 2 2" xfId="19414"/>
    <cellStyle name="40% - 강조색6 3 6 3 2 2 3" xfId="19415"/>
    <cellStyle name="40% - 강조색6 3 6 3 2 3" xfId="19416"/>
    <cellStyle name="40% - 강조색6 3 6 3 2 4" xfId="19417"/>
    <cellStyle name="40% - 강조색6 3 6 3 3" xfId="19418"/>
    <cellStyle name="40% - 강조색6 3 6 3 3 2" xfId="19419"/>
    <cellStyle name="40% - 강조색6 3 6 3 3 3" xfId="19420"/>
    <cellStyle name="40% - 강조색6 3 6 3 4" xfId="19421"/>
    <cellStyle name="40% - 강조색6 3 6 3 5" xfId="19422"/>
    <cellStyle name="40% - 강조색6 3 6 4" xfId="19423"/>
    <cellStyle name="40% - 강조색6 3 6 4 2" xfId="19424"/>
    <cellStyle name="40% - 강조색6 3 6 4 2 2" xfId="19425"/>
    <cellStyle name="40% - 강조색6 3 6 4 2 3" xfId="19426"/>
    <cellStyle name="40% - 강조색6 3 6 4 3" xfId="19427"/>
    <cellStyle name="40% - 강조색6 3 6 4 4" xfId="19428"/>
    <cellStyle name="40% - 강조색6 3 6 5" xfId="19429"/>
    <cellStyle name="40% - 강조색6 3 6 5 2" xfId="19430"/>
    <cellStyle name="40% - 강조색6 3 6 5 3" xfId="19431"/>
    <cellStyle name="40% - 강조색6 3 6 6" xfId="19432"/>
    <cellStyle name="40% - 강조색6 3 6 7" xfId="19433"/>
    <cellStyle name="40% - 강조색6 3 7" xfId="19434"/>
    <cellStyle name="40% - 강조색6 3 7 2" xfId="19435"/>
    <cellStyle name="40% - 강조색6 3 7 2 2" xfId="19436"/>
    <cellStyle name="40% - 강조색6 3 7 2 2 2" xfId="19437"/>
    <cellStyle name="40% - 강조색6 3 7 2 2 3" xfId="19438"/>
    <cellStyle name="40% - 강조색6 3 7 2 3" xfId="19439"/>
    <cellStyle name="40% - 강조색6 3 7 2 4" xfId="19440"/>
    <cellStyle name="40% - 강조색6 3 7 3" xfId="19441"/>
    <cellStyle name="40% - 강조색6 3 7 3 2" xfId="19442"/>
    <cellStyle name="40% - 강조색6 3 7 3 3" xfId="19443"/>
    <cellStyle name="40% - 강조색6 3 7 4" xfId="19444"/>
    <cellStyle name="40% - 강조색6 3 7 5" xfId="19445"/>
    <cellStyle name="40% - 강조색6 3 8" xfId="19446"/>
    <cellStyle name="40% - 강조색6 3 8 2" xfId="19447"/>
    <cellStyle name="40% - 강조색6 3 8 2 2" xfId="19448"/>
    <cellStyle name="40% - 강조색6 3 8 2 2 2" xfId="19449"/>
    <cellStyle name="40% - 강조색6 3 8 2 2 3" xfId="19450"/>
    <cellStyle name="40% - 강조색6 3 8 2 3" xfId="19451"/>
    <cellStyle name="40% - 강조색6 3 8 2 4" xfId="19452"/>
    <cellStyle name="40% - 강조색6 3 8 3" xfId="19453"/>
    <cellStyle name="40% - 강조색6 3 8 3 2" xfId="19454"/>
    <cellStyle name="40% - 강조색6 3 8 3 3" xfId="19455"/>
    <cellStyle name="40% - 강조색6 3 8 4" xfId="19456"/>
    <cellStyle name="40% - 강조색6 3 8 5" xfId="19457"/>
    <cellStyle name="40% - 강조색6 3 9" xfId="19458"/>
    <cellStyle name="40% - 강조색6 3 9 2" xfId="19459"/>
    <cellStyle name="40% - 강조색6 3 9 2 2" xfId="19460"/>
    <cellStyle name="40% - 강조색6 3 9 2 2 2" xfId="19461"/>
    <cellStyle name="40% - 강조색6 3 9 2 2 3" xfId="19462"/>
    <cellStyle name="40% - 강조색6 3 9 2 3" xfId="19463"/>
    <cellStyle name="40% - 강조색6 3 9 2 4" xfId="19464"/>
    <cellStyle name="40% - 강조색6 3 9 3" xfId="19465"/>
    <cellStyle name="40% - 강조색6 3 9 3 2" xfId="19466"/>
    <cellStyle name="40% - 강조색6 3 9 3 3" xfId="19467"/>
    <cellStyle name="40% - 강조색6 3 9 4" xfId="19468"/>
    <cellStyle name="40% - 강조색6 3 9 5" xfId="19469"/>
    <cellStyle name="40% - 강조색6 30" xfId="19470"/>
    <cellStyle name="40% - 강조색6 30 2" xfId="19471"/>
    <cellStyle name="40% - 강조색6 31" xfId="19472"/>
    <cellStyle name="40% - 강조색6 31 2" xfId="19473"/>
    <cellStyle name="40% - 강조색6 32" xfId="19474"/>
    <cellStyle name="40% - 강조색6 32 2" xfId="19475"/>
    <cellStyle name="40% - 강조색6 33" xfId="19476"/>
    <cellStyle name="40% - 강조색6 33 2" xfId="19477"/>
    <cellStyle name="40% - 강조색6 34" xfId="19478"/>
    <cellStyle name="40% - 강조색6 34 2" xfId="19479"/>
    <cellStyle name="40% - 강조색6 35" xfId="19480"/>
    <cellStyle name="40% - 강조색6 36" xfId="19481"/>
    <cellStyle name="40% - 강조색6 37" xfId="19482"/>
    <cellStyle name="40% - 강조색6 38" xfId="19483"/>
    <cellStyle name="40% - 강조색6 39" xfId="19484"/>
    <cellStyle name="40% - 강조색6 4" xfId="19485"/>
    <cellStyle name="40% - 강조색6 4 10" xfId="19486"/>
    <cellStyle name="40% - 강조색6 4 10 2" xfId="19487"/>
    <cellStyle name="40% - 강조색6 4 10 2 2" xfId="19488"/>
    <cellStyle name="40% - 강조색6 4 10 2 3" xfId="19489"/>
    <cellStyle name="40% - 강조색6 4 10 3" xfId="19490"/>
    <cellStyle name="40% - 강조색6 4 10 4" xfId="19491"/>
    <cellStyle name="40% - 강조색6 4 11" xfId="19492"/>
    <cellStyle name="40% - 강조색6 4 11 2" xfId="19493"/>
    <cellStyle name="40% - 강조색6 4 11 3" xfId="19494"/>
    <cellStyle name="40% - 강조색6 4 12" xfId="19495"/>
    <cellStyle name="40% - 강조색6 4 13" xfId="19496"/>
    <cellStyle name="40% - 강조색6 4 14" xfId="19497"/>
    <cellStyle name="40% - 강조색6 4 2" xfId="19498"/>
    <cellStyle name="40% - 강조색6 4 2 10" xfId="19499"/>
    <cellStyle name="40% - 강조색6 4 2 2" xfId="19500"/>
    <cellStyle name="40% - 강조색6 4 2 2 2" xfId="19501"/>
    <cellStyle name="40% - 강조색6 4 2 2 2 2" xfId="19502"/>
    <cellStyle name="40% - 강조색6 4 2 2 2 2 2" xfId="19503"/>
    <cellStyle name="40% - 강조색6 4 2 2 2 2 2 2" xfId="19504"/>
    <cellStyle name="40% - 강조색6 4 2 2 2 2 2 3" xfId="19505"/>
    <cellStyle name="40% - 강조색6 4 2 2 2 2 3" xfId="19506"/>
    <cellStyle name="40% - 강조색6 4 2 2 2 2 4" xfId="19507"/>
    <cellStyle name="40% - 강조색6 4 2 2 2 3" xfId="19508"/>
    <cellStyle name="40% - 강조색6 4 2 2 2 3 2" xfId="19509"/>
    <cellStyle name="40% - 강조색6 4 2 2 2 3 3" xfId="19510"/>
    <cellStyle name="40% - 강조색6 4 2 2 2 4" xfId="19511"/>
    <cellStyle name="40% - 강조색6 4 2 2 2 5" xfId="19512"/>
    <cellStyle name="40% - 강조색6 4 2 2 3" xfId="19513"/>
    <cellStyle name="40% - 강조색6 4 2 2 3 2" xfId="19514"/>
    <cellStyle name="40% - 강조색6 4 2 2 3 2 2" xfId="19515"/>
    <cellStyle name="40% - 강조색6 4 2 2 3 2 2 2" xfId="19516"/>
    <cellStyle name="40% - 강조색6 4 2 2 3 2 2 3" xfId="19517"/>
    <cellStyle name="40% - 강조색6 4 2 2 3 2 3" xfId="19518"/>
    <cellStyle name="40% - 강조색6 4 2 2 3 2 4" xfId="19519"/>
    <cellStyle name="40% - 강조색6 4 2 2 3 3" xfId="19520"/>
    <cellStyle name="40% - 강조색6 4 2 2 3 3 2" xfId="19521"/>
    <cellStyle name="40% - 강조색6 4 2 2 3 3 3" xfId="19522"/>
    <cellStyle name="40% - 강조색6 4 2 2 3 4" xfId="19523"/>
    <cellStyle name="40% - 강조색6 4 2 2 3 5" xfId="19524"/>
    <cellStyle name="40% - 강조색6 4 2 2 4" xfId="19525"/>
    <cellStyle name="40% - 강조색6 4 2 2 4 2" xfId="19526"/>
    <cellStyle name="40% - 강조색6 4 2 2 4 2 2" xfId="19527"/>
    <cellStyle name="40% - 강조색6 4 2 2 4 2 3" xfId="19528"/>
    <cellStyle name="40% - 강조색6 4 2 2 4 3" xfId="19529"/>
    <cellStyle name="40% - 강조색6 4 2 2 4 4" xfId="19530"/>
    <cellStyle name="40% - 강조색6 4 2 2 5" xfId="19531"/>
    <cellStyle name="40% - 강조색6 4 2 2 5 2" xfId="19532"/>
    <cellStyle name="40% - 강조색6 4 2 2 5 3" xfId="19533"/>
    <cellStyle name="40% - 강조색6 4 2 2 6" xfId="19534"/>
    <cellStyle name="40% - 강조색6 4 2 2 7" xfId="19535"/>
    <cellStyle name="40% - 강조색6 4 2 3" xfId="19536"/>
    <cellStyle name="40% - 강조색6 4 2 3 2" xfId="19537"/>
    <cellStyle name="40% - 강조색6 4 2 3 2 2" xfId="19538"/>
    <cellStyle name="40% - 강조색6 4 2 3 2 2 2" xfId="19539"/>
    <cellStyle name="40% - 강조색6 4 2 3 2 2 2 2" xfId="19540"/>
    <cellStyle name="40% - 강조색6 4 2 3 2 2 2 3" xfId="19541"/>
    <cellStyle name="40% - 강조색6 4 2 3 2 2 3" xfId="19542"/>
    <cellStyle name="40% - 강조색6 4 2 3 2 2 4" xfId="19543"/>
    <cellStyle name="40% - 강조색6 4 2 3 2 3" xfId="19544"/>
    <cellStyle name="40% - 강조색6 4 2 3 2 3 2" xfId="19545"/>
    <cellStyle name="40% - 강조색6 4 2 3 2 3 3" xfId="19546"/>
    <cellStyle name="40% - 강조색6 4 2 3 2 4" xfId="19547"/>
    <cellStyle name="40% - 강조색6 4 2 3 2 5" xfId="19548"/>
    <cellStyle name="40% - 강조색6 4 2 3 3" xfId="19549"/>
    <cellStyle name="40% - 강조색6 4 2 3 3 2" xfId="19550"/>
    <cellStyle name="40% - 강조색6 4 2 3 3 2 2" xfId="19551"/>
    <cellStyle name="40% - 강조색6 4 2 3 3 2 2 2" xfId="19552"/>
    <cellStyle name="40% - 강조색6 4 2 3 3 2 2 3" xfId="19553"/>
    <cellStyle name="40% - 강조색6 4 2 3 3 2 3" xfId="19554"/>
    <cellStyle name="40% - 강조색6 4 2 3 3 2 4" xfId="19555"/>
    <cellStyle name="40% - 강조색6 4 2 3 3 3" xfId="19556"/>
    <cellStyle name="40% - 강조색6 4 2 3 3 3 2" xfId="19557"/>
    <cellStyle name="40% - 강조색6 4 2 3 3 3 3" xfId="19558"/>
    <cellStyle name="40% - 강조색6 4 2 3 3 4" xfId="19559"/>
    <cellStyle name="40% - 강조색6 4 2 3 3 5" xfId="19560"/>
    <cellStyle name="40% - 강조색6 4 2 3 4" xfId="19561"/>
    <cellStyle name="40% - 강조색6 4 2 3 4 2" xfId="19562"/>
    <cellStyle name="40% - 강조색6 4 2 3 4 2 2" xfId="19563"/>
    <cellStyle name="40% - 강조색6 4 2 3 4 2 3" xfId="19564"/>
    <cellStyle name="40% - 강조색6 4 2 3 4 3" xfId="19565"/>
    <cellStyle name="40% - 강조색6 4 2 3 4 4" xfId="19566"/>
    <cellStyle name="40% - 강조색6 4 2 3 5" xfId="19567"/>
    <cellStyle name="40% - 강조색6 4 2 3 5 2" xfId="19568"/>
    <cellStyle name="40% - 강조색6 4 2 3 5 3" xfId="19569"/>
    <cellStyle name="40% - 강조색6 4 2 3 6" xfId="19570"/>
    <cellStyle name="40% - 강조색6 4 2 3 7" xfId="19571"/>
    <cellStyle name="40% - 강조색6 4 2 4" xfId="19572"/>
    <cellStyle name="40% - 강조색6 4 2 4 2" xfId="19573"/>
    <cellStyle name="40% - 강조색6 4 2 4 2 2" xfId="19574"/>
    <cellStyle name="40% - 강조색6 4 2 4 2 2 2" xfId="19575"/>
    <cellStyle name="40% - 강조색6 4 2 4 2 2 3" xfId="19576"/>
    <cellStyle name="40% - 강조색6 4 2 4 2 3" xfId="19577"/>
    <cellStyle name="40% - 강조색6 4 2 4 2 4" xfId="19578"/>
    <cellStyle name="40% - 강조색6 4 2 4 3" xfId="19579"/>
    <cellStyle name="40% - 강조색6 4 2 4 3 2" xfId="19580"/>
    <cellStyle name="40% - 강조색6 4 2 4 3 3" xfId="19581"/>
    <cellStyle name="40% - 강조색6 4 2 4 4" xfId="19582"/>
    <cellStyle name="40% - 강조색6 4 2 4 5" xfId="19583"/>
    <cellStyle name="40% - 강조색6 4 2 5" xfId="19584"/>
    <cellStyle name="40% - 강조색6 4 2 5 2" xfId="19585"/>
    <cellStyle name="40% - 강조색6 4 2 5 2 2" xfId="19586"/>
    <cellStyle name="40% - 강조색6 4 2 5 2 2 2" xfId="19587"/>
    <cellStyle name="40% - 강조색6 4 2 5 2 2 3" xfId="19588"/>
    <cellStyle name="40% - 강조색6 4 2 5 2 3" xfId="19589"/>
    <cellStyle name="40% - 강조색6 4 2 5 2 4" xfId="19590"/>
    <cellStyle name="40% - 강조색6 4 2 5 3" xfId="19591"/>
    <cellStyle name="40% - 강조색6 4 2 5 3 2" xfId="19592"/>
    <cellStyle name="40% - 강조색6 4 2 5 3 3" xfId="19593"/>
    <cellStyle name="40% - 강조색6 4 2 5 4" xfId="19594"/>
    <cellStyle name="40% - 강조색6 4 2 5 5" xfId="19595"/>
    <cellStyle name="40% - 강조색6 4 2 6" xfId="19596"/>
    <cellStyle name="40% - 강조색6 4 2 6 2" xfId="19597"/>
    <cellStyle name="40% - 강조색6 4 2 6 2 2" xfId="19598"/>
    <cellStyle name="40% - 강조색6 4 2 6 2 2 2" xfId="19599"/>
    <cellStyle name="40% - 강조색6 4 2 6 2 2 3" xfId="19600"/>
    <cellStyle name="40% - 강조색6 4 2 6 2 3" xfId="19601"/>
    <cellStyle name="40% - 강조색6 4 2 6 2 4" xfId="19602"/>
    <cellStyle name="40% - 강조색6 4 2 6 3" xfId="19603"/>
    <cellStyle name="40% - 강조색6 4 2 6 3 2" xfId="19604"/>
    <cellStyle name="40% - 강조색6 4 2 6 3 3" xfId="19605"/>
    <cellStyle name="40% - 강조색6 4 2 6 4" xfId="19606"/>
    <cellStyle name="40% - 강조색6 4 2 6 5" xfId="19607"/>
    <cellStyle name="40% - 강조색6 4 2 7" xfId="19608"/>
    <cellStyle name="40% - 강조색6 4 2 7 2" xfId="19609"/>
    <cellStyle name="40% - 강조색6 4 2 7 2 2" xfId="19610"/>
    <cellStyle name="40% - 강조색6 4 2 7 2 3" xfId="19611"/>
    <cellStyle name="40% - 강조색6 4 2 7 3" xfId="19612"/>
    <cellStyle name="40% - 강조색6 4 2 7 4" xfId="19613"/>
    <cellStyle name="40% - 강조색6 4 2 8" xfId="19614"/>
    <cellStyle name="40% - 강조색6 4 2 8 2" xfId="19615"/>
    <cellStyle name="40% - 강조색6 4 2 8 3" xfId="19616"/>
    <cellStyle name="40% - 강조색6 4 2 9" xfId="19617"/>
    <cellStyle name="40% - 강조색6 4 3" xfId="19618"/>
    <cellStyle name="40% - 강조색6 4 3 10" xfId="19619"/>
    <cellStyle name="40% - 강조색6 4 3 2" xfId="19620"/>
    <cellStyle name="40% - 강조색6 4 3 2 2" xfId="19621"/>
    <cellStyle name="40% - 강조색6 4 3 2 2 2" xfId="19622"/>
    <cellStyle name="40% - 강조색6 4 3 2 2 2 2" xfId="19623"/>
    <cellStyle name="40% - 강조색6 4 3 2 2 2 2 2" xfId="19624"/>
    <cellStyle name="40% - 강조색6 4 3 2 2 2 2 3" xfId="19625"/>
    <cellStyle name="40% - 강조색6 4 3 2 2 2 3" xfId="19626"/>
    <cellStyle name="40% - 강조색6 4 3 2 2 2 4" xfId="19627"/>
    <cellStyle name="40% - 강조색6 4 3 2 2 3" xfId="19628"/>
    <cellStyle name="40% - 강조색6 4 3 2 2 3 2" xfId="19629"/>
    <cellStyle name="40% - 강조색6 4 3 2 2 3 3" xfId="19630"/>
    <cellStyle name="40% - 강조색6 4 3 2 2 4" xfId="19631"/>
    <cellStyle name="40% - 강조색6 4 3 2 2 5" xfId="19632"/>
    <cellStyle name="40% - 강조색6 4 3 2 3" xfId="19633"/>
    <cellStyle name="40% - 강조색6 4 3 2 3 2" xfId="19634"/>
    <cellStyle name="40% - 강조색6 4 3 2 3 2 2" xfId="19635"/>
    <cellStyle name="40% - 강조색6 4 3 2 3 2 2 2" xfId="19636"/>
    <cellStyle name="40% - 강조색6 4 3 2 3 2 2 3" xfId="19637"/>
    <cellStyle name="40% - 강조색6 4 3 2 3 2 3" xfId="19638"/>
    <cellStyle name="40% - 강조색6 4 3 2 3 2 4" xfId="19639"/>
    <cellStyle name="40% - 강조색6 4 3 2 3 3" xfId="19640"/>
    <cellStyle name="40% - 강조색6 4 3 2 3 3 2" xfId="19641"/>
    <cellStyle name="40% - 강조색6 4 3 2 3 3 3" xfId="19642"/>
    <cellStyle name="40% - 강조색6 4 3 2 3 4" xfId="19643"/>
    <cellStyle name="40% - 강조색6 4 3 2 3 5" xfId="19644"/>
    <cellStyle name="40% - 강조색6 4 3 2 4" xfId="19645"/>
    <cellStyle name="40% - 강조색6 4 3 2 4 2" xfId="19646"/>
    <cellStyle name="40% - 강조색6 4 3 2 4 2 2" xfId="19647"/>
    <cellStyle name="40% - 강조색6 4 3 2 4 2 3" xfId="19648"/>
    <cellStyle name="40% - 강조색6 4 3 2 4 3" xfId="19649"/>
    <cellStyle name="40% - 강조색6 4 3 2 4 4" xfId="19650"/>
    <cellStyle name="40% - 강조색6 4 3 2 5" xfId="19651"/>
    <cellStyle name="40% - 강조색6 4 3 2 5 2" xfId="19652"/>
    <cellStyle name="40% - 강조색6 4 3 2 5 3" xfId="19653"/>
    <cellStyle name="40% - 강조색6 4 3 2 6" xfId="19654"/>
    <cellStyle name="40% - 강조색6 4 3 2 7" xfId="19655"/>
    <cellStyle name="40% - 강조색6 4 3 3" xfId="19656"/>
    <cellStyle name="40% - 강조색6 4 3 3 2" xfId="19657"/>
    <cellStyle name="40% - 강조색6 4 3 3 2 2" xfId="19658"/>
    <cellStyle name="40% - 강조색6 4 3 3 2 2 2" xfId="19659"/>
    <cellStyle name="40% - 강조색6 4 3 3 2 2 2 2" xfId="19660"/>
    <cellStyle name="40% - 강조색6 4 3 3 2 2 2 3" xfId="19661"/>
    <cellStyle name="40% - 강조색6 4 3 3 2 2 3" xfId="19662"/>
    <cellStyle name="40% - 강조색6 4 3 3 2 2 4" xfId="19663"/>
    <cellStyle name="40% - 강조색6 4 3 3 2 3" xfId="19664"/>
    <cellStyle name="40% - 강조색6 4 3 3 2 3 2" xfId="19665"/>
    <cellStyle name="40% - 강조색6 4 3 3 2 3 3" xfId="19666"/>
    <cellStyle name="40% - 강조색6 4 3 3 2 4" xfId="19667"/>
    <cellStyle name="40% - 강조색6 4 3 3 2 5" xfId="19668"/>
    <cellStyle name="40% - 강조색6 4 3 3 3" xfId="19669"/>
    <cellStyle name="40% - 강조색6 4 3 3 3 2" xfId="19670"/>
    <cellStyle name="40% - 강조색6 4 3 3 3 2 2" xfId="19671"/>
    <cellStyle name="40% - 강조색6 4 3 3 3 2 2 2" xfId="19672"/>
    <cellStyle name="40% - 강조색6 4 3 3 3 2 2 3" xfId="19673"/>
    <cellStyle name="40% - 강조색6 4 3 3 3 2 3" xfId="19674"/>
    <cellStyle name="40% - 강조색6 4 3 3 3 2 4" xfId="19675"/>
    <cellStyle name="40% - 강조색6 4 3 3 3 3" xfId="19676"/>
    <cellStyle name="40% - 강조색6 4 3 3 3 3 2" xfId="19677"/>
    <cellStyle name="40% - 강조색6 4 3 3 3 3 3" xfId="19678"/>
    <cellStyle name="40% - 강조색6 4 3 3 3 4" xfId="19679"/>
    <cellStyle name="40% - 강조색6 4 3 3 3 5" xfId="19680"/>
    <cellStyle name="40% - 강조색6 4 3 3 4" xfId="19681"/>
    <cellStyle name="40% - 강조색6 4 3 3 4 2" xfId="19682"/>
    <cellStyle name="40% - 강조색6 4 3 3 4 2 2" xfId="19683"/>
    <cellStyle name="40% - 강조색6 4 3 3 4 2 3" xfId="19684"/>
    <cellStyle name="40% - 강조색6 4 3 3 4 3" xfId="19685"/>
    <cellStyle name="40% - 강조색6 4 3 3 4 4" xfId="19686"/>
    <cellStyle name="40% - 강조색6 4 3 3 5" xfId="19687"/>
    <cellStyle name="40% - 강조색6 4 3 3 5 2" xfId="19688"/>
    <cellStyle name="40% - 강조색6 4 3 3 5 3" xfId="19689"/>
    <cellStyle name="40% - 강조색6 4 3 3 6" xfId="19690"/>
    <cellStyle name="40% - 강조색6 4 3 3 7" xfId="19691"/>
    <cellStyle name="40% - 강조색6 4 3 4" xfId="19692"/>
    <cellStyle name="40% - 강조색6 4 3 4 2" xfId="19693"/>
    <cellStyle name="40% - 강조색6 4 3 4 2 2" xfId="19694"/>
    <cellStyle name="40% - 강조색6 4 3 4 2 2 2" xfId="19695"/>
    <cellStyle name="40% - 강조색6 4 3 4 2 2 3" xfId="19696"/>
    <cellStyle name="40% - 강조색6 4 3 4 2 3" xfId="19697"/>
    <cellStyle name="40% - 강조색6 4 3 4 2 4" xfId="19698"/>
    <cellStyle name="40% - 강조색6 4 3 4 3" xfId="19699"/>
    <cellStyle name="40% - 강조색6 4 3 4 3 2" xfId="19700"/>
    <cellStyle name="40% - 강조색6 4 3 4 3 3" xfId="19701"/>
    <cellStyle name="40% - 강조색6 4 3 4 4" xfId="19702"/>
    <cellStyle name="40% - 강조색6 4 3 4 5" xfId="19703"/>
    <cellStyle name="40% - 강조색6 4 3 5" xfId="19704"/>
    <cellStyle name="40% - 강조색6 4 3 5 2" xfId="19705"/>
    <cellStyle name="40% - 강조색6 4 3 5 2 2" xfId="19706"/>
    <cellStyle name="40% - 강조색6 4 3 5 2 2 2" xfId="19707"/>
    <cellStyle name="40% - 강조색6 4 3 5 2 2 3" xfId="19708"/>
    <cellStyle name="40% - 강조색6 4 3 5 2 3" xfId="19709"/>
    <cellStyle name="40% - 강조색6 4 3 5 2 4" xfId="19710"/>
    <cellStyle name="40% - 강조색6 4 3 5 3" xfId="19711"/>
    <cellStyle name="40% - 강조색6 4 3 5 3 2" xfId="19712"/>
    <cellStyle name="40% - 강조색6 4 3 5 3 3" xfId="19713"/>
    <cellStyle name="40% - 강조색6 4 3 5 4" xfId="19714"/>
    <cellStyle name="40% - 강조색6 4 3 5 5" xfId="19715"/>
    <cellStyle name="40% - 강조색6 4 3 6" xfId="19716"/>
    <cellStyle name="40% - 강조색6 4 3 6 2" xfId="19717"/>
    <cellStyle name="40% - 강조색6 4 3 6 2 2" xfId="19718"/>
    <cellStyle name="40% - 강조색6 4 3 6 2 2 2" xfId="19719"/>
    <cellStyle name="40% - 강조색6 4 3 6 2 2 3" xfId="19720"/>
    <cellStyle name="40% - 강조색6 4 3 6 2 3" xfId="19721"/>
    <cellStyle name="40% - 강조색6 4 3 6 2 4" xfId="19722"/>
    <cellStyle name="40% - 강조색6 4 3 6 3" xfId="19723"/>
    <cellStyle name="40% - 강조색6 4 3 6 3 2" xfId="19724"/>
    <cellStyle name="40% - 강조색6 4 3 6 3 3" xfId="19725"/>
    <cellStyle name="40% - 강조색6 4 3 6 4" xfId="19726"/>
    <cellStyle name="40% - 강조색6 4 3 6 5" xfId="19727"/>
    <cellStyle name="40% - 강조색6 4 3 7" xfId="19728"/>
    <cellStyle name="40% - 강조색6 4 3 7 2" xfId="19729"/>
    <cellStyle name="40% - 강조색6 4 3 7 2 2" xfId="19730"/>
    <cellStyle name="40% - 강조색6 4 3 7 2 3" xfId="19731"/>
    <cellStyle name="40% - 강조색6 4 3 7 3" xfId="19732"/>
    <cellStyle name="40% - 강조색6 4 3 7 4" xfId="19733"/>
    <cellStyle name="40% - 강조색6 4 3 8" xfId="19734"/>
    <cellStyle name="40% - 강조색6 4 3 8 2" xfId="19735"/>
    <cellStyle name="40% - 강조색6 4 3 8 3" xfId="19736"/>
    <cellStyle name="40% - 강조색6 4 3 9" xfId="19737"/>
    <cellStyle name="40% - 강조색6 4 4" xfId="19738"/>
    <cellStyle name="40% - 강조색6 4 4 10" xfId="19739"/>
    <cellStyle name="40% - 강조색6 4 4 2" xfId="19740"/>
    <cellStyle name="40% - 강조색6 4 4 2 2" xfId="19741"/>
    <cellStyle name="40% - 강조색6 4 4 2 2 2" xfId="19742"/>
    <cellStyle name="40% - 강조색6 4 4 2 2 2 2" xfId="19743"/>
    <cellStyle name="40% - 강조색6 4 4 2 2 2 2 2" xfId="19744"/>
    <cellStyle name="40% - 강조색6 4 4 2 2 2 2 3" xfId="19745"/>
    <cellStyle name="40% - 강조색6 4 4 2 2 2 3" xfId="19746"/>
    <cellStyle name="40% - 강조색6 4 4 2 2 2 4" xfId="19747"/>
    <cellStyle name="40% - 강조색6 4 4 2 2 3" xfId="19748"/>
    <cellStyle name="40% - 강조색6 4 4 2 2 3 2" xfId="19749"/>
    <cellStyle name="40% - 강조색6 4 4 2 2 3 3" xfId="19750"/>
    <cellStyle name="40% - 강조색6 4 4 2 2 4" xfId="19751"/>
    <cellStyle name="40% - 강조색6 4 4 2 2 5" xfId="19752"/>
    <cellStyle name="40% - 강조색6 4 4 2 3" xfId="19753"/>
    <cellStyle name="40% - 강조색6 4 4 2 3 2" xfId="19754"/>
    <cellStyle name="40% - 강조색6 4 4 2 3 2 2" xfId="19755"/>
    <cellStyle name="40% - 강조색6 4 4 2 3 2 2 2" xfId="19756"/>
    <cellStyle name="40% - 강조색6 4 4 2 3 2 2 3" xfId="19757"/>
    <cellStyle name="40% - 강조색6 4 4 2 3 2 3" xfId="19758"/>
    <cellStyle name="40% - 강조색6 4 4 2 3 2 4" xfId="19759"/>
    <cellStyle name="40% - 강조색6 4 4 2 3 3" xfId="19760"/>
    <cellStyle name="40% - 강조색6 4 4 2 3 3 2" xfId="19761"/>
    <cellStyle name="40% - 강조색6 4 4 2 3 3 3" xfId="19762"/>
    <cellStyle name="40% - 강조색6 4 4 2 3 4" xfId="19763"/>
    <cellStyle name="40% - 강조색6 4 4 2 3 5" xfId="19764"/>
    <cellStyle name="40% - 강조색6 4 4 2 4" xfId="19765"/>
    <cellStyle name="40% - 강조색6 4 4 2 4 2" xfId="19766"/>
    <cellStyle name="40% - 강조색6 4 4 2 4 2 2" xfId="19767"/>
    <cellStyle name="40% - 강조색6 4 4 2 4 2 3" xfId="19768"/>
    <cellStyle name="40% - 강조색6 4 4 2 4 3" xfId="19769"/>
    <cellStyle name="40% - 강조색6 4 4 2 4 4" xfId="19770"/>
    <cellStyle name="40% - 강조색6 4 4 2 5" xfId="19771"/>
    <cellStyle name="40% - 강조색6 4 4 2 5 2" xfId="19772"/>
    <cellStyle name="40% - 강조색6 4 4 2 5 3" xfId="19773"/>
    <cellStyle name="40% - 강조색6 4 4 2 6" xfId="19774"/>
    <cellStyle name="40% - 강조색6 4 4 2 7" xfId="19775"/>
    <cellStyle name="40% - 강조색6 4 4 3" xfId="19776"/>
    <cellStyle name="40% - 강조색6 4 4 3 2" xfId="19777"/>
    <cellStyle name="40% - 강조색6 4 4 3 2 2" xfId="19778"/>
    <cellStyle name="40% - 강조색6 4 4 3 2 2 2" xfId="19779"/>
    <cellStyle name="40% - 강조색6 4 4 3 2 2 2 2" xfId="19780"/>
    <cellStyle name="40% - 강조색6 4 4 3 2 2 2 3" xfId="19781"/>
    <cellStyle name="40% - 강조색6 4 4 3 2 2 3" xfId="19782"/>
    <cellStyle name="40% - 강조색6 4 4 3 2 2 4" xfId="19783"/>
    <cellStyle name="40% - 강조색6 4 4 3 2 3" xfId="19784"/>
    <cellStyle name="40% - 강조색6 4 4 3 2 3 2" xfId="19785"/>
    <cellStyle name="40% - 강조색6 4 4 3 2 3 3" xfId="19786"/>
    <cellStyle name="40% - 강조색6 4 4 3 2 4" xfId="19787"/>
    <cellStyle name="40% - 강조색6 4 4 3 2 5" xfId="19788"/>
    <cellStyle name="40% - 강조색6 4 4 3 3" xfId="19789"/>
    <cellStyle name="40% - 강조색6 4 4 3 3 2" xfId="19790"/>
    <cellStyle name="40% - 강조색6 4 4 3 3 2 2" xfId="19791"/>
    <cellStyle name="40% - 강조색6 4 4 3 3 2 2 2" xfId="19792"/>
    <cellStyle name="40% - 강조색6 4 4 3 3 2 2 3" xfId="19793"/>
    <cellStyle name="40% - 강조색6 4 4 3 3 2 3" xfId="19794"/>
    <cellStyle name="40% - 강조색6 4 4 3 3 2 4" xfId="19795"/>
    <cellStyle name="40% - 강조색6 4 4 3 3 3" xfId="19796"/>
    <cellStyle name="40% - 강조색6 4 4 3 3 3 2" xfId="19797"/>
    <cellStyle name="40% - 강조색6 4 4 3 3 3 3" xfId="19798"/>
    <cellStyle name="40% - 강조색6 4 4 3 3 4" xfId="19799"/>
    <cellStyle name="40% - 강조색6 4 4 3 3 5" xfId="19800"/>
    <cellStyle name="40% - 강조색6 4 4 3 4" xfId="19801"/>
    <cellStyle name="40% - 강조색6 4 4 3 4 2" xfId="19802"/>
    <cellStyle name="40% - 강조색6 4 4 3 4 2 2" xfId="19803"/>
    <cellStyle name="40% - 강조색6 4 4 3 4 2 3" xfId="19804"/>
    <cellStyle name="40% - 강조색6 4 4 3 4 3" xfId="19805"/>
    <cellStyle name="40% - 강조색6 4 4 3 4 4" xfId="19806"/>
    <cellStyle name="40% - 강조색6 4 4 3 5" xfId="19807"/>
    <cellStyle name="40% - 강조색6 4 4 3 5 2" xfId="19808"/>
    <cellStyle name="40% - 강조색6 4 4 3 5 3" xfId="19809"/>
    <cellStyle name="40% - 강조색6 4 4 3 6" xfId="19810"/>
    <cellStyle name="40% - 강조색6 4 4 3 7" xfId="19811"/>
    <cellStyle name="40% - 강조색6 4 4 4" xfId="19812"/>
    <cellStyle name="40% - 강조색6 4 4 4 2" xfId="19813"/>
    <cellStyle name="40% - 강조색6 4 4 4 2 2" xfId="19814"/>
    <cellStyle name="40% - 강조색6 4 4 4 2 2 2" xfId="19815"/>
    <cellStyle name="40% - 강조색6 4 4 4 2 2 3" xfId="19816"/>
    <cellStyle name="40% - 강조색6 4 4 4 2 3" xfId="19817"/>
    <cellStyle name="40% - 강조색6 4 4 4 2 4" xfId="19818"/>
    <cellStyle name="40% - 강조색6 4 4 4 3" xfId="19819"/>
    <cellStyle name="40% - 강조색6 4 4 4 3 2" xfId="19820"/>
    <cellStyle name="40% - 강조색6 4 4 4 3 3" xfId="19821"/>
    <cellStyle name="40% - 강조색6 4 4 4 4" xfId="19822"/>
    <cellStyle name="40% - 강조색6 4 4 4 5" xfId="19823"/>
    <cellStyle name="40% - 강조색6 4 4 5" xfId="19824"/>
    <cellStyle name="40% - 강조색6 4 4 5 2" xfId="19825"/>
    <cellStyle name="40% - 강조색6 4 4 5 2 2" xfId="19826"/>
    <cellStyle name="40% - 강조색6 4 4 5 2 2 2" xfId="19827"/>
    <cellStyle name="40% - 강조색6 4 4 5 2 2 3" xfId="19828"/>
    <cellStyle name="40% - 강조색6 4 4 5 2 3" xfId="19829"/>
    <cellStyle name="40% - 강조색6 4 4 5 2 4" xfId="19830"/>
    <cellStyle name="40% - 강조색6 4 4 5 3" xfId="19831"/>
    <cellStyle name="40% - 강조색6 4 4 5 3 2" xfId="19832"/>
    <cellStyle name="40% - 강조색6 4 4 5 3 3" xfId="19833"/>
    <cellStyle name="40% - 강조색6 4 4 5 4" xfId="19834"/>
    <cellStyle name="40% - 강조색6 4 4 5 5" xfId="19835"/>
    <cellStyle name="40% - 강조색6 4 4 6" xfId="19836"/>
    <cellStyle name="40% - 강조색6 4 4 6 2" xfId="19837"/>
    <cellStyle name="40% - 강조색6 4 4 6 2 2" xfId="19838"/>
    <cellStyle name="40% - 강조색6 4 4 6 2 2 2" xfId="19839"/>
    <cellStyle name="40% - 강조색6 4 4 6 2 2 3" xfId="19840"/>
    <cellStyle name="40% - 강조색6 4 4 6 2 3" xfId="19841"/>
    <cellStyle name="40% - 강조색6 4 4 6 2 4" xfId="19842"/>
    <cellStyle name="40% - 강조색6 4 4 6 3" xfId="19843"/>
    <cellStyle name="40% - 강조색6 4 4 6 3 2" xfId="19844"/>
    <cellStyle name="40% - 강조색6 4 4 6 3 3" xfId="19845"/>
    <cellStyle name="40% - 강조색6 4 4 6 4" xfId="19846"/>
    <cellStyle name="40% - 강조색6 4 4 6 5" xfId="19847"/>
    <cellStyle name="40% - 강조색6 4 4 7" xfId="19848"/>
    <cellStyle name="40% - 강조색6 4 4 7 2" xfId="19849"/>
    <cellStyle name="40% - 강조색6 4 4 7 2 2" xfId="19850"/>
    <cellStyle name="40% - 강조색6 4 4 7 2 3" xfId="19851"/>
    <cellStyle name="40% - 강조색6 4 4 7 3" xfId="19852"/>
    <cellStyle name="40% - 강조색6 4 4 7 4" xfId="19853"/>
    <cellStyle name="40% - 강조색6 4 4 8" xfId="19854"/>
    <cellStyle name="40% - 강조색6 4 4 8 2" xfId="19855"/>
    <cellStyle name="40% - 강조색6 4 4 8 3" xfId="19856"/>
    <cellStyle name="40% - 강조색6 4 4 9" xfId="19857"/>
    <cellStyle name="40% - 강조색6 4 5" xfId="19858"/>
    <cellStyle name="40% - 강조색6 4 5 2" xfId="19859"/>
    <cellStyle name="40% - 강조색6 4 5 2 2" xfId="19860"/>
    <cellStyle name="40% - 강조색6 4 5 2 2 2" xfId="19861"/>
    <cellStyle name="40% - 강조색6 4 5 2 2 2 2" xfId="19862"/>
    <cellStyle name="40% - 강조색6 4 5 2 2 2 3" xfId="19863"/>
    <cellStyle name="40% - 강조색6 4 5 2 2 3" xfId="19864"/>
    <cellStyle name="40% - 강조색6 4 5 2 2 4" xfId="19865"/>
    <cellStyle name="40% - 강조색6 4 5 2 3" xfId="19866"/>
    <cellStyle name="40% - 강조색6 4 5 2 3 2" xfId="19867"/>
    <cellStyle name="40% - 강조색6 4 5 2 3 3" xfId="19868"/>
    <cellStyle name="40% - 강조색6 4 5 2 4" xfId="19869"/>
    <cellStyle name="40% - 강조색6 4 5 2 5" xfId="19870"/>
    <cellStyle name="40% - 강조색6 4 5 3" xfId="19871"/>
    <cellStyle name="40% - 강조색6 4 5 3 2" xfId="19872"/>
    <cellStyle name="40% - 강조색6 4 5 3 2 2" xfId="19873"/>
    <cellStyle name="40% - 강조색6 4 5 3 2 2 2" xfId="19874"/>
    <cellStyle name="40% - 강조색6 4 5 3 2 2 3" xfId="19875"/>
    <cellStyle name="40% - 강조색6 4 5 3 2 3" xfId="19876"/>
    <cellStyle name="40% - 강조색6 4 5 3 2 4" xfId="19877"/>
    <cellStyle name="40% - 강조색6 4 5 3 3" xfId="19878"/>
    <cellStyle name="40% - 강조색6 4 5 3 3 2" xfId="19879"/>
    <cellStyle name="40% - 강조색6 4 5 3 3 3" xfId="19880"/>
    <cellStyle name="40% - 강조색6 4 5 3 4" xfId="19881"/>
    <cellStyle name="40% - 강조색6 4 5 3 5" xfId="19882"/>
    <cellStyle name="40% - 강조색6 4 5 4" xfId="19883"/>
    <cellStyle name="40% - 강조색6 4 5 4 2" xfId="19884"/>
    <cellStyle name="40% - 강조색6 4 5 4 2 2" xfId="19885"/>
    <cellStyle name="40% - 강조색6 4 5 4 2 3" xfId="19886"/>
    <cellStyle name="40% - 강조색6 4 5 4 3" xfId="19887"/>
    <cellStyle name="40% - 강조색6 4 5 4 4" xfId="19888"/>
    <cellStyle name="40% - 강조색6 4 5 5" xfId="19889"/>
    <cellStyle name="40% - 강조색6 4 5 5 2" xfId="19890"/>
    <cellStyle name="40% - 강조색6 4 5 5 3" xfId="19891"/>
    <cellStyle name="40% - 강조색6 4 5 6" xfId="19892"/>
    <cellStyle name="40% - 강조색6 4 5 7" xfId="19893"/>
    <cellStyle name="40% - 강조색6 4 6" xfId="19894"/>
    <cellStyle name="40% - 강조색6 4 6 2" xfId="19895"/>
    <cellStyle name="40% - 강조색6 4 6 2 2" xfId="19896"/>
    <cellStyle name="40% - 강조색6 4 6 2 2 2" xfId="19897"/>
    <cellStyle name="40% - 강조색6 4 6 2 2 2 2" xfId="19898"/>
    <cellStyle name="40% - 강조색6 4 6 2 2 2 3" xfId="19899"/>
    <cellStyle name="40% - 강조색6 4 6 2 2 3" xfId="19900"/>
    <cellStyle name="40% - 강조색6 4 6 2 2 4" xfId="19901"/>
    <cellStyle name="40% - 강조색6 4 6 2 3" xfId="19902"/>
    <cellStyle name="40% - 강조색6 4 6 2 3 2" xfId="19903"/>
    <cellStyle name="40% - 강조색6 4 6 2 3 3" xfId="19904"/>
    <cellStyle name="40% - 강조색6 4 6 2 4" xfId="19905"/>
    <cellStyle name="40% - 강조색6 4 6 2 5" xfId="19906"/>
    <cellStyle name="40% - 강조색6 4 6 3" xfId="19907"/>
    <cellStyle name="40% - 강조색6 4 6 3 2" xfId="19908"/>
    <cellStyle name="40% - 강조색6 4 6 3 2 2" xfId="19909"/>
    <cellStyle name="40% - 강조색6 4 6 3 2 2 2" xfId="19910"/>
    <cellStyle name="40% - 강조색6 4 6 3 2 2 3" xfId="19911"/>
    <cellStyle name="40% - 강조색6 4 6 3 2 3" xfId="19912"/>
    <cellStyle name="40% - 강조색6 4 6 3 2 4" xfId="19913"/>
    <cellStyle name="40% - 강조색6 4 6 3 3" xfId="19914"/>
    <cellStyle name="40% - 강조색6 4 6 3 3 2" xfId="19915"/>
    <cellStyle name="40% - 강조색6 4 6 3 3 3" xfId="19916"/>
    <cellStyle name="40% - 강조색6 4 6 3 4" xfId="19917"/>
    <cellStyle name="40% - 강조색6 4 6 3 5" xfId="19918"/>
    <cellStyle name="40% - 강조색6 4 6 4" xfId="19919"/>
    <cellStyle name="40% - 강조색6 4 6 4 2" xfId="19920"/>
    <cellStyle name="40% - 강조색6 4 6 4 2 2" xfId="19921"/>
    <cellStyle name="40% - 강조색6 4 6 4 2 3" xfId="19922"/>
    <cellStyle name="40% - 강조색6 4 6 4 3" xfId="19923"/>
    <cellStyle name="40% - 강조색6 4 6 4 4" xfId="19924"/>
    <cellStyle name="40% - 강조색6 4 6 5" xfId="19925"/>
    <cellStyle name="40% - 강조색6 4 6 5 2" xfId="19926"/>
    <cellStyle name="40% - 강조색6 4 6 5 3" xfId="19927"/>
    <cellStyle name="40% - 강조색6 4 6 6" xfId="19928"/>
    <cellStyle name="40% - 강조색6 4 6 7" xfId="19929"/>
    <cellStyle name="40% - 강조색6 4 7" xfId="19930"/>
    <cellStyle name="40% - 강조색6 4 7 2" xfId="19931"/>
    <cellStyle name="40% - 강조색6 4 7 2 2" xfId="19932"/>
    <cellStyle name="40% - 강조색6 4 7 2 2 2" xfId="19933"/>
    <cellStyle name="40% - 강조색6 4 7 2 2 3" xfId="19934"/>
    <cellStyle name="40% - 강조색6 4 7 2 3" xfId="19935"/>
    <cellStyle name="40% - 강조색6 4 7 2 4" xfId="19936"/>
    <cellStyle name="40% - 강조색6 4 7 3" xfId="19937"/>
    <cellStyle name="40% - 강조색6 4 7 3 2" xfId="19938"/>
    <cellStyle name="40% - 강조색6 4 7 3 3" xfId="19939"/>
    <cellStyle name="40% - 강조색6 4 7 4" xfId="19940"/>
    <cellStyle name="40% - 강조색6 4 7 5" xfId="19941"/>
    <cellStyle name="40% - 강조색6 4 8" xfId="19942"/>
    <cellStyle name="40% - 강조색6 4 8 2" xfId="19943"/>
    <cellStyle name="40% - 강조색6 4 8 2 2" xfId="19944"/>
    <cellStyle name="40% - 강조색6 4 8 2 2 2" xfId="19945"/>
    <cellStyle name="40% - 강조색6 4 8 2 2 3" xfId="19946"/>
    <cellStyle name="40% - 강조색6 4 8 2 3" xfId="19947"/>
    <cellStyle name="40% - 강조색6 4 8 2 4" xfId="19948"/>
    <cellStyle name="40% - 강조색6 4 8 3" xfId="19949"/>
    <cellStyle name="40% - 강조색6 4 8 3 2" xfId="19950"/>
    <cellStyle name="40% - 강조색6 4 8 3 3" xfId="19951"/>
    <cellStyle name="40% - 강조색6 4 8 4" xfId="19952"/>
    <cellStyle name="40% - 강조색6 4 8 5" xfId="19953"/>
    <cellStyle name="40% - 강조색6 4 9" xfId="19954"/>
    <cellStyle name="40% - 강조색6 4 9 2" xfId="19955"/>
    <cellStyle name="40% - 강조색6 4 9 2 2" xfId="19956"/>
    <cellStyle name="40% - 강조색6 4 9 2 2 2" xfId="19957"/>
    <cellStyle name="40% - 강조색6 4 9 2 2 3" xfId="19958"/>
    <cellStyle name="40% - 강조색6 4 9 2 3" xfId="19959"/>
    <cellStyle name="40% - 강조색6 4 9 2 4" xfId="19960"/>
    <cellStyle name="40% - 강조색6 4 9 3" xfId="19961"/>
    <cellStyle name="40% - 강조색6 4 9 3 2" xfId="19962"/>
    <cellStyle name="40% - 강조색6 4 9 3 3" xfId="19963"/>
    <cellStyle name="40% - 강조색6 4 9 4" xfId="19964"/>
    <cellStyle name="40% - 강조색6 4 9 5" xfId="19965"/>
    <cellStyle name="40% - 강조색6 40" xfId="19966"/>
    <cellStyle name="40% - 강조색6 41" xfId="19967"/>
    <cellStyle name="40% - 강조색6 42" xfId="19968"/>
    <cellStyle name="40% - 강조색6 43" xfId="19969"/>
    <cellStyle name="40% - 강조색6 44" xfId="19970"/>
    <cellStyle name="40% - 강조색6 45" xfId="19971"/>
    <cellStyle name="40% - 강조색6 46" xfId="19972"/>
    <cellStyle name="40% - 강조색6 47" xfId="19973"/>
    <cellStyle name="40% - 강조색6 48" xfId="19974"/>
    <cellStyle name="40% - 강조색6 49" xfId="19975"/>
    <cellStyle name="40% - 강조색6 5" xfId="19976"/>
    <cellStyle name="40% - 강조색6 5 10" xfId="19977"/>
    <cellStyle name="40% - 강조색6 5 11" xfId="19978"/>
    <cellStyle name="40% - 강조색6 5 2" xfId="19979"/>
    <cellStyle name="40% - 강조색6 5 2 2" xfId="19980"/>
    <cellStyle name="40% - 강조색6 5 2 2 2" xfId="19981"/>
    <cellStyle name="40% - 강조색6 5 2 2 2 2" xfId="19982"/>
    <cellStyle name="40% - 강조색6 5 2 2 2 2 2" xfId="19983"/>
    <cellStyle name="40% - 강조색6 5 2 2 2 2 3" xfId="19984"/>
    <cellStyle name="40% - 강조색6 5 2 2 2 3" xfId="19985"/>
    <cellStyle name="40% - 강조색6 5 2 2 2 4" xfId="19986"/>
    <cellStyle name="40% - 강조색6 5 2 2 3" xfId="19987"/>
    <cellStyle name="40% - 강조색6 5 2 2 3 2" xfId="19988"/>
    <cellStyle name="40% - 강조색6 5 2 2 3 3" xfId="19989"/>
    <cellStyle name="40% - 강조색6 5 2 2 4" xfId="19990"/>
    <cellStyle name="40% - 강조색6 5 2 2 5" xfId="19991"/>
    <cellStyle name="40% - 강조색6 5 2 3" xfId="19992"/>
    <cellStyle name="40% - 강조색6 5 2 3 2" xfId="19993"/>
    <cellStyle name="40% - 강조색6 5 2 3 2 2" xfId="19994"/>
    <cellStyle name="40% - 강조색6 5 2 3 2 2 2" xfId="19995"/>
    <cellStyle name="40% - 강조색6 5 2 3 2 2 3" xfId="19996"/>
    <cellStyle name="40% - 강조색6 5 2 3 2 3" xfId="19997"/>
    <cellStyle name="40% - 강조색6 5 2 3 2 4" xfId="19998"/>
    <cellStyle name="40% - 강조색6 5 2 3 3" xfId="19999"/>
    <cellStyle name="40% - 강조색6 5 2 3 3 2" xfId="20000"/>
    <cellStyle name="40% - 강조색6 5 2 3 3 3" xfId="20001"/>
    <cellStyle name="40% - 강조색6 5 2 3 4" xfId="20002"/>
    <cellStyle name="40% - 강조색6 5 2 3 5" xfId="20003"/>
    <cellStyle name="40% - 강조색6 5 2 4" xfId="20004"/>
    <cellStyle name="40% - 강조색6 5 2 4 2" xfId="20005"/>
    <cellStyle name="40% - 강조색6 5 2 4 2 2" xfId="20006"/>
    <cellStyle name="40% - 강조색6 5 2 4 2 3" xfId="20007"/>
    <cellStyle name="40% - 강조색6 5 2 4 3" xfId="20008"/>
    <cellStyle name="40% - 강조색6 5 2 4 4" xfId="20009"/>
    <cellStyle name="40% - 강조색6 5 2 5" xfId="20010"/>
    <cellStyle name="40% - 강조색6 5 2 5 2" xfId="20011"/>
    <cellStyle name="40% - 강조색6 5 2 5 3" xfId="20012"/>
    <cellStyle name="40% - 강조색6 5 2 6" xfId="20013"/>
    <cellStyle name="40% - 강조색6 5 2 7" xfId="20014"/>
    <cellStyle name="40% - 강조색6 5 3" xfId="20015"/>
    <cellStyle name="40% - 강조색6 5 3 2" xfId="20016"/>
    <cellStyle name="40% - 강조색6 5 3 2 2" xfId="20017"/>
    <cellStyle name="40% - 강조색6 5 3 2 2 2" xfId="20018"/>
    <cellStyle name="40% - 강조색6 5 3 2 2 2 2" xfId="20019"/>
    <cellStyle name="40% - 강조색6 5 3 2 2 2 3" xfId="20020"/>
    <cellStyle name="40% - 강조색6 5 3 2 2 3" xfId="20021"/>
    <cellStyle name="40% - 강조색6 5 3 2 2 4" xfId="20022"/>
    <cellStyle name="40% - 강조색6 5 3 2 3" xfId="20023"/>
    <cellStyle name="40% - 강조색6 5 3 2 3 2" xfId="20024"/>
    <cellStyle name="40% - 강조색6 5 3 2 3 3" xfId="20025"/>
    <cellStyle name="40% - 강조색6 5 3 2 4" xfId="20026"/>
    <cellStyle name="40% - 강조색6 5 3 2 5" xfId="20027"/>
    <cellStyle name="40% - 강조색6 5 3 3" xfId="20028"/>
    <cellStyle name="40% - 강조색6 5 3 3 2" xfId="20029"/>
    <cellStyle name="40% - 강조색6 5 3 3 2 2" xfId="20030"/>
    <cellStyle name="40% - 강조색6 5 3 3 2 2 2" xfId="20031"/>
    <cellStyle name="40% - 강조색6 5 3 3 2 2 3" xfId="20032"/>
    <cellStyle name="40% - 강조색6 5 3 3 2 3" xfId="20033"/>
    <cellStyle name="40% - 강조색6 5 3 3 2 4" xfId="20034"/>
    <cellStyle name="40% - 강조색6 5 3 3 3" xfId="20035"/>
    <cellStyle name="40% - 강조색6 5 3 3 3 2" xfId="20036"/>
    <cellStyle name="40% - 강조색6 5 3 3 3 3" xfId="20037"/>
    <cellStyle name="40% - 강조색6 5 3 3 4" xfId="20038"/>
    <cellStyle name="40% - 강조색6 5 3 3 5" xfId="20039"/>
    <cellStyle name="40% - 강조색6 5 3 4" xfId="20040"/>
    <cellStyle name="40% - 강조색6 5 3 4 2" xfId="20041"/>
    <cellStyle name="40% - 강조색6 5 3 4 2 2" xfId="20042"/>
    <cellStyle name="40% - 강조색6 5 3 4 2 3" xfId="20043"/>
    <cellStyle name="40% - 강조색6 5 3 4 3" xfId="20044"/>
    <cellStyle name="40% - 강조색6 5 3 4 4" xfId="20045"/>
    <cellStyle name="40% - 강조색6 5 3 5" xfId="20046"/>
    <cellStyle name="40% - 강조색6 5 3 5 2" xfId="20047"/>
    <cellStyle name="40% - 강조색6 5 3 5 3" xfId="20048"/>
    <cellStyle name="40% - 강조색6 5 3 6" xfId="20049"/>
    <cellStyle name="40% - 강조색6 5 3 7" xfId="20050"/>
    <cellStyle name="40% - 강조색6 5 4" xfId="20051"/>
    <cellStyle name="40% - 강조색6 5 4 2" xfId="20052"/>
    <cellStyle name="40% - 강조색6 5 4 2 2" xfId="20053"/>
    <cellStyle name="40% - 강조색6 5 4 2 2 2" xfId="20054"/>
    <cellStyle name="40% - 강조색6 5 4 2 2 3" xfId="20055"/>
    <cellStyle name="40% - 강조색6 5 4 2 3" xfId="20056"/>
    <cellStyle name="40% - 강조색6 5 4 2 4" xfId="20057"/>
    <cellStyle name="40% - 강조색6 5 4 3" xfId="20058"/>
    <cellStyle name="40% - 강조색6 5 4 3 2" xfId="20059"/>
    <cellStyle name="40% - 강조색6 5 4 3 3" xfId="20060"/>
    <cellStyle name="40% - 강조색6 5 4 4" xfId="20061"/>
    <cellStyle name="40% - 강조색6 5 4 5" xfId="20062"/>
    <cellStyle name="40% - 강조색6 5 5" xfId="20063"/>
    <cellStyle name="40% - 강조색6 5 5 2" xfId="20064"/>
    <cellStyle name="40% - 강조색6 5 5 2 2" xfId="20065"/>
    <cellStyle name="40% - 강조색6 5 5 2 2 2" xfId="20066"/>
    <cellStyle name="40% - 강조색6 5 5 2 2 3" xfId="20067"/>
    <cellStyle name="40% - 강조색6 5 5 2 3" xfId="20068"/>
    <cellStyle name="40% - 강조색6 5 5 2 4" xfId="20069"/>
    <cellStyle name="40% - 강조색6 5 5 3" xfId="20070"/>
    <cellStyle name="40% - 강조색6 5 5 3 2" xfId="20071"/>
    <cellStyle name="40% - 강조색6 5 5 3 3" xfId="20072"/>
    <cellStyle name="40% - 강조색6 5 5 4" xfId="20073"/>
    <cellStyle name="40% - 강조색6 5 5 5" xfId="20074"/>
    <cellStyle name="40% - 강조색6 5 6" xfId="20075"/>
    <cellStyle name="40% - 강조색6 5 6 2" xfId="20076"/>
    <cellStyle name="40% - 강조색6 5 6 2 2" xfId="20077"/>
    <cellStyle name="40% - 강조색6 5 6 2 2 2" xfId="20078"/>
    <cellStyle name="40% - 강조색6 5 6 2 2 3" xfId="20079"/>
    <cellStyle name="40% - 강조색6 5 6 2 3" xfId="20080"/>
    <cellStyle name="40% - 강조색6 5 6 2 4" xfId="20081"/>
    <cellStyle name="40% - 강조색6 5 6 3" xfId="20082"/>
    <cellStyle name="40% - 강조색6 5 6 3 2" xfId="20083"/>
    <cellStyle name="40% - 강조색6 5 6 3 3" xfId="20084"/>
    <cellStyle name="40% - 강조색6 5 6 4" xfId="20085"/>
    <cellStyle name="40% - 강조색6 5 6 5" xfId="20086"/>
    <cellStyle name="40% - 강조색6 5 7" xfId="20087"/>
    <cellStyle name="40% - 강조색6 5 7 2" xfId="20088"/>
    <cellStyle name="40% - 강조색6 5 7 2 2" xfId="20089"/>
    <cellStyle name="40% - 강조색6 5 7 2 3" xfId="20090"/>
    <cellStyle name="40% - 강조색6 5 7 3" xfId="20091"/>
    <cellStyle name="40% - 강조색6 5 7 4" xfId="20092"/>
    <cellStyle name="40% - 강조색6 5 8" xfId="20093"/>
    <cellStyle name="40% - 강조색6 5 8 2" xfId="20094"/>
    <cellStyle name="40% - 강조색6 5 8 3" xfId="20095"/>
    <cellStyle name="40% - 강조색6 5 9" xfId="20096"/>
    <cellStyle name="40% - 강조색6 50" xfId="20097"/>
    <cellStyle name="40% - 강조색6 51" xfId="20098"/>
    <cellStyle name="40% - 강조색6 52" xfId="20099"/>
    <cellStyle name="40% - 강조색6 53" xfId="20100"/>
    <cellStyle name="40% - 강조색6 54" xfId="20101"/>
    <cellStyle name="40% - 강조색6 55" xfId="20102"/>
    <cellStyle name="40% - 강조색6 56" xfId="20103"/>
    <cellStyle name="40% - 강조색6 57" xfId="20104"/>
    <cellStyle name="40% - 강조색6 58" xfId="20105"/>
    <cellStyle name="40% - 강조색6 59" xfId="20106"/>
    <cellStyle name="40% - 강조색6 6" xfId="20107"/>
    <cellStyle name="40% - 강조색6 6 10" xfId="20108"/>
    <cellStyle name="40% - 강조색6 6 2" xfId="20109"/>
    <cellStyle name="40% - 강조색6 6 2 2" xfId="20110"/>
    <cellStyle name="40% - 강조색6 6 2 2 2" xfId="20111"/>
    <cellStyle name="40% - 강조색6 6 2 2 2 2" xfId="20112"/>
    <cellStyle name="40% - 강조색6 6 2 2 2 2 2" xfId="20113"/>
    <cellStyle name="40% - 강조색6 6 2 2 2 2 3" xfId="20114"/>
    <cellStyle name="40% - 강조색6 6 2 2 2 3" xfId="20115"/>
    <cellStyle name="40% - 강조색6 6 2 2 2 4" xfId="20116"/>
    <cellStyle name="40% - 강조색6 6 2 2 3" xfId="20117"/>
    <cellStyle name="40% - 강조색6 6 2 2 3 2" xfId="20118"/>
    <cellStyle name="40% - 강조색6 6 2 2 3 3" xfId="20119"/>
    <cellStyle name="40% - 강조색6 6 2 2 4" xfId="20120"/>
    <cellStyle name="40% - 강조색6 6 2 2 5" xfId="20121"/>
    <cellStyle name="40% - 강조색6 6 2 3" xfId="20122"/>
    <cellStyle name="40% - 강조색6 6 2 3 2" xfId="20123"/>
    <cellStyle name="40% - 강조색6 6 2 3 2 2" xfId="20124"/>
    <cellStyle name="40% - 강조색6 6 2 3 2 2 2" xfId="20125"/>
    <cellStyle name="40% - 강조색6 6 2 3 2 2 3" xfId="20126"/>
    <cellStyle name="40% - 강조색6 6 2 3 2 3" xfId="20127"/>
    <cellStyle name="40% - 강조색6 6 2 3 2 4" xfId="20128"/>
    <cellStyle name="40% - 강조색6 6 2 3 3" xfId="20129"/>
    <cellStyle name="40% - 강조색6 6 2 3 3 2" xfId="20130"/>
    <cellStyle name="40% - 강조색6 6 2 3 3 3" xfId="20131"/>
    <cellStyle name="40% - 강조색6 6 2 3 4" xfId="20132"/>
    <cellStyle name="40% - 강조색6 6 2 3 5" xfId="20133"/>
    <cellStyle name="40% - 강조색6 6 2 4" xfId="20134"/>
    <cellStyle name="40% - 강조색6 6 2 4 2" xfId="20135"/>
    <cellStyle name="40% - 강조색6 6 2 4 2 2" xfId="20136"/>
    <cellStyle name="40% - 강조색6 6 2 4 2 3" xfId="20137"/>
    <cellStyle name="40% - 강조색6 6 2 4 3" xfId="20138"/>
    <cellStyle name="40% - 강조색6 6 2 4 4" xfId="20139"/>
    <cellStyle name="40% - 강조색6 6 2 5" xfId="20140"/>
    <cellStyle name="40% - 강조색6 6 2 5 2" xfId="20141"/>
    <cellStyle name="40% - 강조색6 6 2 5 3" xfId="20142"/>
    <cellStyle name="40% - 강조색6 6 2 6" xfId="20143"/>
    <cellStyle name="40% - 강조색6 6 2 7" xfId="20144"/>
    <cellStyle name="40% - 강조색6 6 3" xfId="20145"/>
    <cellStyle name="40% - 강조색6 6 3 2" xfId="20146"/>
    <cellStyle name="40% - 강조색6 6 3 2 2" xfId="20147"/>
    <cellStyle name="40% - 강조색6 6 3 2 2 2" xfId="20148"/>
    <cellStyle name="40% - 강조색6 6 3 2 2 2 2" xfId="20149"/>
    <cellStyle name="40% - 강조색6 6 3 2 2 2 3" xfId="20150"/>
    <cellStyle name="40% - 강조색6 6 3 2 2 3" xfId="20151"/>
    <cellStyle name="40% - 강조색6 6 3 2 2 4" xfId="20152"/>
    <cellStyle name="40% - 강조색6 6 3 2 3" xfId="20153"/>
    <cellStyle name="40% - 강조색6 6 3 2 3 2" xfId="20154"/>
    <cellStyle name="40% - 강조색6 6 3 2 3 3" xfId="20155"/>
    <cellStyle name="40% - 강조색6 6 3 2 4" xfId="20156"/>
    <cellStyle name="40% - 강조색6 6 3 2 5" xfId="20157"/>
    <cellStyle name="40% - 강조색6 6 3 3" xfId="20158"/>
    <cellStyle name="40% - 강조색6 6 3 3 2" xfId="20159"/>
    <cellStyle name="40% - 강조색6 6 3 3 2 2" xfId="20160"/>
    <cellStyle name="40% - 강조색6 6 3 3 2 2 2" xfId="20161"/>
    <cellStyle name="40% - 강조색6 6 3 3 2 2 3" xfId="20162"/>
    <cellStyle name="40% - 강조색6 6 3 3 2 3" xfId="20163"/>
    <cellStyle name="40% - 강조색6 6 3 3 2 4" xfId="20164"/>
    <cellStyle name="40% - 강조색6 6 3 3 3" xfId="20165"/>
    <cellStyle name="40% - 강조색6 6 3 3 3 2" xfId="20166"/>
    <cellStyle name="40% - 강조색6 6 3 3 3 3" xfId="20167"/>
    <cellStyle name="40% - 강조색6 6 3 3 4" xfId="20168"/>
    <cellStyle name="40% - 강조색6 6 3 3 5" xfId="20169"/>
    <cellStyle name="40% - 강조색6 6 3 4" xfId="20170"/>
    <cellStyle name="40% - 강조색6 6 3 4 2" xfId="20171"/>
    <cellStyle name="40% - 강조색6 6 3 4 2 2" xfId="20172"/>
    <cellStyle name="40% - 강조색6 6 3 4 2 3" xfId="20173"/>
    <cellStyle name="40% - 강조색6 6 3 4 3" xfId="20174"/>
    <cellStyle name="40% - 강조색6 6 3 4 4" xfId="20175"/>
    <cellStyle name="40% - 강조색6 6 3 5" xfId="20176"/>
    <cellStyle name="40% - 강조색6 6 3 5 2" xfId="20177"/>
    <cellStyle name="40% - 강조색6 6 3 5 3" xfId="20178"/>
    <cellStyle name="40% - 강조색6 6 3 6" xfId="20179"/>
    <cellStyle name="40% - 강조색6 6 3 7" xfId="20180"/>
    <cellStyle name="40% - 강조색6 6 4" xfId="20181"/>
    <cellStyle name="40% - 강조색6 6 4 2" xfId="20182"/>
    <cellStyle name="40% - 강조색6 6 4 2 2" xfId="20183"/>
    <cellStyle name="40% - 강조색6 6 4 2 2 2" xfId="20184"/>
    <cellStyle name="40% - 강조색6 6 4 2 2 3" xfId="20185"/>
    <cellStyle name="40% - 강조색6 6 4 2 3" xfId="20186"/>
    <cellStyle name="40% - 강조색6 6 4 2 4" xfId="20187"/>
    <cellStyle name="40% - 강조색6 6 4 3" xfId="20188"/>
    <cellStyle name="40% - 강조색6 6 4 3 2" xfId="20189"/>
    <cellStyle name="40% - 강조색6 6 4 3 3" xfId="20190"/>
    <cellStyle name="40% - 강조색6 6 4 4" xfId="20191"/>
    <cellStyle name="40% - 강조색6 6 4 5" xfId="20192"/>
    <cellStyle name="40% - 강조색6 6 5" xfId="20193"/>
    <cellStyle name="40% - 강조색6 6 5 2" xfId="20194"/>
    <cellStyle name="40% - 강조색6 6 5 2 2" xfId="20195"/>
    <cellStyle name="40% - 강조색6 6 5 2 2 2" xfId="20196"/>
    <cellStyle name="40% - 강조색6 6 5 2 2 3" xfId="20197"/>
    <cellStyle name="40% - 강조색6 6 5 2 3" xfId="20198"/>
    <cellStyle name="40% - 강조색6 6 5 2 4" xfId="20199"/>
    <cellStyle name="40% - 강조색6 6 5 3" xfId="20200"/>
    <cellStyle name="40% - 강조색6 6 5 3 2" xfId="20201"/>
    <cellStyle name="40% - 강조색6 6 5 3 3" xfId="20202"/>
    <cellStyle name="40% - 강조색6 6 5 4" xfId="20203"/>
    <cellStyle name="40% - 강조색6 6 5 5" xfId="20204"/>
    <cellStyle name="40% - 강조색6 6 6" xfId="20205"/>
    <cellStyle name="40% - 강조색6 6 6 2" xfId="20206"/>
    <cellStyle name="40% - 강조색6 6 6 2 2" xfId="20207"/>
    <cellStyle name="40% - 강조색6 6 6 2 2 2" xfId="20208"/>
    <cellStyle name="40% - 강조색6 6 6 2 2 3" xfId="20209"/>
    <cellStyle name="40% - 강조색6 6 6 2 3" xfId="20210"/>
    <cellStyle name="40% - 강조색6 6 6 2 4" xfId="20211"/>
    <cellStyle name="40% - 강조색6 6 6 3" xfId="20212"/>
    <cellStyle name="40% - 강조색6 6 6 3 2" xfId="20213"/>
    <cellStyle name="40% - 강조색6 6 6 3 3" xfId="20214"/>
    <cellStyle name="40% - 강조색6 6 6 4" xfId="20215"/>
    <cellStyle name="40% - 강조색6 6 6 5" xfId="20216"/>
    <cellStyle name="40% - 강조색6 6 7" xfId="20217"/>
    <cellStyle name="40% - 강조색6 6 7 2" xfId="20218"/>
    <cellStyle name="40% - 강조색6 6 7 2 2" xfId="20219"/>
    <cellStyle name="40% - 강조색6 6 7 2 3" xfId="20220"/>
    <cellStyle name="40% - 강조색6 6 7 3" xfId="20221"/>
    <cellStyle name="40% - 강조색6 6 7 4" xfId="20222"/>
    <cellStyle name="40% - 강조색6 6 8" xfId="20223"/>
    <cellStyle name="40% - 강조색6 6 8 2" xfId="20224"/>
    <cellStyle name="40% - 강조색6 6 8 3" xfId="20225"/>
    <cellStyle name="40% - 강조색6 6 9" xfId="20226"/>
    <cellStyle name="40% - 강조색6 60" xfId="20227"/>
    <cellStyle name="40% - 강조색6 61" xfId="20228"/>
    <cellStyle name="40% - 강조색6 62" xfId="20229"/>
    <cellStyle name="40% - 강조색6 63" xfId="20230"/>
    <cellStyle name="40% - 강조색6 64" xfId="20231"/>
    <cellStyle name="40% - 강조색6 65" xfId="20232"/>
    <cellStyle name="40% - 강조색6 66" xfId="20233"/>
    <cellStyle name="40% - 강조색6 67" xfId="20234"/>
    <cellStyle name="40% - 강조색6 68" xfId="20235"/>
    <cellStyle name="40% - 강조색6 69" xfId="20236"/>
    <cellStyle name="40% - 강조색6 7" xfId="20237"/>
    <cellStyle name="40% - 강조색6 7 10" xfId="20238"/>
    <cellStyle name="40% - 강조색6 7 2" xfId="20239"/>
    <cellStyle name="40% - 강조색6 7 2 2" xfId="20240"/>
    <cellStyle name="40% - 강조색6 7 2 2 2" xfId="20241"/>
    <cellStyle name="40% - 강조색6 7 2 2 2 2" xfId="20242"/>
    <cellStyle name="40% - 강조색6 7 2 2 2 2 2" xfId="20243"/>
    <cellStyle name="40% - 강조색6 7 2 2 2 2 3" xfId="20244"/>
    <cellStyle name="40% - 강조색6 7 2 2 2 3" xfId="20245"/>
    <cellStyle name="40% - 강조색6 7 2 2 2 4" xfId="20246"/>
    <cellStyle name="40% - 강조색6 7 2 2 3" xfId="20247"/>
    <cellStyle name="40% - 강조색6 7 2 2 3 2" xfId="20248"/>
    <cellStyle name="40% - 강조색6 7 2 2 3 3" xfId="20249"/>
    <cellStyle name="40% - 강조색6 7 2 2 4" xfId="20250"/>
    <cellStyle name="40% - 강조색6 7 2 2 5" xfId="20251"/>
    <cellStyle name="40% - 강조색6 7 2 3" xfId="20252"/>
    <cellStyle name="40% - 강조색6 7 2 3 2" xfId="20253"/>
    <cellStyle name="40% - 강조색6 7 2 3 2 2" xfId="20254"/>
    <cellStyle name="40% - 강조색6 7 2 3 2 2 2" xfId="20255"/>
    <cellStyle name="40% - 강조색6 7 2 3 2 2 3" xfId="20256"/>
    <cellStyle name="40% - 강조색6 7 2 3 2 3" xfId="20257"/>
    <cellStyle name="40% - 강조색6 7 2 3 2 4" xfId="20258"/>
    <cellStyle name="40% - 강조색6 7 2 3 3" xfId="20259"/>
    <cellStyle name="40% - 강조색6 7 2 3 3 2" xfId="20260"/>
    <cellStyle name="40% - 강조색6 7 2 3 3 3" xfId="20261"/>
    <cellStyle name="40% - 강조색6 7 2 3 4" xfId="20262"/>
    <cellStyle name="40% - 강조색6 7 2 3 5" xfId="20263"/>
    <cellStyle name="40% - 강조색6 7 2 4" xfId="20264"/>
    <cellStyle name="40% - 강조색6 7 2 4 2" xfId="20265"/>
    <cellStyle name="40% - 강조색6 7 2 4 2 2" xfId="20266"/>
    <cellStyle name="40% - 강조색6 7 2 4 2 3" xfId="20267"/>
    <cellStyle name="40% - 강조색6 7 2 4 3" xfId="20268"/>
    <cellStyle name="40% - 강조색6 7 2 4 4" xfId="20269"/>
    <cellStyle name="40% - 강조색6 7 2 5" xfId="20270"/>
    <cellStyle name="40% - 강조색6 7 2 5 2" xfId="20271"/>
    <cellStyle name="40% - 강조색6 7 2 5 3" xfId="20272"/>
    <cellStyle name="40% - 강조색6 7 2 6" xfId="20273"/>
    <cellStyle name="40% - 강조색6 7 2 7" xfId="20274"/>
    <cellStyle name="40% - 강조색6 7 3" xfId="20275"/>
    <cellStyle name="40% - 강조색6 7 3 2" xfId="20276"/>
    <cellStyle name="40% - 강조색6 7 3 2 2" xfId="20277"/>
    <cellStyle name="40% - 강조색6 7 3 2 2 2" xfId="20278"/>
    <cellStyle name="40% - 강조색6 7 3 2 2 2 2" xfId="20279"/>
    <cellStyle name="40% - 강조색6 7 3 2 2 2 3" xfId="20280"/>
    <cellStyle name="40% - 강조색6 7 3 2 2 3" xfId="20281"/>
    <cellStyle name="40% - 강조색6 7 3 2 2 4" xfId="20282"/>
    <cellStyle name="40% - 강조색6 7 3 2 3" xfId="20283"/>
    <cellStyle name="40% - 강조색6 7 3 2 3 2" xfId="20284"/>
    <cellStyle name="40% - 강조색6 7 3 2 3 3" xfId="20285"/>
    <cellStyle name="40% - 강조색6 7 3 2 4" xfId="20286"/>
    <cellStyle name="40% - 강조색6 7 3 2 5" xfId="20287"/>
    <cellStyle name="40% - 강조색6 7 3 3" xfId="20288"/>
    <cellStyle name="40% - 강조색6 7 3 3 2" xfId="20289"/>
    <cellStyle name="40% - 강조색6 7 3 3 2 2" xfId="20290"/>
    <cellStyle name="40% - 강조색6 7 3 3 2 2 2" xfId="20291"/>
    <cellStyle name="40% - 강조색6 7 3 3 2 2 3" xfId="20292"/>
    <cellStyle name="40% - 강조색6 7 3 3 2 3" xfId="20293"/>
    <cellStyle name="40% - 강조색6 7 3 3 2 4" xfId="20294"/>
    <cellStyle name="40% - 강조색6 7 3 3 3" xfId="20295"/>
    <cellStyle name="40% - 강조색6 7 3 3 3 2" xfId="20296"/>
    <cellStyle name="40% - 강조색6 7 3 3 3 3" xfId="20297"/>
    <cellStyle name="40% - 강조색6 7 3 3 4" xfId="20298"/>
    <cellStyle name="40% - 강조색6 7 3 3 5" xfId="20299"/>
    <cellStyle name="40% - 강조색6 7 3 4" xfId="20300"/>
    <cellStyle name="40% - 강조색6 7 3 4 2" xfId="20301"/>
    <cellStyle name="40% - 강조색6 7 3 4 2 2" xfId="20302"/>
    <cellStyle name="40% - 강조색6 7 3 4 2 3" xfId="20303"/>
    <cellStyle name="40% - 강조색6 7 3 4 3" xfId="20304"/>
    <cellStyle name="40% - 강조색6 7 3 4 4" xfId="20305"/>
    <cellStyle name="40% - 강조색6 7 3 5" xfId="20306"/>
    <cellStyle name="40% - 강조색6 7 3 5 2" xfId="20307"/>
    <cellStyle name="40% - 강조색6 7 3 5 3" xfId="20308"/>
    <cellStyle name="40% - 강조색6 7 3 6" xfId="20309"/>
    <cellStyle name="40% - 강조색6 7 3 7" xfId="20310"/>
    <cellStyle name="40% - 강조색6 7 4" xfId="20311"/>
    <cellStyle name="40% - 강조색6 7 4 2" xfId="20312"/>
    <cellStyle name="40% - 강조색6 7 4 2 2" xfId="20313"/>
    <cellStyle name="40% - 강조색6 7 4 2 2 2" xfId="20314"/>
    <cellStyle name="40% - 강조색6 7 4 2 2 3" xfId="20315"/>
    <cellStyle name="40% - 강조색6 7 4 2 3" xfId="20316"/>
    <cellStyle name="40% - 강조색6 7 4 2 4" xfId="20317"/>
    <cellStyle name="40% - 강조색6 7 4 3" xfId="20318"/>
    <cellStyle name="40% - 강조색6 7 4 3 2" xfId="20319"/>
    <cellStyle name="40% - 강조색6 7 4 3 3" xfId="20320"/>
    <cellStyle name="40% - 강조색6 7 4 4" xfId="20321"/>
    <cellStyle name="40% - 강조색6 7 4 5" xfId="20322"/>
    <cellStyle name="40% - 강조색6 7 5" xfId="20323"/>
    <cellStyle name="40% - 강조색6 7 5 2" xfId="20324"/>
    <cellStyle name="40% - 강조색6 7 5 2 2" xfId="20325"/>
    <cellStyle name="40% - 강조색6 7 5 2 2 2" xfId="20326"/>
    <cellStyle name="40% - 강조색6 7 5 2 2 3" xfId="20327"/>
    <cellStyle name="40% - 강조색6 7 5 2 3" xfId="20328"/>
    <cellStyle name="40% - 강조색6 7 5 2 4" xfId="20329"/>
    <cellStyle name="40% - 강조색6 7 5 3" xfId="20330"/>
    <cellStyle name="40% - 강조색6 7 5 3 2" xfId="20331"/>
    <cellStyle name="40% - 강조색6 7 5 3 3" xfId="20332"/>
    <cellStyle name="40% - 강조색6 7 5 4" xfId="20333"/>
    <cellStyle name="40% - 강조색6 7 5 5" xfId="20334"/>
    <cellStyle name="40% - 강조색6 7 6" xfId="20335"/>
    <cellStyle name="40% - 강조색6 7 6 2" xfId="20336"/>
    <cellStyle name="40% - 강조색6 7 6 2 2" xfId="20337"/>
    <cellStyle name="40% - 강조색6 7 6 2 2 2" xfId="20338"/>
    <cellStyle name="40% - 강조색6 7 6 2 2 3" xfId="20339"/>
    <cellStyle name="40% - 강조색6 7 6 2 3" xfId="20340"/>
    <cellStyle name="40% - 강조색6 7 6 2 4" xfId="20341"/>
    <cellStyle name="40% - 강조색6 7 6 3" xfId="20342"/>
    <cellStyle name="40% - 강조색6 7 6 3 2" xfId="20343"/>
    <cellStyle name="40% - 강조색6 7 6 3 3" xfId="20344"/>
    <cellStyle name="40% - 강조색6 7 6 4" xfId="20345"/>
    <cellStyle name="40% - 강조색6 7 6 5" xfId="20346"/>
    <cellStyle name="40% - 강조색6 7 7" xfId="20347"/>
    <cellStyle name="40% - 강조색6 7 7 2" xfId="20348"/>
    <cellStyle name="40% - 강조색6 7 7 2 2" xfId="20349"/>
    <cellStyle name="40% - 강조색6 7 7 2 3" xfId="20350"/>
    <cellStyle name="40% - 강조색6 7 7 3" xfId="20351"/>
    <cellStyle name="40% - 강조색6 7 7 4" xfId="20352"/>
    <cellStyle name="40% - 강조색6 7 8" xfId="20353"/>
    <cellStyle name="40% - 강조색6 7 8 2" xfId="20354"/>
    <cellStyle name="40% - 강조색6 7 8 3" xfId="20355"/>
    <cellStyle name="40% - 강조색6 7 9" xfId="20356"/>
    <cellStyle name="40% - 강조색6 8" xfId="20357"/>
    <cellStyle name="40% - 강조색6 8 2" xfId="20358"/>
    <cellStyle name="40% - 강조색6 8 2 2" xfId="20359"/>
    <cellStyle name="40% - 강조색6 8 2 2 2" xfId="20360"/>
    <cellStyle name="40% - 강조색6 8 2 2 2 2" xfId="20361"/>
    <cellStyle name="40% - 강조색6 8 2 2 2 3" xfId="20362"/>
    <cellStyle name="40% - 강조색6 8 2 2 3" xfId="20363"/>
    <cellStyle name="40% - 강조색6 8 2 2 4" xfId="20364"/>
    <cellStyle name="40% - 강조색6 8 2 3" xfId="20365"/>
    <cellStyle name="40% - 강조색6 8 2 3 2" xfId="20366"/>
    <cellStyle name="40% - 강조색6 8 2 3 3" xfId="20367"/>
    <cellStyle name="40% - 강조색6 8 2 4" xfId="20368"/>
    <cellStyle name="40% - 강조색6 8 2 5" xfId="20369"/>
    <cellStyle name="40% - 강조색6 8 3" xfId="20370"/>
    <cellStyle name="40% - 강조색6 8 3 2" xfId="20371"/>
    <cellStyle name="40% - 강조색6 8 3 2 2" xfId="20372"/>
    <cellStyle name="40% - 강조색6 8 3 2 2 2" xfId="20373"/>
    <cellStyle name="40% - 강조색6 8 3 2 2 3" xfId="20374"/>
    <cellStyle name="40% - 강조색6 8 3 2 3" xfId="20375"/>
    <cellStyle name="40% - 강조색6 8 3 2 4" xfId="20376"/>
    <cellStyle name="40% - 강조색6 8 3 3" xfId="20377"/>
    <cellStyle name="40% - 강조색6 8 3 3 2" xfId="20378"/>
    <cellStyle name="40% - 강조색6 8 3 3 3" xfId="20379"/>
    <cellStyle name="40% - 강조색6 8 3 4" xfId="20380"/>
    <cellStyle name="40% - 강조색6 8 3 5" xfId="20381"/>
    <cellStyle name="40% - 강조색6 8 4" xfId="20382"/>
    <cellStyle name="40% - 강조색6 8 4 2" xfId="20383"/>
    <cellStyle name="40% - 강조색6 8 4 2 2" xfId="20384"/>
    <cellStyle name="40% - 강조색6 8 4 2 3" xfId="20385"/>
    <cellStyle name="40% - 강조색6 8 4 3" xfId="20386"/>
    <cellStyle name="40% - 강조색6 8 4 4" xfId="20387"/>
    <cellStyle name="40% - 강조색6 8 5" xfId="20388"/>
    <cellStyle name="40% - 강조색6 8 5 2" xfId="20389"/>
    <cellStyle name="40% - 강조색6 8 5 3" xfId="20390"/>
    <cellStyle name="40% - 강조색6 8 6" xfId="20391"/>
    <cellStyle name="40% - 강조색6 8 7" xfId="20392"/>
    <cellStyle name="40% - 강조색6 9" xfId="20393"/>
    <cellStyle name="40% - 강조색6 9 2" xfId="20394"/>
    <cellStyle name="40% - 강조색6 9 2 2" xfId="20395"/>
    <cellStyle name="40% - 강조색6 9 2 2 2" xfId="20396"/>
    <cellStyle name="40% - 강조색6 9 2 2 2 2" xfId="20397"/>
    <cellStyle name="40% - 강조색6 9 2 2 2 3" xfId="20398"/>
    <cellStyle name="40% - 강조색6 9 2 2 3" xfId="20399"/>
    <cellStyle name="40% - 강조색6 9 2 2 4" xfId="20400"/>
    <cellStyle name="40% - 강조색6 9 2 3" xfId="20401"/>
    <cellStyle name="40% - 강조색6 9 2 3 2" xfId="20402"/>
    <cellStyle name="40% - 강조색6 9 2 3 3" xfId="20403"/>
    <cellStyle name="40% - 강조색6 9 2 4" xfId="20404"/>
    <cellStyle name="40% - 강조색6 9 2 5" xfId="20405"/>
    <cellStyle name="40% - 강조색6 9 3" xfId="20406"/>
    <cellStyle name="40% - 강조색6 9 3 2" xfId="20407"/>
    <cellStyle name="40% - 강조색6 9 3 2 2" xfId="20408"/>
    <cellStyle name="40% - 강조색6 9 3 2 2 2" xfId="20409"/>
    <cellStyle name="40% - 강조색6 9 3 2 2 3" xfId="20410"/>
    <cellStyle name="40% - 강조색6 9 3 2 3" xfId="20411"/>
    <cellStyle name="40% - 강조색6 9 3 2 4" xfId="20412"/>
    <cellStyle name="40% - 강조색6 9 3 3" xfId="20413"/>
    <cellStyle name="40% - 강조색6 9 3 3 2" xfId="20414"/>
    <cellStyle name="40% - 강조색6 9 3 3 3" xfId="20415"/>
    <cellStyle name="40% - 강조색6 9 3 4" xfId="20416"/>
    <cellStyle name="40% - 강조색6 9 3 5" xfId="20417"/>
    <cellStyle name="40% - 강조색6 9 4" xfId="20418"/>
    <cellStyle name="40% - 강조색6 9 4 2" xfId="20419"/>
    <cellStyle name="40% - 강조색6 9 4 2 2" xfId="20420"/>
    <cellStyle name="40% - 강조색6 9 4 2 3" xfId="20421"/>
    <cellStyle name="40% - 강조색6 9 4 3" xfId="20422"/>
    <cellStyle name="40% - 강조색6 9 4 4" xfId="20423"/>
    <cellStyle name="40% - 강조색6 9 5" xfId="20424"/>
    <cellStyle name="40% - 강조색6 9 5 2" xfId="20425"/>
    <cellStyle name="40% - 강조색6 9 5 3" xfId="20426"/>
    <cellStyle name="40% - 강조색6 9 6" xfId="20427"/>
    <cellStyle name="40% - 강조색6 9 7" xfId="20428"/>
    <cellStyle name="513l1ussendz_lbsouy`6ussendz_lbsouy`6_622k" xfId="20429"/>
    <cellStyle name="60% - Accent1" xfId="20430"/>
    <cellStyle name="60% - Accent1 2" xfId="20431"/>
    <cellStyle name="60% - Accent1 2 2" xfId="20432"/>
    <cellStyle name="60% - Accent1 3" xfId="20433"/>
    <cellStyle name="60% - Accent1 3 2" xfId="20434"/>
    <cellStyle name="60% - Accent1 3 2 2" xfId="20435"/>
    <cellStyle name="60% - Accent1 4" xfId="20436"/>
    <cellStyle name="60% - Accent2" xfId="20437"/>
    <cellStyle name="60% - Accent2 2" xfId="20438"/>
    <cellStyle name="60% - Accent2 2 2" xfId="20439"/>
    <cellStyle name="60% - Accent2 3" xfId="20440"/>
    <cellStyle name="60% - Accent2 3 2" xfId="20441"/>
    <cellStyle name="60% - Accent2 3 2 2" xfId="20442"/>
    <cellStyle name="60% - Accent2 4" xfId="20443"/>
    <cellStyle name="60% - Accent3" xfId="20444"/>
    <cellStyle name="60% - Accent3 2" xfId="20445"/>
    <cellStyle name="60% - Accent3 2 2" xfId="20446"/>
    <cellStyle name="60% - Accent3 3" xfId="20447"/>
    <cellStyle name="60% - Accent3 3 2" xfId="20448"/>
    <cellStyle name="60% - Accent3 3 2 2" xfId="20449"/>
    <cellStyle name="60% - Accent3 4" xfId="20450"/>
    <cellStyle name="60% - Accent4" xfId="20451"/>
    <cellStyle name="60% - Accent4 2" xfId="20452"/>
    <cellStyle name="60% - Accent4 2 2" xfId="20453"/>
    <cellStyle name="60% - Accent4 3" xfId="20454"/>
    <cellStyle name="60% - Accent4 3 2" xfId="20455"/>
    <cellStyle name="60% - Accent4 3 2 2" xfId="20456"/>
    <cellStyle name="60% - Accent4 4" xfId="20457"/>
    <cellStyle name="60% - Accent5" xfId="20458"/>
    <cellStyle name="60% - Accent5 2" xfId="20459"/>
    <cellStyle name="60% - Accent5 2 2" xfId="20460"/>
    <cellStyle name="60% - Accent5 3" xfId="20461"/>
    <cellStyle name="60% - Accent5 3 2" xfId="20462"/>
    <cellStyle name="60% - Accent5 3 2 2" xfId="20463"/>
    <cellStyle name="60% - Accent5 4" xfId="20464"/>
    <cellStyle name="60% - Accent6" xfId="20465"/>
    <cellStyle name="60% - Accent6 2" xfId="20466"/>
    <cellStyle name="60% - Accent6 2 2" xfId="20467"/>
    <cellStyle name="60% - Accent6 3" xfId="20468"/>
    <cellStyle name="60% - Accent6 3 2" xfId="20469"/>
    <cellStyle name="60% - Accent6 3 2 2" xfId="20470"/>
    <cellStyle name="60% - Accent6 4" xfId="20471"/>
    <cellStyle name="60% - 강조색1 10" xfId="20472"/>
    <cellStyle name="60% - 강조색1 11" xfId="20473"/>
    <cellStyle name="60% - 강조색1 12" xfId="20474"/>
    <cellStyle name="60% - 강조색1 13" xfId="20475"/>
    <cellStyle name="60% - 강조색1 14" xfId="20476"/>
    <cellStyle name="60% - 강조색1 15" xfId="20477"/>
    <cellStyle name="60% - 강조색1 2" xfId="20478"/>
    <cellStyle name="60% - 강조색1 2 2" xfId="20479"/>
    <cellStyle name="60% - 강조색1 2 2 2" xfId="20480"/>
    <cellStyle name="60% - 강조색1 2 3" xfId="20481"/>
    <cellStyle name="60% - 강조색1 3" xfId="20482"/>
    <cellStyle name="60% - 강조색1 3 2" xfId="20483"/>
    <cellStyle name="60% - 강조색1 3 3" xfId="20484"/>
    <cellStyle name="60% - 강조색1 4" xfId="20485"/>
    <cellStyle name="60% - 강조색1 4 2" xfId="20486"/>
    <cellStyle name="60% - 강조색1 5" xfId="20487"/>
    <cellStyle name="60% - 강조색1 6" xfId="20488"/>
    <cellStyle name="60% - 강조색1 7" xfId="20489"/>
    <cellStyle name="60% - 강조색1 8" xfId="20490"/>
    <cellStyle name="60% - 강조색1 9" xfId="20491"/>
    <cellStyle name="60% - 강조색2 10" xfId="20492"/>
    <cellStyle name="60% - 강조색2 11" xfId="20493"/>
    <cellStyle name="60% - 강조색2 12" xfId="20494"/>
    <cellStyle name="60% - 강조색2 13" xfId="20495"/>
    <cellStyle name="60% - 강조색2 14" xfId="20496"/>
    <cellStyle name="60% - 강조색2 15" xfId="20497"/>
    <cellStyle name="60% - 강조색2 2" xfId="20498"/>
    <cellStyle name="60% - 강조색2 2 2" xfId="20499"/>
    <cellStyle name="60% - 강조색2 2 2 2" xfId="20500"/>
    <cellStyle name="60% - 강조색2 2 3" xfId="20501"/>
    <cellStyle name="60% - 강조색2 3" xfId="20502"/>
    <cellStyle name="60% - 강조색2 3 2" xfId="20503"/>
    <cellStyle name="60% - 강조색2 3 3" xfId="20504"/>
    <cellStyle name="60% - 강조색2 4" xfId="20505"/>
    <cellStyle name="60% - 강조색2 4 2" xfId="20506"/>
    <cellStyle name="60% - 강조색2 5" xfId="20507"/>
    <cellStyle name="60% - 강조색2 6" xfId="20508"/>
    <cellStyle name="60% - 강조색2 7" xfId="20509"/>
    <cellStyle name="60% - 강조색2 8" xfId="20510"/>
    <cellStyle name="60% - 강조색2 9" xfId="20511"/>
    <cellStyle name="60% - 강조색3 10" xfId="20512"/>
    <cellStyle name="60% - 강조색3 11" xfId="20513"/>
    <cellStyle name="60% - 강조색3 12" xfId="20514"/>
    <cellStyle name="60% - 강조색3 13" xfId="20515"/>
    <cellStyle name="60% - 강조색3 14" xfId="20516"/>
    <cellStyle name="60% - 강조색3 15" xfId="20517"/>
    <cellStyle name="60% - 강조색3 2" xfId="20518"/>
    <cellStyle name="60% - 강조색3 2 2" xfId="20519"/>
    <cellStyle name="60% - 강조색3 2 2 2" xfId="20520"/>
    <cellStyle name="60% - 강조색3 2 3" xfId="20521"/>
    <cellStyle name="60% - 강조색3 3" xfId="20522"/>
    <cellStyle name="60% - 강조색3 3 2" xfId="20523"/>
    <cellStyle name="60% - 강조색3 3 3" xfId="20524"/>
    <cellStyle name="60% - 강조색3 4" xfId="20525"/>
    <cellStyle name="60% - 강조색3 4 2" xfId="20526"/>
    <cellStyle name="60% - 강조색3 5" xfId="20527"/>
    <cellStyle name="60% - 강조색3 6" xfId="20528"/>
    <cellStyle name="60% - 강조색3 7" xfId="20529"/>
    <cellStyle name="60% - 강조색3 8" xfId="20530"/>
    <cellStyle name="60% - 강조색3 9" xfId="20531"/>
    <cellStyle name="60% - 강조색4 10" xfId="20532"/>
    <cellStyle name="60% - 강조색4 11" xfId="20533"/>
    <cellStyle name="60% - 강조색4 12" xfId="20534"/>
    <cellStyle name="60% - 강조색4 13" xfId="20535"/>
    <cellStyle name="60% - 강조색4 14" xfId="20536"/>
    <cellStyle name="60% - 강조색4 15" xfId="20537"/>
    <cellStyle name="60% - 강조색4 2" xfId="20538"/>
    <cellStyle name="60% - 강조색4 2 2" xfId="20539"/>
    <cellStyle name="60% - 강조색4 2 2 2" xfId="20540"/>
    <cellStyle name="60% - 강조색4 2 3" xfId="20541"/>
    <cellStyle name="60% - 강조색4 3" xfId="20542"/>
    <cellStyle name="60% - 강조색4 3 2" xfId="20543"/>
    <cellStyle name="60% - 강조색4 3 3" xfId="20544"/>
    <cellStyle name="60% - 강조색4 4" xfId="20545"/>
    <cellStyle name="60% - 강조색4 4 2" xfId="20546"/>
    <cellStyle name="60% - 강조색4 5" xfId="20547"/>
    <cellStyle name="60% - 강조색4 6" xfId="20548"/>
    <cellStyle name="60% - 강조색4 7" xfId="20549"/>
    <cellStyle name="60% - 강조색4 8" xfId="20550"/>
    <cellStyle name="60% - 강조색4 9" xfId="20551"/>
    <cellStyle name="60% - 강조색5 10" xfId="20552"/>
    <cellStyle name="60% - 강조색5 11" xfId="20553"/>
    <cellStyle name="60% - 강조색5 12" xfId="20554"/>
    <cellStyle name="60% - 강조색5 13" xfId="20555"/>
    <cellStyle name="60% - 강조색5 14" xfId="20556"/>
    <cellStyle name="60% - 강조색5 15" xfId="20557"/>
    <cellStyle name="60% - 강조색5 2" xfId="20558"/>
    <cellStyle name="60% - 강조색5 2 2" xfId="20559"/>
    <cellStyle name="60% - 강조색5 2 2 2" xfId="20560"/>
    <cellStyle name="60% - 강조색5 2 3" xfId="20561"/>
    <cellStyle name="60% - 강조색5 3" xfId="20562"/>
    <cellStyle name="60% - 강조색5 3 2" xfId="20563"/>
    <cellStyle name="60% - 강조색5 3 3" xfId="20564"/>
    <cellStyle name="60% - 강조색5 4" xfId="20565"/>
    <cellStyle name="60% - 강조색5 4 2" xfId="20566"/>
    <cellStyle name="60% - 강조색5 5" xfId="20567"/>
    <cellStyle name="60% - 강조색5 6" xfId="20568"/>
    <cellStyle name="60% - 강조색5 7" xfId="20569"/>
    <cellStyle name="60% - 강조색5 8" xfId="20570"/>
    <cellStyle name="60% - 강조색5 9" xfId="20571"/>
    <cellStyle name="60% - 강조색6 10" xfId="20572"/>
    <cellStyle name="60% - 강조색6 11" xfId="20573"/>
    <cellStyle name="60% - 강조색6 12" xfId="20574"/>
    <cellStyle name="60% - 강조색6 13" xfId="20575"/>
    <cellStyle name="60% - 강조색6 14" xfId="20576"/>
    <cellStyle name="60% - 강조색6 15" xfId="20577"/>
    <cellStyle name="60% - 강조색6 2" xfId="20578"/>
    <cellStyle name="60% - 강조색6 2 2" xfId="20579"/>
    <cellStyle name="60% - 강조색6 2 2 2" xfId="20580"/>
    <cellStyle name="60% - 강조색6 2 3" xfId="20581"/>
    <cellStyle name="60% - 강조색6 3" xfId="20582"/>
    <cellStyle name="60% - 강조색6 3 2" xfId="20583"/>
    <cellStyle name="60% - 강조색6 3 3" xfId="20584"/>
    <cellStyle name="60% - 강조색6 4" xfId="20585"/>
    <cellStyle name="60% - 강조색6 4 2" xfId="20586"/>
    <cellStyle name="60% - 강조색6 5" xfId="20587"/>
    <cellStyle name="60% - 강조색6 6" xfId="20588"/>
    <cellStyle name="60% - 강조색6 7" xfId="20589"/>
    <cellStyle name="60% - 강조색6 8" xfId="20590"/>
    <cellStyle name="60% - 강조색6 9" xfId="20591"/>
    <cellStyle name="A¡§¡ⓒ¡E¡þ¡EO [0]_￠R¨¡¨I￠RAi￠RicAc￠R¨¡i " xfId="20592"/>
    <cellStyle name="A¡§¡ⓒ¡E¡þ¡EO_￠R¨¡¨I￠RAi￠RicAc￠R¨¡i " xfId="20593"/>
    <cellStyle name="A¡ER￠R¡¿¡ER¡§I¡ERE¡ER¨I¡ⓒ¡EREO [0]_  A¡ER￠R¡¿u  CO  " xfId="20594"/>
    <cellStyle name="A¡ER￠R¡¿¡ER¡§I¡ERE¡ER¨I¡ⓒ¡EREO_  A¡ER￠R¡¿u  CO  " xfId="20595"/>
    <cellStyle name="A¡ER￠R¡¿¡E臘??¡ERE¡ER¨I¡ⓒ¡EREO_27E¡ERE¡ER¨I¡ⓒ￠RERiy¡ER￠R¡¿￠RERC11¡ERE?u " xfId="20596"/>
    <cellStyle name="A¨­???? [0]_AoAUAy¡ÆeC¡? " xfId="20597"/>
    <cellStyle name="A¨­????_AoAUAy¡ÆeC¡? " xfId="20598"/>
    <cellStyle name="A¨­¢¬¢Ò [0]_  RANGE " xfId="20599"/>
    <cellStyle name="A¨­￠￢￠O [0]_¡Æ￠Rⓒø¨￡￠￥U " xfId="20600"/>
    <cellStyle name="A¨­¢¬¢Ò [0]_AoAUAy¡ÆeC¡Í " xfId="20601"/>
    <cellStyle name="A¨­￠￢￠O [0]_M107CDT " xfId="20602"/>
    <cellStyle name="A¨­¢¬¢Ò [0]_M107CDT " xfId="20603"/>
    <cellStyle name="A¨­￠￢￠O [0]_M107CDT  2" xfId="20604"/>
    <cellStyle name="A¨­¢¬¢Ò [0]_M107CDT  2" xfId="20605"/>
    <cellStyle name="A¨­¢¬¢Ò_  RANGE " xfId="20606"/>
    <cellStyle name="A¨­￠￢￠O_¡Æu￠￢RC¡I " xfId="20607"/>
    <cellStyle name="A¨­¢¬¢Ò_AoAUAy¡ÆeC¡Í " xfId="20608"/>
    <cellStyle name="A¨­￠￢￠O_INQUIRY ￠?￥i¨u¡AAⓒ￢Aⓒª " xfId="20609"/>
    <cellStyle name="A¨­¢¬¢Ò_M107CDT " xfId="20610"/>
    <cellStyle name="A￠R¡×￠R¨I￠RE￠Rⓒ­￠REO [0]_¡ER¡§￠R¡§I¡ERAi¡ERicAc¡ER¡§￠Ri " xfId="20611"/>
    <cellStyle name="A￠R¡×￠R¨I￠RE￠Rⓒ­￠REO_¡ER¡§￠R¡§I¡ERAi¡ERicAc¡ER¡§￠Ri " xfId="20612"/>
    <cellStyle name="A￠RER¡ER￠R￠?￠RER￠R¡×I￠RERE￠RER¡§I￠R¨I￠REREO [0]_¡ER￠R¡¿IoY￠RERIi￠RERIiA￠RER¡ER￠R￠?u_￠RER¡ER￠R￠?uOAIAo¡ERER¡ER￠R¡¿￠RER¡ERER￠RER¡ER¡E? " xfId="20613"/>
    <cellStyle name="A￠RER¡ER￠R￠?￠RER￠R¡×I￠RERE￠RER¡§I￠R¨I￠REREO_¡ER￠R¡¿IoY￠RERIi￠RERIiA￠RER¡ER￠R￠?u_￠RER¡ER￠R￠?uOAIAo¡ERER¡ER￠R¡¿￠RER¡ERER￠RER¡ER¡E? " xfId="20614"/>
    <cellStyle name="Accent1" xfId="20615"/>
    <cellStyle name="Accent1 - 20%" xfId="20616"/>
    <cellStyle name="Accent1 - 40%" xfId="20617"/>
    <cellStyle name="Accent1 - 60%" xfId="20618"/>
    <cellStyle name="Accent1 2" xfId="20619"/>
    <cellStyle name="Accent1 2 2" xfId="20620"/>
    <cellStyle name="Accent1 3" xfId="20621"/>
    <cellStyle name="Accent1 3 2" xfId="20622"/>
    <cellStyle name="Accent1 3 2 2" xfId="20623"/>
    <cellStyle name="Accent1 4" xfId="20624"/>
    <cellStyle name="Accent1 5" xfId="20625"/>
    <cellStyle name="Accent2" xfId="20626"/>
    <cellStyle name="Accent2 - 20%" xfId="20627"/>
    <cellStyle name="Accent2 - 40%" xfId="20628"/>
    <cellStyle name="Accent2 - 60%" xfId="20629"/>
    <cellStyle name="Accent2 2" xfId="20630"/>
    <cellStyle name="Accent2 2 2" xfId="20631"/>
    <cellStyle name="Accent2 3" xfId="20632"/>
    <cellStyle name="Accent2 3 2" xfId="20633"/>
    <cellStyle name="Accent2 3 2 2" xfId="20634"/>
    <cellStyle name="Accent2 4" xfId="20635"/>
    <cellStyle name="Accent2 5" xfId="20636"/>
    <cellStyle name="Accent3" xfId="20637"/>
    <cellStyle name="Accent3 - 20%" xfId="20638"/>
    <cellStyle name="Accent3 - 40%" xfId="20639"/>
    <cellStyle name="Accent3 - 60%" xfId="20640"/>
    <cellStyle name="Accent3 2" xfId="20641"/>
    <cellStyle name="Accent3 2 2" xfId="20642"/>
    <cellStyle name="Accent3 3" xfId="20643"/>
    <cellStyle name="Accent3 3 2" xfId="20644"/>
    <cellStyle name="Accent3 3 2 2" xfId="20645"/>
    <cellStyle name="Accent3 4" xfId="20646"/>
    <cellStyle name="Accent3 5" xfId="20647"/>
    <cellStyle name="Accent4" xfId="20648"/>
    <cellStyle name="Accent4 - 20%" xfId="20649"/>
    <cellStyle name="Accent4 - 40%" xfId="20650"/>
    <cellStyle name="Accent4 - 60%" xfId="20651"/>
    <cellStyle name="Accent4 2" xfId="20652"/>
    <cellStyle name="Accent4 2 2" xfId="20653"/>
    <cellStyle name="Accent4 3" xfId="20654"/>
    <cellStyle name="Accent4 3 2" xfId="20655"/>
    <cellStyle name="Accent4 3 2 2" xfId="20656"/>
    <cellStyle name="Accent4 4" xfId="20657"/>
    <cellStyle name="Accent4 5" xfId="20658"/>
    <cellStyle name="Accent5" xfId="20659"/>
    <cellStyle name="Accent5 - 20%" xfId="20660"/>
    <cellStyle name="Accent5 - 40%" xfId="20661"/>
    <cellStyle name="Accent5 - 60%" xfId="20662"/>
    <cellStyle name="Accent5 2" xfId="20663"/>
    <cellStyle name="Accent5 2 2" xfId="20664"/>
    <cellStyle name="Accent5 3" xfId="20665"/>
    <cellStyle name="Accent5 3 2" xfId="20666"/>
    <cellStyle name="Accent5 3 2 2" xfId="20667"/>
    <cellStyle name="Accent5 4" xfId="20668"/>
    <cellStyle name="Accent5 5" xfId="20669"/>
    <cellStyle name="Accent6" xfId="20670"/>
    <cellStyle name="Accent6 - 20%" xfId="20671"/>
    <cellStyle name="Accent6 - 40%" xfId="20672"/>
    <cellStyle name="Accent6 - 60%" xfId="20673"/>
    <cellStyle name="Accent6 2" xfId="20674"/>
    <cellStyle name="Accent6 2 2" xfId="20675"/>
    <cellStyle name="Accent6 3" xfId="20676"/>
    <cellStyle name="Accent6 3 2" xfId="20677"/>
    <cellStyle name="Accent6 3 2 2" xfId="20678"/>
    <cellStyle name="Accent6 4" xfId="20679"/>
    <cellStyle name="Accent6 5" xfId="20680"/>
    <cellStyle name="ACSP1.YMMlbso_x0002_" xfId="20681"/>
    <cellStyle name="Actual Date" xfId="20682"/>
    <cellStyle name="AeE­ [0]_ PLAN97 " xfId="20683"/>
    <cellStyle name="AeE- [0]_?c?A " xfId="20684"/>
    <cellStyle name="AeE­ [0]_¡U¾EU￢ A¾COºn±³ " xfId="20685"/>
    <cellStyle name="ÅëÈ­ [0]_¡Ú¾ÈÜ¬ Á¾ÇÕºñ±³ " xfId="20686"/>
    <cellStyle name="AeE­ [0]_´eCu≫cAa" xfId="20687"/>
    <cellStyle name="ÅëÈ­ [0]_¸ÅÃâ" xfId="20688"/>
    <cellStyle name="AeE­ [0]_¸nC￥°C¼o " xfId="20689"/>
    <cellStyle name="ÅëÈ­ [0]_¿ä¾àµµ" xfId="20690"/>
    <cellStyle name="AeE­ [0]_±aA¸" xfId="20691"/>
    <cellStyle name="ÅëÈ­ [0]_±âÅ¸_¼ÕÀÍÇ¥ (³â°è 83¾ï) " xfId="20692"/>
    <cellStyle name="AeE­ [0]_°eE¹_11¿a½A " xfId="20693"/>
    <cellStyle name="ÅëÈ­ [0]_°ü¸®Ç×¸ñ_¾÷Á¾º° " xfId="20694"/>
    <cellStyle name="AeE­ [0]_°u¸RC×¸n_¾÷A¾º° " xfId="20695"/>
    <cellStyle name="ÅëÈ­ [0]_¼­½ÄÃ¼01_ÅõÀÔ°èÈ¹ " xfId="20696"/>
    <cellStyle name="AeE­ [0]_¼­½AAI¶÷_AoAO°eE¹ " xfId="20697"/>
    <cellStyle name="ÅëÈ­ [0]_¼­½ÄÀÏ¶÷_ÅõÀÔ°èÈ¹ " xfId="20698"/>
    <cellStyle name="AeE­ [0]_½C¿¹PL " xfId="20699"/>
    <cellStyle name="ÅëÈ­ [0]_½Ç¿¹PL " xfId="20700"/>
    <cellStyle name="AeE­ [0]_½C¿¹PL _1031상품손익(채)" xfId="20701"/>
    <cellStyle name="ÅëÈ­ [0]_¾÷Á¾º° " xfId="20702"/>
    <cellStyle name="AeE­ [0]_¾c½A " xfId="20703"/>
    <cellStyle name="ÅëÈ­ [0]_1.ÆÇ¸Å½ÇÀû " xfId="20704"/>
    <cellStyle name="AeE­ [0]_1.SUMMARY " xfId="20705"/>
    <cellStyle name="ÅëÈ­ [0]_1.SUMMARY " xfId="20706"/>
    <cellStyle name="AeE­ [0]_1.SUMMARY  2" xfId="20707"/>
    <cellStyle name="ÅëÈ­ [0]_1.SUMMARY  2" xfId="20708"/>
    <cellStyle name="AeE­ [0]_11¿a½A " xfId="20709"/>
    <cellStyle name="ÅëÈ­ [0]_2.CONCEPT " xfId="20710"/>
    <cellStyle name="AeE­ [0]_3.MSCHEDULE¿μ¹R " xfId="20711"/>
    <cellStyle name="ÅëÈ­ [0]_3PJTR°èÈ¹ " xfId="20712"/>
    <cellStyle name="AeE­ [0]_4 " xfId="20713"/>
    <cellStyle name="ÅëÈ­ [0]_4 " xfId="20714"/>
    <cellStyle name="AeE­ [0]_4  2" xfId="20715"/>
    <cellStyle name="ÅëÈ­ [0]_4  2" xfId="20716"/>
    <cellStyle name="AeE- [0]_4PART " xfId="20717"/>
    <cellStyle name="AeE­ [0]_6¿u2A°AO " xfId="20718"/>
    <cellStyle name="ÅëÈ­ [0]_6-3°æÀï·Â " xfId="20719"/>
    <cellStyle name="AeE- [0]_64-C STEPPER 줩!줩o?A줩줗(PHOTO) " xfId="20720"/>
    <cellStyle name="AeE­ [0]_7.MASTER SCHEDULE " xfId="20721"/>
    <cellStyle name="ÅëÈ­ [0]_7.MASTER SCHEDULE " xfId="20722"/>
    <cellStyle name="AeE­ [0]_7.MASTER SCHEDULE  2" xfId="20723"/>
    <cellStyle name="ÅëÈ­ [0]_7.MASTER SCHEDULE  2" xfId="20724"/>
    <cellStyle name="AeE­ [0]_95³aAN°y¼o·R " xfId="20725"/>
    <cellStyle name="AeE- [0]_953aAN줩y?o좵R " xfId="20726"/>
    <cellStyle name="AeE­ [0]_96¾Æ½OBD " xfId="20727"/>
    <cellStyle name="ÅëÈ­ [0]_Á¦Á¶1ºÎ1°ú ÇöÈ² " xfId="20728"/>
    <cellStyle name="AeE­ [0]_Ac°i°u¸R " xfId="20729"/>
    <cellStyle name="ÅëÈ­ [0]_ÀÎ¿ø°èÈ¹ " xfId="20730"/>
    <cellStyle name="AeE­ [0]_AN°yº¸°i-Aß°¡Ay°¨ " xfId="20731"/>
    <cellStyle name="ÅëÈ­ [0]_Áö]¿Ï¼ºÂ÷ " xfId="20732"/>
    <cellStyle name="AeE­ [0]_AoAUAy°eC￥ " xfId="20733"/>
    <cellStyle name="ÅëÈ­ [0]_ÅõÀÚÁý°èÇ¥ " xfId="20734"/>
    <cellStyle name="AeE­ [0]_AoAUAy°eC￥ _1031상품손익(채)" xfId="20735"/>
    <cellStyle name="ÅëÈ­ [0]_Ç¥Áö_ÅõÀÚÁý°èÇ¥ " xfId="20736"/>
    <cellStyle name="AeE­ [0]_C￥Ao_AoAUAy°eC￥ _경통외주가공비인상검토" xfId="20737"/>
    <cellStyle name="AeE- [0]_C줩좲no줩 " xfId="20738"/>
    <cellStyle name="ÅëÈ­ [0]_INQUIRY ¿µ¾÷ÃßÁø " xfId="20739"/>
    <cellStyle name="AeE­ [0]_INQUIRY ¿μ¾÷AßAø " xfId="20740"/>
    <cellStyle name="ÅëÈ­ [0]_lx-taxi " xfId="20741"/>
    <cellStyle name="AeE­ [0]_M105CDT " xfId="20742"/>
    <cellStyle name="ÅëÈ­ [0]_MKN-M1.1 " xfId="20743"/>
    <cellStyle name="AeE­ [0]_ºÐ·u±a01_AoAO°eE¹ " xfId="20744"/>
    <cellStyle name="ÅëÈ­ [0]_ºÐ·ù±â01_ÅõÀÔ°èÈ¹ " xfId="20745"/>
    <cellStyle name="AeE­ [0]_SAMPLE " xfId="20746"/>
    <cellStyle name="ÅëÈ­ [0]_SAMPLE " xfId="20747"/>
    <cellStyle name="AeE­ [0]_SAMPLE  2" xfId="20748"/>
    <cellStyle name="ÅëÈ­ [0]_SAMPLE  2" xfId="20749"/>
    <cellStyle name="AeE­ [0]_Sheet1 (2)_1.SUMMARY " xfId="20750"/>
    <cellStyle name="ÅëÈ­ [0]_Sheet1 (2)_1.SUMMARY " xfId="20751"/>
    <cellStyle name="AeE­ [0]_Sheet1 (2)_1.SUMMARY  2" xfId="20752"/>
    <cellStyle name="ÅëÈ­ [0]_Sheet1 (2)_1.SUMMARY  2" xfId="20753"/>
    <cellStyle name="AeE­ [0]_Sheet1_XD AOA¾AIA¤ " xfId="20754"/>
    <cellStyle name="ÅëÈ­ [0]_Sheet1_XD ÃÖÁ¾ÀÏÁ¤ " xfId="20755"/>
    <cellStyle name="AeE­ [0]_Sheet1_XD AOA¾AIA¤  2" xfId="20756"/>
    <cellStyle name="ÅëÈ­ [0]_Sheet1_XD ÃÖÁ¾ÀÏÁ¤  2" xfId="20757"/>
    <cellStyle name="AeE­ [0]_SMG-CKD-d1.1 " xfId="20758"/>
    <cellStyle name="ÅëÈ­ [0]_SMG-CKD-d1.1 " xfId="20759"/>
    <cellStyle name="AeE­ [0]_SMG-CKD-d1.1  2" xfId="20760"/>
    <cellStyle name="ÅëÈ­ [0]_SMG-CKD-d1.1  2" xfId="20761"/>
    <cellStyle name="AeE­ [0]_SP ¹°μ¿¹× ¿UAO " xfId="20762"/>
    <cellStyle name="AeE-_?c?A " xfId="20763"/>
    <cellStyle name="AeE­_¡U¾EU￢ A¾COºn±³ " xfId="20764"/>
    <cellStyle name="ÅëÈ­_¡Ú¾ÈÜ¬ Á¾ÇÕºñ±³ " xfId="20765"/>
    <cellStyle name="AeE­_¡U¾EU￢ A¾COºn±³  2" xfId="20766"/>
    <cellStyle name="ÅëÈ­_¡Ú¾ÈÜ¬ Á¾ÇÕºñ±³  2" xfId="20767"/>
    <cellStyle name="AeE­_´eCu≫cAa" xfId="20768"/>
    <cellStyle name="ÅëÈ­_¸ÅÃâ" xfId="20769"/>
    <cellStyle name="AeE­_¸nC￥°C¼o " xfId="20770"/>
    <cellStyle name="ÅëÈ­_¿ä¾àµµ" xfId="20771"/>
    <cellStyle name="AeE­_±aA¸" xfId="20772"/>
    <cellStyle name="ÅëÈ­_±âÅ¸_¼ÕÀÍÇ¥ (³â°è 83¾ï) " xfId="20773"/>
    <cellStyle name="AeE­_°eE¹_11¿a½A " xfId="20774"/>
    <cellStyle name="ÅëÈ­_°ü¸®Ç×¸ñ_¾÷Á¾º° " xfId="20775"/>
    <cellStyle name="AeE­_°u¸RC×¸n_¾÷A¾º° " xfId="20776"/>
    <cellStyle name="ÅëÈ­_¼­½ÄÃ¼01_ÅõÀÔ°èÈ¹ " xfId="20777"/>
    <cellStyle name="AeE­_¼­½AAI¶÷_AoAO°eE¹ " xfId="20778"/>
    <cellStyle name="ÅëÈ­_¼­½ÄÀÏ¶÷_ÅõÀÔ°èÈ¹ " xfId="20779"/>
    <cellStyle name="AeE­_½C¿¹PL " xfId="20780"/>
    <cellStyle name="ÅëÈ­_½Ç¿¹PL " xfId="20781"/>
    <cellStyle name="AeE­_½C¿¹PL _1031상품손익(채)" xfId="20782"/>
    <cellStyle name="ÅëÈ­_¾÷Á¾º° " xfId="20783"/>
    <cellStyle name="AeE­_¾c½A " xfId="20784"/>
    <cellStyle name="ÅëÈ­_1.ÆÇ¸Å½ÇÀû " xfId="20785"/>
    <cellStyle name="AeE­_1.SUMMARY " xfId="20786"/>
    <cellStyle name="ÅëÈ­_1.SUMMARY " xfId="20787"/>
    <cellStyle name="AeE­_1.SUMMARY  2" xfId="20788"/>
    <cellStyle name="ÅëÈ­_1.SUMMARY  2" xfId="20789"/>
    <cellStyle name="AeE­_11¿a½A " xfId="20790"/>
    <cellStyle name="ÅëÈ­_2.CONCEPT " xfId="20791"/>
    <cellStyle name="AeE­_3.MSCHEDULE¿μ¹R " xfId="20792"/>
    <cellStyle name="ÅëÈ­_3PJTR°èÈ¹ " xfId="20793"/>
    <cellStyle name="AeE­_4 " xfId="20794"/>
    <cellStyle name="ÅëÈ­_4 " xfId="20795"/>
    <cellStyle name="AeE­_4  2" xfId="20796"/>
    <cellStyle name="ÅëÈ­_4  2" xfId="20797"/>
    <cellStyle name="AeE-_4PART " xfId="20798"/>
    <cellStyle name="AeE­_6¿u2A°AO " xfId="20799"/>
    <cellStyle name="ÅëÈ­_6-3°æÀï·Â " xfId="20800"/>
    <cellStyle name="AeE-_64-C STEPPER 줩!줩o?A줩줗(PHOTO) " xfId="20801"/>
    <cellStyle name="AeE­_7.MASTER SCHEDULE " xfId="20802"/>
    <cellStyle name="ÅëÈ­_7.MASTER SCHEDULE " xfId="20803"/>
    <cellStyle name="AeE­_7.MASTER SCHEDULE  2" xfId="20804"/>
    <cellStyle name="ÅëÈ­_7.MASTER SCHEDULE  2" xfId="20805"/>
    <cellStyle name="AeE­_95³aAN°y¼o·R " xfId="20806"/>
    <cellStyle name="AeE-_953aAN줩y?o좵R " xfId="20807"/>
    <cellStyle name="AeE­_96¾Æ½OBD " xfId="20808"/>
    <cellStyle name="ÅëÈ­_Á¦Á¶1ºÎ1°ú ÇöÈ² " xfId="20809"/>
    <cellStyle name="AeE­_Ac°i°u¸R " xfId="20810"/>
    <cellStyle name="ÅëÈ­_ÀÎ¿ø°èÈ¹ " xfId="20811"/>
    <cellStyle name="AeE­_AN°yº¸°i-Aß°¡Ay°¨ " xfId="20812"/>
    <cellStyle name="ÅëÈ­_Áö]¿Ï¼ºÂ÷ " xfId="20813"/>
    <cellStyle name="AeE­_AoAUAy°eC￥ " xfId="20814"/>
    <cellStyle name="ÅëÈ­_ÅõÀÚÁý°èÇ¥ " xfId="20815"/>
    <cellStyle name="AeE­_AoAUAy°eC￥ _1031상품손익(채)" xfId="20816"/>
    <cellStyle name="ÅëÈ­_Ç¥Áö_ÅõÀÚÁý°èÇ¥ " xfId="20817"/>
    <cellStyle name="AeE­_C￥Ao_AoAUAy°eC￥ _경통외주가공비인상검토" xfId="20818"/>
    <cellStyle name="AeE-_C줩좲no줩 " xfId="20819"/>
    <cellStyle name="ÅëÈ­_INQUIRY ¿µ¾÷ÃßÁø " xfId="20820"/>
    <cellStyle name="AeE­_INQUIRY ¿μ¾÷AßAø " xfId="20821"/>
    <cellStyle name="ÅëÈ­_lx-taxi " xfId="20822"/>
    <cellStyle name="AeE­_M105CDT " xfId="20823"/>
    <cellStyle name="ÅëÈ­_MKN-M1.1 " xfId="20824"/>
    <cellStyle name="AeE­_ºÐ·u±a01_AoAO°eE¹ " xfId="20825"/>
    <cellStyle name="ÅëÈ­_ºÐ·ù±â01_ÅõÀÔ°èÈ¹ " xfId="20826"/>
    <cellStyle name="AeE­_SAMPLE " xfId="20827"/>
    <cellStyle name="ÅëÈ­_SAMPLE " xfId="20828"/>
    <cellStyle name="AeE­_SAMPLE  2" xfId="20829"/>
    <cellStyle name="ÅëÈ­_SAMPLE  2" xfId="20830"/>
    <cellStyle name="AeE­_Sheet1 (2)_1.SUMMARY " xfId="20831"/>
    <cellStyle name="ÅëÈ­_Sheet1 (2)_1.SUMMARY " xfId="20832"/>
    <cellStyle name="AeE­_Sheet1 (2)_1.SUMMARY  2" xfId="20833"/>
    <cellStyle name="ÅëÈ­_Sheet1 (2)_1.SUMMARY  2" xfId="20834"/>
    <cellStyle name="AeE­_Sheet1_XD AOA¾AIA¤ " xfId="20835"/>
    <cellStyle name="ÅëÈ­_Sheet1_XD ÃÖÁ¾ÀÏÁ¤ " xfId="20836"/>
    <cellStyle name="AeE­_Sheet1_XD AOA¾AIA¤  2" xfId="20837"/>
    <cellStyle name="ÅëÈ­_Sheet1_XD ÃÖÁ¾ÀÏÁ¤  2" xfId="20838"/>
    <cellStyle name="AeE­_SMG-CKD-d1.1 " xfId="20839"/>
    <cellStyle name="ÅëÈ­_SMG-CKD-d1.1 " xfId="20840"/>
    <cellStyle name="AeE­_SMG-CKD-d1.1  2" xfId="20841"/>
    <cellStyle name="ÅëÈ­_SMG-CKD-d1.1  2" xfId="20842"/>
    <cellStyle name="AeE­_SP ¹°μ¿¹× ¿UAO " xfId="20843"/>
    <cellStyle name="AeE¡? [0]_AoAUAy¡ÆeC¡? " xfId="20844"/>
    <cellStyle name="AeE¡?_AoAUAy¡ÆeC¡? " xfId="20845"/>
    <cellStyle name="AeE¡© [0]_  RANGE " xfId="20846"/>
    <cellStyle name="AeE¡©_  RANGE " xfId="20847"/>
    <cellStyle name="AeE¡ⓒ [0]_¡Æu￠￢RC¡I " xfId="20848"/>
    <cellStyle name="AeE¡ⓒ_¡Æu￠￢RC¡I " xfId="20849"/>
    <cellStyle name="AeE¡ER¡§I [0]_¡ER¡§￠R¡§I¡ERAi¡ERicAc¡ER¡§￠Ri " xfId="20850"/>
    <cellStyle name="AeE¡ER¡§I_¡ER¡§￠R¡§I¡ERAi¡ERicAc¡ER¡§￠Ri " xfId="20851"/>
    <cellStyle name="AeE¡ERER¡ER￠R¡¿I [0]_¡ER￠R¡¿IoY￠RERIi￠RERIiA￠RER¡ER￠R￠?u_￠RER¡ER￠R￠?uOAIAo¡ERER¡ER￠R¡¿￠RER¡ERER￠RER¡ER¡E? " xfId="20852"/>
    <cellStyle name="AeE¡ERER¡ER￠R¡¿I_¡ER￠R¡¿IoY￠RERIi￠RERIiA￠RER¡ER￠R￠?u_￠RER¡ER￠R￠?uOAIAo¡ERER¡ER￠R¡¿￠RER¡ERER￠RER¡ER¡E? " xfId="20853"/>
    <cellStyle name="AeE￠R¨I [0]_￠R¨¡¨I￠RAi￠RicAc￠R¨¡i " xfId="20854"/>
    <cellStyle name="AeE￠R¨I_￠R¨¡¨I￠RAi￠RicAc￠R¨¡i " xfId="20855"/>
    <cellStyle name="AeE￠RER￠R¡×I [0]_  A¡ER￠R¡¿u  CO  " xfId="20856"/>
    <cellStyle name="AeE￠RER￠R¡×I_  A¡ER￠R¡¿u  CO  " xfId="20857"/>
    <cellStyle name="ALIGNMENT" xfId="20858"/>
    <cellStyle name="AÞ¸¶ [0]_ PLAN97 " xfId="20859"/>
    <cellStyle name="ÄÞ¸¶ [0]_¡Ú¾ÈÜ¬ Á¾ÇÕºñ±³ " xfId="20860"/>
    <cellStyle name="AÞ¸¶ [0]_´eCu≫cAa" xfId="20861"/>
    <cellStyle name="ÄÞ¸¶ [0]_¸ÅÃâ" xfId="20862"/>
    <cellStyle name="AÞ¸¶ [0]_¸i¼¼C￥ " xfId="20863"/>
    <cellStyle name="ÄÞ¸¶ [0]_¸ñÂ÷ " xfId="20864"/>
    <cellStyle name="AÞ¸¶ [0]_±aA¸" xfId="20865"/>
    <cellStyle name="ÄÞ¸¶ [0]_°ü¸®BS('98) " xfId="20866"/>
    <cellStyle name="AÞ¸¶ [0]_°u¸RBS('98) " xfId="20867"/>
    <cellStyle name="ÄÞ¸¶ [0]_¼öÁÖ°èÈ¹(SMD) " xfId="20868"/>
    <cellStyle name="AÞ¸¶ [0]_½C¿¹PL " xfId="20869"/>
    <cellStyle name="ÄÞ¸¶ [0]_½Ç¿¹PL " xfId="20870"/>
    <cellStyle name="AÞ¸¶ [0]_¾÷A¾º° " xfId="20871"/>
    <cellStyle name="ÄÞ¸¶ [0]_1.ÆÇ¸Å½ÇÀû " xfId="20872"/>
    <cellStyle name="AÞ¸¶ [0]_1.SUMMARY " xfId="20873"/>
    <cellStyle name="ÄÞ¸¶ [0]_1.SUMMARY " xfId="20874"/>
    <cellStyle name="AÞ¸¶ [0]_1.SUMMARY  2" xfId="20875"/>
    <cellStyle name="ÄÞ¸¶ [0]_1.SUMMARY  2" xfId="20876"/>
    <cellStyle name="AÞ¸¶ [0]_11¿a½A " xfId="20877"/>
    <cellStyle name="ÄÞ¸¶ [0]_2.CONCEPT " xfId="20878"/>
    <cellStyle name="AÞ¸¶ [0]_3.MSCHEDULE¿μ¹R " xfId="20879"/>
    <cellStyle name="ÄÞ¸¶ [0]_3PJTR°èÈ¹ " xfId="20880"/>
    <cellStyle name="AÞ¸¶ [0]_4 " xfId="20881"/>
    <cellStyle name="ÄÞ¸¶ [0]_4 " xfId="20882"/>
    <cellStyle name="AÞ¸¶ [0]_4  2" xfId="20883"/>
    <cellStyle name="ÄÞ¸¶ [0]_4  2" xfId="20884"/>
    <cellStyle name="AÞ¸¶ [0]_6-3°æAi·A " xfId="20885"/>
    <cellStyle name="ÄÞ¸¶ [0]_6-3°æÀï·Â " xfId="20886"/>
    <cellStyle name="AÞ¸¶ [0]_7.MASTER SCHEDULE " xfId="20887"/>
    <cellStyle name="ÄÞ¸¶ [0]_7.MASTER SCHEDULE " xfId="20888"/>
    <cellStyle name="AÞ¸¶ [0]_7.MASTER SCHEDULE  2" xfId="20889"/>
    <cellStyle name="ÄÞ¸¶ [0]_7.MASTER SCHEDULE  2" xfId="20890"/>
    <cellStyle name="AÞ¸¶ [0]_96¾Æ½OBD " xfId="20891"/>
    <cellStyle name="ÄÞ¸¶ [0]_Á¦Á¶1ºÎ1°ú ÇöÈ² " xfId="20892"/>
    <cellStyle name="AÞ¸¶ [0]_Ac°i°u¸R " xfId="20893"/>
    <cellStyle name="ÄÞ¸¶ [0]_ÀÎ¿ø°èÈ¹ " xfId="20894"/>
    <cellStyle name="AÞ¸¶ [0]_AN°yº¸°i-Aß°¡Ay°¨ " xfId="20895"/>
    <cellStyle name="ÄÞ¸¶ [0]_ÃÖÁ¾ÀÏÁ¤ " xfId="20896"/>
    <cellStyle name="AÞ¸¶ [0]_AoAUAy°eC￥ _경통외주가공비인상검토" xfId="20897"/>
    <cellStyle name="ÄÞ¸¶ [0]_Ç¥Áö_ÅõÀÚÁý°èÇ¥ " xfId="20898"/>
    <cellStyle name="AÞ¸¶ [0]_C￥Ao_AoAUAy°eC￥ _경통외주가공비인상검토" xfId="20899"/>
    <cellStyle name="ÄÞ¸¶ [0]_lx-taxi " xfId="20900"/>
    <cellStyle name="AÞ¸¶ [0]_M105CDT " xfId="20901"/>
    <cellStyle name="ÄÞ¸¶ [0]_MKN-M1.1 " xfId="20902"/>
    <cellStyle name="AÞ¸¶ [0]_SAMPLE " xfId="20903"/>
    <cellStyle name="ÄÞ¸¶ [0]_SAMPLE " xfId="20904"/>
    <cellStyle name="AÞ¸¶ [0]_SAMPLE  2" xfId="20905"/>
    <cellStyle name="ÄÞ¸¶ [0]_SAMPLE  2" xfId="20906"/>
    <cellStyle name="AÞ¸¶ [0]_Sheet1 (2)_1.SUMMARY " xfId="20907"/>
    <cellStyle name="ÄÞ¸¶ [0]_Sheet1 (2)_1.SUMMARY " xfId="20908"/>
    <cellStyle name="AÞ¸¶ [0]_Sheet1 (2)_1.SUMMARY  2" xfId="20909"/>
    <cellStyle name="ÄÞ¸¶ [0]_Sheet1 (2)_1.SUMMARY  2" xfId="20910"/>
    <cellStyle name="AÞ¸¶ [0]_Sheet1_XD AOA¾AIA¤ " xfId="20911"/>
    <cellStyle name="ÄÞ¸¶ [0]_Sheet1_XD ÃÖÁ¾ÀÏÁ¤ " xfId="20912"/>
    <cellStyle name="AÞ¸¶ [0]_Sheet1_XD AOA¾AIA¤  2" xfId="20913"/>
    <cellStyle name="ÄÞ¸¶ [0]_Sheet1_XD ÃÖÁ¾ÀÏÁ¤  2" xfId="20914"/>
    <cellStyle name="AÞ¸¶ [0]_SMG-CKD-d1.1 " xfId="20915"/>
    <cellStyle name="ÄÞ¸¶ [0]_SMG-CKD-d1.1 " xfId="20916"/>
    <cellStyle name="AÞ¸¶ [0]_SMG-CKD-d1.1  2" xfId="20917"/>
    <cellStyle name="ÄÞ¸¶ [0]_SMG-CKD-d1.1  2" xfId="20918"/>
    <cellStyle name="AÞ¸¶ [0]_SP ¹°μ¿¹× ¿UAO " xfId="20919"/>
    <cellStyle name="AÞ¸¶_¡U¾EU￢ A¾COºn±³ " xfId="20920"/>
    <cellStyle name="ÄÞ¸¶_¡Ú¾ÈÜ¬ Á¾ÇÕºñ±³ " xfId="20921"/>
    <cellStyle name="AÞ¸¶_¡U¾EU￢ A¾COºn±³  2" xfId="20922"/>
    <cellStyle name="ÄÞ¸¶_¡Ú¾ÈÜ¬ Á¾ÇÕºñ±³  2" xfId="20923"/>
    <cellStyle name="AÞ¸¶_´eCu≫cAa" xfId="20924"/>
    <cellStyle name="ÄÞ¸¶_¸ÅÃâ" xfId="20925"/>
    <cellStyle name="AÞ¸¶_¸nC￥°C¼o " xfId="20926"/>
    <cellStyle name="ÄÞ¸¶_¿ä¾àµµ" xfId="20927"/>
    <cellStyle name="AÞ¸¶_±aA¸" xfId="20928"/>
    <cellStyle name="ÄÞ¸¶_±âÅ¸_¼ÕÀÍÇ¥ (³â°è 83¾ï) " xfId="20929"/>
    <cellStyle name="AÞ¸¶_°eE¹_11¿a½A " xfId="20930"/>
    <cellStyle name="ÄÞ¸¶_°ü¸®Ç×¸ñ_¾÷Á¾º° " xfId="20931"/>
    <cellStyle name="AÞ¸¶_°u¸RC×¸n_¾÷A¾º° " xfId="20932"/>
    <cellStyle name="ÄÞ¸¶_¼öÁÖ°èÈ¹(SMD) " xfId="20933"/>
    <cellStyle name="AÞ¸¶_½C¿¹PL " xfId="20934"/>
    <cellStyle name="ÄÞ¸¶_½Ç¿¹PL " xfId="20935"/>
    <cellStyle name="AÞ¸¶_½C¿¹PL _1031상품손익(채)" xfId="20936"/>
    <cellStyle name="ÄÞ¸¶_¾÷Á¾º° " xfId="20937"/>
    <cellStyle name="AÞ¸¶_¾c½A " xfId="20938"/>
    <cellStyle name="ÄÞ¸¶_1.ÆÇ¸Å½ÇÀû " xfId="20939"/>
    <cellStyle name="AÞ¸¶_1.SUMMARY " xfId="20940"/>
    <cellStyle name="ÄÞ¸¶_1.SUMMARY " xfId="20941"/>
    <cellStyle name="AÞ¸¶_1.SUMMARY  2" xfId="20942"/>
    <cellStyle name="ÄÞ¸¶_1.SUMMARY  2" xfId="20943"/>
    <cellStyle name="AÞ¸¶_11¿a½A " xfId="20944"/>
    <cellStyle name="ÄÞ¸¶_2.CONCEPT " xfId="20945"/>
    <cellStyle name="AÞ¸¶_3.MSCHEDULE¿μ¹R " xfId="20946"/>
    <cellStyle name="ÄÞ¸¶_3PJTR°èÈ¹ " xfId="20947"/>
    <cellStyle name="AÞ¸¶_4 " xfId="20948"/>
    <cellStyle name="ÄÞ¸¶_4 " xfId="20949"/>
    <cellStyle name="AÞ¸¶_4  2" xfId="20950"/>
    <cellStyle name="ÄÞ¸¶_4  2" xfId="20951"/>
    <cellStyle name="AÞ¸¶_6-3°æAi·A " xfId="20952"/>
    <cellStyle name="ÄÞ¸¶_6-3°æÀï·Â " xfId="20953"/>
    <cellStyle name="AÞ¸¶_7.MASTER SCHEDULE " xfId="20954"/>
    <cellStyle name="ÄÞ¸¶_7.MASTER SCHEDULE " xfId="20955"/>
    <cellStyle name="AÞ¸¶_7.MASTER SCHEDULE  2" xfId="20956"/>
    <cellStyle name="ÄÞ¸¶_7.MASTER SCHEDULE  2" xfId="20957"/>
    <cellStyle name="AÞ¸¶_96¾Æ½OBD " xfId="20958"/>
    <cellStyle name="ÄÞ¸¶_Á¦Á¶1ºÎ1°ú ÇöÈ² " xfId="20959"/>
    <cellStyle name="AÞ¸¶_Ac°i°u¸R " xfId="20960"/>
    <cellStyle name="ÄÞ¸¶_ÀÎ¿ø°èÈ¹ " xfId="20961"/>
    <cellStyle name="AÞ¸¶_AN°yº¸°i-Aß°¡Ay°¨ " xfId="20962"/>
    <cellStyle name="ÄÞ¸¶_Áö]¿Ï¼ºÂ÷ " xfId="20963"/>
    <cellStyle name="AÞ¸¶_AoAUAy°eC￥ " xfId="20964"/>
    <cellStyle name="ÄÞ¸¶_ÅõÀÚÁý°èÇ¥ " xfId="20965"/>
    <cellStyle name="AÞ¸¶_AoAUAy°eC￥ _1031상품손익(채)" xfId="20966"/>
    <cellStyle name="ÄÞ¸¶_Ç¥Áö_ÅõÀÚÁý°èÇ¥ " xfId="20967"/>
    <cellStyle name="AÞ¸¶_C￥Ao_AoAUAy°eC￥ _경통외주가공비인상검토" xfId="20968"/>
    <cellStyle name="ÄÞ¸¶_lx-taxi " xfId="20969"/>
    <cellStyle name="AÞ¸¶_M105CDT " xfId="20970"/>
    <cellStyle name="ÄÞ¸¶_MKN-M1.1 " xfId="20971"/>
    <cellStyle name="AÞ¸¶_SAMPLE " xfId="20972"/>
    <cellStyle name="ÄÞ¸¶_SAMPLE " xfId="20973"/>
    <cellStyle name="AÞ¸¶_SAMPLE  2" xfId="20974"/>
    <cellStyle name="ÄÞ¸¶_SAMPLE  2" xfId="20975"/>
    <cellStyle name="AÞ¸¶_Sheet1 (2)_1.SUMMARY " xfId="20976"/>
    <cellStyle name="ÄÞ¸¶_Sheet1 (2)_1.SUMMARY " xfId="20977"/>
    <cellStyle name="AÞ¸¶_Sheet1 (2)_1.SUMMARY  2" xfId="20978"/>
    <cellStyle name="ÄÞ¸¶_Sheet1 (2)_1.SUMMARY  2" xfId="20979"/>
    <cellStyle name="AÞ¸¶_Sheet1_XD AOA¾AIA¤ " xfId="20980"/>
    <cellStyle name="ÄÞ¸¶_Sheet1_XD ÃÖÁ¾ÀÏÁ¤ " xfId="20981"/>
    <cellStyle name="AÞ¸¶_Sheet1_XD AOA¾AIA¤  2" xfId="20982"/>
    <cellStyle name="ÄÞ¸¶_Sheet1_XD ÃÖÁ¾ÀÏÁ¤  2" xfId="20983"/>
    <cellStyle name="AÞ¸¶_SMG-CKD-d1.1 " xfId="20984"/>
    <cellStyle name="ÄÞ¸¶_SMG-CKD-d1.1 " xfId="20985"/>
    <cellStyle name="AÞ¸¶_SMG-CKD-d1.1  2" xfId="20986"/>
    <cellStyle name="ÄÞ¸¶_SMG-CKD-d1.1  2" xfId="20987"/>
    <cellStyle name="AÞ¸¶_SP ¹°μ¿¹× ¿UAO " xfId="20988"/>
    <cellStyle name="AT좲? [0]_?c?A " xfId="20989"/>
    <cellStyle name="AT좲?_?c?A " xfId="20990"/>
    <cellStyle name="_x0001_b" xfId="20991"/>
    <cellStyle name="_x0001_b 2" xfId="20992"/>
    <cellStyle name="Bad" xfId="20993"/>
    <cellStyle name="Bad 2" xfId="20994"/>
    <cellStyle name="Bad 2 2" xfId="20995"/>
    <cellStyle name="Bad 3" xfId="20996"/>
    <cellStyle name="Bad 3 2" xfId="20997"/>
    <cellStyle name="Bad 3 2 2" xfId="20998"/>
    <cellStyle name="Bad 4" xfId="20999"/>
    <cellStyle name="Bad 5" xfId="21000"/>
    <cellStyle name="Body" xfId="21001"/>
    <cellStyle name="Body 2" xfId="21002"/>
    <cellStyle name="C¡?A¨ª_?ø¡?AU¨??ø¨?n " xfId="21003"/>
    <cellStyle name="C¡ERERIA￠RER¡ER￠R￠?¡ER￠R¡¿¡ERI_¡ERER¡ER￠R¡¿￠RER¡ER￠R¡¿I¡ER￠R¡¿¡ERI¡ER￠R¡¿IoR5 " xfId="21004"/>
    <cellStyle name="C¡ERIA￠R¡×¡§¡I_¡ER¡§￠R¡§I¡ERAi¡ERicAc¡ER¡§￠Ri " xfId="21005"/>
    <cellStyle name="C¡ÍA¨ª_   " xfId="21006"/>
    <cellStyle name="C¡IA¨ª_¡¾ⓒo¨¡C_`96.9￠?u¨ªC " xfId="21007"/>
    <cellStyle name="C¡ÍA¨ª_©ø¡íAU¨ù©ø¨¬n " xfId="21008"/>
    <cellStyle name="C¡IA¨ª_M105CDT " xfId="21009"/>
    <cellStyle name="C¡ÍA¨ª_M105CDT " xfId="21010"/>
    <cellStyle name="C¡IA¨ª_M105CDT  2" xfId="21011"/>
    <cellStyle name="C¡ÍA¨ª_M105CDT  2" xfId="21012"/>
    <cellStyle name="C¡IA¨ª_M107CDT " xfId="21013"/>
    <cellStyle name="C¡ÍA¨ª_M107CDT " xfId="21014"/>
    <cellStyle name="C¡IA¨ª_M107CDT  2" xfId="21015"/>
    <cellStyle name="C¡ÍA¨ª_M107CDT  2" xfId="21016"/>
    <cellStyle name="C￠RERIA¡ER￠R¡¿￠R¡×￠RI_   " xfId="21017"/>
    <cellStyle name="C￠RIA¡§¨￡_￠R¨¡¨I￠RAi￠RicAc￠R¨¡i " xfId="21018"/>
    <cellStyle name="C￥AØ_  FAB AIA¤  " xfId="21019"/>
    <cellStyle name="Ç¥ÁØ_#5  3A2475 (v2500)" xfId="21020"/>
    <cellStyle name="C￥AØ_¸AAa.¼OAI " xfId="21021"/>
    <cellStyle name="Ç¥ÁØ_¿¬±¸°³¹ßºñ(°èÁ¤º°) " xfId="21022"/>
    <cellStyle name="C￥AØ_¿¹≫e¿aA≫ " xfId="21023"/>
    <cellStyle name="Ç¥ÁØ_¿ù»ý»ê(È®Á¤°è¾à)_1_ÁÖ°£ÀÏÁ¤ " xfId="21024"/>
    <cellStyle name="C￥AØ_¿μ¾÷CoE² " xfId="21025"/>
    <cellStyle name="Ç¥ÁØ_±¹ÆÇ_`96.9¿ùØÇ " xfId="21026"/>
    <cellStyle name="C￥AØ_≫c¾÷ºIº° AN°e " xfId="21027"/>
    <cellStyle name="Ç¥ÁØ_°¡¼Ö¸°ÀÏÁ¤_µðÁ©ÀÏÁ¤ " xfId="21028"/>
    <cellStyle name="C￥AØ_°¡¼O¸°AIA¤_μðAⓒAIA¤ " xfId="21029"/>
    <cellStyle name="Ç¥ÁØ_°³¹ßÀÏÁ¤ " xfId="21030"/>
    <cellStyle name="C￥AØ_°³¹ßAIA¤  (2)_°³¹ßAIA¤ " xfId="21031"/>
    <cellStyle name="Ç¥ÁØ_°³¹ßÀÏÁ¤  (2)_°³¹ßÀÏÁ¤ " xfId="21032"/>
    <cellStyle name="C￥AØ_°³¹ßAIA¤  (2)_°³¹ßAIA¤  2" xfId="21033"/>
    <cellStyle name="Ç¥ÁØ_°³¹ßÀÏÁ¤  (2)_°³¹ßÀÏÁ¤  2" xfId="21034"/>
    <cellStyle name="C￥AØ_°ø¹R5 " xfId="21035"/>
    <cellStyle name="Ç¥ÁØ_°ü¸®Ç¥ " xfId="21036"/>
    <cellStyle name="C￥AØ_°u¸RBS('98) " xfId="21037"/>
    <cellStyle name="Ç¥ÁØ_0N-HANDLING " xfId="21038"/>
    <cellStyle name="C￥AØ_¼±AoAc°i_1_³≫ºI°eE¹´e AßA¤A÷AI " xfId="21039"/>
    <cellStyle name="Ç¥ÁØ_¼ÕÀÍÂ÷ÀÌ ¿øÀÎ " xfId="21040"/>
    <cellStyle name="C￥AØ_½C¿¹PL " xfId="21041"/>
    <cellStyle name="Ç¥ÁØ_¾÷Á¾º° " xfId="21042"/>
    <cellStyle name="C￥AØ_1.ÆC¸A½CAu " xfId="21043"/>
    <cellStyle name="Ç¥ÁØ_1.ÆÇ¸Å½ÇÀû " xfId="21044"/>
    <cellStyle name="C￥AØ_1.SUMMARY " xfId="21045"/>
    <cellStyle name="Ç¥ÁØ_1.SUMMARY " xfId="21046"/>
    <cellStyle name="C￥AØ_1.SUMMARY  2" xfId="21047"/>
    <cellStyle name="Ç¥ÁØ_1.SUMMARY  2" xfId="21048"/>
    <cellStyle name="C￥AØ_1~7¿u ´e¸RA¡ ¸AAa ¼oAO ½CAu_1~8¿u ´e¸RA¡ ¸AAa " xfId="21049"/>
    <cellStyle name="Ç¥ÁØ_12¿ù " xfId="21050"/>
    <cellStyle name="C￥AØ_12AO " xfId="21051"/>
    <cellStyle name="Ç¥ÁØ_3PJTR°èÈ¹ " xfId="21052"/>
    <cellStyle name="C￥AØ_4 " xfId="21053"/>
    <cellStyle name="Ç¥ÁØ_4 " xfId="21054"/>
    <cellStyle name="C￥AØ_4  2" xfId="21055"/>
    <cellStyle name="Ç¥ÁØ_4  2" xfId="21056"/>
    <cellStyle name="C￥AØ_5-1±¤°i " xfId="21057"/>
    <cellStyle name="Ç¥ÁØ_5-1±¤°í " xfId="21058"/>
    <cellStyle name="C￥AØ_5-1±¤°i  2" xfId="21059"/>
    <cellStyle name="Ç¥ÁØ_5-1±¤°í  2" xfId="21060"/>
    <cellStyle name="C￥AØ_5-1±¤°i _6RCB1 " xfId="21061"/>
    <cellStyle name="Ç¥ÁØ_6-3°æÀï·Â " xfId="21062"/>
    <cellStyle name="C￥AØ_7.MASTER SCHEDULE " xfId="21063"/>
    <cellStyle name="Ç¥ÁØ_7.MASTER SCHEDULE " xfId="21064"/>
    <cellStyle name="C￥AØ_7.MASTER SCHEDULE  2" xfId="21065"/>
    <cellStyle name="Ç¥ÁØ_7.MASTER SCHEDULE  2" xfId="21066"/>
    <cellStyle name="C￥AØ_7¿u~12¿u Aa°i ¿¹≫o " xfId="21067"/>
    <cellStyle name="Ç¥ÁØ_96ÀÎ¿ø°è2 " xfId="21068"/>
    <cellStyle name="C￥AØ_A≪¸Þ¶o °iA¤AU≫e(°³¹ß½C) " xfId="21069"/>
    <cellStyle name="Ç¥ÁØ_Ã·ºÎ2 " xfId="21070"/>
    <cellStyle name="C￥AØ_A³ºÐ¾E " xfId="21071"/>
    <cellStyle name="Ç¥ÁØ_Àç°í°ü¸® " xfId="21072"/>
    <cellStyle name="C￥AØ_Ac°i°u¸R " xfId="21073"/>
    <cellStyle name="Ç¥ÁØ_ÀÏÁ¤°ËÅä¾È" xfId="21074"/>
    <cellStyle name="C￥AØ_ANCO°e " xfId="21075"/>
    <cellStyle name="Ç¥ÁØ_Áö]¿Ï¼ºÂ÷ " xfId="21076"/>
    <cellStyle name="C￥AØ_AoAUAy°eC￥ " xfId="21077"/>
    <cellStyle name="Ç¥ÁØ_ÅõÀÚÁý°èÇ¥ " xfId="21078"/>
    <cellStyle name="C￥AØ_AoAUºn(ºI¼­º°,°eA¤º°) " xfId="21079"/>
    <cellStyle name="Ç¥ÁØ_ÅõÀÚºñ(ºÎ¼­º°,°èÁ¤º°) " xfId="21080"/>
    <cellStyle name="C￥AØ_Aß±a≫y≫e°eE¹ " xfId="21081"/>
    <cellStyle name="Ç¥ÁØ_Áý°èÇ¥(2¿ù) " xfId="21082"/>
    <cellStyle name="C￥AØ_CoAo¹yAI °A¾×¿ⓒ½A " xfId="21083"/>
    <cellStyle name="Ç¥ÁØ_ÇùÁ¶Àü_ÅõÀÔ°èÈ¹ " xfId="21084"/>
    <cellStyle name="C￥AØ_lx-taxi " xfId="21085"/>
    <cellStyle name="Ç¥ÁØ_lx-taxi " xfId="21086"/>
    <cellStyle name="C￥AØ_lx-taxi  2" xfId="21087"/>
    <cellStyle name="Ç¥ÁØ_lx-taxi  2" xfId="21088"/>
    <cellStyle name="C￥AØ_MKN-M1.1 " xfId="21089"/>
    <cellStyle name="Ç¥ÁØ_MKN-M1.1 " xfId="21090"/>
    <cellStyle name="C￥AØ_MKN-M1.1  2" xfId="21091"/>
    <cellStyle name="Ç¥ÁØ_MKN-M1.1  2" xfId="21092"/>
    <cellStyle name="C￥AØ_RDTR99ML " xfId="21093"/>
    <cellStyle name="Ç¥ÁØ_RDTR99ML " xfId="21094"/>
    <cellStyle name="C￥AØ_RDTR99ML  2" xfId="21095"/>
    <cellStyle name="Ç¥ÁØ_RDTR99ML  2" xfId="21096"/>
    <cellStyle name="C￥AØ_Sheet1_4PART " xfId="21097"/>
    <cellStyle name="Ç¥ÁØ_SMG-CKD-d1.1 " xfId="21098"/>
    <cellStyle name="C￥AØ_trr-runsheet . full . final " xfId="21099"/>
    <cellStyle name="Ç¥ÁØ_trr-runsheet . full . final " xfId="21100"/>
    <cellStyle name="C￥AØ_WIPER " xfId="21101"/>
    <cellStyle name="Ç¥ÁØ_WIPER " xfId="21102"/>
    <cellStyle name="C￥AØ_WIPER  2" xfId="21103"/>
    <cellStyle name="Ç¥ÁØ_WIPER  2" xfId="21104"/>
    <cellStyle name="C￥AØ_XD AOA¾AIA¤ " xfId="21105"/>
    <cellStyle name="Ç¥ÁØ_XD ÃÖÁ¾ÀÏÁ¤ " xfId="21106"/>
    <cellStyle name="C￥AØ_XD AOA¾AIA¤  2" xfId="21107"/>
    <cellStyle name="Ç¥ÁØ_XD ÃÖÁ¾ÀÏÁ¤  2" xfId="21108"/>
    <cellStyle name="C￥AØ_μðAⓒAIA¤ " xfId="21109"/>
    <cellStyle name="Calc Currency (0)" xfId="21110"/>
    <cellStyle name="Calc Currency (2)" xfId="21111"/>
    <cellStyle name="Calc Percent (0)" xfId="21112"/>
    <cellStyle name="Calc Percent (1)" xfId="21113"/>
    <cellStyle name="Calc Percent (2)" xfId="21114"/>
    <cellStyle name="Calc Units (0)" xfId="21115"/>
    <cellStyle name="Calc Units (1)" xfId="21116"/>
    <cellStyle name="Calc Units (2)" xfId="21117"/>
    <cellStyle name="Calculation" xfId="21118"/>
    <cellStyle name="Calculation 10" xfId="21119"/>
    <cellStyle name="Calculation 10 2" xfId="21120"/>
    <cellStyle name="Calculation 10 2 2" xfId="21121"/>
    <cellStyle name="Calculation 10 2 3" xfId="21122"/>
    <cellStyle name="Calculation 10 2 4" xfId="21123"/>
    <cellStyle name="Calculation 10 3" xfId="21124"/>
    <cellStyle name="Calculation 10 3 2" xfId="21125"/>
    <cellStyle name="Calculation 10 3 3" xfId="21126"/>
    <cellStyle name="Calculation 10 4" xfId="21127"/>
    <cellStyle name="Calculation 10 5" xfId="21128"/>
    <cellStyle name="Calculation 11" xfId="21129"/>
    <cellStyle name="Calculation 11 2" xfId="21130"/>
    <cellStyle name="Calculation 11 2 2" xfId="21131"/>
    <cellStyle name="Calculation 11 2 3" xfId="21132"/>
    <cellStyle name="Calculation 11 2 4" xfId="21133"/>
    <cellStyle name="Calculation 11 3" xfId="21134"/>
    <cellStyle name="Calculation 11 3 2" xfId="21135"/>
    <cellStyle name="Calculation 11 3 3" xfId="21136"/>
    <cellStyle name="Calculation 11 4" xfId="21137"/>
    <cellStyle name="Calculation 11 5" xfId="21138"/>
    <cellStyle name="Calculation 12" xfId="21139"/>
    <cellStyle name="Calculation 12 2" xfId="21140"/>
    <cellStyle name="Calculation 12 2 2" xfId="21141"/>
    <cellStyle name="Calculation 12 2 3" xfId="21142"/>
    <cellStyle name="Calculation 12 3" xfId="21143"/>
    <cellStyle name="Calculation 12 3 2" xfId="21144"/>
    <cellStyle name="Calculation 12 4" xfId="21145"/>
    <cellStyle name="Calculation 12 5" xfId="21146"/>
    <cellStyle name="Calculation 13" xfId="21147"/>
    <cellStyle name="Calculation 13 2" xfId="21148"/>
    <cellStyle name="Calculation 13 2 2" xfId="21149"/>
    <cellStyle name="Calculation 13 2 3" xfId="21150"/>
    <cellStyle name="Calculation 13 3" xfId="21151"/>
    <cellStyle name="Calculation 13 3 2" xfId="21152"/>
    <cellStyle name="Calculation 13 4" xfId="21153"/>
    <cellStyle name="Calculation 13 5" xfId="21154"/>
    <cellStyle name="Calculation 14" xfId="21155"/>
    <cellStyle name="Calculation 14 2" xfId="21156"/>
    <cellStyle name="Calculation 14 3" xfId="21157"/>
    <cellStyle name="Calculation 15" xfId="21158"/>
    <cellStyle name="Calculation 16" xfId="21159"/>
    <cellStyle name="Calculation 17" xfId="21160"/>
    <cellStyle name="Calculation 2" xfId="21161"/>
    <cellStyle name="Calculation 2 10" xfId="21162"/>
    <cellStyle name="Calculation 2 10 2" xfId="21163"/>
    <cellStyle name="Calculation 2 10 2 2" xfId="21164"/>
    <cellStyle name="Calculation 2 10 2 3" xfId="21165"/>
    <cellStyle name="Calculation 2 10 3" xfId="21166"/>
    <cellStyle name="Calculation 2 10 3 2" xfId="21167"/>
    <cellStyle name="Calculation 2 10 4" xfId="21168"/>
    <cellStyle name="Calculation 2 11" xfId="21169"/>
    <cellStyle name="Calculation 2 11 2" xfId="21170"/>
    <cellStyle name="Calculation 2 11 2 2" xfId="21171"/>
    <cellStyle name="Calculation 2 11 2 3" xfId="21172"/>
    <cellStyle name="Calculation 2 11 3" xfId="21173"/>
    <cellStyle name="Calculation 2 11 3 2" xfId="21174"/>
    <cellStyle name="Calculation 2 11 4" xfId="21175"/>
    <cellStyle name="Calculation 2 12" xfId="21176"/>
    <cellStyle name="Calculation 2 12 2" xfId="21177"/>
    <cellStyle name="Calculation 2 12 3" xfId="21178"/>
    <cellStyle name="Calculation 2 13" xfId="21179"/>
    <cellStyle name="Calculation 2 14" xfId="21180"/>
    <cellStyle name="Calculation 2 15" xfId="21181"/>
    <cellStyle name="Calculation 2 2" xfId="21182"/>
    <cellStyle name="Calculation 2 2 10" xfId="21183"/>
    <cellStyle name="Calculation 2 2 10 2" xfId="21184"/>
    <cellStyle name="Calculation 2 2 10 2 2" xfId="21185"/>
    <cellStyle name="Calculation 2 2 10 2 3" xfId="21186"/>
    <cellStyle name="Calculation 2 2 10 3" xfId="21187"/>
    <cellStyle name="Calculation 2 2 10 3 2" xfId="21188"/>
    <cellStyle name="Calculation 2 2 10 4" xfId="21189"/>
    <cellStyle name="Calculation 2 2 11" xfId="21190"/>
    <cellStyle name="Calculation 2 2 11 2" xfId="21191"/>
    <cellStyle name="Calculation 2 2 11 3" xfId="21192"/>
    <cellStyle name="Calculation 2 2 12" xfId="21193"/>
    <cellStyle name="Calculation 2 2 13" xfId="21194"/>
    <cellStyle name="Calculation 2 2 14" xfId="21195"/>
    <cellStyle name="Calculation 2 2 2" xfId="21196"/>
    <cellStyle name="Calculation 2 2 2 2" xfId="21197"/>
    <cellStyle name="Calculation 2 2 2 2 2" xfId="21198"/>
    <cellStyle name="Calculation 2 2 2 2 3" xfId="21199"/>
    <cellStyle name="Calculation 2 2 2 3" xfId="21200"/>
    <cellStyle name="Calculation 2 2 2 3 2" xfId="21201"/>
    <cellStyle name="Calculation 2 2 2 4" xfId="21202"/>
    <cellStyle name="Calculation 2 2 3" xfId="21203"/>
    <cellStyle name="Calculation 2 2 3 2" xfId="21204"/>
    <cellStyle name="Calculation 2 2 3 2 2" xfId="21205"/>
    <cellStyle name="Calculation 2 2 3 2 3" xfId="21206"/>
    <cellStyle name="Calculation 2 2 3 3" xfId="21207"/>
    <cellStyle name="Calculation 2 2 3 3 2" xfId="21208"/>
    <cellStyle name="Calculation 2 2 3 4" xfId="21209"/>
    <cellStyle name="Calculation 2 2 4" xfId="21210"/>
    <cellStyle name="Calculation 2 2 4 2" xfId="21211"/>
    <cellStyle name="Calculation 2 2 4 2 2" xfId="21212"/>
    <cellStyle name="Calculation 2 2 4 2 3" xfId="21213"/>
    <cellStyle name="Calculation 2 2 4 3" xfId="21214"/>
    <cellStyle name="Calculation 2 2 4 3 2" xfId="21215"/>
    <cellStyle name="Calculation 2 2 4 4" xfId="21216"/>
    <cellStyle name="Calculation 2 2 5" xfId="21217"/>
    <cellStyle name="Calculation 2 2 5 2" xfId="21218"/>
    <cellStyle name="Calculation 2 2 5 2 2" xfId="21219"/>
    <cellStyle name="Calculation 2 2 5 2 3" xfId="21220"/>
    <cellStyle name="Calculation 2 2 5 3" xfId="21221"/>
    <cellStyle name="Calculation 2 2 5 3 2" xfId="21222"/>
    <cellStyle name="Calculation 2 2 5 4" xfId="21223"/>
    <cellStyle name="Calculation 2 2 6" xfId="21224"/>
    <cellStyle name="Calculation 2 2 6 2" xfId="21225"/>
    <cellStyle name="Calculation 2 2 6 2 2" xfId="21226"/>
    <cellStyle name="Calculation 2 2 6 2 3" xfId="21227"/>
    <cellStyle name="Calculation 2 2 6 3" xfId="21228"/>
    <cellStyle name="Calculation 2 2 6 3 2" xfId="21229"/>
    <cellStyle name="Calculation 2 2 6 4" xfId="21230"/>
    <cellStyle name="Calculation 2 2 7" xfId="21231"/>
    <cellStyle name="Calculation 2 2 7 2" xfId="21232"/>
    <cellStyle name="Calculation 2 2 7 2 2" xfId="21233"/>
    <cellStyle name="Calculation 2 2 7 2 3" xfId="21234"/>
    <cellStyle name="Calculation 2 2 7 3" xfId="21235"/>
    <cellStyle name="Calculation 2 2 7 3 2" xfId="21236"/>
    <cellStyle name="Calculation 2 2 7 4" xfId="21237"/>
    <cellStyle name="Calculation 2 2 8" xfId="21238"/>
    <cellStyle name="Calculation 2 2 8 2" xfId="21239"/>
    <cellStyle name="Calculation 2 2 8 2 2" xfId="21240"/>
    <cellStyle name="Calculation 2 2 8 2 3" xfId="21241"/>
    <cellStyle name="Calculation 2 2 8 3" xfId="21242"/>
    <cellStyle name="Calculation 2 2 8 3 2" xfId="21243"/>
    <cellStyle name="Calculation 2 2 8 4" xfId="21244"/>
    <cellStyle name="Calculation 2 2 9" xfId="21245"/>
    <cellStyle name="Calculation 2 2 9 2" xfId="21246"/>
    <cellStyle name="Calculation 2 2 9 2 2" xfId="21247"/>
    <cellStyle name="Calculation 2 2 9 2 3" xfId="21248"/>
    <cellStyle name="Calculation 2 2 9 3" xfId="21249"/>
    <cellStyle name="Calculation 2 2 9 3 2" xfId="21250"/>
    <cellStyle name="Calculation 2 2 9 4" xfId="21251"/>
    <cellStyle name="Calculation 2 3" xfId="21252"/>
    <cellStyle name="Calculation 2 3 2" xfId="21253"/>
    <cellStyle name="Calculation 2 3 2 2" xfId="21254"/>
    <cellStyle name="Calculation 2 3 2 3" xfId="21255"/>
    <cellStyle name="Calculation 2 3 3" xfId="21256"/>
    <cellStyle name="Calculation 2 3 3 2" xfId="21257"/>
    <cellStyle name="Calculation 2 3 4" xfId="21258"/>
    <cellStyle name="Calculation 2 4" xfId="21259"/>
    <cellStyle name="Calculation 2 4 2" xfId="21260"/>
    <cellStyle name="Calculation 2 4 2 2" xfId="21261"/>
    <cellStyle name="Calculation 2 4 2 3" xfId="21262"/>
    <cellStyle name="Calculation 2 4 3" xfId="21263"/>
    <cellStyle name="Calculation 2 4 3 2" xfId="21264"/>
    <cellStyle name="Calculation 2 4 4" xfId="21265"/>
    <cellStyle name="Calculation 2 5" xfId="21266"/>
    <cellStyle name="Calculation 2 5 2" xfId="21267"/>
    <cellStyle name="Calculation 2 5 2 2" xfId="21268"/>
    <cellStyle name="Calculation 2 5 2 3" xfId="21269"/>
    <cellStyle name="Calculation 2 5 3" xfId="21270"/>
    <cellStyle name="Calculation 2 5 3 2" xfId="21271"/>
    <cellStyle name="Calculation 2 5 4" xfId="21272"/>
    <cellStyle name="Calculation 2 6" xfId="21273"/>
    <cellStyle name="Calculation 2 6 2" xfId="21274"/>
    <cellStyle name="Calculation 2 6 2 2" xfId="21275"/>
    <cellStyle name="Calculation 2 6 2 3" xfId="21276"/>
    <cellStyle name="Calculation 2 6 3" xfId="21277"/>
    <cellStyle name="Calculation 2 6 3 2" xfId="21278"/>
    <cellStyle name="Calculation 2 6 4" xfId="21279"/>
    <cellStyle name="Calculation 2 7" xfId="21280"/>
    <cellStyle name="Calculation 2 7 2" xfId="21281"/>
    <cellStyle name="Calculation 2 7 2 2" xfId="21282"/>
    <cellStyle name="Calculation 2 7 2 3" xfId="21283"/>
    <cellStyle name="Calculation 2 7 3" xfId="21284"/>
    <cellStyle name="Calculation 2 7 3 2" xfId="21285"/>
    <cellStyle name="Calculation 2 7 4" xfId="21286"/>
    <cellStyle name="Calculation 2 8" xfId="21287"/>
    <cellStyle name="Calculation 2 8 2" xfId="21288"/>
    <cellStyle name="Calculation 2 8 2 2" xfId="21289"/>
    <cellStyle name="Calculation 2 8 2 3" xfId="21290"/>
    <cellStyle name="Calculation 2 8 3" xfId="21291"/>
    <cellStyle name="Calculation 2 8 3 2" xfId="21292"/>
    <cellStyle name="Calculation 2 8 4" xfId="21293"/>
    <cellStyle name="Calculation 2 9" xfId="21294"/>
    <cellStyle name="Calculation 2 9 2" xfId="21295"/>
    <cellStyle name="Calculation 2 9 2 2" xfId="21296"/>
    <cellStyle name="Calculation 2 9 2 3" xfId="21297"/>
    <cellStyle name="Calculation 2 9 3" xfId="21298"/>
    <cellStyle name="Calculation 2 9 3 2" xfId="21299"/>
    <cellStyle name="Calculation 2 9 4" xfId="21300"/>
    <cellStyle name="Calculation 3" xfId="21301"/>
    <cellStyle name="Calculation 3 10" xfId="21302"/>
    <cellStyle name="Calculation 3 10 2" xfId="21303"/>
    <cellStyle name="Calculation 3 10 2 2" xfId="21304"/>
    <cellStyle name="Calculation 3 10 2 3" xfId="21305"/>
    <cellStyle name="Calculation 3 10 3" xfId="21306"/>
    <cellStyle name="Calculation 3 10 3 2" xfId="21307"/>
    <cellStyle name="Calculation 3 10 4" xfId="21308"/>
    <cellStyle name="Calculation 3 10 5" xfId="21309"/>
    <cellStyle name="Calculation 3 10 6" xfId="21310"/>
    <cellStyle name="Calculation 3 11" xfId="21311"/>
    <cellStyle name="Calculation 3 11 2" xfId="21312"/>
    <cellStyle name="Calculation 3 11 2 2" xfId="21313"/>
    <cellStyle name="Calculation 3 11 2 3" xfId="21314"/>
    <cellStyle name="Calculation 3 11 3" xfId="21315"/>
    <cellStyle name="Calculation 3 11 3 2" xfId="21316"/>
    <cellStyle name="Calculation 3 11 4" xfId="21317"/>
    <cellStyle name="Calculation 3 11 5" xfId="21318"/>
    <cellStyle name="Calculation 3 11 6" xfId="21319"/>
    <cellStyle name="Calculation 3 12" xfId="21320"/>
    <cellStyle name="Calculation 3 12 2" xfId="21321"/>
    <cellStyle name="Calculation 3 12 2 2" xfId="21322"/>
    <cellStyle name="Calculation 3 12 3" xfId="21323"/>
    <cellStyle name="Calculation 3 12 4" xfId="21324"/>
    <cellStyle name="Calculation 3 13" xfId="21325"/>
    <cellStyle name="Calculation 3 13 2" xfId="21326"/>
    <cellStyle name="Calculation 3 14" xfId="21327"/>
    <cellStyle name="Calculation 3 15" xfId="21328"/>
    <cellStyle name="Calculation 3 16" xfId="21329"/>
    <cellStyle name="Calculation 3 2" xfId="21330"/>
    <cellStyle name="Calculation 3 2 10" xfId="21331"/>
    <cellStyle name="Calculation 3 2 10 2" xfId="21332"/>
    <cellStyle name="Calculation 3 2 10 2 2" xfId="21333"/>
    <cellStyle name="Calculation 3 2 10 2 3" xfId="21334"/>
    <cellStyle name="Calculation 3 2 10 3" xfId="21335"/>
    <cellStyle name="Calculation 3 2 10 3 2" xfId="21336"/>
    <cellStyle name="Calculation 3 2 10 4" xfId="21337"/>
    <cellStyle name="Calculation 3 2 10 5" xfId="21338"/>
    <cellStyle name="Calculation 3 2 10 6" xfId="21339"/>
    <cellStyle name="Calculation 3 2 11" xfId="21340"/>
    <cellStyle name="Calculation 3 2 11 2" xfId="21341"/>
    <cellStyle name="Calculation 3 2 11 2 2" xfId="21342"/>
    <cellStyle name="Calculation 3 2 11 3" xfId="21343"/>
    <cellStyle name="Calculation 3 2 11 4" xfId="21344"/>
    <cellStyle name="Calculation 3 2 12" xfId="21345"/>
    <cellStyle name="Calculation 3 2 12 2" xfId="21346"/>
    <cellStyle name="Calculation 3 2 13" xfId="21347"/>
    <cellStyle name="Calculation 3 2 14" xfId="21348"/>
    <cellStyle name="Calculation 3 2 15" xfId="21349"/>
    <cellStyle name="Calculation 3 2 2" xfId="21350"/>
    <cellStyle name="Calculation 3 2 2 2" xfId="21351"/>
    <cellStyle name="Calculation 3 2 2 2 2" xfId="21352"/>
    <cellStyle name="Calculation 3 2 2 2 3" xfId="21353"/>
    <cellStyle name="Calculation 3 2 2 3" xfId="21354"/>
    <cellStyle name="Calculation 3 2 2 3 2" xfId="21355"/>
    <cellStyle name="Calculation 3 2 2 4" xfId="21356"/>
    <cellStyle name="Calculation 3 2 2 5" xfId="21357"/>
    <cellStyle name="Calculation 3 2 2 6" xfId="21358"/>
    <cellStyle name="Calculation 3 2 3" xfId="21359"/>
    <cellStyle name="Calculation 3 2 3 2" xfId="21360"/>
    <cellStyle name="Calculation 3 2 3 2 2" xfId="21361"/>
    <cellStyle name="Calculation 3 2 3 2 3" xfId="21362"/>
    <cellStyle name="Calculation 3 2 3 3" xfId="21363"/>
    <cellStyle name="Calculation 3 2 3 3 2" xfId="21364"/>
    <cellStyle name="Calculation 3 2 3 4" xfId="21365"/>
    <cellStyle name="Calculation 3 2 3 5" xfId="21366"/>
    <cellStyle name="Calculation 3 2 3 6" xfId="21367"/>
    <cellStyle name="Calculation 3 2 4" xfId="21368"/>
    <cellStyle name="Calculation 3 2 4 2" xfId="21369"/>
    <cellStyle name="Calculation 3 2 4 2 2" xfId="21370"/>
    <cellStyle name="Calculation 3 2 4 2 3" xfId="21371"/>
    <cellStyle name="Calculation 3 2 4 3" xfId="21372"/>
    <cellStyle name="Calculation 3 2 4 3 2" xfId="21373"/>
    <cellStyle name="Calculation 3 2 4 4" xfId="21374"/>
    <cellStyle name="Calculation 3 2 4 5" xfId="21375"/>
    <cellStyle name="Calculation 3 2 4 6" xfId="21376"/>
    <cellStyle name="Calculation 3 2 5" xfId="21377"/>
    <cellStyle name="Calculation 3 2 5 2" xfId="21378"/>
    <cellStyle name="Calculation 3 2 5 2 2" xfId="21379"/>
    <cellStyle name="Calculation 3 2 5 2 3" xfId="21380"/>
    <cellStyle name="Calculation 3 2 5 3" xfId="21381"/>
    <cellStyle name="Calculation 3 2 5 3 2" xfId="21382"/>
    <cellStyle name="Calculation 3 2 5 4" xfId="21383"/>
    <cellStyle name="Calculation 3 2 5 5" xfId="21384"/>
    <cellStyle name="Calculation 3 2 5 6" xfId="21385"/>
    <cellStyle name="Calculation 3 2 6" xfId="21386"/>
    <cellStyle name="Calculation 3 2 6 2" xfId="21387"/>
    <cellStyle name="Calculation 3 2 6 2 2" xfId="21388"/>
    <cellStyle name="Calculation 3 2 6 2 3" xfId="21389"/>
    <cellStyle name="Calculation 3 2 6 3" xfId="21390"/>
    <cellStyle name="Calculation 3 2 6 3 2" xfId="21391"/>
    <cellStyle name="Calculation 3 2 6 4" xfId="21392"/>
    <cellStyle name="Calculation 3 2 6 5" xfId="21393"/>
    <cellStyle name="Calculation 3 2 6 6" xfId="21394"/>
    <cellStyle name="Calculation 3 2 7" xfId="21395"/>
    <cellStyle name="Calculation 3 2 7 2" xfId="21396"/>
    <cellStyle name="Calculation 3 2 7 2 2" xfId="21397"/>
    <cellStyle name="Calculation 3 2 7 2 3" xfId="21398"/>
    <cellStyle name="Calculation 3 2 7 3" xfId="21399"/>
    <cellStyle name="Calculation 3 2 7 3 2" xfId="21400"/>
    <cellStyle name="Calculation 3 2 7 4" xfId="21401"/>
    <cellStyle name="Calculation 3 2 7 5" xfId="21402"/>
    <cellStyle name="Calculation 3 2 7 6" xfId="21403"/>
    <cellStyle name="Calculation 3 2 8" xfId="21404"/>
    <cellStyle name="Calculation 3 2 8 2" xfId="21405"/>
    <cellStyle name="Calculation 3 2 8 2 2" xfId="21406"/>
    <cellStyle name="Calculation 3 2 8 2 3" xfId="21407"/>
    <cellStyle name="Calculation 3 2 8 3" xfId="21408"/>
    <cellStyle name="Calculation 3 2 8 3 2" xfId="21409"/>
    <cellStyle name="Calculation 3 2 8 4" xfId="21410"/>
    <cellStyle name="Calculation 3 2 8 5" xfId="21411"/>
    <cellStyle name="Calculation 3 2 8 6" xfId="21412"/>
    <cellStyle name="Calculation 3 2 9" xfId="21413"/>
    <cellStyle name="Calculation 3 2 9 2" xfId="21414"/>
    <cellStyle name="Calculation 3 2 9 2 2" xfId="21415"/>
    <cellStyle name="Calculation 3 2 9 2 3" xfId="21416"/>
    <cellStyle name="Calculation 3 2 9 3" xfId="21417"/>
    <cellStyle name="Calculation 3 2 9 3 2" xfId="21418"/>
    <cellStyle name="Calculation 3 2 9 4" xfId="21419"/>
    <cellStyle name="Calculation 3 2 9 5" xfId="21420"/>
    <cellStyle name="Calculation 3 2 9 6" xfId="21421"/>
    <cellStyle name="Calculation 3 3" xfId="21422"/>
    <cellStyle name="Calculation 3 3 2" xfId="21423"/>
    <cellStyle name="Calculation 3 3 2 2" xfId="21424"/>
    <cellStyle name="Calculation 3 3 2 3" xfId="21425"/>
    <cellStyle name="Calculation 3 3 3" xfId="21426"/>
    <cellStyle name="Calculation 3 3 3 2" xfId="21427"/>
    <cellStyle name="Calculation 3 3 4" xfId="21428"/>
    <cellStyle name="Calculation 3 3 5" xfId="21429"/>
    <cellStyle name="Calculation 3 3 6" xfId="21430"/>
    <cellStyle name="Calculation 3 4" xfId="21431"/>
    <cellStyle name="Calculation 3 4 2" xfId="21432"/>
    <cellStyle name="Calculation 3 4 2 2" xfId="21433"/>
    <cellStyle name="Calculation 3 4 2 3" xfId="21434"/>
    <cellStyle name="Calculation 3 4 3" xfId="21435"/>
    <cellStyle name="Calculation 3 4 3 2" xfId="21436"/>
    <cellStyle name="Calculation 3 4 4" xfId="21437"/>
    <cellStyle name="Calculation 3 4 5" xfId="21438"/>
    <cellStyle name="Calculation 3 4 6" xfId="21439"/>
    <cellStyle name="Calculation 3 5" xfId="21440"/>
    <cellStyle name="Calculation 3 5 2" xfId="21441"/>
    <cellStyle name="Calculation 3 5 2 2" xfId="21442"/>
    <cellStyle name="Calculation 3 5 2 3" xfId="21443"/>
    <cellStyle name="Calculation 3 5 3" xfId="21444"/>
    <cellStyle name="Calculation 3 5 3 2" xfId="21445"/>
    <cellStyle name="Calculation 3 5 4" xfId="21446"/>
    <cellStyle name="Calculation 3 5 5" xfId="21447"/>
    <cellStyle name="Calculation 3 5 6" xfId="21448"/>
    <cellStyle name="Calculation 3 6" xfId="21449"/>
    <cellStyle name="Calculation 3 6 2" xfId="21450"/>
    <cellStyle name="Calculation 3 6 2 2" xfId="21451"/>
    <cellStyle name="Calculation 3 6 2 3" xfId="21452"/>
    <cellStyle name="Calculation 3 6 3" xfId="21453"/>
    <cellStyle name="Calculation 3 6 3 2" xfId="21454"/>
    <cellStyle name="Calculation 3 6 4" xfId="21455"/>
    <cellStyle name="Calculation 3 6 5" xfId="21456"/>
    <cellStyle name="Calculation 3 6 6" xfId="21457"/>
    <cellStyle name="Calculation 3 7" xfId="21458"/>
    <cellStyle name="Calculation 3 7 2" xfId="21459"/>
    <cellStyle name="Calculation 3 7 2 2" xfId="21460"/>
    <cellStyle name="Calculation 3 7 2 3" xfId="21461"/>
    <cellStyle name="Calculation 3 7 3" xfId="21462"/>
    <cellStyle name="Calculation 3 7 3 2" xfId="21463"/>
    <cellStyle name="Calculation 3 7 4" xfId="21464"/>
    <cellStyle name="Calculation 3 7 5" xfId="21465"/>
    <cellStyle name="Calculation 3 7 6" xfId="21466"/>
    <cellStyle name="Calculation 3 8" xfId="21467"/>
    <cellStyle name="Calculation 3 8 2" xfId="21468"/>
    <cellStyle name="Calculation 3 8 2 2" xfId="21469"/>
    <cellStyle name="Calculation 3 8 2 3" xfId="21470"/>
    <cellStyle name="Calculation 3 8 3" xfId="21471"/>
    <cellStyle name="Calculation 3 8 3 2" xfId="21472"/>
    <cellStyle name="Calculation 3 8 4" xfId="21473"/>
    <cellStyle name="Calculation 3 8 5" xfId="21474"/>
    <cellStyle name="Calculation 3 8 6" xfId="21475"/>
    <cellStyle name="Calculation 3 9" xfId="21476"/>
    <cellStyle name="Calculation 3 9 2" xfId="21477"/>
    <cellStyle name="Calculation 3 9 2 2" xfId="21478"/>
    <cellStyle name="Calculation 3 9 2 3" xfId="21479"/>
    <cellStyle name="Calculation 3 9 3" xfId="21480"/>
    <cellStyle name="Calculation 3 9 3 2" xfId="21481"/>
    <cellStyle name="Calculation 3 9 4" xfId="21482"/>
    <cellStyle name="Calculation 3 9 5" xfId="21483"/>
    <cellStyle name="Calculation 3 9 6" xfId="21484"/>
    <cellStyle name="Calculation 4" xfId="21485"/>
    <cellStyle name="Calculation 4 10" xfId="21486"/>
    <cellStyle name="Calculation 4 10 2" xfId="21487"/>
    <cellStyle name="Calculation 4 10 2 2" xfId="21488"/>
    <cellStyle name="Calculation 4 10 2 3" xfId="21489"/>
    <cellStyle name="Calculation 4 10 3" xfId="21490"/>
    <cellStyle name="Calculation 4 10 3 2" xfId="21491"/>
    <cellStyle name="Calculation 4 10 4" xfId="21492"/>
    <cellStyle name="Calculation 4 11" xfId="21493"/>
    <cellStyle name="Calculation 4 11 2" xfId="21494"/>
    <cellStyle name="Calculation 4 11 3" xfId="21495"/>
    <cellStyle name="Calculation 4 12" xfId="21496"/>
    <cellStyle name="Calculation 4 13" xfId="21497"/>
    <cellStyle name="Calculation 4 14" xfId="21498"/>
    <cellStyle name="Calculation 4 2" xfId="21499"/>
    <cellStyle name="Calculation 4 2 2" xfId="21500"/>
    <cellStyle name="Calculation 4 2 2 2" xfId="21501"/>
    <cellStyle name="Calculation 4 2 2 3" xfId="21502"/>
    <cellStyle name="Calculation 4 2 3" xfId="21503"/>
    <cellStyle name="Calculation 4 2 3 2" xfId="21504"/>
    <cellStyle name="Calculation 4 2 4" xfId="21505"/>
    <cellStyle name="Calculation 4 2 5" xfId="21506"/>
    <cellStyle name="Calculation 4 3" xfId="21507"/>
    <cellStyle name="Calculation 4 3 2" xfId="21508"/>
    <cellStyle name="Calculation 4 3 2 2" xfId="21509"/>
    <cellStyle name="Calculation 4 3 2 3" xfId="21510"/>
    <cellStyle name="Calculation 4 3 3" xfId="21511"/>
    <cellStyle name="Calculation 4 3 3 2" xfId="21512"/>
    <cellStyle name="Calculation 4 3 4" xfId="21513"/>
    <cellStyle name="Calculation 4 4" xfId="21514"/>
    <cellStyle name="Calculation 4 4 2" xfId="21515"/>
    <cellStyle name="Calculation 4 4 2 2" xfId="21516"/>
    <cellStyle name="Calculation 4 4 2 3" xfId="21517"/>
    <cellStyle name="Calculation 4 4 3" xfId="21518"/>
    <cellStyle name="Calculation 4 4 3 2" xfId="21519"/>
    <cellStyle name="Calculation 4 4 4" xfId="21520"/>
    <cellStyle name="Calculation 4 5" xfId="21521"/>
    <cellStyle name="Calculation 4 5 2" xfId="21522"/>
    <cellStyle name="Calculation 4 5 2 2" xfId="21523"/>
    <cellStyle name="Calculation 4 5 2 3" xfId="21524"/>
    <cellStyle name="Calculation 4 5 3" xfId="21525"/>
    <cellStyle name="Calculation 4 5 3 2" xfId="21526"/>
    <cellStyle name="Calculation 4 5 4" xfId="21527"/>
    <cellStyle name="Calculation 4 6" xfId="21528"/>
    <cellStyle name="Calculation 4 6 2" xfId="21529"/>
    <cellStyle name="Calculation 4 6 2 2" xfId="21530"/>
    <cellStyle name="Calculation 4 6 2 3" xfId="21531"/>
    <cellStyle name="Calculation 4 6 3" xfId="21532"/>
    <cellStyle name="Calculation 4 6 3 2" xfId="21533"/>
    <cellStyle name="Calculation 4 6 4" xfId="21534"/>
    <cellStyle name="Calculation 4 7" xfId="21535"/>
    <cellStyle name="Calculation 4 7 2" xfId="21536"/>
    <cellStyle name="Calculation 4 7 2 2" xfId="21537"/>
    <cellStyle name="Calculation 4 7 2 3" xfId="21538"/>
    <cellStyle name="Calculation 4 7 3" xfId="21539"/>
    <cellStyle name="Calculation 4 7 3 2" xfId="21540"/>
    <cellStyle name="Calculation 4 7 4" xfId="21541"/>
    <cellStyle name="Calculation 4 8" xfId="21542"/>
    <cellStyle name="Calculation 4 8 2" xfId="21543"/>
    <cellStyle name="Calculation 4 8 2 2" xfId="21544"/>
    <cellStyle name="Calculation 4 8 2 3" xfId="21545"/>
    <cellStyle name="Calculation 4 8 3" xfId="21546"/>
    <cellStyle name="Calculation 4 8 3 2" xfId="21547"/>
    <cellStyle name="Calculation 4 8 4" xfId="21548"/>
    <cellStyle name="Calculation 4 9" xfId="21549"/>
    <cellStyle name="Calculation 4 9 2" xfId="21550"/>
    <cellStyle name="Calculation 4 9 2 2" xfId="21551"/>
    <cellStyle name="Calculation 4 9 2 3" xfId="21552"/>
    <cellStyle name="Calculation 4 9 3" xfId="21553"/>
    <cellStyle name="Calculation 4 9 3 2" xfId="21554"/>
    <cellStyle name="Calculation 4 9 4" xfId="21555"/>
    <cellStyle name="Calculation 5" xfId="21556"/>
    <cellStyle name="Calculation 5 2" xfId="21557"/>
    <cellStyle name="Calculation 5 2 2" xfId="21558"/>
    <cellStyle name="Calculation 5 2 3" xfId="21559"/>
    <cellStyle name="Calculation 5 2 4" xfId="21560"/>
    <cellStyle name="Calculation 5 3" xfId="21561"/>
    <cellStyle name="Calculation 5 3 2" xfId="21562"/>
    <cellStyle name="Calculation 5 4" xfId="21563"/>
    <cellStyle name="Calculation 5 5" xfId="21564"/>
    <cellStyle name="Calculation 6" xfId="21565"/>
    <cellStyle name="Calculation 6 2" xfId="21566"/>
    <cellStyle name="Calculation 6 2 2" xfId="21567"/>
    <cellStyle name="Calculation 6 2 3" xfId="21568"/>
    <cellStyle name="Calculation 6 2 4" xfId="21569"/>
    <cellStyle name="Calculation 6 3" xfId="21570"/>
    <cellStyle name="Calculation 6 3 2" xfId="21571"/>
    <cellStyle name="Calculation 6 3 3" xfId="21572"/>
    <cellStyle name="Calculation 6 4" xfId="21573"/>
    <cellStyle name="Calculation 6 5" xfId="21574"/>
    <cellStyle name="Calculation 7" xfId="21575"/>
    <cellStyle name="Calculation 7 2" xfId="21576"/>
    <cellStyle name="Calculation 7 2 2" xfId="21577"/>
    <cellStyle name="Calculation 7 2 3" xfId="21578"/>
    <cellStyle name="Calculation 7 2 4" xfId="21579"/>
    <cellStyle name="Calculation 7 3" xfId="21580"/>
    <cellStyle name="Calculation 7 3 2" xfId="21581"/>
    <cellStyle name="Calculation 7 3 3" xfId="21582"/>
    <cellStyle name="Calculation 7 4" xfId="21583"/>
    <cellStyle name="Calculation 7 5" xfId="21584"/>
    <cellStyle name="Calculation 8" xfId="21585"/>
    <cellStyle name="Calculation 8 2" xfId="21586"/>
    <cellStyle name="Calculation 8 2 2" xfId="21587"/>
    <cellStyle name="Calculation 8 2 3" xfId="21588"/>
    <cellStyle name="Calculation 8 2 4" xfId="21589"/>
    <cellStyle name="Calculation 8 3" xfId="21590"/>
    <cellStyle name="Calculation 8 3 2" xfId="21591"/>
    <cellStyle name="Calculation 8 3 3" xfId="21592"/>
    <cellStyle name="Calculation 8 4" xfId="21593"/>
    <cellStyle name="Calculation 8 5" xfId="21594"/>
    <cellStyle name="Calculation 9" xfId="21595"/>
    <cellStyle name="Calculation 9 2" xfId="21596"/>
    <cellStyle name="Calculation 9 2 2" xfId="21597"/>
    <cellStyle name="Calculation 9 2 3" xfId="21598"/>
    <cellStyle name="Calculation 9 2 4" xfId="21599"/>
    <cellStyle name="Calculation 9 3" xfId="21600"/>
    <cellStyle name="Calculation 9 3 2" xfId="21601"/>
    <cellStyle name="Calculation 9 3 3" xfId="21602"/>
    <cellStyle name="Calculation 9 4" xfId="21603"/>
    <cellStyle name="Calculation 9 5" xfId="21604"/>
    <cellStyle name="category" xfId="21605"/>
    <cellStyle name="category 2" xfId="21606"/>
    <cellStyle name="Check Cell" xfId="21607"/>
    <cellStyle name="Check Cell 2" xfId="21608"/>
    <cellStyle name="Check Cell 2 2" xfId="21609"/>
    <cellStyle name="Check Cell 2 3" xfId="21610"/>
    <cellStyle name="Check Cell 3" xfId="21611"/>
    <cellStyle name="Check Cell 3 2" xfId="21612"/>
    <cellStyle name="Check Cell 3 2 2" xfId="21613"/>
    <cellStyle name="Check Cell 4" xfId="21614"/>
    <cellStyle name="Check Cell 5" xfId="21615"/>
    <cellStyle name="CIAI¡ER￠R¡¿￠RERU¡ERE¡ER¨I¡ⓒ¡ERIiA¡ER￠R¡¿I" xfId="21616"/>
    <cellStyle name="ⓒoe¨￢¨￠Aⓒ÷_AIAIC¡ÆAuCoEⓒ÷ " xfId="21617"/>
    <cellStyle name="Comma" xfId="21618"/>
    <cellStyle name="Comma  - Style1" xfId="21619"/>
    <cellStyle name="Comma  - Style2" xfId="21620"/>
    <cellStyle name="Comma  - Style3" xfId="21621"/>
    <cellStyle name="Comma  - Style4" xfId="21622"/>
    <cellStyle name="Comma  - Style5" xfId="21623"/>
    <cellStyle name="Comma  - Style6" xfId="21624"/>
    <cellStyle name="Comma  - Style7" xfId="21625"/>
    <cellStyle name="Comma  - Style8" xfId="21626"/>
    <cellStyle name="Comma [00]" xfId="21627"/>
    <cellStyle name="comma zerodec" xfId="21628"/>
    <cellStyle name="Comma_ SG&amp;A Bridge " xfId="21629"/>
    <cellStyle name="Comme [0]_laroux_3_수주계획(SMD) " xfId="21630"/>
    <cellStyle name="Currency" xfId="21631"/>
    <cellStyle name="Currency [0]" xfId="21632"/>
    <cellStyle name="Currency [0] 2" xfId="21633"/>
    <cellStyle name="Currency [0]_ SG&amp;A Bridge " xfId="21634"/>
    <cellStyle name="Currency [00]" xfId="21635"/>
    <cellStyle name="Currency_ SG&amp;A Bridge " xfId="21636"/>
    <cellStyle name="Currency1" xfId="21637"/>
    <cellStyle name="Currency1 2" xfId="21638"/>
    <cellStyle name="custom" xfId="21639"/>
    <cellStyle name="C줔AO_  FAB AIA?  " xfId="21640"/>
    <cellStyle name="Date" xfId="21641"/>
    <cellStyle name="Date 2" xfId="21642"/>
    <cellStyle name="Date Short" xfId="21643"/>
    <cellStyle name="Date:dd.mm.yyyy" xfId="21644"/>
    <cellStyle name="Date_PJT원가정리 " xfId="21645"/>
    <cellStyle name="days" xfId="21646"/>
    <cellStyle name="DELTA" xfId="21647"/>
    <cellStyle name="Dollar (zero dec)" xfId="21648"/>
    <cellStyle name="dz_lbsouy`TA622KA" xfId="21649"/>
    <cellStyle name="Emphasis 1" xfId="21650"/>
    <cellStyle name="Emphasis 2" xfId="21651"/>
    <cellStyle name="Emphasis 3" xfId="21652"/>
    <cellStyle name="endz_lbsouy`6_622k" xfId="21653"/>
    <cellStyle name="Enter Currency (0)" xfId="21654"/>
    <cellStyle name="Enter Currency (2)" xfId="21655"/>
    <cellStyle name="Enter Units (0)" xfId="21656"/>
    <cellStyle name="Enter Units (1)" xfId="21657"/>
    <cellStyle name="Enter Units (2)" xfId="21658"/>
    <cellStyle name="entry" xfId="21659"/>
    <cellStyle name="Euro" xfId="21660"/>
    <cellStyle name="Excel Built-in Normal" xfId="21661"/>
    <cellStyle name="Excel Built-in Normal 1" xfId="21662"/>
    <cellStyle name="Excel Built-in Normal 1 2" xfId="21663"/>
    <cellStyle name="Excel Built-in Normal 2" xfId="21664"/>
    <cellStyle name="Excel Built-in Normal 2 2" xfId="21665"/>
    <cellStyle name="Excel Built-in Normal 3" xfId="21666"/>
    <cellStyle name="Excel Built-in Normal 3 2" xfId="21667"/>
    <cellStyle name="Excel Built-in Normal 4" xfId="21668"/>
    <cellStyle name="Explanatory Text" xfId="21669"/>
    <cellStyle name="Explanatory Text 2" xfId="21670"/>
    <cellStyle name="Explanatory Text 2 2" xfId="21671"/>
    <cellStyle name="Explanatory Text 3" xfId="21672"/>
    <cellStyle name="Explanatory Text 3 2" xfId="21673"/>
    <cellStyle name="Explanatory Text 3 2 2" xfId="21674"/>
    <cellStyle name="Explanatory Text 4" xfId="21675"/>
    <cellStyle name="F2" xfId="21676"/>
    <cellStyle name="F3" xfId="21677"/>
    <cellStyle name="F4" xfId="21678"/>
    <cellStyle name="F5" xfId="21679"/>
    <cellStyle name="F6" xfId="21680"/>
    <cellStyle name="F7" xfId="21681"/>
    <cellStyle name="F8" xfId="21682"/>
    <cellStyle name="Fixed" xfId="21683"/>
    <cellStyle name="Fixed 2" xfId="21684"/>
    <cellStyle name="G95-181" xfId="21685"/>
    <cellStyle name="Good" xfId="21686"/>
    <cellStyle name="Good 2" xfId="21687"/>
    <cellStyle name="Good 2 2" xfId="21688"/>
    <cellStyle name="Good 3" xfId="21689"/>
    <cellStyle name="Good 3 2" xfId="21690"/>
    <cellStyle name="Good 3 2 2" xfId="21691"/>
    <cellStyle name="Good 4" xfId="21692"/>
    <cellStyle name="Good 5" xfId="21693"/>
    <cellStyle name="Grey" xfId="21694"/>
    <cellStyle name="HEADER" xfId="21695"/>
    <cellStyle name="HEADER 2" xfId="21696"/>
    <cellStyle name="Header1" xfId="21697"/>
    <cellStyle name="Header1 2" xfId="21698"/>
    <cellStyle name="Header2" xfId="21699"/>
    <cellStyle name="Header2 2" xfId="21700"/>
    <cellStyle name="Header2 2 2" xfId="21701"/>
    <cellStyle name="Header2 2 2 2" xfId="21702"/>
    <cellStyle name="Header2 2 3" xfId="21703"/>
    <cellStyle name="Header2 2 3 2" xfId="21704"/>
    <cellStyle name="Header2 2 3 3" xfId="21705"/>
    <cellStyle name="Header2 2 4" xfId="21706"/>
    <cellStyle name="Header2 2 4 2" xfId="21707"/>
    <cellStyle name="Header2 2 4 3" xfId="21708"/>
    <cellStyle name="Header2 2 5" xfId="21709"/>
    <cellStyle name="Header2 2 5 2" xfId="21710"/>
    <cellStyle name="Header2 2 6" xfId="21711"/>
    <cellStyle name="Header2 2 6 2" xfId="21712"/>
    <cellStyle name="Header2 2 6 3" xfId="21713"/>
    <cellStyle name="Header2 2 7" xfId="21714"/>
    <cellStyle name="Header2 2 8" xfId="21715"/>
    <cellStyle name="Header2 3" xfId="21716"/>
    <cellStyle name="Header2 3 2" xfId="21717"/>
    <cellStyle name="Header2 4" xfId="21718"/>
    <cellStyle name="Header2 4 2" xfId="21719"/>
    <cellStyle name="Header2 4 3" xfId="21720"/>
    <cellStyle name="Header2 5" xfId="21721"/>
    <cellStyle name="Header2 5 2" xfId="21722"/>
    <cellStyle name="Header2 5 3" xfId="21723"/>
    <cellStyle name="Header2 6" xfId="21724"/>
    <cellStyle name="Header2 6 2" xfId="21725"/>
    <cellStyle name="Header2 7" xfId="21726"/>
    <cellStyle name="Header2 7 2" xfId="21727"/>
    <cellStyle name="Header2 7 3" xfId="21728"/>
    <cellStyle name="Header2 8" xfId="21729"/>
    <cellStyle name="Header2 9" xfId="21730"/>
    <cellStyle name="Heading 1" xfId="21731"/>
    <cellStyle name="Heading 1 2" xfId="21732"/>
    <cellStyle name="Heading 1 2 2" xfId="21733"/>
    <cellStyle name="Heading 1 3" xfId="21734"/>
    <cellStyle name="Heading 1 3 2" xfId="21735"/>
    <cellStyle name="Heading 1 3 2 2" xfId="21736"/>
    <cellStyle name="Heading 1 4" xfId="21737"/>
    <cellStyle name="Heading 1 5" xfId="21738"/>
    <cellStyle name="Heading 2" xfId="21739"/>
    <cellStyle name="Heading 2 2" xfId="21740"/>
    <cellStyle name="Heading 2 2 2" xfId="21741"/>
    <cellStyle name="Heading 2 3" xfId="21742"/>
    <cellStyle name="Heading 2 3 2" xfId="21743"/>
    <cellStyle name="Heading 2 3 2 2" xfId="21744"/>
    <cellStyle name="Heading 2 4" xfId="21745"/>
    <cellStyle name="Heading 2 5" xfId="21746"/>
    <cellStyle name="Heading 3" xfId="21747"/>
    <cellStyle name="Heading 3 10" xfId="21748"/>
    <cellStyle name="Heading 3 2" xfId="21749"/>
    <cellStyle name="Heading 3 2 2" xfId="21750"/>
    <cellStyle name="Heading 3 2 2 2" xfId="21751"/>
    <cellStyle name="Heading 3 2 3" xfId="21752"/>
    <cellStyle name="Heading 3 3" xfId="21753"/>
    <cellStyle name="Heading 3 3 2" xfId="21754"/>
    <cellStyle name="Heading 3 3 2 2" xfId="21755"/>
    <cellStyle name="Heading 3 3 2 3" xfId="21756"/>
    <cellStyle name="Heading 3 3 3" xfId="21757"/>
    <cellStyle name="Heading 3 4" xfId="21758"/>
    <cellStyle name="Heading 3 4 2" xfId="21759"/>
    <cellStyle name="Heading 3 4 3" xfId="21760"/>
    <cellStyle name="Heading 3 5" xfId="21761"/>
    <cellStyle name="Heading 3 5 2" xfId="21762"/>
    <cellStyle name="Heading 3 6" xfId="21763"/>
    <cellStyle name="Heading 3 6 2" xfId="21764"/>
    <cellStyle name="Heading 3 7" xfId="21765"/>
    <cellStyle name="Heading 3 7 2" xfId="21766"/>
    <cellStyle name="Heading 3 8" xfId="21767"/>
    <cellStyle name="Heading 3 8 2" xfId="21768"/>
    <cellStyle name="Heading 3 9" xfId="21769"/>
    <cellStyle name="Heading 3 9 2" xfId="21770"/>
    <cellStyle name="Heading 4" xfId="21771"/>
    <cellStyle name="Heading 4 2" xfId="21772"/>
    <cellStyle name="Heading 4 2 2" xfId="21773"/>
    <cellStyle name="Heading 4 3" xfId="21774"/>
    <cellStyle name="Heading 4 3 2" xfId="21775"/>
    <cellStyle name="Heading 4 3 2 2" xfId="21776"/>
    <cellStyle name="Heading 4 4" xfId="21777"/>
    <cellStyle name="Heading 4 5" xfId="21778"/>
    <cellStyle name="Heading1" xfId="21779"/>
    <cellStyle name="Heading1 2" xfId="21780"/>
    <cellStyle name="Heading2" xfId="21781"/>
    <cellStyle name="Heading2 2" xfId="21782"/>
    <cellStyle name="_x0001_H_x0001_H_x0001_H_x0001_H_x0001_" xfId="21783"/>
    <cellStyle name="_x0001_H_x0001_H_x0001_H_x0001_H_x0001_H_x0001_H_x0001_H_x0001_H_x0001_H_x0001_" xfId="21784"/>
    <cellStyle name="_x0001_H_x0001_H_x0001_H_x0001_H_x0001_H_x0001_H_x0001_H_x0001_H_x0001_H_x0001_H_x0001_H_x0001_H_x0001_H_x0001_H_x0001_" xfId="21785"/>
    <cellStyle name="_x0001_H_x0001_H_x0001_H_x0001_H_x0001_H_x0001_H_x0001_H_x0001_H_x0001_H_x0001_H_x0001_H_x0001_H_x0001_H_x0001_H_x0001_H_x0001_H_x0001_H_x0001_H_x0001_H_x0001_" xfId="21786"/>
    <cellStyle name="_x0001_H_x0001_H_x0001_H_x0001_H_x0001_H_x0001_H_x0001_H_x0001_H_x0001_H_x0001_H_x0001_H_x0001_H_x0001_H_x0001_H_x0001_H_x0001_H_x0001_H_x0001_H_x0001_H_x0001_H_x0001_H_x0001_H_x0001_H_x0001_H_x0001_H_x0001_H_x0001_" xfId="21787"/>
    <cellStyle name="_x0001_H_x0001_H_x0001_H_x0001_H_x0001_H_x0001_H_x0001_H_x0001_H_x0001_H_x0001_H_x0001_H_x0001_H_x0001_H_x0001_H_x0001_H_x0001_H_x0001_H_x0001_H_x0001_H_x0001_H_x0001_H_x0001_H_x0001_H_x0001_H_x0001_H_x0001_H_x0001_H_x0001_H_x0001_H_x0001_H_x0001_H_x0001_" xfId="21788"/>
    <cellStyle name="_x0001_H_x0001_H_x0001_H_x0001_H_x0001_H_x0001_H_x0001_H_x0001_H_x0001_H_x0001_H_x0001_H_x0001_H_x0001_H_x0001_H_x0001_H_x0001_H_x0001_H_x0001_H_x0001_H_x0001_H_x0001_H_x0001_H_x0001_H_x0001_H_x0001_H_x0001_H_x0001_H_x0001_H_x0001_H_x0001_H_x0001_H_x0001_H_x0001_H_x0001_H_x0001_H_x0001_H" xfId="21789"/>
    <cellStyle name="Hide Errors" xfId="21790"/>
    <cellStyle name="HIGHLIGHT" xfId="21791"/>
    <cellStyle name="holiday" xfId="21792"/>
    <cellStyle name="I±?_TO_x000c_?" xfId="21793"/>
    <cellStyle name="iles|_x0005_h" xfId="21794"/>
    <cellStyle name="iles|_x0005_h 2" xfId="21795"/>
    <cellStyle name="Input" xfId="21796"/>
    <cellStyle name="Input [yellow]" xfId="21797"/>
    <cellStyle name="Input [yellow] 2" xfId="21798"/>
    <cellStyle name="Input [yellow] 2 2" xfId="21799"/>
    <cellStyle name="Input [yellow] 2 2 2" xfId="21800"/>
    <cellStyle name="Input [yellow] 2 3" xfId="21801"/>
    <cellStyle name="Input [yellow] 2 3 2" xfId="21802"/>
    <cellStyle name="Input [yellow] 2 4" xfId="21803"/>
    <cellStyle name="Input [yellow] 2 4 2" xfId="21804"/>
    <cellStyle name="Input [yellow] 2 5" xfId="21805"/>
    <cellStyle name="Input [yellow] 2 5 2" xfId="21806"/>
    <cellStyle name="Input [yellow] 2 5 3" xfId="21807"/>
    <cellStyle name="Input [yellow] 2 6" xfId="21808"/>
    <cellStyle name="Input [yellow] 2 7" xfId="21809"/>
    <cellStyle name="Input [yellow] 3" xfId="21810"/>
    <cellStyle name="Input [yellow] 3 2" xfId="21811"/>
    <cellStyle name="Input [yellow] 4" xfId="21812"/>
    <cellStyle name="Input [yellow] 4 2" xfId="21813"/>
    <cellStyle name="Input [yellow] 5" xfId="21814"/>
    <cellStyle name="Input [yellow] 5 2" xfId="21815"/>
    <cellStyle name="Input [yellow] 6" xfId="21816"/>
    <cellStyle name="Input [yellow] 6 2" xfId="21817"/>
    <cellStyle name="Input [yellow] 6 3" xfId="21818"/>
    <cellStyle name="Input [yellow] 7" xfId="21819"/>
    <cellStyle name="Input [yellow] 8" xfId="21820"/>
    <cellStyle name="Input 10" xfId="21821"/>
    <cellStyle name="Input 10 2" xfId="21822"/>
    <cellStyle name="Input 10 2 2" xfId="21823"/>
    <cellStyle name="Input 10 2 3" xfId="21824"/>
    <cellStyle name="Input 10 2 4" xfId="21825"/>
    <cellStyle name="Input 10 3" xfId="21826"/>
    <cellStyle name="Input 10 3 2" xfId="21827"/>
    <cellStyle name="Input 10 3 3" xfId="21828"/>
    <cellStyle name="Input 10 4" xfId="21829"/>
    <cellStyle name="Input 10 5" xfId="21830"/>
    <cellStyle name="Input 11" xfId="21831"/>
    <cellStyle name="Input 11 2" xfId="21832"/>
    <cellStyle name="Input 11 2 2" xfId="21833"/>
    <cellStyle name="Input 11 2 3" xfId="21834"/>
    <cellStyle name="Input 11 2 4" xfId="21835"/>
    <cellStyle name="Input 11 3" xfId="21836"/>
    <cellStyle name="Input 11 3 2" xfId="21837"/>
    <cellStyle name="Input 11 3 3" xfId="21838"/>
    <cellStyle name="Input 11 4" xfId="21839"/>
    <cellStyle name="Input 11 5" xfId="21840"/>
    <cellStyle name="Input 12" xfId="21841"/>
    <cellStyle name="Input 12 2" xfId="21842"/>
    <cellStyle name="Input 12 2 2" xfId="21843"/>
    <cellStyle name="Input 12 2 3" xfId="21844"/>
    <cellStyle name="Input 12 3" xfId="21845"/>
    <cellStyle name="Input 12 3 2" xfId="21846"/>
    <cellStyle name="Input 12 4" xfId="21847"/>
    <cellStyle name="Input 12 5" xfId="21848"/>
    <cellStyle name="Input 13" xfId="21849"/>
    <cellStyle name="Input 13 2" xfId="21850"/>
    <cellStyle name="Input 13 2 2" xfId="21851"/>
    <cellStyle name="Input 13 2 3" xfId="21852"/>
    <cellStyle name="Input 13 3" xfId="21853"/>
    <cellStyle name="Input 13 3 2" xfId="21854"/>
    <cellStyle name="Input 13 4" xfId="21855"/>
    <cellStyle name="Input 13 5" xfId="21856"/>
    <cellStyle name="Input 14" xfId="21857"/>
    <cellStyle name="Input 14 2" xfId="21858"/>
    <cellStyle name="Input 14 3" xfId="21859"/>
    <cellStyle name="Input 14 4" xfId="21860"/>
    <cellStyle name="Input 15" xfId="21861"/>
    <cellStyle name="Input 16" xfId="21862"/>
    <cellStyle name="Input 17" xfId="21863"/>
    <cellStyle name="Input 18" xfId="21864"/>
    <cellStyle name="Input 19" xfId="21865"/>
    <cellStyle name="Input 2" xfId="21866"/>
    <cellStyle name="Input 2 10" xfId="21867"/>
    <cellStyle name="Input 2 10 2" xfId="21868"/>
    <cellStyle name="Input 2 10 2 2" xfId="21869"/>
    <cellStyle name="Input 2 10 2 3" xfId="21870"/>
    <cellStyle name="Input 2 10 3" xfId="21871"/>
    <cellStyle name="Input 2 10 3 2" xfId="21872"/>
    <cellStyle name="Input 2 10 4" xfId="21873"/>
    <cellStyle name="Input 2 11" xfId="21874"/>
    <cellStyle name="Input 2 11 2" xfId="21875"/>
    <cellStyle name="Input 2 11 2 2" xfId="21876"/>
    <cellStyle name="Input 2 11 2 3" xfId="21877"/>
    <cellStyle name="Input 2 11 3" xfId="21878"/>
    <cellStyle name="Input 2 11 3 2" xfId="21879"/>
    <cellStyle name="Input 2 11 4" xfId="21880"/>
    <cellStyle name="Input 2 12" xfId="21881"/>
    <cellStyle name="Input 2 12 2" xfId="21882"/>
    <cellStyle name="Input 2 12 3" xfId="21883"/>
    <cellStyle name="Input 2 13" xfId="21884"/>
    <cellStyle name="Input 2 14" xfId="21885"/>
    <cellStyle name="Input 2 15" xfId="21886"/>
    <cellStyle name="Input 2 2" xfId="21887"/>
    <cellStyle name="Input 2 2 10" xfId="21888"/>
    <cellStyle name="Input 2 2 10 2" xfId="21889"/>
    <cellStyle name="Input 2 2 10 2 2" xfId="21890"/>
    <cellStyle name="Input 2 2 10 2 3" xfId="21891"/>
    <cellStyle name="Input 2 2 10 3" xfId="21892"/>
    <cellStyle name="Input 2 2 10 3 2" xfId="21893"/>
    <cellStyle name="Input 2 2 10 4" xfId="21894"/>
    <cellStyle name="Input 2 2 11" xfId="21895"/>
    <cellStyle name="Input 2 2 11 2" xfId="21896"/>
    <cellStyle name="Input 2 2 11 3" xfId="21897"/>
    <cellStyle name="Input 2 2 12" xfId="21898"/>
    <cellStyle name="Input 2 2 13" xfId="21899"/>
    <cellStyle name="Input 2 2 14" xfId="21900"/>
    <cellStyle name="Input 2 2 2" xfId="21901"/>
    <cellStyle name="Input 2 2 2 2" xfId="21902"/>
    <cellStyle name="Input 2 2 2 2 2" xfId="21903"/>
    <cellStyle name="Input 2 2 2 2 3" xfId="21904"/>
    <cellStyle name="Input 2 2 2 3" xfId="21905"/>
    <cellStyle name="Input 2 2 2 3 2" xfId="21906"/>
    <cellStyle name="Input 2 2 2 4" xfId="21907"/>
    <cellStyle name="Input 2 2 3" xfId="21908"/>
    <cellStyle name="Input 2 2 3 2" xfId="21909"/>
    <cellStyle name="Input 2 2 3 2 2" xfId="21910"/>
    <cellStyle name="Input 2 2 3 2 3" xfId="21911"/>
    <cellStyle name="Input 2 2 3 3" xfId="21912"/>
    <cellStyle name="Input 2 2 3 3 2" xfId="21913"/>
    <cellStyle name="Input 2 2 3 4" xfId="21914"/>
    <cellStyle name="Input 2 2 4" xfId="21915"/>
    <cellStyle name="Input 2 2 4 2" xfId="21916"/>
    <cellStyle name="Input 2 2 4 2 2" xfId="21917"/>
    <cellStyle name="Input 2 2 4 2 3" xfId="21918"/>
    <cellStyle name="Input 2 2 4 3" xfId="21919"/>
    <cellStyle name="Input 2 2 4 3 2" xfId="21920"/>
    <cellStyle name="Input 2 2 4 4" xfId="21921"/>
    <cellStyle name="Input 2 2 5" xfId="21922"/>
    <cellStyle name="Input 2 2 5 2" xfId="21923"/>
    <cellStyle name="Input 2 2 5 2 2" xfId="21924"/>
    <cellStyle name="Input 2 2 5 2 3" xfId="21925"/>
    <cellStyle name="Input 2 2 5 3" xfId="21926"/>
    <cellStyle name="Input 2 2 5 3 2" xfId="21927"/>
    <cellStyle name="Input 2 2 5 4" xfId="21928"/>
    <cellStyle name="Input 2 2 6" xfId="21929"/>
    <cellStyle name="Input 2 2 6 2" xfId="21930"/>
    <cellStyle name="Input 2 2 6 2 2" xfId="21931"/>
    <cellStyle name="Input 2 2 6 2 3" xfId="21932"/>
    <cellStyle name="Input 2 2 6 3" xfId="21933"/>
    <cellStyle name="Input 2 2 6 3 2" xfId="21934"/>
    <cellStyle name="Input 2 2 6 4" xfId="21935"/>
    <cellStyle name="Input 2 2 7" xfId="21936"/>
    <cellStyle name="Input 2 2 7 2" xfId="21937"/>
    <cellStyle name="Input 2 2 7 2 2" xfId="21938"/>
    <cellStyle name="Input 2 2 7 2 3" xfId="21939"/>
    <cellStyle name="Input 2 2 7 3" xfId="21940"/>
    <cellStyle name="Input 2 2 7 3 2" xfId="21941"/>
    <cellStyle name="Input 2 2 7 4" xfId="21942"/>
    <cellStyle name="Input 2 2 8" xfId="21943"/>
    <cellStyle name="Input 2 2 8 2" xfId="21944"/>
    <cellStyle name="Input 2 2 8 2 2" xfId="21945"/>
    <cellStyle name="Input 2 2 8 2 3" xfId="21946"/>
    <cellStyle name="Input 2 2 8 3" xfId="21947"/>
    <cellStyle name="Input 2 2 8 3 2" xfId="21948"/>
    <cellStyle name="Input 2 2 8 4" xfId="21949"/>
    <cellStyle name="Input 2 2 9" xfId="21950"/>
    <cellStyle name="Input 2 2 9 2" xfId="21951"/>
    <cellStyle name="Input 2 2 9 2 2" xfId="21952"/>
    <cellStyle name="Input 2 2 9 2 3" xfId="21953"/>
    <cellStyle name="Input 2 2 9 3" xfId="21954"/>
    <cellStyle name="Input 2 2 9 3 2" xfId="21955"/>
    <cellStyle name="Input 2 2 9 4" xfId="21956"/>
    <cellStyle name="Input 2 3" xfId="21957"/>
    <cellStyle name="Input 2 3 2" xfId="21958"/>
    <cellStyle name="Input 2 3 2 2" xfId="21959"/>
    <cellStyle name="Input 2 3 2 3" xfId="21960"/>
    <cellStyle name="Input 2 3 3" xfId="21961"/>
    <cellStyle name="Input 2 3 3 2" xfId="21962"/>
    <cellStyle name="Input 2 3 4" xfId="21963"/>
    <cellStyle name="Input 2 4" xfId="21964"/>
    <cellStyle name="Input 2 4 2" xfId="21965"/>
    <cellStyle name="Input 2 4 2 2" xfId="21966"/>
    <cellStyle name="Input 2 4 2 3" xfId="21967"/>
    <cellStyle name="Input 2 4 3" xfId="21968"/>
    <cellStyle name="Input 2 4 3 2" xfId="21969"/>
    <cellStyle name="Input 2 4 4" xfId="21970"/>
    <cellStyle name="Input 2 5" xfId="21971"/>
    <cellStyle name="Input 2 5 2" xfId="21972"/>
    <cellStyle name="Input 2 5 2 2" xfId="21973"/>
    <cellStyle name="Input 2 5 2 3" xfId="21974"/>
    <cellStyle name="Input 2 5 3" xfId="21975"/>
    <cellStyle name="Input 2 5 3 2" xfId="21976"/>
    <cellStyle name="Input 2 5 4" xfId="21977"/>
    <cellStyle name="Input 2 6" xfId="21978"/>
    <cellStyle name="Input 2 6 2" xfId="21979"/>
    <cellStyle name="Input 2 6 2 2" xfId="21980"/>
    <cellStyle name="Input 2 6 2 3" xfId="21981"/>
    <cellStyle name="Input 2 6 3" xfId="21982"/>
    <cellStyle name="Input 2 6 3 2" xfId="21983"/>
    <cellStyle name="Input 2 6 4" xfId="21984"/>
    <cellStyle name="Input 2 7" xfId="21985"/>
    <cellStyle name="Input 2 7 2" xfId="21986"/>
    <cellStyle name="Input 2 7 2 2" xfId="21987"/>
    <cellStyle name="Input 2 7 2 3" xfId="21988"/>
    <cellStyle name="Input 2 7 3" xfId="21989"/>
    <cellStyle name="Input 2 7 3 2" xfId="21990"/>
    <cellStyle name="Input 2 7 4" xfId="21991"/>
    <cellStyle name="Input 2 8" xfId="21992"/>
    <cellStyle name="Input 2 8 2" xfId="21993"/>
    <cellStyle name="Input 2 8 2 2" xfId="21994"/>
    <cellStyle name="Input 2 8 2 3" xfId="21995"/>
    <cellStyle name="Input 2 8 3" xfId="21996"/>
    <cellStyle name="Input 2 8 3 2" xfId="21997"/>
    <cellStyle name="Input 2 8 4" xfId="21998"/>
    <cellStyle name="Input 2 9" xfId="21999"/>
    <cellStyle name="Input 2 9 2" xfId="22000"/>
    <cellStyle name="Input 2 9 2 2" xfId="22001"/>
    <cellStyle name="Input 2 9 2 3" xfId="22002"/>
    <cellStyle name="Input 2 9 3" xfId="22003"/>
    <cellStyle name="Input 2 9 3 2" xfId="22004"/>
    <cellStyle name="Input 2 9 4" xfId="22005"/>
    <cellStyle name="Input 20" xfId="22006"/>
    <cellStyle name="Input 21" xfId="22007"/>
    <cellStyle name="Input 22" xfId="22008"/>
    <cellStyle name="Input 23" xfId="22009"/>
    <cellStyle name="Input 24" xfId="22010"/>
    <cellStyle name="Input 25" xfId="22011"/>
    <cellStyle name="Input 26" xfId="22012"/>
    <cellStyle name="Input 27" xfId="22013"/>
    <cellStyle name="Input 28" xfId="22014"/>
    <cellStyle name="Input 29" xfId="22015"/>
    <cellStyle name="Input 3" xfId="22016"/>
    <cellStyle name="Input 3 10" xfId="22017"/>
    <cellStyle name="Input 3 10 2" xfId="22018"/>
    <cellStyle name="Input 3 10 2 2" xfId="22019"/>
    <cellStyle name="Input 3 10 2 3" xfId="22020"/>
    <cellStyle name="Input 3 10 3" xfId="22021"/>
    <cellStyle name="Input 3 10 3 2" xfId="22022"/>
    <cellStyle name="Input 3 10 4" xfId="22023"/>
    <cellStyle name="Input 3 10 5" xfId="22024"/>
    <cellStyle name="Input 3 10 6" xfId="22025"/>
    <cellStyle name="Input 3 11" xfId="22026"/>
    <cellStyle name="Input 3 11 2" xfId="22027"/>
    <cellStyle name="Input 3 11 2 2" xfId="22028"/>
    <cellStyle name="Input 3 11 2 3" xfId="22029"/>
    <cellStyle name="Input 3 11 3" xfId="22030"/>
    <cellStyle name="Input 3 11 3 2" xfId="22031"/>
    <cellStyle name="Input 3 11 4" xfId="22032"/>
    <cellStyle name="Input 3 11 5" xfId="22033"/>
    <cellStyle name="Input 3 11 6" xfId="22034"/>
    <cellStyle name="Input 3 12" xfId="22035"/>
    <cellStyle name="Input 3 12 2" xfId="22036"/>
    <cellStyle name="Input 3 12 2 2" xfId="22037"/>
    <cellStyle name="Input 3 12 3" xfId="22038"/>
    <cellStyle name="Input 3 12 4" xfId="22039"/>
    <cellStyle name="Input 3 13" xfId="22040"/>
    <cellStyle name="Input 3 13 2" xfId="22041"/>
    <cellStyle name="Input 3 14" xfId="22042"/>
    <cellStyle name="Input 3 15" xfId="22043"/>
    <cellStyle name="Input 3 16" xfId="22044"/>
    <cellStyle name="Input 3 2" xfId="22045"/>
    <cellStyle name="Input 3 2 10" xfId="22046"/>
    <cellStyle name="Input 3 2 10 2" xfId="22047"/>
    <cellStyle name="Input 3 2 10 2 2" xfId="22048"/>
    <cellStyle name="Input 3 2 10 2 3" xfId="22049"/>
    <cellStyle name="Input 3 2 10 3" xfId="22050"/>
    <cellStyle name="Input 3 2 10 3 2" xfId="22051"/>
    <cellStyle name="Input 3 2 10 4" xfId="22052"/>
    <cellStyle name="Input 3 2 10 5" xfId="22053"/>
    <cellStyle name="Input 3 2 10 6" xfId="22054"/>
    <cellStyle name="Input 3 2 11" xfId="22055"/>
    <cellStyle name="Input 3 2 11 2" xfId="22056"/>
    <cellStyle name="Input 3 2 11 2 2" xfId="22057"/>
    <cellStyle name="Input 3 2 11 3" xfId="22058"/>
    <cellStyle name="Input 3 2 11 4" xfId="22059"/>
    <cellStyle name="Input 3 2 12" xfId="22060"/>
    <cellStyle name="Input 3 2 12 2" xfId="22061"/>
    <cellStyle name="Input 3 2 13" xfId="22062"/>
    <cellStyle name="Input 3 2 14" xfId="22063"/>
    <cellStyle name="Input 3 2 15" xfId="22064"/>
    <cellStyle name="Input 3 2 2" xfId="22065"/>
    <cellStyle name="Input 3 2 2 2" xfId="22066"/>
    <cellStyle name="Input 3 2 2 2 2" xfId="22067"/>
    <cellStyle name="Input 3 2 2 2 3" xfId="22068"/>
    <cellStyle name="Input 3 2 2 3" xfId="22069"/>
    <cellStyle name="Input 3 2 2 3 2" xfId="22070"/>
    <cellStyle name="Input 3 2 2 4" xfId="22071"/>
    <cellStyle name="Input 3 2 2 5" xfId="22072"/>
    <cellStyle name="Input 3 2 2 6" xfId="22073"/>
    <cellStyle name="Input 3 2 3" xfId="22074"/>
    <cellStyle name="Input 3 2 3 2" xfId="22075"/>
    <cellStyle name="Input 3 2 3 2 2" xfId="22076"/>
    <cellStyle name="Input 3 2 3 2 3" xfId="22077"/>
    <cellStyle name="Input 3 2 3 3" xfId="22078"/>
    <cellStyle name="Input 3 2 3 3 2" xfId="22079"/>
    <cellStyle name="Input 3 2 3 4" xfId="22080"/>
    <cellStyle name="Input 3 2 3 5" xfId="22081"/>
    <cellStyle name="Input 3 2 3 6" xfId="22082"/>
    <cellStyle name="Input 3 2 4" xfId="22083"/>
    <cellStyle name="Input 3 2 4 2" xfId="22084"/>
    <cellStyle name="Input 3 2 4 2 2" xfId="22085"/>
    <cellStyle name="Input 3 2 4 2 3" xfId="22086"/>
    <cellStyle name="Input 3 2 4 3" xfId="22087"/>
    <cellStyle name="Input 3 2 4 3 2" xfId="22088"/>
    <cellStyle name="Input 3 2 4 4" xfId="22089"/>
    <cellStyle name="Input 3 2 4 5" xfId="22090"/>
    <cellStyle name="Input 3 2 4 6" xfId="22091"/>
    <cellStyle name="Input 3 2 5" xfId="22092"/>
    <cellStyle name="Input 3 2 5 2" xfId="22093"/>
    <cellStyle name="Input 3 2 5 2 2" xfId="22094"/>
    <cellStyle name="Input 3 2 5 2 3" xfId="22095"/>
    <cellStyle name="Input 3 2 5 3" xfId="22096"/>
    <cellStyle name="Input 3 2 5 3 2" xfId="22097"/>
    <cellStyle name="Input 3 2 5 4" xfId="22098"/>
    <cellStyle name="Input 3 2 5 5" xfId="22099"/>
    <cellStyle name="Input 3 2 5 6" xfId="22100"/>
    <cellStyle name="Input 3 2 6" xfId="22101"/>
    <cellStyle name="Input 3 2 6 2" xfId="22102"/>
    <cellStyle name="Input 3 2 6 2 2" xfId="22103"/>
    <cellStyle name="Input 3 2 6 2 3" xfId="22104"/>
    <cellStyle name="Input 3 2 6 3" xfId="22105"/>
    <cellStyle name="Input 3 2 6 3 2" xfId="22106"/>
    <cellStyle name="Input 3 2 6 4" xfId="22107"/>
    <cellStyle name="Input 3 2 6 5" xfId="22108"/>
    <cellStyle name="Input 3 2 6 6" xfId="22109"/>
    <cellStyle name="Input 3 2 7" xfId="22110"/>
    <cellStyle name="Input 3 2 7 2" xfId="22111"/>
    <cellStyle name="Input 3 2 7 2 2" xfId="22112"/>
    <cellStyle name="Input 3 2 7 2 3" xfId="22113"/>
    <cellStyle name="Input 3 2 7 3" xfId="22114"/>
    <cellStyle name="Input 3 2 7 3 2" xfId="22115"/>
    <cellStyle name="Input 3 2 7 4" xfId="22116"/>
    <cellStyle name="Input 3 2 7 5" xfId="22117"/>
    <cellStyle name="Input 3 2 7 6" xfId="22118"/>
    <cellStyle name="Input 3 2 8" xfId="22119"/>
    <cellStyle name="Input 3 2 8 2" xfId="22120"/>
    <cellStyle name="Input 3 2 8 2 2" xfId="22121"/>
    <cellStyle name="Input 3 2 8 2 3" xfId="22122"/>
    <cellStyle name="Input 3 2 8 3" xfId="22123"/>
    <cellStyle name="Input 3 2 8 3 2" xfId="22124"/>
    <cellStyle name="Input 3 2 8 4" xfId="22125"/>
    <cellStyle name="Input 3 2 8 5" xfId="22126"/>
    <cellStyle name="Input 3 2 8 6" xfId="22127"/>
    <cellStyle name="Input 3 2 9" xfId="22128"/>
    <cellStyle name="Input 3 2 9 2" xfId="22129"/>
    <cellStyle name="Input 3 2 9 2 2" xfId="22130"/>
    <cellStyle name="Input 3 2 9 2 3" xfId="22131"/>
    <cellStyle name="Input 3 2 9 3" xfId="22132"/>
    <cellStyle name="Input 3 2 9 3 2" xfId="22133"/>
    <cellStyle name="Input 3 2 9 4" xfId="22134"/>
    <cellStyle name="Input 3 2 9 5" xfId="22135"/>
    <cellStyle name="Input 3 2 9 6" xfId="22136"/>
    <cellStyle name="Input 3 3" xfId="22137"/>
    <cellStyle name="Input 3 3 2" xfId="22138"/>
    <cellStyle name="Input 3 3 2 2" xfId="22139"/>
    <cellStyle name="Input 3 3 2 3" xfId="22140"/>
    <cellStyle name="Input 3 3 3" xfId="22141"/>
    <cellStyle name="Input 3 3 3 2" xfId="22142"/>
    <cellStyle name="Input 3 3 4" xfId="22143"/>
    <cellStyle name="Input 3 3 5" xfId="22144"/>
    <cellStyle name="Input 3 3 6" xfId="22145"/>
    <cellStyle name="Input 3 4" xfId="22146"/>
    <cellStyle name="Input 3 4 2" xfId="22147"/>
    <cellStyle name="Input 3 4 2 2" xfId="22148"/>
    <cellStyle name="Input 3 4 2 3" xfId="22149"/>
    <cellStyle name="Input 3 4 3" xfId="22150"/>
    <cellStyle name="Input 3 4 3 2" xfId="22151"/>
    <cellStyle name="Input 3 4 4" xfId="22152"/>
    <cellStyle name="Input 3 4 5" xfId="22153"/>
    <cellStyle name="Input 3 4 6" xfId="22154"/>
    <cellStyle name="Input 3 5" xfId="22155"/>
    <cellStyle name="Input 3 5 2" xfId="22156"/>
    <cellStyle name="Input 3 5 2 2" xfId="22157"/>
    <cellStyle name="Input 3 5 2 3" xfId="22158"/>
    <cellStyle name="Input 3 5 3" xfId="22159"/>
    <cellStyle name="Input 3 5 3 2" xfId="22160"/>
    <cellStyle name="Input 3 5 4" xfId="22161"/>
    <cellStyle name="Input 3 5 5" xfId="22162"/>
    <cellStyle name="Input 3 5 6" xfId="22163"/>
    <cellStyle name="Input 3 6" xfId="22164"/>
    <cellStyle name="Input 3 6 2" xfId="22165"/>
    <cellStyle name="Input 3 6 2 2" xfId="22166"/>
    <cellStyle name="Input 3 6 2 3" xfId="22167"/>
    <cellStyle name="Input 3 6 3" xfId="22168"/>
    <cellStyle name="Input 3 6 3 2" xfId="22169"/>
    <cellStyle name="Input 3 6 4" xfId="22170"/>
    <cellStyle name="Input 3 6 5" xfId="22171"/>
    <cellStyle name="Input 3 6 6" xfId="22172"/>
    <cellStyle name="Input 3 7" xfId="22173"/>
    <cellStyle name="Input 3 7 2" xfId="22174"/>
    <cellStyle name="Input 3 7 2 2" xfId="22175"/>
    <cellStyle name="Input 3 7 2 3" xfId="22176"/>
    <cellStyle name="Input 3 7 3" xfId="22177"/>
    <cellStyle name="Input 3 7 3 2" xfId="22178"/>
    <cellStyle name="Input 3 7 4" xfId="22179"/>
    <cellStyle name="Input 3 7 5" xfId="22180"/>
    <cellStyle name="Input 3 7 6" xfId="22181"/>
    <cellStyle name="Input 3 8" xfId="22182"/>
    <cellStyle name="Input 3 8 2" xfId="22183"/>
    <cellStyle name="Input 3 8 2 2" xfId="22184"/>
    <cellStyle name="Input 3 8 2 3" xfId="22185"/>
    <cellStyle name="Input 3 8 3" xfId="22186"/>
    <cellStyle name="Input 3 8 3 2" xfId="22187"/>
    <cellStyle name="Input 3 8 4" xfId="22188"/>
    <cellStyle name="Input 3 8 5" xfId="22189"/>
    <cellStyle name="Input 3 8 6" xfId="22190"/>
    <cellStyle name="Input 3 9" xfId="22191"/>
    <cellStyle name="Input 3 9 2" xfId="22192"/>
    <cellStyle name="Input 3 9 2 2" xfId="22193"/>
    <cellStyle name="Input 3 9 2 3" xfId="22194"/>
    <cellStyle name="Input 3 9 3" xfId="22195"/>
    <cellStyle name="Input 3 9 3 2" xfId="22196"/>
    <cellStyle name="Input 3 9 4" xfId="22197"/>
    <cellStyle name="Input 3 9 5" xfId="22198"/>
    <cellStyle name="Input 3 9 6" xfId="22199"/>
    <cellStyle name="Input 30" xfId="22200"/>
    <cellStyle name="Input 31" xfId="22201"/>
    <cellStyle name="Input 32" xfId="22202"/>
    <cellStyle name="Input 33" xfId="22203"/>
    <cellStyle name="Input 34" xfId="22204"/>
    <cellStyle name="Input 35" xfId="22205"/>
    <cellStyle name="Input 36" xfId="22206"/>
    <cellStyle name="Input 37" xfId="22207"/>
    <cellStyle name="Input 38" xfId="22208"/>
    <cellStyle name="Input 39" xfId="22209"/>
    <cellStyle name="Input 4" xfId="22210"/>
    <cellStyle name="Input 4 10" xfId="22211"/>
    <cellStyle name="Input 4 10 2" xfId="22212"/>
    <cellStyle name="Input 4 10 2 2" xfId="22213"/>
    <cellStyle name="Input 4 10 2 3" xfId="22214"/>
    <cellStyle name="Input 4 10 3" xfId="22215"/>
    <cellStyle name="Input 4 10 3 2" xfId="22216"/>
    <cellStyle name="Input 4 10 4" xfId="22217"/>
    <cellStyle name="Input 4 11" xfId="22218"/>
    <cellStyle name="Input 4 11 2" xfId="22219"/>
    <cellStyle name="Input 4 11 3" xfId="22220"/>
    <cellStyle name="Input 4 12" xfId="22221"/>
    <cellStyle name="Input 4 13" xfId="22222"/>
    <cellStyle name="Input 4 14" xfId="22223"/>
    <cellStyle name="Input 4 2" xfId="22224"/>
    <cellStyle name="Input 4 2 2" xfId="22225"/>
    <cellStyle name="Input 4 2 2 2" xfId="22226"/>
    <cellStyle name="Input 4 2 2 3" xfId="22227"/>
    <cellStyle name="Input 4 2 3" xfId="22228"/>
    <cellStyle name="Input 4 2 3 2" xfId="22229"/>
    <cellStyle name="Input 4 2 4" xfId="22230"/>
    <cellStyle name="Input 4 2 5" xfId="22231"/>
    <cellStyle name="Input 4 3" xfId="22232"/>
    <cellStyle name="Input 4 3 2" xfId="22233"/>
    <cellStyle name="Input 4 3 2 2" xfId="22234"/>
    <cellStyle name="Input 4 3 2 3" xfId="22235"/>
    <cellStyle name="Input 4 3 3" xfId="22236"/>
    <cellStyle name="Input 4 3 3 2" xfId="22237"/>
    <cellStyle name="Input 4 3 4" xfId="22238"/>
    <cellStyle name="Input 4 4" xfId="22239"/>
    <cellStyle name="Input 4 4 2" xfId="22240"/>
    <cellStyle name="Input 4 4 2 2" xfId="22241"/>
    <cellStyle name="Input 4 4 2 3" xfId="22242"/>
    <cellStyle name="Input 4 4 3" xfId="22243"/>
    <cellStyle name="Input 4 4 3 2" xfId="22244"/>
    <cellStyle name="Input 4 4 4" xfId="22245"/>
    <cellStyle name="Input 4 5" xfId="22246"/>
    <cellStyle name="Input 4 5 2" xfId="22247"/>
    <cellStyle name="Input 4 5 2 2" xfId="22248"/>
    <cellStyle name="Input 4 5 2 3" xfId="22249"/>
    <cellStyle name="Input 4 5 3" xfId="22250"/>
    <cellStyle name="Input 4 5 3 2" xfId="22251"/>
    <cellStyle name="Input 4 5 4" xfId="22252"/>
    <cellStyle name="Input 4 6" xfId="22253"/>
    <cellStyle name="Input 4 6 2" xfId="22254"/>
    <cellStyle name="Input 4 6 2 2" xfId="22255"/>
    <cellStyle name="Input 4 6 2 3" xfId="22256"/>
    <cellStyle name="Input 4 6 3" xfId="22257"/>
    <cellStyle name="Input 4 6 3 2" xfId="22258"/>
    <cellStyle name="Input 4 6 4" xfId="22259"/>
    <cellStyle name="Input 4 7" xfId="22260"/>
    <cellStyle name="Input 4 7 2" xfId="22261"/>
    <cellStyle name="Input 4 7 2 2" xfId="22262"/>
    <cellStyle name="Input 4 7 2 3" xfId="22263"/>
    <cellStyle name="Input 4 7 3" xfId="22264"/>
    <cellStyle name="Input 4 7 3 2" xfId="22265"/>
    <cellStyle name="Input 4 7 4" xfId="22266"/>
    <cellStyle name="Input 4 8" xfId="22267"/>
    <cellStyle name="Input 4 8 2" xfId="22268"/>
    <cellStyle name="Input 4 8 2 2" xfId="22269"/>
    <cellStyle name="Input 4 8 2 3" xfId="22270"/>
    <cellStyle name="Input 4 8 3" xfId="22271"/>
    <cellStyle name="Input 4 8 3 2" xfId="22272"/>
    <cellStyle name="Input 4 8 4" xfId="22273"/>
    <cellStyle name="Input 4 9" xfId="22274"/>
    <cellStyle name="Input 4 9 2" xfId="22275"/>
    <cellStyle name="Input 4 9 2 2" xfId="22276"/>
    <cellStyle name="Input 4 9 2 3" xfId="22277"/>
    <cellStyle name="Input 4 9 3" xfId="22278"/>
    <cellStyle name="Input 4 9 3 2" xfId="22279"/>
    <cellStyle name="Input 4 9 4" xfId="22280"/>
    <cellStyle name="Input 5" xfId="22281"/>
    <cellStyle name="Input 5 2" xfId="22282"/>
    <cellStyle name="Input 5 2 2" xfId="22283"/>
    <cellStyle name="Input 5 2 3" xfId="22284"/>
    <cellStyle name="Input 5 2 4" xfId="22285"/>
    <cellStyle name="Input 5 3" xfId="22286"/>
    <cellStyle name="Input 5 3 2" xfId="22287"/>
    <cellStyle name="Input 5 4" xfId="22288"/>
    <cellStyle name="Input 5 5" xfId="22289"/>
    <cellStyle name="Input 6" xfId="22290"/>
    <cellStyle name="Input 6 2" xfId="22291"/>
    <cellStyle name="Input 6 2 2" xfId="22292"/>
    <cellStyle name="Input 6 2 3" xfId="22293"/>
    <cellStyle name="Input 6 2 4" xfId="22294"/>
    <cellStyle name="Input 6 3" xfId="22295"/>
    <cellStyle name="Input 6 3 2" xfId="22296"/>
    <cellStyle name="Input 6 3 3" xfId="22297"/>
    <cellStyle name="Input 6 4" xfId="22298"/>
    <cellStyle name="Input 6 5" xfId="22299"/>
    <cellStyle name="Input 7" xfId="22300"/>
    <cellStyle name="Input 7 2" xfId="22301"/>
    <cellStyle name="Input 7 2 2" xfId="22302"/>
    <cellStyle name="Input 7 2 3" xfId="22303"/>
    <cellStyle name="Input 7 2 4" xfId="22304"/>
    <cellStyle name="Input 7 3" xfId="22305"/>
    <cellStyle name="Input 7 3 2" xfId="22306"/>
    <cellStyle name="Input 7 3 3" xfId="22307"/>
    <cellStyle name="Input 7 4" xfId="22308"/>
    <cellStyle name="Input 7 5" xfId="22309"/>
    <cellStyle name="Input 8" xfId="22310"/>
    <cellStyle name="Input 8 2" xfId="22311"/>
    <cellStyle name="Input 8 2 2" xfId="22312"/>
    <cellStyle name="Input 8 2 3" xfId="22313"/>
    <cellStyle name="Input 8 2 4" xfId="22314"/>
    <cellStyle name="Input 8 3" xfId="22315"/>
    <cellStyle name="Input 8 3 2" xfId="22316"/>
    <cellStyle name="Input 8 3 3" xfId="22317"/>
    <cellStyle name="Input 8 4" xfId="22318"/>
    <cellStyle name="Input 8 5" xfId="22319"/>
    <cellStyle name="Input 9" xfId="22320"/>
    <cellStyle name="Input 9 2" xfId="22321"/>
    <cellStyle name="Input 9 2 2" xfId="22322"/>
    <cellStyle name="Input 9 2 3" xfId="22323"/>
    <cellStyle name="Input 9 2 4" xfId="22324"/>
    <cellStyle name="Input 9 3" xfId="22325"/>
    <cellStyle name="Input 9 3 2" xfId="22326"/>
    <cellStyle name="Input 9 3 3" xfId="22327"/>
    <cellStyle name="Input 9 4" xfId="22328"/>
    <cellStyle name="Input 9 5" xfId="22329"/>
    <cellStyle name="Input_3_SM330_AXIS_SENSOR_BOARD Ver1.2 PART LIST 061215" xfId="22330"/>
    <cellStyle name="KAGE" xfId="22331"/>
    <cellStyle name="KAGE 2" xfId="22332"/>
    <cellStyle name="Leading Zero" xfId="22333"/>
    <cellStyle name="les" xfId="22334"/>
    <cellStyle name="les 2" xfId="22335"/>
    <cellStyle name="Link Currency (0)" xfId="22336"/>
    <cellStyle name="Link Currency (2)" xfId="22337"/>
    <cellStyle name="Link Units (0)" xfId="22338"/>
    <cellStyle name="Link Units (1)" xfId="22339"/>
    <cellStyle name="Link Units (2)" xfId="22340"/>
    <cellStyle name="Linked Cell" xfId="22341"/>
    <cellStyle name="Linked Cell 2" xfId="22342"/>
    <cellStyle name="Linked Cell 2 2" xfId="22343"/>
    <cellStyle name="Linked Cell 3" xfId="22344"/>
    <cellStyle name="Linked Cell 3 2" xfId="22345"/>
    <cellStyle name="Linked Cell 3 2 2" xfId="22346"/>
    <cellStyle name="Linked Cell 4" xfId="22347"/>
    <cellStyle name="Linked Cell 5" xfId="22348"/>
    <cellStyle name="m9" xfId="22349"/>
    <cellStyle name="MFAAS_FOOTER" xfId="22350"/>
    <cellStyle name="Millares [0]_PERSONAL" xfId="22351"/>
    <cellStyle name="Millares_PERSONAL" xfId="22352"/>
    <cellStyle name="Milliers [0]_AR1194" xfId="22353"/>
    <cellStyle name="Milliers_CASH1194" xfId="22354"/>
    <cellStyle name="Minus (0)" xfId="22355"/>
    <cellStyle name="Minus (0.0)" xfId="22356"/>
    <cellStyle name="Minus (0.00)" xfId="22357"/>
    <cellStyle name="Model" xfId="22358"/>
    <cellStyle name="Model 10" xfId="22359"/>
    <cellStyle name="Model 2" xfId="22360"/>
    <cellStyle name="Model 2 2" xfId="22361"/>
    <cellStyle name="Model 3" xfId="22362"/>
    <cellStyle name="Model 3 2" xfId="22363"/>
    <cellStyle name="Model 4" xfId="22364"/>
    <cellStyle name="Model 4 2" xfId="22365"/>
    <cellStyle name="Model 5" xfId="22366"/>
    <cellStyle name="Model 5 2" xfId="22367"/>
    <cellStyle name="Model 6" xfId="22368"/>
    <cellStyle name="Model 6 2" xfId="22369"/>
    <cellStyle name="Model 7" xfId="22370"/>
    <cellStyle name="Model 7 2" xfId="22371"/>
    <cellStyle name="Model 8" xfId="22372"/>
    <cellStyle name="Model 8 2" xfId="22373"/>
    <cellStyle name="Model 9" xfId="22374"/>
    <cellStyle name="Model 9 2" xfId="22375"/>
    <cellStyle name="Moneda [0]_CONTENCION CONDELL 25.051" xfId="22376"/>
    <cellStyle name="Moneda_CONTENCION CONDELL 25.051" xfId="22377"/>
    <cellStyle name="Monétaire [0]_AR1194" xfId="22378"/>
    <cellStyle name="Monétaire_CASH1194" xfId="22379"/>
    <cellStyle name="month" xfId="22380"/>
    <cellStyle name="n" xfId="22381"/>
    <cellStyle name="Neutral" xfId="22382"/>
    <cellStyle name="Neutral 2" xfId="22383"/>
    <cellStyle name="Neutral 2 2" xfId="22384"/>
    <cellStyle name="Neutral 3" xfId="22385"/>
    <cellStyle name="Neutral 3 2" xfId="22386"/>
    <cellStyle name="Neutral 3 2 2" xfId="22387"/>
    <cellStyle name="Neutral 4" xfId="22388"/>
    <cellStyle name="Neutral 5" xfId="22389"/>
    <cellStyle name="no dec" xfId="22390"/>
    <cellStyle name="no dec 2" xfId="22391"/>
    <cellStyle name="Non défini" xfId="22392"/>
    <cellStyle name="Non défini 2" xfId="22393"/>
    <cellStyle name="Normal - Style1" xfId="22394"/>
    <cellStyle name="Normal - Style1 2" xfId="22395"/>
    <cellStyle name="Normal - Style1 2 2" xfId="22396"/>
    <cellStyle name="Normal - Style1 3" xfId="22397"/>
    <cellStyle name="Normal - Style1 4" xfId="22398"/>
    <cellStyle name="Normal忈OTD thru NOR " xfId="22399"/>
    <cellStyle name="Normal忈OTD thru NOR  2" xfId="22400"/>
    <cellStyle name="Note" xfId="22401"/>
    <cellStyle name="Note 10" xfId="22402"/>
    <cellStyle name="Note 10 2" xfId="22403"/>
    <cellStyle name="Note 10 2 2" xfId="22404"/>
    <cellStyle name="Note 10 2 3" xfId="22405"/>
    <cellStyle name="Note 10 2 4" xfId="22406"/>
    <cellStyle name="Note 10 3" xfId="22407"/>
    <cellStyle name="Note 10 3 2" xfId="22408"/>
    <cellStyle name="Note 10 3 3" xfId="22409"/>
    <cellStyle name="Note 10 4" xfId="22410"/>
    <cellStyle name="Note 10 5" xfId="22411"/>
    <cellStyle name="Note 11" xfId="22412"/>
    <cellStyle name="Note 11 2" xfId="22413"/>
    <cellStyle name="Note 11 2 2" xfId="22414"/>
    <cellStyle name="Note 11 2 3" xfId="22415"/>
    <cellStyle name="Note 11 2 4" xfId="22416"/>
    <cellStyle name="Note 11 3" xfId="22417"/>
    <cellStyle name="Note 11 3 2" xfId="22418"/>
    <cellStyle name="Note 11 3 3" xfId="22419"/>
    <cellStyle name="Note 11 4" xfId="22420"/>
    <cellStyle name="Note 11 5" xfId="22421"/>
    <cellStyle name="Note 12" xfId="22422"/>
    <cellStyle name="Note 12 2" xfId="22423"/>
    <cellStyle name="Note 12 2 2" xfId="22424"/>
    <cellStyle name="Note 12 2 3" xfId="22425"/>
    <cellStyle name="Note 12 3" xfId="22426"/>
    <cellStyle name="Note 12 3 2" xfId="22427"/>
    <cellStyle name="Note 12 4" xfId="22428"/>
    <cellStyle name="Note 12 5" xfId="22429"/>
    <cellStyle name="Note 13" xfId="22430"/>
    <cellStyle name="Note 13 2" xfId="22431"/>
    <cellStyle name="Note 13 3" xfId="22432"/>
    <cellStyle name="Note 13 4" xfId="22433"/>
    <cellStyle name="Note 14" xfId="22434"/>
    <cellStyle name="Note 15" xfId="22435"/>
    <cellStyle name="Note 16" xfId="22436"/>
    <cellStyle name="Note 2" xfId="22437"/>
    <cellStyle name="Note 2 10" xfId="22438"/>
    <cellStyle name="Note 2 10 2" xfId="22439"/>
    <cellStyle name="Note 2 10 2 2" xfId="22440"/>
    <cellStyle name="Note 2 10 2 3" xfId="22441"/>
    <cellStyle name="Note 2 10 3" xfId="22442"/>
    <cellStyle name="Note 2 10 3 2" xfId="22443"/>
    <cellStyle name="Note 2 10 4" xfId="22444"/>
    <cellStyle name="Note 2 11" xfId="22445"/>
    <cellStyle name="Note 2 11 2" xfId="22446"/>
    <cellStyle name="Note 2 11 2 2" xfId="22447"/>
    <cellStyle name="Note 2 11 2 3" xfId="22448"/>
    <cellStyle name="Note 2 11 3" xfId="22449"/>
    <cellStyle name="Note 2 11 3 2" xfId="22450"/>
    <cellStyle name="Note 2 11 4" xfId="22451"/>
    <cellStyle name="Note 2 12" xfId="22452"/>
    <cellStyle name="Note 2 12 2" xfId="22453"/>
    <cellStyle name="Note 2 12 3" xfId="22454"/>
    <cellStyle name="Note 2 13" xfId="22455"/>
    <cellStyle name="Note 2 14" xfId="22456"/>
    <cellStyle name="Note 2 15" xfId="22457"/>
    <cellStyle name="Note 2 2" xfId="22458"/>
    <cellStyle name="Note 2 2 10" xfId="22459"/>
    <cellStyle name="Note 2 2 10 2" xfId="22460"/>
    <cellStyle name="Note 2 2 10 2 2" xfId="22461"/>
    <cellStyle name="Note 2 2 10 2 3" xfId="22462"/>
    <cellStyle name="Note 2 2 10 3" xfId="22463"/>
    <cellStyle name="Note 2 2 10 3 2" xfId="22464"/>
    <cellStyle name="Note 2 2 10 4" xfId="22465"/>
    <cellStyle name="Note 2 2 11" xfId="22466"/>
    <cellStyle name="Note 2 2 11 2" xfId="22467"/>
    <cellStyle name="Note 2 2 11 3" xfId="22468"/>
    <cellStyle name="Note 2 2 12" xfId="22469"/>
    <cellStyle name="Note 2 2 13" xfId="22470"/>
    <cellStyle name="Note 2 2 14" xfId="22471"/>
    <cellStyle name="Note 2 2 2" xfId="22472"/>
    <cellStyle name="Note 2 2 2 2" xfId="22473"/>
    <cellStyle name="Note 2 2 2 2 2" xfId="22474"/>
    <cellStyle name="Note 2 2 2 2 3" xfId="22475"/>
    <cellStyle name="Note 2 2 2 3" xfId="22476"/>
    <cellStyle name="Note 2 2 2 3 2" xfId="22477"/>
    <cellStyle name="Note 2 2 2 4" xfId="22478"/>
    <cellStyle name="Note 2 2 3" xfId="22479"/>
    <cellStyle name="Note 2 2 3 2" xfId="22480"/>
    <cellStyle name="Note 2 2 3 2 2" xfId="22481"/>
    <cellStyle name="Note 2 2 3 2 3" xfId="22482"/>
    <cellStyle name="Note 2 2 3 3" xfId="22483"/>
    <cellStyle name="Note 2 2 3 3 2" xfId="22484"/>
    <cellStyle name="Note 2 2 3 4" xfId="22485"/>
    <cellStyle name="Note 2 2 4" xfId="22486"/>
    <cellStyle name="Note 2 2 4 2" xfId="22487"/>
    <cellStyle name="Note 2 2 4 2 2" xfId="22488"/>
    <cellStyle name="Note 2 2 4 2 3" xfId="22489"/>
    <cellStyle name="Note 2 2 4 3" xfId="22490"/>
    <cellStyle name="Note 2 2 4 3 2" xfId="22491"/>
    <cellStyle name="Note 2 2 4 4" xfId="22492"/>
    <cellStyle name="Note 2 2 5" xfId="22493"/>
    <cellStyle name="Note 2 2 5 2" xfId="22494"/>
    <cellStyle name="Note 2 2 5 2 2" xfId="22495"/>
    <cellStyle name="Note 2 2 5 2 3" xfId="22496"/>
    <cellStyle name="Note 2 2 5 3" xfId="22497"/>
    <cellStyle name="Note 2 2 5 3 2" xfId="22498"/>
    <cellStyle name="Note 2 2 5 4" xfId="22499"/>
    <cellStyle name="Note 2 2 6" xfId="22500"/>
    <cellStyle name="Note 2 2 6 2" xfId="22501"/>
    <cellStyle name="Note 2 2 6 2 2" xfId="22502"/>
    <cellStyle name="Note 2 2 6 2 3" xfId="22503"/>
    <cellStyle name="Note 2 2 6 3" xfId="22504"/>
    <cellStyle name="Note 2 2 6 3 2" xfId="22505"/>
    <cellStyle name="Note 2 2 6 4" xfId="22506"/>
    <cellStyle name="Note 2 2 7" xfId="22507"/>
    <cellStyle name="Note 2 2 7 2" xfId="22508"/>
    <cellStyle name="Note 2 2 7 2 2" xfId="22509"/>
    <cellStyle name="Note 2 2 7 2 3" xfId="22510"/>
    <cellStyle name="Note 2 2 7 3" xfId="22511"/>
    <cellStyle name="Note 2 2 7 3 2" xfId="22512"/>
    <cellStyle name="Note 2 2 7 4" xfId="22513"/>
    <cellStyle name="Note 2 2 8" xfId="22514"/>
    <cellStyle name="Note 2 2 8 2" xfId="22515"/>
    <cellStyle name="Note 2 2 8 2 2" xfId="22516"/>
    <cellStyle name="Note 2 2 8 2 3" xfId="22517"/>
    <cellStyle name="Note 2 2 8 3" xfId="22518"/>
    <cellStyle name="Note 2 2 8 3 2" xfId="22519"/>
    <cellStyle name="Note 2 2 8 4" xfId="22520"/>
    <cellStyle name="Note 2 2 9" xfId="22521"/>
    <cellStyle name="Note 2 2 9 2" xfId="22522"/>
    <cellStyle name="Note 2 2 9 2 2" xfId="22523"/>
    <cellStyle name="Note 2 2 9 2 3" xfId="22524"/>
    <cellStyle name="Note 2 2 9 3" xfId="22525"/>
    <cellStyle name="Note 2 2 9 3 2" xfId="22526"/>
    <cellStyle name="Note 2 2 9 4" xfId="22527"/>
    <cellStyle name="Note 2 3" xfId="22528"/>
    <cellStyle name="Note 2 3 2" xfId="22529"/>
    <cellStyle name="Note 2 3 2 2" xfId="22530"/>
    <cellStyle name="Note 2 3 2 3" xfId="22531"/>
    <cellStyle name="Note 2 3 3" xfId="22532"/>
    <cellStyle name="Note 2 3 3 2" xfId="22533"/>
    <cellStyle name="Note 2 3 4" xfId="22534"/>
    <cellStyle name="Note 2 4" xfId="22535"/>
    <cellStyle name="Note 2 4 2" xfId="22536"/>
    <cellStyle name="Note 2 4 2 2" xfId="22537"/>
    <cellStyle name="Note 2 4 2 3" xfId="22538"/>
    <cellStyle name="Note 2 4 3" xfId="22539"/>
    <cellStyle name="Note 2 4 3 2" xfId="22540"/>
    <cellStyle name="Note 2 4 4" xfId="22541"/>
    <cellStyle name="Note 2 5" xfId="22542"/>
    <cellStyle name="Note 2 5 2" xfId="22543"/>
    <cellStyle name="Note 2 5 2 2" xfId="22544"/>
    <cellStyle name="Note 2 5 2 3" xfId="22545"/>
    <cellStyle name="Note 2 5 3" xfId="22546"/>
    <cellStyle name="Note 2 5 3 2" xfId="22547"/>
    <cellStyle name="Note 2 5 4" xfId="22548"/>
    <cellStyle name="Note 2 6" xfId="22549"/>
    <cellStyle name="Note 2 6 2" xfId="22550"/>
    <cellStyle name="Note 2 6 2 2" xfId="22551"/>
    <cellStyle name="Note 2 6 2 3" xfId="22552"/>
    <cellStyle name="Note 2 6 3" xfId="22553"/>
    <cellStyle name="Note 2 6 3 2" xfId="22554"/>
    <cellStyle name="Note 2 6 4" xfId="22555"/>
    <cellStyle name="Note 2 7" xfId="22556"/>
    <cellStyle name="Note 2 7 2" xfId="22557"/>
    <cellStyle name="Note 2 7 2 2" xfId="22558"/>
    <cellStyle name="Note 2 7 2 3" xfId="22559"/>
    <cellStyle name="Note 2 7 3" xfId="22560"/>
    <cellStyle name="Note 2 7 3 2" xfId="22561"/>
    <cellStyle name="Note 2 7 4" xfId="22562"/>
    <cellStyle name="Note 2 8" xfId="22563"/>
    <cellStyle name="Note 2 8 2" xfId="22564"/>
    <cellStyle name="Note 2 8 2 2" xfId="22565"/>
    <cellStyle name="Note 2 8 2 3" xfId="22566"/>
    <cellStyle name="Note 2 8 3" xfId="22567"/>
    <cellStyle name="Note 2 8 3 2" xfId="22568"/>
    <cellStyle name="Note 2 8 4" xfId="22569"/>
    <cellStyle name="Note 2 9" xfId="22570"/>
    <cellStyle name="Note 2 9 2" xfId="22571"/>
    <cellStyle name="Note 2 9 2 2" xfId="22572"/>
    <cellStyle name="Note 2 9 2 3" xfId="22573"/>
    <cellStyle name="Note 2 9 3" xfId="22574"/>
    <cellStyle name="Note 2 9 3 2" xfId="22575"/>
    <cellStyle name="Note 2 9 4" xfId="22576"/>
    <cellStyle name="Note 3" xfId="22577"/>
    <cellStyle name="Note 3 10" xfId="22578"/>
    <cellStyle name="Note 3 10 2" xfId="22579"/>
    <cellStyle name="Note 3 10 2 2" xfId="22580"/>
    <cellStyle name="Note 3 10 2 3" xfId="22581"/>
    <cellStyle name="Note 3 10 3" xfId="22582"/>
    <cellStyle name="Note 3 10 3 2" xfId="22583"/>
    <cellStyle name="Note 3 10 4" xfId="22584"/>
    <cellStyle name="Note 3 11" xfId="22585"/>
    <cellStyle name="Note 3 11 2" xfId="22586"/>
    <cellStyle name="Note 3 11 3" xfId="22587"/>
    <cellStyle name="Note 3 12" xfId="22588"/>
    <cellStyle name="Note 3 13" xfId="22589"/>
    <cellStyle name="Note 3 14" xfId="22590"/>
    <cellStyle name="Note 3 2" xfId="22591"/>
    <cellStyle name="Note 3 2 2" xfId="22592"/>
    <cellStyle name="Note 3 2 2 2" xfId="22593"/>
    <cellStyle name="Note 3 2 2 3" xfId="22594"/>
    <cellStyle name="Note 3 2 3" xfId="22595"/>
    <cellStyle name="Note 3 2 3 2" xfId="22596"/>
    <cellStyle name="Note 3 2 4" xfId="22597"/>
    <cellStyle name="Note 3 2 5" xfId="22598"/>
    <cellStyle name="Note 3 3" xfId="22599"/>
    <cellStyle name="Note 3 3 2" xfId="22600"/>
    <cellStyle name="Note 3 3 2 2" xfId="22601"/>
    <cellStyle name="Note 3 3 2 3" xfId="22602"/>
    <cellStyle name="Note 3 3 3" xfId="22603"/>
    <cellStyle name="Note 3 3 3 2" xfId="22604"/>
    <cellStyle name="Note 3 3 4" xfId="22605"/>
    <cellStyle name="Note 3 4" xfId="22606"/>
    <cellStyle name="Note 3 4 2" xfId="22607"/>
    <cellStyle name="Note 3 4 2 2" xfId="22608"/>
    <cellStyle name="Note 3 4 2 3" xfId="22609"/>
    <cellStyle name="Note 3 4 3" xfId="22610"/>
    <cellStyle name="Note 3 4 3 2" xfId="22611"/>
    <cellStyle name="Note 3 4 4" xfId="22612"/>
    <cellStyle name="Note 3 5" xfId="22613"/>
    <cellStyle name="Note 3 5 2" xfId="22614"/>
    <cellStyle name="Note 3 5 2 2" xfId="22615"/>
    <cellStyle name="Note 3 5 2 3" xfId="22616"/>
    <cellStyle name="Note 3 5 3" xfId="22617"/>
    <cellStyle name="Note 3 5 3 2" xfId="22618"/>
    <cellStyle name="Note 3 5 4" xfId="22619"/>
    <cellStyle name="Note 3 6" xfId="22620"/>
    <cellStyle name="Note 3 6 2" xfId="22621"/>
    <cellStyle name="Note 3 6 2 2" xfId="22622"/>
    <cellStyle name="Note 3 6 2 3" xfId="22623"/>
    <cellStyle name="Note 3 6 3" xfId="22624"/>
    <cellStyle name="Note 3 6 3 2" xfId="22625"/>
    <cellStyle name="Note 3 6 4" xfId="22626"/>
    <cellStyle name="Note 3 7" xfId="22627"/>
    <cellStyle name="Note 3 7 2" xfId="22628"/>
    <cellStyle name="Note 3 7 2 2" xfId="22629"/>
    <cellStyle name="Note 3 7 2 3" xfId="22630"/>
    <cellStyle name="Note 3 7 3" xfId="22631"/>
    <cellStyle name="Note 3 7 3 2" xfId="22632"/>
    <cellStyle name="Note 3 7 4" xfId="22633"/>
    <cellStyle name="Note 3 8" xfId="22634"/>
    <cellStyle name="Note 3 8 2" xfId="22635"/>
    <cellStyle name="Note 3 8 2 2" xfId="22636"/>
    <cellStyle name="Note 3 8 2 3" xfId="22637"/>
    <cellStyle name="Note 3 8 3" xfId="22638"/>
    <cellStyle name="Note 3 8 3 2" xfId="22639"/>
    <cellStyle name="Note 3 8 4" xfId="22640"/>
    <cellStyle name="Note 3 9" xfId="22641"/>
    <cellStyle name="Note 3 9 2" xfId="22642"/>
    <cellStyle name="Note 3 9 2 2" xfId="22643"/>
    <cellStyle name="Note 3 9 2 3" xfId="22644"/>
    <cellStyle name="Note 3 9 3" xfId="22645"/>
    <cellStyle name="Note 3 9 3 2" xfId="22646"/>
    <cellStyle name="Note 3 9 4" xfId="22647"/>
    <cellStyle name="Note 4" xfId="22648"/>
    <cellStyle name="Note 4 2" xfId="22649"/>
    <cellStyle name="Note 4 2 2" xfId="22650"/>
    <cellStyle name="Note 4 2 3" xfId="22651"/>
    <cellStyle name="Note 4 2 4" xfId="22652"/>
    <cellStyle name="Note 4 3" xfId="22653"/>
    <cellStyle name="Note 4 3 2" xfId="22654"/>
    <cellStyle name="Note 4 4" xfId="22655"/>
    <cellStyle name="Note 4 5" xfId="22656"/>
    <cellStyle name="Note 5" xfId="22657"/>
    <cellStyle name="Note 5 2" xfId="22658"/>
    <cellStyle name="Note 5 2 2" xfId="22659"/>
    <cellStyle name="Note 5 2 3" xfId="22660"/>
    <cellStyle name="Note 5 2 4" xfId="22661"/>
    <cellStyle name="Note 5 3" xfId="22662"/>
    <cellStyle name="Note 5 3 2" xfId="22663"/>
    <cellStyle name="Note 5 4" xfId="22664"/>
    <cellStyle name="Note 5 5" xfId="22665"/>
    <cellStyle name="Note 6" xfId="22666"/>
    <cellStyle name="Note 6 2" xfId="22667"/>
    <cellStyle name="Note 6 2 2" xfId="22668"/>
    <cellStyle name="Note 6 2 3" xfId="22669"/>
    <cellStyle name="Note 6 2 4" xfId="22670"/>
    <cellStyle name="Note 6 3" xfId="22671"/>
    <cellStyle name="Note 6 3 2" xfId="22672"/>
    <cellStyle name="Note 6 3 3" xfId="22673"/>
    <cellStyle name="Note 6 4" xfId="22674"/>
    <cellStyle name="Note 6 5" xfId="22675"/>
    <cellStyle name="Note 7" xfId="22676"/>
    <cellStyle name="Note 7 2" xfId="22677"/>
    <cellStyle name="Note 7 2 2" xfId="22678"/>
    <cellStyle name="Note 7 2 3" xfId="22679"/>
    <cellStyle name="Note 7 2 4" xfId="22680"/>
    <cellStyle name="Note 7 3" xfId="22681"/>
    <cellStyle name="Note 7 3 2" xfId="22682"/>
    <cellStyle name="Note 7 3 3" xfId="22683"/>
    <cellStyle name="Note 7 4" xfId="22684"/>
    <cellStyle name="Note 7 5" xfId="22685"/>
    <cellStyle name="Note 8" xfId="22686"/>
    <cellStyle name="Note 8 2" xfId="22687"/>
    <cellStyle name="Note 8 2 2" xfId="22688"/>
    <cellStyle name="Note 8 2 3" xfId="22689"/>
    <cellStyle name="Note 8 2 4" xfId="22690"/>
    <cellStyle name="Note 8 3" xfId="22691"/>
    <cellStyle name="Note 8 3 2" xfId="22692"/>
    <cellStyle name="Note 8 3 3" xfId="22693"/>
    <cellStyle name="Note 8 4" xfId="22694"/>
    <cellStyle name="Note 8 5" xfId="22695"/>
    <cellStyle name="Note 9" xfId="22696"/>
    <cellStyle name="Note 9 2" xfId="22697"/>
    <cellStyle name="Note 9 2 2" xfId="22698"/>
    <cellStyle name="Note 9 2 3" xfId="22699"/>
    <cellStyle name="Note 9 2 4" xfId="22700"/>
    <cellStyle name="Note 9 3" xfId="22701"/>
    <cellStyle name="Note 9 3 2" xfId="22702"/>
    <cellStyle name="Note 9 3 3" xfId="22703"/>
    <cellStyle name="Note 9 4" xfId="22704"/>
    <cellStyle name="Note 9 5" xfId="22705"/>
    <cellStyle name="Œ…?æ맖?e [0.00]_laroux" xfId="22706"/>
    <cellStyle name="Œ…?æ맖?e_laroux" xfId="22707"/>
    <cellStyle name="Output" xfId="22708"/>
    <cellStyle name="Output 10" xfId="22709"/>
    <cellStyle name="Output 10 2" xfId="22710"/>
    <cellStyle name="Output 10 3" xfId="22711"/>
    <cellStyle name="Output 11" xfId="22712"/>
    <cellStyle name="Output 11 2" xfId="22713"/>
    <cellStyle name="Output 11 3" xfId="22714"/>
    <cellStyle name="Output 12" xfId="22715"/>
    <cellStyle name="Output 13" xfId="22716"/>
    <cellStyle name="Output 14" xfId="22717"/>
    <cellStyle name="Output 2" xfId="22718"/>
    <cellStyle name="Output 2 2" xfId="22719"/>
    <cellStyle name="Output 2 2 10" xfId="22720"/>
    <cellStyle name="Output 2 2 10 2" xfId="22721"/>
    <cellStyle name="Output 2 2 10 2 2" xfId="22722"/>
    <cellStyle name="Output 2 2 10 2 3" xfId="22723"/>
    <cellStyle name="Output 2 2 10 3" xfId="22724"/>
    <cellStyle name="Output 2 2 10 3 2" xfId="22725"/>
    <cellStyle name="Output 2 2 10 4" xfId="22726"/>
    <cellStyle name="Output 2 2 11" xfId="22727"/>
    <cellStyle name="Output 2 2 11 2" xfId="22728"/>
    <cellStyle name="Output 2 2 11 2 2" xfId="22729"/>
    <cellStyle name="Output 2 2 11 2 3" xfId="22730"/>
    <cellStyle name="Output 2 2 11 3" xfId="22731"/>
    <cellStyle name="Output 2 2 11 3 2" xfId="22732"/>
    <cellStyle name="Output 2 2 11 4" xfId="22733"/>
    <cellStyle name="Output 2 2 12" xfId="22734"/>
    <cellStyle name="Output 2 2 12 2" xfId="22735"/>
    <cellStyle name="Output 2 2 12 3" xfId="22736"/>
    <cellStyle name="Output 2 2 13" xfId="22737"/>
    <cellStyle name="Output 2 2 14" xfId="22738"/>
    <cellStyle name="Output 2 2 15" xfId="22739"/>
    <cellStyle name="Output 2 2 2" xfId="22740"/>
    <cellStyle name="Output 2 2 2 2" xfId="22741"/>
    <cellStyle name="Output 2 2 2 2 2" xfId="22742"/>
    <cellStyle name="Output 2 2 2 2 3" xfId="22743"/>
    <cellStyle name="Output 2 2 2 3" xfId="22744"/>
    <cellStyle name="Output 2 2 2 3 2" xfId="22745"/>
    <cellStyle name="Output 2 2 2 4" xfId="22746"/>
    <cellStyle name="Output 2 2 3" xfId="22747"/>
    <cellStyle name="Output 2 2 3 2" xfId="22748"/>
    <cellStyle name="Output 2 2 3 2 2" xfId="22749"/>
    <cellStyle name="Output 2 2 3 2 3" xfId="22750"/>
    <cellStyle name="Output 2 2 3 3" xfId="22751"/>
    <cellStyle name="Output 2 2 3 3 2" xfId="22752"/>
    <cellStyle name="Output 2 2 3 4" xfId="22753"/>
    <cellStyle name="Output 2 2 4" xfId="22754"/>
    <cellStyle name="Output 2 2 4 2" xfId="22755"/>
    <cellStyle name="Output 2 2 4 2 2" xfId="22756"/>
    <cellStyle name="Output 2 2 4 2 3" xfId="22757"/>
    <cellStyle name="Output 2 2 4 3" xfId="22758"/>
    <cellStyle name="Output 2 2 4 3 2" xfId="22759"/>
    <cellStyle name="Output 2 2 4 4" xfId="22760"/>
    <cellStyle name="Output 2 2 5" xfId="22761"/>
    <cellStyle name="Output 2 2 5 2" xfId="22762"/>
    <cellStyle name="Output 2 2 5 2 2" xfId="22763"/>
    <cellStyle name="Output 2 2 5 2 3" xfId="22764"/>
    <cellStyle name="Output 2 2 5 3" xfId="22765"/>
    <cellStyle name="Output 2 2 5 3 2" xfId="22766"/>
    <cellStyle name="Output 2 2 5 4" xfId="22767"/>
    <cellStyle name="Output 2 2 6" xfId="22768"/>
    <cellStyle name="Output 2 2 6 2" xfId="22769"/>
    <cellStyle name="Output 2 2 6 2 2" xfId="22770"/>
    <cellStyle name="Output 2 2 6 2 3" xfId="22771"/>
    <cellStyle name="Output 2 2 6 3" xfId="22772"/>
    <cellStyle name="Output 2 2 6 3 2" xfId="22773"/>
    <cellStyle name="Output 2 2 6 4" xfId="22774"/>
    <cellStyle name="Output 2 2 7" xfId="22775"/>
    <cellStyle name="Output 2 2 7 2" xfId="22776"/>
    <cellStyle name="Output 2 2 7 2 2" xfId="22777"/>
    <cellStyle name="Output 2 2 7 2 3" xfId="22778"/>
    <cellStyle name="Output 2 2 7 3" xfId="22779"/>
    <cellStyle name="Output 2 2 7 3 2" xfId="22780"/>
    <cellStyle name="Output 2 2 7 4" xfId="22781"/>
    <cellStyle name="Output 2 2 8" xfId="22782"/>
    <cellStyle name="Output 2 2 8 2" xfId="22783"/>
    <cellStyle name="Output 2 2 8 2 2" xfId="22784"/>
    <cellStyle name="Output 2 2 8 2 3" xfId="22785"/>
    <cellStyle name="Output 2 2 8 3" xfId="22786"/>
    <cellStyle name="Output 2 2 8 3 2" xfId="22787"/>
    <cellStyle name="Output 2 2 8 4" xfId="22788"/>
    <cellStyle name="Output 2 2 9" xfId="22789"/>
    <cellStyle name="Output 2 2 9 2" xfId="22790"/>
    <cellStyle name="Output 2 2 9 2 2" xfId="22791"/>
    <cellStyle name="Output 2 2 9 2 3" xfId="22792"/>
    <cellStyle name="Output 2 2 9 3" xfId="22793"/>
    <cellStyle name="Output 2 2 9 3 2" xfId="22794"/>
    <cellStyle name="Output 2 2 9 4" xfId="22795"/>
    <cellStyle name="Output 2 3" xfId="22796"/>
    <cellStyle name="Output 2 4" xfId="22797"/>
    <cellStyle name="Output 2 5" xfId="22798"/>
    <cellStyle name="Output 3" xfId="22799"/>
    <cellStyle name="Output 3 2" xfId="22800"/>
    <cellStyle name="Output 3 2 10" xfId="22801"/>
    <cellStyle name="Output 3 2 10 2" xfId="22802"/>
    <cellStyle name="Output 3 2 10 2 2" xfId="22803"/>
    <cellStyle name="Output 3 2 10 2 3" xfId="22804"/>
    <cellStyle name="Output 3 2 10 3" xfId="22805"/>
    <cellStyle name="Output 3 2 10 3 2" xfId="22806"/>
    <cellStyle name="Output 3 2 10 4" xfId="22807"/>
    <cellStyle name="Output 3 2 10 5" xfId="22808"/>
    <cellStyle name="Output 3 2 10 6" xfId="22809"/>
    <cellStyle name="Output 3 2 11" xfId="22810"/>
    <cellStyle name="Output 3 2 11 2" xfId="22811"/>
    <cellStyle name="Output 3 2 11 2 2" xfId="22812"/>
    <cellStyle name="Output 3 2 11 2 3" xfId="22813"/>
    <cellStyle name="Output 3 2 11 3" xfId="22814"/>
    <cellStyle name="Output 3 2 11 3 2" xfId="22815"/>
    <cellStyle name="Output 3 2 11 4" xfId="22816"/>
    <cellStyle name="Output 3 2 11 5" xfId="22817"/>
    <cellStyle name="Output 3 2 11 6" xfId="22818"/>
    <cellStyle name="Output 3 2 12" xfId="22819"/>
    <cellStyle name="Output 3 2 12 2" xfId="22820"/>
    <cellStyle name="Output 3 2 12 2 2" xfId="22821"/>
    <cellStyle name="Output 3 2 12 3" xfId="22822"/>
    <cellStyle name="Output 3 2 12 4" xfId="22823"/>
    <cellStyle name="Output 3 2 13" xfId="22824"/>
    <cellStyle name="Output 3 2 13 2" xfId="22825"/>
    <cellStyle name="Output 3 2 14" xfId="22826"/>
    <cellStyle name="Output 3 2 15" xfId="22827"/>
    <cellStyle name="Output 3 2 16" xfId="22828"/>
    <cellStyle name="Output 3 2 2" xfId="22829"/>
    <cellStyle name="Output 3 2 2 2" xfId="22830"/>
    <cellStyle name="Output 3 2 2 2 2" xfId="22831"/>
    <cellStyle name="Output 3 2 2 2 3" xfId="22832"/>
    <cellStyle name="Output 3 2 2 3" xfId="22833"/>
    <cellStyle name="Output 3 2 2 3 2" xfId="22834"/>
    <cellStyle name="Output 3 2 2 4" xfId="22835"/>
    <cellStyle name="Output 3 2 2 5" xfId="22836"/>
    <cellStyle name="Output 3 2 2 6" xfId="22837"/>
    <cellStyle name="Output 3 2 3" xfId="22838"/>
    <cellStyle name="Output 3 2 3 2" xfId="22839"/>
    <cellStyle name="Output 3 2 3 2 2" xfId="22840"/>
    <cellStyle name="Output 3 2 3 2 3" xfId="22841"/>
    <cellStyle name="Output 3 2 3 3" xfId="22842"/>
    <cellStyle name="Output 3 2 3 3 2" xfId="22843"/>
    <cellStyle name="Output 3 2 3 4" xfId="22844"/>
    <cellStyle name="Output 3 2 3 5" xfId="22845"/>
    <cellStyle name="Output 3 2 3 6" xfId="22846"/>
    <cellStyle name="Output 3 2 4" xfId="22847"/>
    <cellStyle name="Output 3 2 4 2" xfId="22848"/>
    <cellStyle name="Output 3 2 4 2 2" xfId="22849"/>
    <cellStyle name="Output 3 2 4 2 3" xfId="22850"/>
    <cellStyle name="Output 3 2 4 3" xfId="22851"/>
    <cellStyle name="Output 3 2 4 3 2" xfId="22852"/>
    <cellStyle name="Output 3 2 4 4" xfId="22853"/>
    <cellStyle name="Output 3 2 4 5" xfId="22854"/>
    <cellStyle name="Output 3 2 4 6" xfId="22855"/>
    <cellStyle name="Output 3 2 5" xfId="22856"/>
    <cellStyle name="Output 3 2 5 2" xfId="22857"/>
    <cellStyle name="Output 3 2 5 2 2" xfId="22858"/>
    <cellStyle name="Output 3 2 5 2 3" xfId="22859"/>
    <cellStyle name="Output 3 2 5 3" xfId="22860"/>
    <cellStyle name="Output 3 2 5 3 2" xfId="22861"/>
    <cellStyle name="Output 3 2 5 4" xfId="22862"/>
    <cellStyle name="Output 3 2 5 5" xfId="22863"/>
    <cellStyle name="Output 3 2 5 6" xfId="22864"/>
    <cellStyle name="Output 3 2 6" xfId="22865"/>
    <cellStyle name="Output 3 2 6 2" xfId="22866"/>
    <cellStyle name="Output 3 2 6 2 2" xfId="22867"/>
    <cellStyle name="Output 3 2 6 2 3" xfId="22868"/>
    <cellStyle name="Output 3 2 6 3" xfId="22869"/>
    <cellStyle name="Output 3 2 6 3 2" xfId="22870"/>
    <cellStyle name="Output 3 2 6 4" xfId="22871"/>
    <cellStyle name="Output 3 2 6 5" xfId="22872"/>
    <cellStyle name="Output 3 2 6 6" xfId="22873"/>
    <cellStyle name="Output 3 2 7" xfId="22874"/>
    <cellStyle name="Output 3 2 7 2" xfId="22875"/>
    <cellStyle name="Output 3 2 7 2 2" xfId="22876"/>
    <cellStyle name="Output 3 2 7 2 3" xfId="22877"/>
    <cellStyle name="Output 3 2 7 3" xfId="22878"/>
    <cellStyle name="Output 3 2 7 3 2" xfId="22879"/>
    <cellStyle name="Output 3 2 7 4" xfId="22880"/>
    <cellStyle name="Output 3 2 7 5" xfId="22881"/>
    <cellStyle name="Output 3 2 7 6" xfId="22882"/>
    <cellStyle name="Output 3 2 8" xfId="22883"/>
    <cellStyle name="Output 3 2 8 2" xfId="22884"/>
    <cellStyle name="Output 3 2 8 2 2" xfId="22885"/>
    <cellStyle name="Output 3 2 8 2 3" xfId="22886"/>
    <cellStyle name="Output 3 2 8 3" xfId="22887"/>
    <cellStyle name="Output 3 2 8 3 2" xfId="22888"/>
    <cellStyle name="Output 3 2 8 4" xfId="22889"/>
    <cellStyle name="Output 3 2 8 5" xfId="22890"/>
    <cellStyle name="Output 3 2 8 6" xfId="22891"/>
    <cellStyle name="Output 3 2 9" xfId="22892"/>
    <cellStyle name="Output 3 2 9 2" xfId="22893"/>
    <cellStyle name="Output 3 2 9 2 2" xfId="22894"/>
    <cellStyle name="Output 3 2 9 2 3" xfId="22895"/>
    <cellStyle name="Output 3 2 9 3" xfId="22896"/>
    <cellStyle name="Output 3 2 9 3 2" xfId="22897"/>
    <cellStyle name="Output 3 2 9 4" xfId="22898"/>
    <cellStyle name="Output 3 2 9 5" xfId="22899"/>
    <cellStyle name="Output 3 2 9 6" xfId="22900"/>
    <cellStyle name="Output 3 3" xfId="22901"/>
    <cellStyle name="Output 3 3 2" xfId="22902"/>
    <cellStyle name="Output 3 4" xfId="22903"/>
    <cellStyle name="Output 3 5" xfId="22904"/>
    <cellStyle name="Output 3 6" xfId="22905"/>
    <cellStyle name="Output 4" xfId="22906"/>
    <cellStyle name="Output 4 10" xfId="22907"/>
    <cellStyle name="Output 4 10 2" xfId="22908"/>
    <cellStyle name="Output 4 10 2 2" xfId="22909"/>
    <cellStyle name="Output 4 10 2 3" xfId="22910"/>
    <cellStyle name="Output 4 10 3" xfId="22911"/>
    <cellStyle name="Output 4 10 3 2" xfId="22912"/>
    <cellStyle name="Output 4 10 4" xfId="22913"/>
    <cellStyle name="Output 4 11" xfId="22914"/>
    <cellStyle name="Output 4 11 2" xfId="22915"/>
    <cellStyle name="Output 4 11 2 2" xfId="22916"/>
    <cellStyle name="Output 4 11 2 3" xfId="22917"/>
    <cellStyle name="Output 4 11 3" xfId="22918"/>
    <cellStyle name="Output 4 11 3 2" xfId="22919"/>
    <cellStyle name="Output 4 11 4" xfId="22920"/>
    <cellStyle name="Output 4 12" xfId="22921"/>
    <cellStyle name="Output 4 12 2" xfId="22922"/>
    <cellStyle name="Output 4 12 3" xfId="22923"/>
    <cellStyle name="Output 4 13" xfId="22924"/>
    <cellStyle name="Output 4 14" xfId="22925"/>
    <cellStyle name="Output 4 15" xfId="22926"/>
    <cellStyle name="Output 4 2" xfId="22927"/>
    <cellStyle name="Output 4 2 2" xfId="22928"/>
    <cellStyle name="Output 4 2 2 2" xfId="22929"/>
    <cellStyle name="Output 4 2 2 3" xfId="22930"/>
    <cellStyle name="Output 4 2 3" xfId="22931"/>
    <cellStyle name="Output 4 2 3 2" xfId="22932"/>
    <cellStyle name="Output 4 2 4" xfId="22933"/>
    <cellStyle name="Output 4 2 5" xfId="22934"/>
    <cellStyle name="Output 4 3" xfId="22935"/>
    <cellStyle name="Output 4 3 2" xfId="22936"/>
    <cellStyle name="Output 4 3 2 2" xfId="22937"/>
    <cellStyle name="Output 4 3 2 3" xfId="22938"/>
    <cellStyle name="Output 4 3 3" xfId="22939"/>
    <cellStyle name="Output 4 3 3 2" xfId="22940"/>
    <cellStyle name="Output 4 3 4" xfId="22941"/>
    <cellStyle name="Output 4 4" xfId="22942"/>
    <cellStyle name="Output 4 4 2" xfId="22943"/>
    <cellStyle name="Output 4 4 2 2" xfId="22944"/>
    <cellStyle name="Output 4 4 2 3" xfId="22945"/>
    <cellStyle name="Output 4 4 3" xfId="22946"/>
    <cellStyle name="Output 4 4 3 2" xfId="22947"/>
    <cellStyle name="Output 4 4 4" xfId="22948"/>
    <cellStyle name="Output 4 5" xfId="22949"/>
    <cellStyle name="Output 4 5 2" xfId="22950"/>
    <cellStyle name="Output 4 5 2 2" xfId="22951"/>
    <cellStyle name="Output 4 5 2 3" xfId="22952"/>
    <cellStyle name="Output 4 5 3" xfId="22953"/>
    <cellStyle name="Output 4 5 3 2" xfId="22954"/>
    <cellStyle name="Output 4 5 4" xfId="22955"/>
    <cellStyle name="Output 4 6" xfId="22956"/>
    <cellStyle name="Output 4 6 2" xfId="22957"/>
    <cellStyle name="Output 4 6 2 2" xfId="22958"/>
    <cellStyle name="Output 4 6 2 3" xfId="22959"/>
    <cellStyle name="Output 4 6 3" xfId="22960"/>
    <cellStyle name="Output 4 6 3 2" xfId="22961"/>
    <cellStyle name="Output 4 6 4" xfId="22962"/>
    <cellStyle name="Output 4 7" xfId="22963"/>
    <cellStyle name="Output 4 7 2" xfId="22964"/>
    <cellStyle name="Output 4 7 2 2" xfId="22965"/>
    <cellStyle name="Output 4 7 2 3" xfId="22966"/>
    <cellStyle name="Output 4 7 3" xfId="22967"/>
    <cellStyle name="Output 4 7 3 2" xfId="22968"/>
    <cellStyle name="Output 4 7 4" xfId="22969"/>
    <cellStyle name="Output 4 8" xfId="22970"/>
    <cellStyle name="Output 4 8 2" xfId="22971"/>
    <cellStyle name="Output 4 8 2 2" xfId="22972"/>
    <cellStyle name="Output 4 8 2 3" xfId="22973"/>
    <cellStyle name="Output 4 8 3" xfId="22974"/>
    <cellStyle name="Output 4 8 3 2" xfId="22975"/>
    <cellStyle name="Output 4 8 4" xfId="22976"/>
    <cellStyle name="Output 4 9" xfId="22977"/>
    <cellStyle name="Output 4 9 2" xfId="22978"/>
    <cellStyle name="Output 4 9 2 2" xfId="22979"/>
    <cellStyle name="Output 4 9 2 3" xfId="22980"/>
    <cellStyle name="Output 4 9 3" xfId="22981"/>
    <cellStyle name="Output 4 9 3 2" xfId="22982"/>
    <cellStyle name="Output 4 9 4" xfId="22983"/>
    <cellStyle name="Output 5" xfId="22984"/>
    <cellStyle name="Output 5 2" xfId="22985"/>
    <cellStyle name="Output 5 3" xfId="22986"/>
    <cellStyle name="Output 6" xfId="22987"/>
    <cellStyle name="Output 6 2" xfId="22988"/>
    <cellStyle name="Output 6 3" xfId="22989"/>
    <cellStyle name="Output 6 4" xfId="22990"/>
    <cellStyle name="Output 7" xfId="22991"/>
    <cellStyle name="Output 7 2" xfId="22992"/>
    <cellStyle name="Output 7 3" xfId="22993"/>
    <cellStyle name="Output 8" xfId="22994"/>
    <cellStyle name="Output 8 2" xfId="22995"/>
    <cellStyle name="Output 8 3" xfId="22996"/>
    <cellStyle name="Output 9" xfId="22997"/>
    <cellStyle name="Output 9 2" xfId="22998"/>
    <cellStyle name="Output 9 3" xfId="22999"/>
    <cellStyle name="Percent [0]" xfId="23000"/>
    <cellStyle name="Percent [00]" xfId="23001"/>
    <cellStyle name="Percent [2]" xfId="23002"/>
    <cellStyle name="Percent_#23,24윈터키트수정" xfId="23003"/>
    <cellStyle name="PERCENTAGE" xfId="23004"/>
    <cellStyle name="PrePop Currency (0)" xfId="23005"/>
    <cellStyle name="PrePop Currency (2)" xfId="23006"/>
    <cellStyle name="PrePop Units (0)" xfId="23007"/>
    <cellStyle name="PrePop Units (1)" xfId="23008"/>
    <cellStyle name="PrePop Units (2)" xfId="23009"/>
    <cellStyle name="r_x0010_" xfId="23010"/>
    <cellStyle name="r_x0010_ 2" xfId="23011"/>
    <cellStyle name="R?" xfId="23012"/>
    <cellStyle name="R? 2" xfId="23013"/>
    <cellStyle name="rrfocy`marpvx_622k" xfId="23014"/>
    <cellStyle name="rrfocy`MCvt/ASP" xfId="23015"/>
    <cellStyle name="SAP" xfId="23016"/>
    <cellStyle name="SAP 2" xfId="23017"/>
    <cellStyle name="SAPBEXchaText" xfId="23018"/>
    <cellStyle name="SAPBEXstdData" xfId="23019"/>
    <cellStyle name="SAPBEXstdData 2" xfId="23020"/>
    <cellStyle name="SAPBEXstdItem" xfId="23021"/>
    <cellStyle name="SAPBEXstdItem 2" xfId="23022"/>
    <cellStyle name="SAPBEXstdItemX" xfId="23023"/>
    <cellStyle name="SAPBEXstdItemX 2" xfId="23024"/>
    <cellStyle name="sche|_x0005_" xfId="23025"/>
    <cellStyle name="sche|_x0005_ 2" xfId="23026"/>
    <cellStyle name="Sheet Title" xfId="23027"/>
    <cellStyle name="ssendz_lbsouy`5ussendz_lbsouy`5_622k" xfId="23028"/>
    <cellStyle name="subhead" xfId="23029"/>
    <cellStyle name="subhead 2" xfId="23030"/>
    <cellStyle name="Text Indent A" xfId="23031"/>
    <cellStyle name="Text Indent B" xfId="23032"/>
    <cellStyle name="Text Indent C" xfId="23033"/>
    <cellStyle name="þ_x001d_ð'&amp;Oy?Hy9_x0008__x000f__x0007_æ_x0007__x0007__x0001__x0001_" xfId="23034"/>
    <cellStyle name="þ_x001d_ð'&amp;Oy?Hy9_x0008__x000f__x0007_æ_x0007__x0007__x0001__x0001_ 2" xfId="23035"/>
    <cellStyle name="Title" xfId="23036"/>
    <cellStyle name="Title 2" xfId="23037"/>
    <cellStyle name="Title 2 2" xfId="23038"/>
    <cellStyle name="Title 3" xfId="23039"/>
    <cellStyle name="Title 3 2" xfId="23040"/>
    <cellStyle name="Title 3 2 2" xfId="23041"/>
    <cellStyle name="Title 4" xfId="23042"/>
    <cellStyle name="Total" xfId="23043"/>
    <cellStyle name="Total 10" xfId="23044"/>
    <cellStyle name="Total 10 2" xfId="23045"/>
    <cellStyle name="Total 10 2 2" xfId="23046"/>
    <cellStyle name="Total 10 2 3" xfId="23047"/>
    <cellStyle name="Total 10 3" xfId="23048"/>
    <cellStyle name="Total 10 3 2" xfId="23049"/>
    <cellStyle name="Total 10 4" xfId="23050"/>
    <cellStyle name="Total 11" xfId="23051"/>
    <cellStyle name="Total 11 2" xfId="23052"/>
    <cellStyle name="Total 11 2 2" xfId="23053"/>
    <cellStyle name="Total 11 2 3" xfId="23054"/>
    <cellStyle name="Total 11 3" xfId="23055"/>
    <cellStyle name="Total 11 3 2" xfId="23056"/>
    <cellStyle name="Total 11 4" xfId="23057"/>
    <cellStyle name="Total 12" xfId="23058"/>
    <cellStyle name="Total 12 2" xfId="23059"/>
    <cellStyle name="Total 12 2 2" xfId="23060"/>
    <cellStyle name="Total 12 2 3" xfId="23061"/>
    <cellStyle name="Total 12 3" xfId="23062"/>
    <cellStyle name="Total 12 3 2" xfId="23063"/>
    <cellStyle name="Total 12 4" xfId="23064"/>
    <cellStyle name="Total 13" xfId="23065"/>
    <cellStyle name="Total 13 2" xfId="23066"/>
    <cellStyle name="Total 13 2 2" xfId="23067"/>
    <cellStyle name="Total 13 2 3" xfId="23068"/>
    <cellStyle name="Total 13 3" xfId="23069"/>
    <cellStyle name="Total 13 3 2" xfId="23070"/>
    <cellStyle name="Total 13 4" xfId="23071"/>
    <cellStyle name="Total 14" xfId="23072"/>
    <cellStyle name="Total 14 2" xfId="23073"/>
    <cellStyle name="Total 14 3" xfId="23074"/>
    <cellStyle name="Total 15" xfId="23075"/>
    <cellStyle name="Total 16" xfId="23076"/>
    <cellStyle name="Total 17" xfId="23077"/>
    <cellStyle name="Total 2" xfId="23078"/>
    <cellStyle name="Total 2 10" xfId="23079"/>
    <cellStyle name="Total 2 10 2" xfId="23080"/>
    <cellStyle name="Total 2 10 2 2" xfId="23081"/>
    <cellStyle name="Total 2 10 2 3" xfId="23082"/>
    <cellStyle name="Total 2 10 2 4" xfId="23083"/>
    <cellStyle name="Total 2 10 3" xfId="23084"/>
    <cellStyle name="Total 2 10 3 2" xfId="23085"/>
    <cellStyle name="Total 2 10 3 3" xfId="23086"/>
    <cellStyle name="Total 2 10 4" xfId="23087"/>
    <cellStyle name="Total 2 10 5" xfId="23088"/>
    <cellStyle name="Total 2 11" xfId="23089"/>
    <cellStyle name="Total 2 11 2" xfId="23090"/>
    <cellStyle name="Total 2 11 2 2" xfId="23091"/>
    <cellStyle name="Total 2 11 2 3" xfId="23092"/>
    <cellStyle name="Total 2 11 2 4" xfId="23093"/>
    <cellStyle name="Total 2 11 3" xfId="23094"/>
    <cellStyle name="Total 2 11 3 2" xfId="23095"/>
    <cellStyle name="Total 2 11 3 3" xfId="23096"/>
    <cellStyle name="Total 2 11 4" xfId="23097"/>
    <cellStyle name="Total 2 11 5" xfId="23098"/>
    <cellStyle name="Total 2 12" xfId="23099"/>
    <cellStyle name="Total 2 12 2" xfId="23100"/>
    <cellStyle name="Total 2 12 3" xfId="23101"/>
    <cellStyle name="Total 2 12 4" xfId="23102"/>
    <cellStyle name="Total 2 13" xfId="23103"/>
    <cellStyle name="Total 2 13 2" xfId="23104"/>
    <cellStyle name="Total 2 14" xfId="23105"/>
    <cellStyle name="Total 2 15" xfId="23106"/>
    <cellStyle name="Total 2 2" xfId="23107"/>
    <cellStyle name="Total 2 2 10" xfId="23108"/>
    <cellStyle name="Total 2 2 10 2" xfId="23109"/>
    <cellStyle name="Total 2 2 10 2 2" xfId="23110"/>
    <cellStyle name="Total 2 2 10 2 3" xfId="23111"/>
    <cellStyle name="Total 2 2 10 3" xfId="23112"/>
    <cellStyle name="Total 2 2 10 3 2" xfId="23113"/>
    <cellStyle name="Total 2 2 10 4" xfId="23114"/>
    <cellStyle name="Total 2 2 11" xfId="23115"/>
    <cellStyle name="Total 2 2 11 2" xfId="23116"/>
    <cellStyle name="Total 2 2 11 3" xfId="23117"/>
    <cellStyle name="Total 2 2 12" xfId="23118"/>
    <cellStyle name="Total 2 2 13" xfId="23119"/>
    <cellStyle name="Total 2 2 14" xfId="23120"/>
    <cellStyle name="Total 2 2 2" xfId="23121"/>
    <cellStyle name="Total 2 2 2 2" xfId="23122"/>
    <cellStyle name="Total 2 2 2 2 2" xfId="23123"/>
    <cellStyle name="Total 2 2 2 2 3" xfId="23124"/>
    <cellStyle name="Total 2 2 2 3" xfId="23125"/>
    <cellStyle name="Total 2 2 2 3 2" xfId="23126"/>
    <cellStyle name="Total 2 2 2 4" xfId="23127"/>
    <cellStyle name="Total 2 2 2 5" xfId="23128"/>
    <cellStyle name="Total 2 2 3" xfId="23129"/>
    <cellStyle name="Total 2 2 3 2" xfId="23130"/>
    <cellStyle name="Total 2 2 3 2 2" xfId="23131"/>
    <cellStyle name="Total 2 2 3 2 3" xfId="23132"/>
    <cellStyle name="Total 2 2 3 3" xfId="23133"/>
    <cellStyle name="Total 2 2 3 3 2" xfId="23134"/>
    <cellStyle name="Total 2 2 3 4" xfId="23135"/>
    <cellStyle name="Total 2 2 4" xfId="23136"/>
    <cellStyle name="Total 2 2 4 2" xfId="23137"/>
    <cellStyle name="Total 2 2 4 2 2" xfId="23138"/>
    <cellStyle name="Total 2 2 4 2 3" xfId="23139"/>
    <cellStyle name="Total 2 2 4 3" xfId="23140"/>
    <cellStyle name="Total 2 2 4 3 2" xfId="23141"/>
    <cellStyle name="Total 2 2 4 4" xfId="23142"/>
    <cellStyle name="Total 2 2 5" xfId="23143"/>
    <cellStyle name="Total 2 2 5 2" xfId="23144"/>
    <cellStyle name="Total 2 2 5 2 2" xfId="23145"/>
    <cellStyle name="Total 2 2 5 2 3" xfId="23146"/>
    <cellStyle name="Total 2 2 5 3" xfId="23147"/>
    <cellStyle name="Total 2 2 5 3 2" xfId="23148"/>
    <cellStyle name="Total 2 2 5 4" xfId="23149"/>
    <cellStyle name="Total 2 2 6" xfId="23150"/>
    <cellStyle name="Total 2 2 6 2" xfId="23151"/>
    <cellStyle name="Total 2 2 6 2 2" xfId="23152"/>
    <cellStyle name="Total 2 2 6 2 3" xfId="23153"/>
    <cellStyle name="Total 2 2 6 3" xfId="23154"/>
    <cellStyle name="Total 2 2 6 3 2" xfId="23155"/>
    <cellStyle name="Total 2 2 6 4" xfId="23156"/>
    <cellStyle name="Total 2 2 7" xfId="23157"/>
    <cellStyle name="Total 2 2 7 2" xfId="23158"/>
    <cellStyle name="Total 2 2 7 2 2" xfId="23159"/>
    <cellStyle name="Total 2 2 7 2 3" xfId="23160"/>
    <cellStyle name="Total 2 2 7 3" xfId="23161"/>
    <cellStyle name="Total 2 2 7 3 2" xfId="23162"/>
    <cellStyle name="Total 2 2 7 4" xfId="23163"/>
    <cellStyle name="Total 2 2 8" xfId="23164"/>
    <cellStyle name="Total 2 2 8 2" xfId="23165"/>
    <cellStyle name="Total 2 2 8 2 2" xfId="23166"/>
    <cellStyle name="Total 2 2 8 2 3" xfId="23167"/>
    <cellStyle name="Total 2 2 8 3" xfId="23168"/>
    <cellStyle name="Total 2 2 8 3 2" xfId="23169"/>
    <cellStyle name="Total 2 2 8 4" xfId="23170"/>
    <cellStyle name="Total 2 2 9" xfId="23171"/>
    <cellStyle name="Total 2 2 9 2" xfId="23172"/>
    <cellStyle name="Total 2 2 9 2 2" xfId="23173"/>
    <cellStyle name="Total 2 2 9 2 3" xfId="23174"/>
    <cellStyle name="Total 2 2 9 3" xfId="23175"/>
    <cellStyle name="Total 2 2 9 3 2" xfId="23176"/>
    <cellStyle name="Total 2 2 9 4" xfId="23177"/>
    <cellStyle name="Total 2 3" xfId="23178"/>
    <cellStyle name="Total 2 3 2" xfId="23179"/>
    <cellStyle name="Total 2 3 2 2" xfId="23180"/>
    <cellStyle name="Total 2 3 2 3" xfId="23181"/>
    <cellStyle name="Total 2 3 2 4" xfId="23182"/>
    <cellStyle name="Total 2 3 3" xfId="23183"/>
    <cellStyle name="Total 2 3 3 2" xfId="23184"/>
    <cellStyle name="Total 2 3 4" xfId="23185"/>
    <cellStyle name="Total 2 3 5" xfId="23186"/>
    <cellStyle name="Total 2 4" xfId="23187"/>
    <cellStyle name="Total 2 4 2" xfId="23188"/>
    <cellStyle name="Total 2 4 2 2" xfId="23189"/>
    <cellStyle name="Total 2 4 2 3" xfId="23190"/>
    <cellStyle name="Total 2 4 2 4" xfId="23191"/>
    <cellStyle name="Total 2 4 3" xfId="23192"/>
    <cellStyle name="Total 2 4 3 2" xfId="23193"/>
    <cellStyle name="Total 2 4 4" xfId="23194"/>
    <cellStyle name="Total 2 4 5" xfId="23195"/>
    <cellStyle name="Total 2 5" xfId="23196"/>
    <cellStyle name="Total 2 5 2" xfId="23197"/>
    <cellStyle name="Total 2 5 2 2" xfId="23198"/>
    <cellStyle name="Total 2 5 2 3" xfId="23199"/>
    <cellStyle name="Total 2 5 2 4" xfId="23200"/>
    <cellStyle name="Total 2 5 3" xfId="23201"/>
    <cellStyle name="Total 2 5 3 2" xfId="23202"/>
    <cellStyle name="Total 2 5 4" xfId="23203"/>
    <cellStyle name="Total 2 5 5" xfId="23204"/>
    <cellStyle name="Total 2 6" xfId="23205"/>
    <cellStyle name="Total 2 6 2" xfId="23206"/>
    <cellStyle name="Total 2 6 2 2" xfId="23207"/>
    <cellStyle name="Total 2 6 2 3" xfId="23208"/>
    <cellStyle name="Total 2 6 2 4" xfId="23209"/>
    <cellStyle name="Total 2 6 3" xfId="23210"/>
    <cellStyle name="Total 2 6 3 2" xfId="23211"/>
    <cellStyle name="Total 2 6 4" xfId="23212"/>
    <cellStyle name="Total 2 6 5" xfId="23213"/>
    <cellStyle name="Total 2 7" xfId="23214"/>
    <cellStyle name="Total 2 7 2" xfId="23215"/>
    <cellStyle name="Total 2 7 2 2" xfId="23216"/>
    <cellStyle name="Total 2 7 2 3" xfId="23217"/>
    <cellStyle name="Total 2 7 2 4" xfId="23218"/>
    <cellStyle name="Total 2 7 3" xfId="23219"/>
    <cellStyle name="Total 2 7 3 2" xfId="23220"/>
    <cellStyle name="Total 2 7 4" xfId="23221"/>
    <cellStyle name="Total 2 7 5" xfId="23222"/>
    <cellStyle name="Total 2 8" xfId="23223"/>
    <cellStyle name="Total 2 8 2" xfId="23224"/>
    <cellStyle name="Total 2 8 2 2" xfId="23225"/>
    <cellStyle name="Total 2 8 2 3" xfId="23226"/>
    <cellStyle name="Total 2 8 2 4" xfId="23227"/>
    <cellStyle name="Total 2 8 3" xfId="23228"/>
    <cellStyle name="Total 2 8 3 2" xfId="23229"/>
    <cellStyle name="Total 2 8 3 3" xfId="23230"/>
    <cellStyle name="Total 2 8 4" xfId="23231"/>
    <cellStyle name="Total 2 8 5" xfId="23232"/>
    <cellStyle name="Total 2 9" xfId="23233"/>
    <cellStyle name="Total 2 9 2" xfId="23234"/>
    <cellStyle name="Total 2 9 2 2" xfId="23235"/>
    <cellStyle name="Total 2 9 2 3" xfId="23236"/>
    <cellStyle name="Total 2 9 2 4" xfId="23237"/>
    <cellStyle name="Total 2 9 3" xfId="23238"/>
    <cellStyle name="Total 2 9 3 2" xfId="23239"/>
    <cellStyle name="Total 2 9 3 3" xfId="23240"/>
    <cellStyle name="Total 2 9 4" xfId="23241"/>
    <cellStyle name="Total 2 9 5" xfId="23242"/>
    <cellStyle name="Total 3" xfId="23243"/>
    <cellStyle name="Total 3 10" xfId="23244"/>
    <cellStyle name="Total 3 10 2" xfId="23245"/>
    <cellStyle name="Total 3 10 2 2" xfId="23246"/>
    <cellStyle name="Total 3 10 2 3" xfId="23247"/>
    <cellStyle name="Total 3 10 3" xfId="23248"/>
    <cellStyle name="Total 3 10 3 2" xfId="23249"/>
    <cellStyle name="Total 3 10 4" xfId="23250"/>
    <cellStyle name="Total 3 10 5" xfId="23251"/>
    <cellStyle name="Total 3 10 6" xfId="23252"/>
    <cellStyle name="Total 3 11" xfId="23253"/>
    <cellStyle name="Total 3 11 2" xfId="23254"/>
    <cellStyle name="Total 3 11 2 2" xfId="23255"/>
    <cellStyle name="Total 3 11 2 3" xfId="23256"/>
    <cellStyle name="Total 3 11 3" xfId="23257"/>
    <cellStyle name="Total 3 11 3 2" xfId="23258"/>
    <cellStyle name="Total 3 11 4" xfId="23259"/>
    <cellStyle name="Total 3 11 5" xfId="23260"/>
    <cellStyle name="Total 3 11 6" xfId="23261"/>
    <cellStyle name="Total 3 12" xfId="23262"/>
    <cellStyle name="Total 3 12 2" xfId="23263"/>
    <cellStyle name="Total 3 12 2 2" xfId="23264"/>
    <cellStyle name="Total 3 12 3" xfId="23265"/>
    <cellStyle name="Total 3 12 4" xfId="23266"/>
    <cellStyle name="Total 3 13" xfId="23267"/>
    <cellStyle name="Total 3 13 2" xfId="23268"/>
    <cellStyle name="Total 3 14" xfId="23269"/>
    <cellStyle name="Total 3 15" xfId="23270"/>
    <cellStyle name="Total 3 2" xfId="23271"/>
    <cellStyle name="Total 3 2 10" xfId="23272"/>
    <cellStyle name="Total 3 2 10 2" xfId="23273"/>
    <cellStyle name="Total 3 2 10 2 2" xfId="23274"/>
    <cellStyle name="Total 3 2 10 2 3" xfId="23275"/>
    <cellStyle name="Total 3 2 10 3" xfId="23276"/>
    <cellStyle name="Total 3 2 10 3 2" xfId="23277"/>
    <cellStyle name="Total 3 2 10 4" xfId="23278"/>
    <cellStyle name="Total 3 2 10 5" xfId="23279"/>
    <cellStyle name="Total 3 2 10 6" xfId="23280"/>
    <cellStyle name="Total 3 2 11" xfId="23281"/>
    <cellStyle name="Total 3 2 11 2" xfId="23282"/>
    <cellStyle name="Total 3 2 11 2 2" xfId="23283"/>
    <cellStyle name="Total 3 2 11 3" xfId="23284"/>
    <cellStyle name="Total 3 2 11 4" xfId="23285"/>
    <cellStyle name="Total 3 2 12" xfId="23286"/>
    <cellStyle name="Total 3 2 12 2" xfId="23287"/>
    <cellStyle name="Total 3 2 13" xfId="23288"/>
    <cellStyle name="Total 3 2 14" xfId="23289"/>
    <cellStyle name="Total 3 2 2" xfId="23290"/>
    <cellStyle name="Total 3 2 2 2" xfId="23291"/>
    <cellStyle name="Total 3 2 2 2 2" xfId="23292"/>
    <cellStyle name="Total 3 2 2 2 3" xfId="23293"/>
    <cellStyle name="Total 3 2 2 3" xfId="23294"/>
    <cellStyle name="Total 3 2 2 3 2" xfId="23295"/>
    <cellStyle name="Total 3 2 2 4" xfId="23296"/>
    <cellStyle name="Total 3 2 2 5" xfId="23297"/>
    <cellStyle name="Total 3 2 2 6" xfId="23298"/>
    <cellStyle name="Total 3 2 3" xfId="23299"/>
    <cellStyle name="Total 3 2 3 2" xfId="23300"/>
    <cellStyle name="Total 3 2 3 2 2" xfId="23301"/>
    <cellStyle name="Total 3 2 3 2 3" xfId="23302"/>
    <cellStyle name="Total 3 2 3 3" xfId="23303"/>
    <cellStyle name="Total 3 2 3 3 2" xfId="23304"/>
    <cellStyle name="Total 3 2 3 4" xfId="23305"/>
    <cellStyle name="Total 3 2 3 5" xfId="23306"/>
    <cellStyle name="Total 3 2 3 6" xfId="23307"/>
    <cellStyle name="Total 3 2 4" xfId="23308"/>
    <cellStyle name="Total 3 2 4 2" xfId="23309"/>
    <cellStyle name="Total 3 2 4 2 2" xfId="23310"/>
    <cellStyle name="Total 3 2 4 2 3" xfId="23311"/>
    <cellStyle name="Total 3 2 4 3" xfId="23312"/>
    <cellStyle name="Total 3 2 4 3 2" xfId="23313"/>
    <cellStyle name="Total 3 2 4 4" xfId="23314"/>
    <cellStyle name="Total 3 2 4 5" xfId="23315"/>
    <cellStyle name="Total 3 2 4 6" xfId="23316"/>
    <cellStyle name="Total 3 2 5" xfId="23317"/>
    <cellStyle name="Total 3 2 5 2" xfId="23318"/>
    <cellStyle name="Total 3 2 5 2 2" xfId="23319"/>
    <cellStyle name="Total 3 2 5 2 3" xfId="23320"/>
    <cellStyle name="Total 3 2 5 3" xfId="23321"/>
    <cellStyle name="Total 3 2 5 3 2" xfId="23322"/>
    <cellStyle name="Total 3 2 5 4" xfId="23323"/>
    <cellStyle name="Total 3 2 5 5" xfId="23324"/>
    <cellStyle name="Total 3 2 5 6" xfId="23325"/>
    <cellStyle name="Total 3 2 6" xfId="23326"/>
    <cellStyle name="Total 3 2 6 2" xfId="23327"/>
    <cellStyle name="Total 3 2 6 2 2" xfId="23328"/>
    <cellStyle name="Total 3 2 6 2 3" xfId="23329"/>
    <cellStyle name="Total 3 2 6 3" xfId="23330"/>
    <cellStyle name="Total 3 2 6 3 2" xfId="23331"/>
    <cellStyle name="Total 3 2 6 4" xfId="23332"/>
    <cellStyle name="Total 3 2 6 5" xfId="23333"/>
    <cellStyle name="Total 3 2 6 6" xfId="23334"/>
    <cellStyle name="Total 3 2 7" xfId="23335"/>
    <cellStyle name="Total 3 2 7 2" xfId="23336"/>
    <cellStyle name="Total 3 2 7 2 2" xfId="23337"/>
    <cellStyle name="Total 3 2 7 2 3" xfId="23338"/>
    <cellStyle name="Total 3 2 7 3" xfId="23339"/>
    <cellStyle name="Total 3 2 7 3 2" xfId="23340"/>
    <cellStyle name="Total 3 2 7 4" xfId="23341"/>
    <cellStyle name="Total 3 2 7 5" xfId="23342"/>
    <cellStyle name="Total 3 2 7 6" xfId="23343"/>
    <cellStyle name="Total 3 2 8" xfId="23344"/>
    <cellStyle name="Total 3 2 8 2" xfId="23345"/>
    <cellStyle name="Total 3 2 8 2 2" xfId="23346"/>
    <cellStyle name="Total 3 2 8 2 3" xfId="23347"/>
    <cellStyle name="Total 3 2 8 3" xfId="23348"/>
    <cellStyle name="Total 3 2 8 3 2" xfId="23349"/>
    <cellStyle name="Total 3 2 8 4" xfId="23350"/>
    <cellStyle name="Total 3 2 8 5" xfId="23351"/>
    <cellStyle name="Total 3 2 8 6" xfId="23352"/>
    <cellStyle name="Total 3 2 9" xfId="23353"/>
    <cellStyle name="Total 3 2 9 2" xfId="23354"/>
    <cellStyle name="Total 3 2 9 2 2" xfId="23355"/>
    <cellStyle name="Total 3 2 9 2 3" xfId="23356"/>
    <cellStyle name="Total 3 2 9 3" xfId="23357"/>
    <cellStyle name="Total 3 2 9 3 2" xfId="23358"/>
    <cellStyle name="Total 3 2 9 4" xfId="23359"/>
    <cellStyle name="Total 3 2 9 5" xfId="23360"/>
    <cellStyle name="Total 3 2 9 6" xfId="23361"/>
    <cellStyle name="Total 3 3" xfId="23362"/>
    <cellStyle name="Total 3 3 2" xfId="23363"/>
    <cellStyle name="Total 3 3 2 2" xfId="23364"/>
    <cellStyle name="Total 3 3 2 3" xfId="23365"/>
    <cellStyle name="Total 3 3 3" xfId="23366"/>
    <cellStyle name="Total 3 3 3 2" xfId="23367"/>
    <cellStyle name="Total 3 3 4" xfId="23368"/>
    <cellStyle name="Total 3 3 5" xfId="23369"/>
    <cellStyle name="Total 3 3 6" xfId="23370"/>
    <cellStyle name="Total 3 4" xfId="23371"/>
    <cellStyle name="Total 3 4 2" xfId="23372"/>
    <cellStyle name="Total 3 4 2 2" xfId="23373"/>
    <cellStyle name="Total 3 4 2 3" xfId="23374"/>
    <cellStyle name="Total 3 4 3" xfId="23375"/>
    <cellStyle name="Total 3 4 3 2" xfId="23376"/>
    <cellStyle name="Total 3 4 4" xfId="23377"/>
    <cellStyle name="Total 3 4 5" xfId="23378"/>
    <cellStyle name="Total 3 4 6" xfId="23379"/>
    <cellStyle name="Total 3 5" xfId="23380"/>
    <cellStyle name="Total 3 5 2" xfId="23381"/>
    <cellStyle name="Total 3 5 2 2" xfId="23382"/>
    <cellStyle name="Total 3 5 2 3" xfId="23383"/>
    <cellStyle name="Total 3 5 3" xfId="23384"/>
    <cellStyle name="Total 3 5 3 2" xfId="23385"/>
    <cellStyle name="Total 3 5 4" xfId="23386"/>
    <cellStyle name="Total 3 5 5" xfId="23387"/>
    <cellStyle name="Total 3 5 6" xfId="23388"/>
    <cellStyle name="Total 3 6" xfId="23389"/>
    <cellStyle name="Total 3 6 2" xfId="23390"/>
    <cellStyle name="Total 3 6 2 2" xfId="23391"/>
    <cellStyle name="Total 3 6 2 3" xfId="23392"/>
    <cellStyle name="Total 3 6 3" xfId="23393"/>
    <cellStyle name="Total 3 6 3 2" xfId="23394"/>
    <cellStyle name="Total 3 6 4" xfId="23395"/>
    <cellStyle name="Total 3 6 5" xfId="23396"/>
    <cellStyle name="Total 3 6 6" xfId="23397"/>
    <cellStyle name="Total 3 7" xfId="23398"/>
    <cellStyle name="Total 3 7 2" xfId="23399"/>
    <cellStyle name="Total 3 7 2 2" xfId="23400"/>
    <cellStyle name="Total 3 7 2 3" xfId="23401"/>
    <cellStyle name="Total 3 7 3" xfId="23402"/>
    <cellStyle name="Total 3 7 3 2" xfId="23403"/>
    <cellStyle name="Total 3 7 4" xfId="23404"/>
    <cellStyle name="Total 3 7 5" xfId="23405"/>
    <cellStyle name="Total 3 7 6" xfId="23406"/>
    <cellStyle name="Total 3 8" xfId="23407"/>
    <cellStyle name="Total 3 8 2" xfId="23408"/>
    <cellStyle name="Total 3 8 2 2" xfId="23409"/>
    <cellStyle name="Total 3 8 2 3" xfId="23410"/>
    <cellStyle name="Total 3 8 3" xfId="23411"/>
    <cellStyle name="Total 3 8 3 2" xfId="23412"/>
    <cellStyle name="Total 3 8 4" xfId="23413"/>
    <cellStyle name="Total 3 8 5" xfId="23414"/>
    <cellStyle name="Total 3 8 6" xfId="23415"/>
    <cellStyle name="Total 3 9" xfId="23416"/>
    <cellStyle name="Total 3 9 2" xfId="23417"/>
    <cellStyle name="Total 3 9 2 2" xfId="23418"/>
    <cellStyle name="Total 3 9 2 3" xfId="23419"/>
    <cellStyle name="Total 3 9 3" xfId="23420"/>
    <cellStyle name="Total 3 9 3 2" xfId="23421"/>
    <cellStyle name="Total 3 9 4" xfId="23422"/>
    <cellStyle name="Total 3 9 5" xfId="23423"/>
    <cellStyle name="Total 3 9 6" xfId="23424"/>
    <cellStyle name="Total 4" xfId="23425"/>
    <cellStyle name="Total 4 10" xfId="23426"/>
    <cellStyle name="Total 4 10 2" xfId="23427"/>
    <cellStyle name="Total 4 10 2 2" xfId="23428"/>
    <cellStyle name="Total 4 10 2 3" xfId="23429"/>
    <cellStyle name="Total 4 10 3" xfId="23430"/>
    <cellStyle name="Total 4 10 3 2" xfId="23431"/>
    <cellStyle name="Total 4 10 4" xfId="23432"/>
    <cellStyle name="Total 4 11" xfId="23433"/>
    <cellStyle name="Total 4 11 2" xfId="23434"/>
    <cellStyle name="Total 4 11 3" xfId="23435"/>
    <cellStyle name="Total 4 12" xfId="23436"/>
    <cellStyle name="Total 4 13" xfId="23437"/>
    <cellStyle name="Total 4 2" xfId="23438"/>
    <cellStyle name="Total 4 2 2" xfId="23439"/>
    <cellStyle name="Total 4 2 2 2" xfId="23440"/>
    <cellStyle name="Total 4 2 2 3" xfId="23441"/>
    <cellStyle name="Total 4 2 3" xfId="23442"/>
    <cellStyle name="Total 4 2 3 2" xfId="23443"/>
    <cellStyle name="Total 4 2 4" xfId="23444"/>
    <cellStyle name="Total 4 3" xfId="23445"/>
    <cellStyle name="Total 4 3 2" xfId="23446"/>
    <cellStyle name="Total 4 3 2 2" xfId="23447"/>
    <cellStyle name="Total 4 3 2 3" xfId="23448"/>
    <cellStyle name="Total 4 3 3" xfId="23449"/>
    <cellStyle name="Total 4 3 3 2" xfId="23450"/>
    <cellStyle name="Total 4 3 4" xfId="23451"/>
    <cellStyle name="Total 4 4" xfId="23452"/>
    <cellStyle name="Total 4 4 2" xfId="23453"/>
    <cellStyle name="Total 4 4 2 2" xfId="23454"/>
    <cellStyle name="Total 4 4 2 3" xfId="23455"/>
    <cellStyle name="Total 4 4 3" xfId="23456"/>
    <cellStyle name="Total 4 4 3 2" xfId="23457"/>
    <cellStyle name="Total 4 4 4" xfId="23458"/>
    <cellStyle name="Total 4 5" xfId="23459"/>
    <cellStyle name="Total 4 5 2" xfId="23460"/>
    <cellStyle name="Total 4 5 2 2" xfId="23461"/>
    <cellStyle name="Total 4 5 2 3" xfId="23462"/>
    <cellStyle name="Total 4 5 3" xfId="23463"/>
    <cellStyle name="Total 4 5 3 2" xfId="23464"/>
    <cellStyle name="Total 4 5 4" xfId="23465"/>
    <cellStyle name="Total 4 6" xfId="23466"/>
    <cellStyle name="Total 4 6 2" xfId="23467"/>
    <cellStyle name="Total 4 6 2 2" xfId="23468"/>
    <cellStyle name="Total 4 6 2 3" xfId="23469"/>
    <cellStyle name="Total 4 6 3" xfId="23470"/>
    <cellStyle name="Total 4 6 3 2" xfId="23471"/>
    <cellStyle name="Total 4 6 4" xfId="23472"/>
    <cellStyle name="Total 4 7" xfId="23473"/>
    <cellStyle name="Total 4 7 2" xfId="23474"/>
    <cellStyle name="Total 4 7 2 2" xfId="23475"/>
    <cellStyle name="Total 4 7 2 3" xfId="23476"/>
    <cellStyle name="Total 4 7 3" xfId="23477"/>
    <cellStyle name="Total 4 7 3 2" xfId="23478"/>
    <cellStyle name="Total 4 7 4" xfId="23479"/>
    <cellStyle name="Total 4 8" xfId="23480"/>
    <cellStyle name="Total 4 8 2" xfId="23481"/>
    <cellStyle name="Total 4 8 2 2" xfId="23482"/>
    <cellStyle name="Total 4 8 2 3" xfId="23483"/>
    <cellStyle name="Total 4 8 3" xfId="23484"/>
    <cellStyle name="Total 4 8 3 2" xfId="23485"/>
    <cellStyle name="Total 4 8 4" xfId="23486"/>
    <cellStyle name="Total 4 9" xfId="23487"/>
    <cellStyle name="Total 4 9 2" xfId="23488"/>
    <cellStyle name="Total 4 9 2 2" xfId="23489"/>
    <cellStyle name="Total 4 9 2 3" xfId="23490"/>
    <cellStyle name="Total 4 9 3" xfId="23491"/>
    <cellStyle name="Total 4 9 3 2" xfId="23492"/>
    <cellStyle name="Total 4 9 4" xfId="23493"/>
    <cellStyle name="Total 5" xfId="23494"/>
    <cellStyle name="Total 5 2" xfId="23495"/>
    <cellStyle name="Total 5 2 2" xfId="23496"/>
    <cellStyle name="Total 5 2 3" xfId="23497"/>
    <cellStyle name="Total 5 3" xfId="23498"/>
    <cellStyle name="Total 5 3 2" xfId="23499"/>
    <cellStyle name="Total 5 4" xfId="23500"/>
    <cellStyle name="Total 6" xfId="23501"/>
    <cellStyle name="Total 6 2" xfId="23502"/>
    <cellStyle name="Total 6 2 2" xfId="23503"/>
    <cellStyle name="Total 6 2 3" xfId="23504"/>
    <cellStyle name="Total 6 3" xfId="23505"/>
    <cellStyle name="Total 6 3 2" xfId="23506"/>
    <cellStyle name="Total 6 4" xfId="23507"/>
    <cellStyle name="Total 7" xfId="23508"/>
    <cellStyle name="Total 7 2" xfId="23509"/>
    <cellStyle name="Total 7 2 2" xfId="23510"/>
    <cellStyle name="Total 7 2 3" xfId="23511"/>
    <cellStyle name="Total 7 3" xfId="23512"/>
    <cellStyle name="Total 7 3 2" xfId="23513"/>
    <cellStyle name="Total 7 4" xfId="23514"/>
    <cellStyle name="Total 8" xfId="23515"/>
    <cellStyle name="Total 8 2" xfId="23516"/>
    <cellStyle name="Total 8 2 2" xfId="23517"/>
    <cellStyle name="Total 8 2 3" xfId="23518"/>
    <cellStyle name="Total 8 3" xfId="23519"/>
    <cellStyle name="Total 8 3 2" xfId="23520"/>
    <cellStyle name="Total 8 4" xfId="23521"/>
    <cellStyle name="Total 9" xfId="23522"/>
    <cellStyle name="Total 9 2" xfId="23523"/>
    <cellStyle name="Total 9 2 2" xfId="23524"/>
    <cellStyle name="Total 9 2 3" xfId="23525"/>
    <cellStyle name="Total 9 3" xfId="23526"/>
    <cellStyle name="Total 9 3 2" xfId="23527"/>
    <cellStyle name="Total 9 4" xfId="23528"/>
    <cellStyle name="Tusental (0)_pldt" xfId="23529"/>
    <cellStyle name="Tusental_pldt" xfId="23530"/>
    <cellStyle name="Unprot" xfId="23531"/>
    <cellStyle name="Unprot$" xfId="23532"/>
    <cellStyle name="Unprotect" xfId="23533"/>
    <cellStyle name="Valuta (0)_pldt" xfId="23534"/>
    <cellStyle name="Valuta_pldt" xfId="23535"/>
    <cellStyle name="wafer" xfId="23536"/>
    <cellStyle name="Warning Text" xfId="23537"/>
    <cellStyle name="Warning Text 2" xfId="23538"/>
    <cellStyle name="Warning Text 2 2" xfId="23539"/>
    <cellStyle name="Warning Text 3" xfId="23540"/>
    <cellStyle name="Warning Text 3 2" xfId="23541"/>
    <cellStyle name="Warning Text 3 2 2" xfId="23542"/>
    <cellStyle name="Warning Text 4" xfId="23543"/>
    <cellStyle name="Warning Text 5" xfId="23544"/>
    <cellStyle name="weekdays" xfId="23545"/>
    <cellStyle name="weekend" xfId="23546"/>
    <cellStyle name="XLS'|_x0005_t" xfId="23547"/>
    <cellStyle name="XLS'|_x0005_t 2" xfId="23548"/>
    <cellStyle name="y`5_622k" xfId="23549"/>
    <cellStyle name="Α?xls 파일을 저장하시겠습니까?_TO_x000c_?" xfId="23550"/>
    <cellStyle name="ハイパーリンク_Book1 グラフ 22" xfId="23551"/>
    <cellStyle name="遽_laroux" xfId="23552"/>
    <cellStyle name="" xfId="23553"/>
    <cellStyle name=" 2" xfId="23554"/>
    <cellStyle name="" xfId="23555"/>
    <cellStyle name="강조색1 10" xfId="23556"/>
    <cellStyle name="강조색1 11" xfId="23557"/>
    <cellStyle name="강조색1 12" xfId="23558"/>
    <cellStyle name="강조색1 13" xfId="23559"/>
    <cellStyle name="강조색1 14" xfId="23560"/>
    <cellStyle name="강조색1 15" xfId="23561"/>
    <cellStyle name="강조색1 2" xfId="23562"/>
    <cellStyle name="강조색1 2 2" xfId="23563"/>
    <cellStyle name="강조색1 2 2 2" xfId="23564"/>
    <cellStyle name="강조색1 2 3" xfId="23565"/>
    <cellStyle name="강조색1 3" xfId="23566"/>
    <cellStyle name="강조색1 3 2" xfId="23567"/>
    <cellStyle name="강조색1 3 3" xfId="23568"/>
    <cellStyle name="강조색1 4" xfId="23569"/>
    <cellStyle name="강조색1 4 2" xfId="23570"/>
    <cellStyle name="강조색1 5" xfId="23571"/>
    <cellStyle name="강조색1 6" xfId="23572"/>
    <cellStyle name="강조색1 7" xfId="23573"/>
    <cellStyle name="강조색1 8" xfId="23574"/>
    <cellStyle name="강조색1 9" xfId="23575"/>
    <cellStyle name="강조색2 10" xfId="23576"/>
    <cellStyle name="강조색2 11" xfId="23577"/>
    <cellStyle name="강조색2 12" xfId="23578"/>
    <cellStyle name="강조색2 13" xfId="23579"/>
    <cellStyle name="강조색2 14" xfId="23580"/>
    <cellStyle name="강조색2 15" xfId="23581"/>
    <cellStyle name="강조색2 2" xfId="23582"/>
    <cellStyle name="강조색2 2 2" xfId="23583"/>
    <cellStyle name="강조색2 2 2 2" xfId="23584"/>
    <cellStyle name="강조색2 2 3" xfId="23585"/>
    <cellStyle name="강조색2 3" xfId="23586"/>
    <cellStyle name="강조색2 3 2" xfId="23587"/>
    <cellStyle name="강조색2 3 3" xfId="23588"/>
    <cellStyle name="강조색2 4" xfId="23589"/>
    <cellStyle name="강조색2 4 2" xfId="23590"/>
    <cellStyle name="강조색2 5" xfId="23591"/>
    <cellStyle name="강조색2 6" xfId="23592"/>
    <cellStyle name="강조색2 7" xfId="23593"/>
    <cellStyle name="강조색2 8" xfId="23594"/>
    <cellStyle name="강조색2 9" xfId="23595"/>
    <cellStyle name="강조색3 10" xfId="23596"/>
    <cellStyle name="강조색3 11" xfId="23597"/>
    <cellStyle name="강조색3 12" xfId="23598"/>
    <cellStyle name="강조색3 13" xfId="23599"/>
    <cellStyle name="강조색3 14" xfId="23600"/>
    <cellStyle name="강조색3 15" xfId="23601"/>
    <cellStyle name="강조색3 2" xfId="23602"/>
    <cellStyle name="강조색3 2 2" xfId="23603"/>
    <cellStyle name="강조색3 2 2 2" xfId="23604"/>
    <cellStyle name="강조색3 2 3" xfId="23605"/>
    <cellStyle name="강조색3 3" xfId="23606"/>
    <cellStyle name="강조색3 3 2" xfId="23607"/>
    <cellStyle name="강조색3 3 3" xfId="23608"/>
    <cellStyle name="강조색3 4" xfId="23609"/>
    <cellStyle name="강조색3 4 2" xfId="23610"/>
    <cellStyle name="강조색3 5" xfId="23611"/>
    <cellStyle name="강조색3 6" xfId="23612"/>
    <cellStyle name="강조색3 7" xfId="23613"/>
    <cellStyle name="강조색3 8" xfId="23614"/>
    <cellStyle name="강조색3 9" xfId="23615"/>
    <cellStyle name="강조색4 10" xfId="23616"/>
    <cellStyle name="강조색4 11" xfId="23617"/>
    <cellStyle name="강조색4 12" xfId="23618"/>
    <cellStyle name="강조색4 13" xfId="23619"/>
    <cellStyle name="강조색4 14" xfId="23620"/>
    <cellStyle name="강조색4 15" xfId="23621"/>
    <cellStyle name="강조색4 2" xfId="23622"/>
    <cellStyle name="강조색4 2 2" xfId="23623"/>
    <cellStyle name="강조색4 2 2 2" xfId="23624"/>
    <cellStyle name="강조색4 2 3" xfId="23625"/>
    <cellStyle name="강조색4 3" xfId="23626"/>
    <cellStyle name="강조색4 3 2" xfId="23627"/>
    <cellStyle name="강조색4 3 3" xfId="23628"/>
    <cellStyle name="강조색4 4" xfId="23629"/>
    <cellStyle name="강조색4 4 2" xfId="23630"/>
    <cellStyle name="강조색4 5" xfId="23631"/>
    <cellStyle name="강조색4 6" xfId="23632"/>
    <cellStyle name="강조색4 7" xfId="23633"/>
    <cellStyle name="강조색4 8" xfId="23634"/>
    <cellStyle name="강조색4 9" xfId="23635"/>
    <cellStyle name="강조색5 10" xfId="23636"/>
    <cellStyle name="강조색5 11" xfId="23637"/>
    <cellStyle name="강조색5 12" xfId="23638"/>
    <cellStyle name="강조색5 13" xfId="23639"/>
    <cellStyle name="강조색5 14" xfId="23640"/>
    <cellStyle name="강조색5 15" xfId="23641"/>
    <cellStyle name="강조색5 2" xfId="23642"/>
    <cellStyle name="강조색5 2 2" xfId="23643"/>
    <cellStyle name="강조색5 2 2 2" xfId="23644"/>
    <cellStyle name="강조색5 2 3" xfId="23645"/>
    <cellStyle name="강조색5 3" xfId="23646"/>
    <cellStyle name="강조색5 3 2" xfId="23647"/>
    <cellStyle name="강조색5 4" xfId="23648"/>
    <cellStyle name="강조색5 4 2" xfId="23649"/>
    <cellStyle name="강조색5 5" xfId="23650"/>
    <cellStyle name="강조색5 6" xfId="23651"/>
    <cellStyle name="강조색5 7" xfId="23652"/>
    <cellStyle name="강조색5 8" xfId="23653"/>
    <cellStyle name="강조색5 9" xfId="23654"/>
    <cellStyle name="강조색6 10" xfId="23655"/>
    <cellStyle name="강조색6 11" xfId="23656"/>
    <cellStyle name="강조색6 12" xfId="23657"/>
    <cellStyle name="강조색6 13" xfId="23658"/>
    <cellStyle name="강조색6 14" xfId="23659"/>
    <cellStyle name="강조색6 15" xfId="23660"/>
    <cellStyle name="강조색6 2" xfId="23661"/>
    <cellStyle name="강조색6 2 2" xfId="23662"/>
    <cellStyle name="강조색6 2 2 2" xfId="23663"/>
    <cellStyle name="강조색6 2 3" xfId="23664"/>
    <cellStyle name="강조색6 3" xfId="23665"/>
    <cellStyle name="강조색6 3 2" xfId="23666"/>
    <cellStyle name="강조색6 3 3" xfId="23667"/>
    <cellStyle name="강조색6 4" xfId="23668"/>
    <cellStyle name="강조색6 4 2" xfId="23669"/>
    <cellStyle name="강조색6 5" xfId="23670"/>
    <cellStyle name="강조색6 6" xfId="23671"/>
    <cellStyle name="강조색6 7" xfId="23672"/>
    <cellStyle name="강조색6 8" xfId="23673"/>
    <cellStyle name="강조색6 9" xfId="23674"/>
    <cellStyle name="경고문 10" xfId="23675"/>
    <cellStyle name="경고문 11" xfId="23676"/>
    <cellStyle name="경고문 12" xfId="23677"/>
    <cellStyle name="경고문 13" xfId="23678"/>
    <cellStyle name="경고문 14" xfId="23679"/>
    <cellStyle name="경고문 15" xfId="23680"/>
    <cellStyle name="경고문 2" xfId="23681"/>
    <cellStyle name="경고문 2 2" xfId="23682"/>
    <cellStyle name="경고문 2 2 2" xfId="23683"/>
    <cellStyle name="경고문 2 3" xfId="23684"/>
    <cellStyle name="경고문 3" xfId="23685"/>
    <cellStyle name="경고문 3 2" xfId="23686"/>
    <cellStyle name="경고문 4" xfId="23687"/>
    <cellStyle name="경고문 4 2" xfId="23688"/>
    <cellStyle name="경고문 5" xfId="23689"/>
    <cellStyle name="경고문 6" xfId="23690"/>
    <cellStyle name="경고문 7" xfId="23691"/>
    <cellStyle name="경고문 8" xfId="23692"/>
    <cellStyle name="경고문 9" xfId="23693"/>
    <cellStyle name="계산 10" xfId="23694"/>
    <cellStyle name="계산 11" xfId="23695"/>
    <cellStyle name="계산 12" xfId="23696"/>
    <cellStyle name="계산 13" xfId="23697"/>
    <cellStyle name="계산 14" xfId="23698"/>
    <cellStyle name="계산 15" xfId="23699"/>
    <cellStyle name="계산 2" xfId="23700"/>
    <cellStyle name="계산 2 2" xfId="23701"/>
    <cellStyle name="계산 2 2 10" xfId="23702"/>
    <cellStyle name="계산 2 2 10 2" xfId="23703"/>
    <cellStyle name="계산 2 2 10 3" xfId="23704"/>
    <cellStyle name="계산 2 2 11" xfId="23705"/>
    <cellStyle name="계산 2 2 11 2" xfId="23706"/>
    <cellStyle name="계산 2 2 11 3" xfId="23707"/>
    <cellStyle name="계산 2 2 12" xfId="23708"/>
    <cellStyle name="계산 2 2 13" xfId="23709"/>
    <cellStyle name="계산 2 2 14" xfId="23710"/>
    <cellStyle name="계산 2 2 2" xfId="23711"/>
    <cellStyle name="계산 2 2 2 2" xfId="23712"/>
    <cellStyle name="계산 2 2 3" xfId="23713"/>
    <cellStyle name="계산 2 2 3 2" xfId="23714"/>
    <cellStyle name="계산 2 2 4" xfId="23715"/>
    <cellStyle name="계산 2 2 4 2" xfId="23716"/>
    <cellStyle name="계산 2 2 5" xfId="23717"/>
    <cellStyle name="계산 2 2 5 2" xfId="23718"/>
    <cellStyle name="계산 2 2 6" xfId="23719"/>
    <cellStyle name="계산 2 2 6 2" xfId="23720"/>
    <cellStyle name="계산 2 2 7" xfId="23721"/>
    <cellStyle name="계산 2 2 7 2" xfId="23722"/>
    <cellStyle name="계산 2 2 8" xfId="23723"/>
    <cellStyle name="계산 2 2 8 2" xfId="23724"/>
    <cellStyle name="계산 2 2 8 3" xfId="23725"/>
    <cellStyle name="계산 2 2 9" xfId="23726"/>
    <cellStyle name="계산 2 2 9 2" xfId="23727"/>
    <cellStyle name="계산 2 2 9 3" xfId="23728"/>
    <cellStyle name="계산 2 3" xfId="23729"/>
    <cellStyle name="계산 2 4" xfId="23730"/>
    <cellStyle name="계산 3" xfId="23731"/>
    <cellStyle name="계산 3 2" xfId="23732"/>
    <cellStyle name="계산 3 2 10" xfId="23733"/>
    <cellStyle name="계산 3 2 10 2" xfId="23734"/>
    <cellStyle name="계산 3 2 10 3" xfId="23735"/>
    <cellStyle name="계산 3 2 11" xfId="23736"/>
    <cellStyle name="계산 3 2 11 2" xfId="23737"/>
    <cellStyle name="계산 3 2 11 3" xfId="23738"/>
    <cellStyle name="계산 3 2 12" xfId="23739"/>
    <cellStyle name="계산 3 2 13" xfId="23740"/>
    <cellStyle name="계산 3 2 2" xfId="23741"/>
    <cellStyle name="계산 3 2 2 2" xfId="23742"/>
    <cellStyle name="계산 3 2 3" xfId="23743"/>
    <cellStyle name="계산 3 2 3 2" xfId="23744"/>
    <cellStyle name="계산 3 2 4" xfId="23745"/>
    <cellStyle name="계산 3 2 4 2" xfId="23746"/>
    <cellStyle name="계산 3 2 5" xfId="23747"/>
    <cellStyle name="계산 3 2 5 2" xfId="23748"/>
    <cellStyle name="계산 3 2 6" xfId="23749"/>
    <cellStyle name="계산 3 2 6 2" xfId="23750"/>
    <cellStyle name="계산 3 2 7" xfId="23751"/>
    <cellStyle name="계산 3 2 7 2" xfId="23752"/>
    <cellStyle name="계산 3 2 8" xfId="23753"/>
    <cellStyle name="계산 3 2 8 2" xfId="23754"/>
    <cellStyle name="계산 3 2 8 3" xfId="23755"/>
    <cellStyle name="계산 3 2 9" xfId="23756"/>
    <cellStyle name="계산 3 2 9 2" xfId="23757"/>
    <cellStyle name="계산 3 2 9 3" xfId="23758"/>
    <cellStyle name="계산 3 3" xfId="23759"/>
    <cellStyle name="계산 4" xfId="23760"/>
    <cellStyle name="계산 4 2" xfId="23761"/>
    <cellStyle name="계산 5" xfId="23762"/>
    <cellStyle name="계산 6" xfId="23763"/>
    <cellStyle name="계산 7" xfId="23764"/>
    <cellStyle name="계산 8" xfId="23765"/>
    <cellStyle name="계산 9" xfId="23766"/>
    <cellStyle name="고딕" xfId="23767"/>
    <cellStyle name="고정소숫점" xfId="23768"/>
    <cellStyle name="고정소숫점 2" xfId="23769"/>
    <cellStyle name="고정소숫점 2 2" xfId="23770"/>
    <cellStyle name="고정소숫점 3" xfId="23771"/>
    <cellStyle name="고정출력1" xfId="23772"/>
    <cellStyle name="고정출력1 2" xfId="23773"/>
    <cellStyle name="고정출력1 2 2" xfId="23774"/>
    <cellStyle name="고정출력1 3" xfId="23775"/>
    <cellStyle name="고정출력2" xfId="23776"/>
    <cellStyle name="고정출력2 2" xfId="23777"/>
    <cellStyle name="고정출력2 2 2" xfId="23778"/>
    <cellStyle name="고정출력2 3" xfId="23779"/>
    <cellStyle name="咬訌裝?INCOM1" xfId="23780"/>
    <cellStyle name="咬訌裝?INCOM10" xfId="23781"/>
    <cellStyle name="咬訌裝?INCOM2" xfId="23782"/>
    <cellStyle name="咬訌裝?INCOM3" xfId="23783"/>
    <cellStyle name="咬訌裝?INCOM4" xfId="23784"/>
    <cellStyle name="咬訌裝?INCOM5" xfId="23785"/>
    <cellStyle name="咬訌裝?INCOM6" xfId="23786"/>
    <cellStyle name="咬訌裝?INCOM7" xfId="23787"/>
    <cellStyle name="咬訌裝?INCOM8" xfId="23788"/>
    <cellStyle name="咬訌裝?INCOM9" xfId="23789"/>
    <cellStyle name="咬訌裝?PRIB11" xfId="23790"/>
    <cellStyle name="궩" xfId="23791"/>
    <cellStyle name="归盒啦_老老前龙泅炔 " xfId="23792"/>
    <cellStyle name="껵_x0003_" xfId="23793"/>
    <cellStyle name="나쁨 10" xfId="23794"/>
    <cellStyle name="나쁨 11" xfId="23795"/>
    <cellStyle name="나쁨 12" xfId="23796"/>
    <cellStyle name="나쁨 13" xfId="23797"/>
    <cellStyle name="나쁨 14" xfId="23798"/>
    <cellStyle name="나쁨 15" xfId="23799"/>
    <cellStyle name="나쁨 2" xfId="23800"/>
    <cellStyle name="나쁨 2 2" xfId="23801"/>
    <cellStyle name="나쁨 2 2 2" xfId="23802"/>
    <cellStyle name="나쁨 2 3" xfId="23803"/>
    <cellStyle name="나쁨 3" xfId="23804"/>
    <cellStyle name="나쁨 3 2" xfId="23805"/>
    <cellStyle name="나쁨 3 3" xfId="23806"/>
    <cellStyle name="나쁨 4" xfId="23807"/>
    <cellStyle name="나쁨 4 2" xfId="23808"/>
    <cellStyle name="나쁨 5" xfId="23809"/>
    <cellStyle name="나쁨 6" xfId="23810"/>
    <cellStyle name="나쁨 7" xfId="23811"/>
    <cellStyle name="나쁨 8" xfId="23812"/>
    <cellStyle name="나쁨 9" xfId="23813"/>
    <cellStyle name="날짜" xfId="23814"/>
    <cellStyle name="날짜 2" xfId="23815"/>
    <cellStyle name="날짜 2 2" xfId="23816"/>
    <cellStyle name="날짜 3" xfId="23817"/>
    <cellStyle name="單" xfId="23818"/>
    <cellStyle name="單 2" xfId="23819"/>
    <cellStyle name="달러" xfId="23820"/>
    <cellStyle name="달러 2" xfId="23821"/>
    <cellStyle name="달러 2 2" xfId="23822"/>
    <cellStyle name="달러 3" xfId="23823"/>
    <cellStyle name="뒤에 오는 하이퍼링크" xfId="23824"/>
    <cellStyle name="뒤에 오는 하이퍼링크 2" xfId="23825"/>
    <cellStyle name="뒤에 오는 하이퍼링크 2 2" xfId="23826"/>
    <cellStyle name="뒤에 오는 하이퍼링크 3" xfId="23827"/>
    <cellStyle name="뒤에 오는 하이퍼링크 4" xfId="23828"/>
    <cellStyle name="똿떓죶Ø괻 [0.00]_PRODUCT DETAIL Q1" xfId="23829"/>
    <cellStyle name="똿떓죶Ø괻_PRODUCT DETAIL Q1" xfId="23830"/>
    <cellStyle name="똿뗦먛귟 [0.00]_NT Server " xfId="23831"/>
    <cellStyle name="똿뗦먛귟_NT Server " xfId="23832"/>
    <cellStyle name="메모 10" xfId="23833"/>
    <cellStyle name="메모 10 2" xfId="23834"/>
    <cellStyle name="메모 10 3" xfId="23835"/>
    <cellStyle name="메모 11" xfId="23836"/>
    <cellStyle name="메모 11 2" xfId="23837"/>
    <cellStyle name="메모 11 3" xfId="23838"/>
    <cellStyle name="메모 12" xfId="23839"/>
    <cellStyle name="메모 12 2" xfId="23840"/>
    <cellStyle name="메모 12 3" xfId="23841"/>
    <cellStyle name="메모 13" xfId="23842"/>
    <cellStyle name="메모 13 2" xfId="23843"/>
    <cellStyle name="메모 13 3" xfId="23844"/>
    <cellStyle name="메모 14" xfId="23845"/>
    <cellStyle name="메모 14 2" xfId="23846"/>
    <cellStyle name="메모 14 3" xfId="23847"/>
    <cellStyle name="메모 15" xfId="23848"/>
    <cellStyle name="메모 15 2" xfId="23849"/>
    <cellStyle name="메모 15 3" xfId="23850"/>
    <cellStyle name="메모 16" xfId="23851"/>
    <cellStyle name="메모 16 2" xfId="23852"/>
    <cellStyle name="메모 17" xfId="23853"/>
    <cellStyle name="메모 17 2" xfId="23854"/>
    <cellStyle name="메모 18" xfId="23855"/>
    <cellStyle name="메모 18 2" xfId="23856"/>
    <cellStyle name="메모 19" xfId="23857"/>
    <cellStyle name="메모 19 2" xfId="23858"/>
    <cellStyle name="메모 2" xfId="23859"/>
    <cellStyle name="메모 2 10" xfId="23860"/>
    <cellStyle name="메모 2 11" xfId="23861"/>
    <cellStyle name="메모 2 12" xfId="23862"/>
    <cellStyle name="메모 2 13" xfId="23863"/>
    <cellStyle name="메모 2 14" xfId="23864"/>
    <cellStyle name="메모 2 15" xfId="23865"/>
    <cellStyle name="메모 2 16" xfId="23866"/>
    <cellStyle name="메모 2 16 2" xfId="23867"/>
    <cellStyle name="메모 2 16 3" xfId="23868"/>
    <cellStyle name="메모 2 17" xfId="23869"/>
    <cellStyle name="메모 2 18" xfId="23870"/>
    <cellStyle name="메모 2 19" xfId="23871"/>
    <cellStyle name="메모 2 2" xfId="23872"/>
    <cellStyle name="메모 2 2 10" xfId="23873"/>
    <cellStyle name="메모 2 2 10 2" xfId="23874"/>
    <cellStyle name="메모 2 2 10 3" xfId="23875"/>
    <cellStyle name="메모 2 2 11" xfId="23876"/>
    <cellStyle name="메모 2 2 11 2" xfId="23877"/>
    <cellStyle name="메모 2 2 11 3" xfId="23878"/>
    <cellStyle name="메모 2 2 12" xfId="23879"/>
    <cellStyle name="메모 2 2 13" xfId="23880"/>
    <cellStyle name="메모 2 2 14" xfId="23881"/>
    <cellStyle name="메모 2 2 15" xfId="23882"/>
    <cellStyle name="메모 2 2 2" xfId="23883"/>
    <cellStyle name="메모 2 2 2 2" xfId="23884"/>
    <cellStyle name="메모 2 2 2 2 2" xfId="23885"/>
    <cellStyle name="메모 2 2 2 2 3" xfId="23886"/>
    <cellStyle name="메모 2 2 2 3" xfId="23887"/>
    <cellStyle name="메모 2 2 2 4" xfId="23888"/>
    <cellStyle name="메모 2 2 2 5" xfId="23889"/>
    <cellStyle name="메모 2 2 3" xfId="23890"/>
    <cellStyle name="메모 2 2 3 2" xfId="23891"/>
    <cellStyle name="메모 2 2 3 3" xfId="23892"/>
    <cellStyle name="메모 2 2 4" xfId="23893"/>
    <cellStyle name="메모 2 2 4 2" xfId="23894"/>
    <cellStyle name="메모 2 2 5" xfId="23895"/>
    <cellStyle name="메모 2 2 5 2" xfId="23896"/>
    <cellStyle name="메모 2 2 6" xfId="23897"/>
    <cellStyle name="메모 2 2 6 2" xfId="23898"/>
    <cellStyle name="메모 2 2 7" xfId="23899"/>
    <cellStyle name="메모 2 2 7 2" xfId="23900"/>
    <cellStyle name="메모 2 2 8" xfId="23901"/>
    <cellStyle name="메모 2 2 8 2" xfId="23902"/>
    <cellStyle name="메모 2 2 8 3" xfId="23903"/>
    <cellStyle name="메모 2 2 9" xfId="23904"/>
    <cellStyle name="메모 2 2 9 2" xfId="23905"/>
    <cellStyle name="메모 2 2 9 3" xfId="23906"/>
    <cellStyle name="메모 2 3" xfId="23907"/>
    <cellStyle name="메모 2 3 2" xfId="23908"/>
    <cellStyle name="메모 2 3 2 2" xfId="23909"/>
    <cellStyle name="메모 2 3 2 2 2" xfId="23910"/>
    <cellStyle name="메모 2 3 2 2 3" xfId="23911"/>
    <cellStyle name="메모 2 3 2 3" xfId="23912"/>
    <cellStyle name="메모 2 3 2 4" xfId="23913"/>
    <cellStyle name="메모 2 3 2 5" xfId="23914"/>
    <cellStyle name="메모 2 3 3" xfId="23915"/>
    <cellStyle name="메모 2 4" xfId="23916"/>
    <cellStyle name="메모 2 4 2" xfId="23917"/>
    <cellStyle name="메모 2 4 2 2" xfId="23918"/>
    <cellStyle name="메모 2 4 2 2 2" xfId="23919"/>
    <cellStyle name="메모 2 4 2 2 3" xfId="23920"/>
    <cellStyle name="메모 2 4 2 3" xfId="23921"/>
    <cellStyle name="메모 2 4 2 4" xfId="23922"/>
    <cellStyle name="메모 2 4 2 5" xfId="23923"/>
    <cellStyle name="메모 2 4 3" xfId="23924"/>
    <cellStyle name="메모 2 5" xfId="23925"/>
    <cellStyle name="메모 2 6" xfId="23926"/>
    <cellStyle name="메모 2 7" xfId="23927"/>
    <cellStyle name="메모 2 8" xfId="23928"/>
    <cellStyle name="메모 2 9" xfId="23929"/>
    <cellStyle name="메모 20" xfId="23930"/>
    <cellStyle name="메모 20 2" xfId="23931"/>
    <cellStyle name="메모 21" xfId="23932"/>
    <cellStyle name="메모 21 2" xfId="23933"/>
    <cellStyle name="메모 22" xfId="23934"/>
    <cellStyle name="메모 22 2" xfId="23935"/>
    <cellStyle name="메모 23" xfId="23936"/>
    <cellStyle name="메모 23 2" xfId="23937"/>
    <cellStyle name="메모 24" xfId="23938"/>
    <cellStyle name="메모 24 2" xfId="23939"/>
    <cellStyle name="메모 25" xfId="23940"/>
    <cellStyle name="메모 25 2" xfId="23941"/>
    <cellStyle name="메모 26" xfId="23942"/>
    <cellStyle name="메모 26 2" xfId="23943"/>
    <cellStyle name="메모 27" xfId="23944"/>
    <cellStyle name="메모 28" xfId="23945"/>
    <cellStyle name="메모 29" xfId="23946"/>
    <cellStyle name="메모 3" xfId="23947"/>
    <cellStyle name="메모 3 10" xfId="23948"/>
    <cellStyle name="메모 3 10 2" xfId="23949"/>
    <cellStyle name="메모 3 10 2 2" xfId="23950"/>
    <cellStyle name="메모 3 10 2 2 2" xfId="23951"/>
    <cellStyle name="메모 3 10 2 2 3" xfId="23952"/>
    <cellStyle name="메모 3 10 2 3" xfId="23953"/>
    <cellStyle name="메모 3 10 2 4" xfId="23954"/>
    <cellStyle name="메모 3 10 3" xfId="23955"/>
    <cellStyle name="메모 3 10 3 2" xfId="23956"/>
    <cellStyle name="메모 3 10 3 3" xfId="23957"/>
    <cellStyle name="메모 3 10 4" xfId="23958"/>
    <cellStyle name="메모 3 10 5" xfId="23959"/>
    <cellStyle name="메모 3 11" xfId="23960"/>
    <cellStyle name="메모 3 11 2" xfId="23961"/>
    <cellStyle name="메모 3 11 2 2" xfId="23962"/>
    <cellStyle name="메모 3 11 2 3" xfId="23963"/>
    <cellStyle name="메모 3 11 3" xfId="23964"/>
    <cellStyle name="메모 3 11 4" xfId="23965"/>
    <cellStyle name="메모 3 12" xfId="23966"/>
    <cellStyle name="메모 3 12 2" xfId="23967"/>
    <cellStyle name="메모 3 12 3" xfId="23968"/>
    <cellStyle name="메모 3 13" xfId="23969"/>
    <cellStyle name="메모 3 14" xfId="23970"/>
    <cellStyle name="메모 3 15" xfId="23971"/>
    <cellStyle name="메모 3 16" xfId="23972"/>
    <cellStyle name="메모 3 2" xfId="23973"/>
    <cellStyle name="메모 3 2 10" xfId="23974"/>
    <cellStyle name="메모 3 2 10 2" xfId="23975"/>
    <cellStyle name="메모 3 2 10 2 2" xfId="23976"/>
    <cellStyle name="메모 3 2 10 2 3" xfId="23977"/>
    <cellStyle name="메모 3 2 10 3" xfId="23978"/>
    <cellStyle name="메모 3 2 10 4" xfId="23979"/>
    <cellStyle name="메모 3 2 11" xfId="23980"/>
    <cellStyle name="메모 3 2 11 2" xfId="23981"/>
    <cellStyle name="메모 3 2 11 3" xfId="23982"/>
    <cellStyle name="메모 3 2 12" xfId="23983"/>
    <cellStyle name="메모 3 2 13" xfId="23984"/>
    <cellStyle name="메모 3 2 14" xfId="23985"/>
    <cellStyle name="메모 3 2 15" xfId="23986"/>
    <cellStyle name="메모 3 2 2" xfId="23987"/>
    <cellStyle name="메모 3 2 2 10" xfId="23988"/>
    <cellStyle name="메모 3 2 2 11" xfId="23989"/>
    <cellStyle name="메모 3 2 2 12" xfId="23990"/>
    <cellStyle name="메모 3 2 2 2" xfId="23991"/>
    <cellStyle name="메모 3 2 2 2 2" xfId="23992"/>
    <cellStyle name="메모 3 2 2 2 2 2" xfId="23993"/>
    <cellStyle name="메모 3 2 2 2 2 2 2" xfId="23994"/>
    <cellStyle name="메모 3 2 2 2 2 2 2 2" xfId="23995"/>
    <cellStyle name="메모 3 2 2 2 2 2 2 3" xfId="23996"/>
    <cellStyle name="메모 3 2 2 2 2 2 3" xfId="23997"/>
    <cellStyle name="메모 3 2 2 2 2 2 4" xfId="23998"/>
    <cellStyle name="메모 3 2 2 2 2 3" xfId="23999"/>
    <cellStyle name="메모 3 2 2 2 2 3 2" xfId="24000"/>
    <cellStyle name="메모 3 2 2 2 2 3 3" xfId="24001"/>
    <cellStyle name="메모 3 2 2 2 2 4" xfId="24002"/>
    <cellStyle name="메모 3 2 2 2 2 5" xfId="24003"/>
    <cellStyle name="메모 3 2 2 2 3" xfId="24004"/>
    <cellStyle name="메모 3 2 2 2 3 2" xfId="24005"/>
    <cellStyle name="메모 3 2 2 2 3 2 2" xfId="24006"/>
    <cellStyle name="메모 3 2 2 2 3 2 2 2" xfId="24007"/>
    <cellStyle name="메모 3 2 2 2 3 2 2 3" xfId="24008"/>
    <cellStyle name="메모 3 2 2 2 3 2 3" xfId="24009"/>
    <cellStyle name="메모 3 2 2 2 3 2 4" xfId="24010"/>
    <cellStyle name="메모 3 2 2 2 3 3" xfId="24011"/>
    <cellStyle name="메모 3 2 2 2 3 3 2" xfId="24012"/>
    <cellStyle name="메모 3 2 2 2 3 3 3" xfId="24013"/>
    <cellStyle name="메모 3 2 2 2 3 4" xfId="24014"/>
    <cellStyle name="메모 3 2 2 2 3 5" xfId="24015"/>
    <cellStyle name="메모 3 2 2 2 4" xfId="24016"/>
    <cellStyle name="메모 3 2 2 2 4 2" xfId="24017"/>
    <cellStyle name="메모 3 2 2 2 4 2 2" xfId="24018"/>
    <cellStyle name="메모 3 2 2 2 4 2 3" xfId="24019"/>
    <cellStyle name="메모 3 2 2 2 4 3" xfId="24020"/>
    <cellStyle name="메모 3 2 2 2 4 4" xfId="24021"/>
    <cellStyle name="메모 3 2 2 2 5" xfId="24022"/>
    <cellStyle name="메모 3 2 2 2 5 2" xfId="24023"/>
    <cellStyle name="메모 3 2 2 2 5 3" xfId="24024"/>
    <cellStyle name="메모 3 2 2 2 6" xfId="24025"/>
    <cellStyle name="메모 3 2 2 2 7" xfId="24026"/>
    <cellStyle name="메모 3 2 2 3" xfId="24027"/>
    <cellStyle name="메모 3 2 2 3 2" xfId="24028"/>
    <cellStyle name="메모 3 2 2 3 2 2" xfId="24029"/>
    <cellStyle name="메모 3 2 2 3 2 2 2" xfId="24030"/>
    <cellStyle name="메모 3 2 2 3 2 2 2 2" xfId="24031"/>
    <cellStyle name="메모 3 2 2 3 2 2 2 3" xfId="24032"/>
    <cellStyle name="메모 3 2 2 3 2 2 3" xfId="24033"/>
    <cellStyle name="메모 3 2 2 3 2 2 4" xfId="24034"/>
    <cellStyle name="메모 3 2 2 3 2 3" xfId="24035"/>
    <cellStyle name="메모 3 2 2 3 2 3 2" xfId="24036"/>
    <cellStyle name="메모 3 2 2 3 2 3 3" xfId="24037"/>
    <cellStyle name="메모 3 2 2 3 2 4" xfId="24038"/>
    <cellStyle name="메모 3 2 2 3 2 5" xfId="24039"/>
    <cellStyle name="메모 3 2 2 3 3" xfId="24040"/>
    <cellStyle name="메모 3 2 2 3 3 2" xfId="24041"/>
    <cellStyle name="메모 3 2 2 3 3 2 2" xfId="24042"/>
    <cellStyle name="메모 3 2 2 3 3 2 2 2" xfId="24043"/>
    <cellStyle name="메모 3 2 2 3 3 2 2 3" xfId="24044"/>
    <cellStyle name="메모 3 2 2 3 3 2 3" xfId="24045"/>
    <cellStyle name="메모 3 2 2 3 3 2 4" xfId="24046"/>
    <cellStyle name="메모 3 2 2 3 3 3" xfId="24047"/>
    <cellStyle name="메모 3 2 2 3 3 3 2" xfId="24048"/>
    <cellStyle name="메모 3 2 2 3 3 3 3" xfId="24049"/>
    <cellStyle name="메모 3 2 2 3 3 4" xfId="24050"/>
    <cellStyle name="메모 3 2 2 3 3 5" xfId="24051"/>
    <cellStyle name="메모 3 2 2 3 4" xfId="24052"/>
    <cellStyle name="메모 3 2 2 3 4 2" xfId="24053"/>
    <cellStyle name="메모 3 2 2 3 4 2 2" xfId="24054"/>
    <cellStyle name="메모 3 2 2 3 4 2 3" xfId="24055"/>
    <cellStyle name="메모 3 2 2 3 4 3" xfId="24056"/>
    <cellStyle name="메모 3 2 2 3 4 4" xfId="24057"/>
    <cellStyle name="메모 3 2 2 3 5" xfId="24058"/>
    <cellStyle name="메모 3 2 2 3 5 2" xfId="24059"/>
    <cellStyle name="메모 3 2 2 3 5 3" xfId="24060"/>
    <cellStyle name="메모 3 2 2 3 6" xfId="24061"/>
    <cellStyle name="메모 3 2 2 3 7" xfId="24062"/>
    <cellStyle name="메모 3 2 2 4" xfId="24063"/>
    <cellStyle name="메모 3 2 2 4 2" xfId="24064"/>
    <cellStyle name="메모 3 2 2 4 2 2" xfId="24065"/>
    <cellStyle name="메모 3 2 2 4 2 2 2" xfId="24066"/>
    <cellStyle name="메모 3 2 2 4 2 2 3" xfId="24067"/>
    <cellStyle name="메모 3 2 2 4 2 3" xfId="24068"/>
    <cellStyle name="메모 3 2 2 4 2 4" xfId="24069"/>
    <cellStyle name="메모 3 2 2 4 3" xfId="24070"/>
    <cellStyle name="메모 3 2 2 4 3 2" xfId="24071"/>
    <cellStyle name="메모 3 2 2 4 3 3" xfId="24072"/>
    <cellStyle name="메모 3 2 2 4 4" xfId="24073"/>
    <cellStyle name="메모 3 2 2 4 5" xfId="24074"/>
    <cellStyle name="메모 3 2 2 5" xfId="24075"/>
    <cellStyle name="메모 3 2 2 5 2" xfId="24076"/>
    <cellStyle name="메모 3 2 2 5 2 2" xfId="24077"/>
    <cellStyle name="메모 3 2 2 5 2 2 2" xfId="24078"/>
    <cellStyle name="메모 3 2 2 5 2 2 3" xfId="24079"/>
    <cellStyle name="메모 3 2 2 5 2 3" xfId="24080"/>
    <cellStyle name="메모 3 2 2 5 2 4" xfId="24081"/>
    <cellStyle name="메모 3 2 2 5 3" xfId="24082"/>
    <cellStyle name="메모 3 2 2 5 3 2" xfId="24083"/>
    <cellStyle name="메모 3 2 2 5 3 3" xfId="24084"/>
    <cellStyle name="메모 3 2 2 5 4" xfId="24085"/>
    <cellStyle name="메모 3 2 2 5 5" xfId="24086"/>
    <cellStyle name="메모 3 2 2 6" xfId="24087"/>
    <cellStyle name="메모 3 2 2 6 2" xfId="24088"/>
    <cellStyle name="메모 3 2 2 6 2 2" xfId="24089"/>
    <cellStyle name="메모 3 2 2 6 2 2 2" xfId="24090"/>
    <cellStyle name="메모 3 2 2 6 2 2 3" xfId="24091"/>
    <cellStyle name="메모 3 2 2 6 2 3" xfId="24092"/>
    <cellStyle name="메모 3 2 2 6 2 4" xfId="24093"/>
    <cellStyle name="메모 3 2 2 6 3" xfId="24094"/>
    <cellStyle name="메모 3 2 2 6 3 2" xfId="24095"/>
    <cellStyle name="메모 3 2 2 6 3 3" xfId="24096"/>
    <cellStyle name="메모 3 2 2 6 4" xfId="24097"/>
    <cellStyle name="메모 3 2 2 6 5" xfId="24098"/>
    <cellStyle name="메모 3 2 2 7" xfId="24099"/>
    <cellStyle name="메모 3 2 2 7 2" xfId="24100"/>
    <cellStyle name="메모 3 2 2 7 2 2" xfId="24101"/>
    <cellStyle name="메모 3 2 2 7 2 3" xfId="24102"/>
    <cellStyle name="메모 3 2 2 7 3" xfId="24103"/>
    <cellStyle name="메모 3 2 2 7 4" xfId="24104"/>
    <cellStyle name="메모 3 2 2 8" xfId="24105"/>
    <cellStyle name="메모 3 2 2 8 2" xfId="24106"/>
    <cellStyle name="메모 3 2 2 8 3" xfId="24107"/>
    <cellStyle name="메모 3 2 2 9" xfId="24108"/>
    <cellStyle name="메모 3 2 3" xfId="24109"/>
    <cellStyle name="메모 3 2 3 10" xfId="24110"/>
    <cellStyle name="메모 3 2 3 2" xfId="24111"/>
    <cellStyle name="메모 3 2 3 2 2" xfId="24112"/>
    <cellStyle name="메모 3 2 3 2 2 2" xfId="24113"/>
    <cellStyle name="메모 3 2 3 2 2 2 2" xfId="24114"/>
    <cellStyle name="메모 3 2 3 2 2 2 2 2" xfId="24115"/>
    <cellStyle name="메모 3 2 3 2 2 2 2 3" xfId="24116"/>
    <cellStyle name="메모 3 2 3 2 2 2 3" xfId="24117"/>
    <cellStyle name="메모 3 2 3 2 2 2 4" xfId="24118"/>
    <cellStyle name="메모 3 2 3 2 2 3" xfId="24119"/>
    <cellStyle name="메모 3 2 3 2 2 3 2" xfId="24120"/>
    <cellStyle name="메모 3 2 3 2 2 3 3" xfId="24121"/>
    <cellStyle name="메모 3 2 3 2 2 4" xfId="24122"/>
    <cellStyle name="메모 3 2 3 2 2 5" xfId="24123"/>
    <cellStyle name="메모 3 2 3 2 3" xfId="24124"/>
    <cellStyle name="메모 3 2 3 2 3 2" xfId="24125"/>
    <cellStyle name="메모 3 2 3 2 3 2 2" xfId="24126"/>
    <cellStyle name="메모 3 2 3 2 3 2 2 2" xfId="24127"/>
    <cellStyle name="메모 3 2 3 2 3 2 2 3" xfId="24128"/>
    <cellStyle name="메모 3 2 3 2 3 2 3" xfId="24129"/>
    <cellStyle name="메모 3 2 3 2 3 2 4" xfId="24130"/>
    <cellStyle name="메모 3 2 3 2 3 3" xfId="24131"/>
    <cellStyle name="메모 3 2 3 2 3 3 2" xfId="24132"/>
    <cellStyle name="메모 3 2 3 2 3 3 3" xfId="24133"/>
    <cellStyle name="메모 3 2 3 2 3 4" xfId="24134"/>
    <cellStyle name="메모 3 2 3 2 3 5" xfId="24135"/>
    <cellStyle name="메모 3 2 3 2 4" xfId="24136"/>
    <cellStyle name="메모 3 2 3 2 4 2" xfId="24137"/>
    <cellStyle name="메모 3 2 3 2 4 2 2" xfId="24138"/>
    <cellStyle name="메모 3 2 3 2 4 2 3" xfId="24139"/>
    <cellStyle name="메모 3 2 3 2 4 3" xfId="24140"/>
    <cellStyle name="메모 3 2 3 2 4 4" xfId="24141"/>
    <cellStyle name="메모 3 2 3 2 5" xfId="24142"/>
    <cellStyle name="메모 3 2 3 2 5 2" xfId="24143"/>
    <cellStyle name="메모 3 2 3 2 5 3" xfId="24144"/>
    <cellStyle name="메모 3 2 3 2 6" xfId="24145"/>
    <cellStyle name="메모 3 2 3 2 7" xfId="24146"/>
    <cellStyle name="메모 3 2 3 3" xfId="24147"/>
    <cellStyle name="메모 3 2 3 3 2" xfId="24148"/>
    <cellStyle name="메모 3 2 3 3 2 2" xfId="24149"/>
    <cellStyle name="메모 3 2 3 3 2 2 2" xfId="24150"/>
    <cellStyle name="메모 3 2 3 3 2 2 2 2" xfId="24151"/>
    <cellStyle name="메모 3 2 3 3 2 2 2 3" xfId="24152"/>
    <cellStyle name="메모 3 2 3 3 2 2 3" xfId="24153"/>
    <cellStyle name="메모 3 2 3 3 2 2 4" xfId="24154"/>
    <cellStyle name="메모 3 2 3 3 2 3" xfId="24155"/>
    <cellStyle name="메모 3 2 3 3 2 3 2" xfId="24156"/>
    <cellStyle name="메모 3 2 3 3 2 3 3" xfId="24157"/>
    <cellStyle name="메모 3 2 3 3 2 4" xfId="24158"/>
    <cellStyle name="메모 3 2 3 3 2 5" xfId="24159"/>
    <cellStyle name="메모 3 2 3 3 3" xfId="24160"/>
    <cellStyle name="메모 3 2 3 3 3 2" xfId="24161"/>
    <cellStyle name="메모 3 2 3 3 3 2 2" xfId="24162"/>
    <cellStyle name="메모 3 2 3 3 3 2 2 2" xfId="24163"/>
    <cellStyle name="메모 3 2 3 3 3 2 2 3" xfId="24164"/>
    <cellStyle name="메모 3 2 3 3 3 2 3" xfId="24165"/>
    <cellStyle name="메모 3 2 3 3 3 2 4" xfId="24166"/>
    <cellStyle name="메모 3 2 3 3 3 3" xfId="24167"/>
    <cellStyle name="메모 3 2 3 3 3 3 2" xfId="24168"/>
    <cellStyle name="메모 3 2 3 3 3 3 3" xfId="24169"/>
    <cellStyle name="메모 3 2 3 3 3 4" xfId="24170"/>
    <cellStyle name="메모 3 2 3 3 3 5" xfId="24171"/>
    <cellStyle name="메모 3 2 3 3 4" xfId="24172"/>
    <cellStyle name="메모 3 2 3 3 4 2" xfId="24173"/>
    <cellStyle name="메모 3 2 3 3 4 2 2" xfId="24174"/>
    <cellStyle name="메모 3 2 3 3 4 2 3" xfId="24175"/>
    <cellStyle name="메모 3 2 3 3 4 3" xfId="24176"/>
    <cellStyle name="메모 3 2 3 3 4 4" xfId="24177"/>
    <cellStyle name="메모 3 2 3 3 5" xfId="24178"/>
    <cellStyle name="메모 3 2 3 3 5 2" xfId="24179"/>
    <cellStyle name="메모 3 2 3 3 5 3" xfId="24180"/>
    <cellStyle name="메모 3 2 3 3 6" xfId="24181"/>
    <cellStyle name="메모 3 2 3 3 7" xfId="24182"/>
    <cellStyle name="메모 3 2 3 4" xfId="24183"/>
    <cellStyle name="메모 3 2 3 4 2" xfId="24184"/>
    <cellStyle name="메모 3 2 3 4 2 2" xfId="24185"/>
    <cellStyle name="메모 3 2 3 4 2 2 2" xfId="24186"/>
    <cellStyle name="메모 3 2 3 4 2 2 3" xfId="24187"/>
    <cellStyle name="메모 3 2 3 4 2 3" xfId="24188"/>
    <cellStyle name="메모 3 2 3 4 2 4" xfId="24189"/>
    <cellStyle name="메모 3 2 3 4 3" xfId="24190"/>
    <cellStyle name="메모 3 2 3 4 3 2" xfId="24191"/>
    <cellStyle name="메모 3 2 3 4 3 3" xfId="24192"/>
    <cellStyle name="메모 3 2 3 4 4" xfId="24193"/>
    <cellStyle name="메모 3 2 3 4 5" xfId="24194"/>
    <cellStyle name="메모 3 2 3 5" xfId="24195"/>
    <cellStyle name="메모 3 2 3 5 2" xfId="24196"/>
    <cellStyle name="메모 3 2 3 5 2 2" xfId="24197"/>
    <cellStyle name="메모 3 2 3 5 2 2 2" xfId="24198"/>
    <cellStyle name="메모 3 2 3 5 2 2 3" xfId="24199"/>
    <cellStyle name="메모 3 2 3 5 2 3" xfId="24200"/>
    <cellStyle name="메모 3 2 3 5 2 4" xfId="24201"/>
    <cellStyle name="메모 3 2 3 5 3" xfId="24202"/>
    <cellStyle name="메모 3 2 3 5 3 2" xfId="24203"/>
    <cellStyle name="메모 3 2 3 5 3 3" xfId="24204"/>
    <cellStyle name="메모 3 2 3 5 4" xfId="24205"/>
    <cellStyle name="메모 3 2 3 5 5" xfId="24206"/>
    <cellStyle name="메모 3 2 3 6" xfId="24207"/>
    <cellStyle name="메모 3 2 3 6 2" xfId="24208"/>
    <cellStyle name="메모 3 2 3 6 2 2" xfId="24209"/>
    <cellStyle name="메모 3 2 3 6 2 2 2" xfId="24210"/>
    <cellStyle name="메모 3 2 3 6 2 2 3" xfId="24211"/>
    <cellStyle name="메모 3 2 3 6 2 3" xfId="24212"/>
    <cellStyle name="메모 3 2 3 6 2 4" xfId="24213"/>
    <cellStyle name="메모 3 2 3 6 3" xfId="24214"/>
    <cellStyle name="메모 3 2 3 6 3 2" xfId="24215"/>
    <cellStyle name="메모 3 2 3 6 3 3" xfId="24216"/>
    <cellStyle name="메모 3 2 3 6 4" xfId="24217"/>
    <cellStyle name="메모 3 2 3 6 5" xfId="24218"/>
    <cellStyle name="메모 3 2 3 7" xfId="24219"/>
    <cellStyle name="메모 3 2 3 7 2" xfId="24220"/>
    <cellStyle name="메모 3 2 3 7 2 2" xfId="24221"/>
    <cellStyle name="메모 3 2 3 7 2 3" xfId="24222"/>
    <cellStyle name="메모 3 2 3 7 3" xfId="24223"/>
    <cellStyle name="메모 3 2 3 7 4" xfId="24224"/>
    <cellStyle name="메모 3 2 3 8" xfId="24225"/>
    <cellStyle name="메모 3 2 3 8 2" xfId="24226"/>
    <cellStyle name="메모 3 2 3 8 3" xfId="24227"/>
    <cellStyle name="메모 3 2 3 9" xfId="24228"/>
    <cellStyle name="메모 3 2 4" xfId="24229"/>
    <cellStyle name="메모 3 2 4 10" xfId="24230"/>
    <cellStyle name="메모 3 2 4 2" xfId="24231"/>
    <cellStyle name="메모 3 2 4 2 2" xfId="24232"/>
    <cellStyle name="메모 3 2 4 2 2 2" xfId="24233"/>
    <cellStyle name="메모 3 2 4 2 2 2 2" xfId="24234"/>
    <cellStyle name="메모 3 2 4 2 2 2 2 2" xfId="24235"/>
    <cellStyle name="메모 3 2 4 2 2 2 2 3" xfId="24236"/>
    <cellStyle name="메모 3 2 4 2 2 2 3" xfId="24237"/>
    <cellStyle name="메모 3 2 4 2 2 2 4" xfId="24238"/>
    <cellStyle name="메모 3 2 4 2 2 3" xfId="24239"/>
    <cellStyle name="메모 3 2 4 2 2 3 2" xfId="24240"/>
    <cellStyle name="메모 3 2 4 2 2 3 3" xfId="24241"/>
    <cellStyle name="메모 3 2 4 2 2 4" xfId="24242"/>
    <cellStyle name="메모 3 2 4 2 2 5" xfId="24243"/>
    <cellStyle name="메모 3 2 4 2 3" xfId="24244"/>
    <cellStyle name="메모 3 2 4 2 3 2" xfId="24245"/>
    <cellStyle name="메모 3 2 4 2 3 2 2" xfId="24246"/>
    <cellStyle name="메모 3 2 4 2 3 2 2 2" xfId="24247"/>
    <cellStyle name="메모 3 2 4 2 3 2 2 3" xfId="24248"/>
    <cellStyle name="메모 3 2 4 2 3 2 3" xfId="24249"/>
    <cellStyle name="메모 3 2 4 2 3 2 4" xfId="24250"/>
    <cellStyle name="메모 3 2 4 2 3 3" xfId="24251"/>
    <cellStyle name="메모 3 2 4 2 3 3 2" xfId="24252"/>
    <cellStyle name="메모 3 2 4 2 3 3 3" xfId="24253"/>
    <cellStyle name="메모 3 2 4 2 3 4" xfId="24254"/>
    <cellStyle name="메모 3 2 4 2 3 5" xfId="24255"/>
    <cellStyle name="메모 3 2 4 2 4" xfId="24256"/>
    <cellStyle name="메모 3 2 4 2 4 2" xfId="24257"/>
    <cellStyle name="메모 3 2 4 2 4 2 2" xfId="24258"/>
    <cellStyle name="메모 3 2 4 2 4 2 3" xfId="24259"/>
    <cellStyle name="메모 3 2 4 2 4 3" xfId="24260"/>
    <cellStyle name="메모 3 2 4 2 4 4" xfId="24261"/>
    <cellStyle name="메모 3 2 4 2 5" xfId="24262"/>
    <cellStyle name="메모 3 2 4 2 5 2" xfId="24263"/>
    <cellStyle name="메모 3 2 4 2 5 3" xfId="24264"/>
    <cellStyle name="메모 3 2 4 2 6" xfId="24265"/>
    <cellStyle name="메모 3 2 4 2 7" xfId="24266"/>
    <cellStyle name="메모 3 2 4 3" xfId="24267"/>
    <cellStyle name="메모 3 2 4 3 2" xfId="24268"/>
    <cellStyle name="메모 3 2 4 3 2 2" xfId="24269"/>
    <cellStyle name="메모 3 2 4 3 2 2 2" xfId="24270"/>
    <cellStyle name="메모 3 2 4 3 2 2 2 2" xfId="24271"/>
    <cellStyle name="메모 3 2 4 3 2 2 2 3" xfId="24272"/>
    <cellStyle name="메모 3 2 4 3 2 2 3" xfId="24273"/>
    <cellStyle name="메모 3 2 4 3 2 2 4" xfId="24274"/>
    <cellStyle name="메모 3 2 4 3 2 3" xfId="24275"/>
    <cellStyle name="메모 3 2 4 3 2 3 2" xfId="24276"/>
    <cellStyle name="메모 3 2 4 3 2 3 3" xfId="24277"/>
    <cellStyle name="메모 3 2 4 3 2 4" xfId="24278"/>
    <cellStyle name="메모 3 2 4 3 2 5" xfId="24279"/>
    <cellStyle name="메모 3 2 4 3 3" xfId="24280"/>
    <cellStyle name="메모 3 2 4 3 3 2" xfId="24281"/>
    <cellStyle name="메모 3 2 4 3 3 2 2" xfId="24282"/>
    <cellStyle name="메모 3 2 4 3 3 2 2 2" xfId="24283"/>
    <cellStyle name="메모 3 2 4 3 3 2 2 3" xfId="24284"/>
    <cellStyle name="메모 3 2 4 3 3 2 3" xfId="24285"/>
    <cellStyle name="메모 3 2 4 3 3 2 4" xfId="24286"/>
    <cellStyle name="메모 3 2 4 3 3 3" xfId="24287"/>
    <cellStyle name="메모 3 2 4 3 3 3 2" xfId="24288"/>
    <cellStyle name="메모 3 2 4 3 3 3 3" xfId="24289"/>
    <cellStyle name="메모 3 2 4 3 3 4" xfId="24290"/>
    <cellStyle name="메모 3 2 4 3 3 5" xfId="24291"/>
    <cellStyle name="메모 3 2 4 3 4" xfId="24292"/>
    <cellStyle name="메모 3 2 4 3 4 2" xfId="24293"/>
    <cellStyle name="메모 3 2 4 3 4 2 2" xfId="24294"/>
    <cellStyle name="메모 3 2 4 3 4 2 3" xfId="24295"/>
    <cellStyle name="메모 3 2 4 3 4 3" xfId="24296"/>
    <cellStyle name="메모 3 2 4 3 4 4" xfId="24297"/>
    <cellStyle name="메모 3 2 4 3 5" xfId="24298"/>
    <cellStyle name="메모 3 2 4 3 5 2" xfId="24299"/>
    <cellStyle name="메모 3 2 4 3 5 3" xfId="24300"/>
    <cellStyle name="메모 3 2 4 3 6" xfId="24301"/>
    <cellStyle name="메모 3 2 4 3 7" xfId="24302"/>
    <cellStyle name="메모 3 2 4 4" xfId="24303"/>
    <cellStyle name="메모 3 2 4 4 2" xfId="24304"/>
    <cellStyle name="메모 3 2 4 4 2 2" xfId="24305"/>
    <cellStyle name="메모 3 2 4 4 2 2 2" xfId="24306"/>
    <cellStyle name="메모 3 2 4 4 2 2 3" xfId="24307"/>
    <cellStyle name="메모 3 2 4 4 2 3" xfId="24308"/>
    <cellStyle name="메모 3 2 4 4 2 4" xfId="24309"/>
    <cellStyle name="메모 3 2 4 4 3" xfId="24310"/>
    <cellStyle name="메모 3 2 4 4 3 2" xfId="24311"/>
    <cellStyle name="메모 3 2 4 4 3 3" xfId="24312"/>
    <cellStyle name="메모 3 2 4 4 4" xfId="24313"/>
    <cellStyle name="메모 3 2 4 4 5" xfId="24314"/>
    <cellStyle name="메모 3 2 4 5" xfId="24315"/>
    <cellStyle name="메모 3 2 4 5 2" xfId="24316"/>
    <cellStyle name="메모 3 2 4 5 2 2" xfId="24317"/>
    <cellStyle name="메모 3 2 4 5 2 2 2" xfId="24318"/>
    <cellStyle name="메모 3 2 4 5 2 2 3" xfId="24319"/>
    <cellStyle name="메모 3 2 4 5 2 3" xfId="24320"/>
    <cellStyle name="메모 3 2 4 5 2 4" xfId="24321"/>
    <cellStyle name="메모 3 2 4 5 3" xfId="24322"/>
    <cellStyle name="메모 3 2 4 5 3 2" xfId="24323"/>
    <cellStyle name="메모 3 2 4 5 3 3" xfId="24324"/>
    <cellStyle name="메모 3 2 4 5 4" xfId="24325"/>
    <cellStyle name="메모 3 2 4 5 5" xfId="24326"/>
    <cellStyle name="메모 3 2 4 6" xfId="24327"/>
    <cellStyle name="메모 3 2 4 6 2" xfId="24328"/>
    <cellStyle name="메모 3 2 4 6 2 2" xfId="24329"/>
    <cellStyle name="메모 3 2 4 6 2 2 2" xfId="24330"/>
    <cellStyle name="메모 3 2 4 6 2 2 3" xfId="24331"/>
    <cellStyle name="메모 3 2 4 6 2 3" xfId="24332"/>
    <cellStyle name="메모 3 2 4 6 2 4" xfId="24333"/>
    <cellStyle name="메모 3 2 4 6 3" xfId="24334"/>
    <cellStyle name="메모 3 2 4 6 3 2" xfId="24335"/>
    <cellStyle name="메모 3 2 4 6 3 3" xfId="24336"/>
    <cellStyle name="메모 3 2 4 6 4" xfId="24337"/>
    <cellStyle name="메모 3 2 4 6 5" xfId="24338"/>
    <cellStyle name="메모 3 2 4 7" xfId="24339"/>
    <cellStyle name="메모 3 2 4 7 2" xfId="24340"/>
    <cellStyle name="메모 3 2 4 7 2 2" xfId="24341"/>
    <cellStyle name="메모 3 2 4 7 2 3" xfId="24342"/>
    <cellStyle name="메모 3 2 4 7 3" xfId="24343"/>
    <cellStyle name="메모 3 2 4 7 4" xfId="24344"/>
    <cellStyle name="메모 3 2 4 8" xfId="24345"/>
    <cellStyle name="메모 3 2 4 8 2" xfId="24346"/>
    <cellStyle name="메모 3 2 4 8 3" xfId="24347"/>
    <cellStyle name="메모 3 2 4 9" xfId="24348"/>
    <cellStyle name="메모 3 2 5" xfId="24349"/>
    <cellStyle name="메모 3 2 5 2" xfId="24350"/>
    <cellStyle name="메모 3 2 5 2 2" xfId="24351"/>
    <cellStyle name="메모 3 2 5 2 2 2" xfId="24352"/>
    <cellStyle name="메모 3 2 5 2 2 2 2" xfId="24353"/>
    <cellStyle name="메모 3 2 5 2 2 2 3" xfId="24354"/>
    <cellStyle name="메모 3 2 5 2 2 3" xfId="24355"/>
    <cellStyle name="메모 3 2 5 2 2 4" xfId="24356"/>
    <cellStyle name="메모 3 2 5 2 3" xfId="24357"/>
    <cellStyle name="메모 3 2 5 2 3 2" xfId="24358"/>
    <cellStyle name="메모 3 2 5 2 3 3" xfId="24359"/>
    <cellStyle name="메모 3 2 5 2 4" xfId="24360"/>
    <cellStyle name="메모 3 2 5 2 5" xfId="24361"/>
    <cellStyle name="메모 3 2 5 3" xfId="24362"/>
    <cellStyle name="메모 3 2 5 3 2" xfId="24363"/>
    <cellStyle name="메모 3 2 5 3 2 2" xfId="24364"/>
    <cellStyle name="메모 3 2 5 3 2 2 2" xfId="24365"/>
    <cellStyle name="메모 3 2 5 3 2 2 3" xfId="24366"/>
    <cellStyle name="메모 3 2 5 3 2 3" xfId="24367"/>
    <cellStyle name="메모 3 2 5 3 2 4" xfId="24368"/>
    <cellStyle name="메모 3 2 5 3 3" xfId="24369"/>
    <cellStyle name="메모 3 2 5 3 3 2" xfId="24370"/>
    <cellStyle name="메모 3 2 5 3 3 3" xfId="24371"/>
    <cellStyle name="메모 3 2 5 3 4" xfId="24372"/>
    <cellStyle name="메모 3 2 5 3 5" xfId="24373"/>
    <cellStyle name="메모 3 2 5 4" xfId="24374"/>
    <cellStyle name="메모 3 2 5 4 2" xfId="24375"/>
    <cellStyle name="메모 3 2 5 4 2 2" xfId="24376"/>
    <cellStyle name="메모 3 2 5 4 2 3" xfId="24377"/>
    <cellStyle name="메모 3 2 5 4 3" xfId="24378"/>
    <cellStyle name="메모 3 2 5 4 4" xfId="24379"/>
    <cellStyle name="메모 3 2 5 5" xfId="24380"/>
    <cellStyle name="메모 3 2 5 5 2" xfId="24381"/>
    <cellStyle name="메모 3 2 5 5 3" xfId="24382"/>
    <cellStyle name="메모 3 2 5 6" xfId="24383"/>
    <cellStyle name="메모 3 2 5 7" xfId="24384"/>
    <cellStyle name="메모 3 2 6" xfId="24385"/>
    <cellStyle name="메모 3 2 6 2" xfId="24386"/>
    <cellStyle name="메모 3 2 6 2 2" xfId="24387"/>
    <cellStyle name="메모 3 2 6 2 2 2" xfId="24388"/>
    <cellStyle name="메모 3 2 6 2 2 2 2" xfId="24389"/>
    <cellStyle name="메모 3 2 6 2 2 2 3" xfId="24390"/>
    <cellStyle name="메모 3 2 6 2 2 3" xfId="24391"/>
    <cellStyle name="메모 3 2 6 2 2 4" xfId="24392"/>
    <cellStyle name="메모 3 2 6 2 3" xfId="24393"/>
    <cellStyle name="메모 3 2 6 2 3 2" xfId="24394"/>
    <cellStyle name="메모 3 2 6 2 3 3" xfId="24395"/>
    <cellStyle name="메모 3 2 6 2 4" xfId="24396"/>
    <cellStyle name="메모 3 2 6 2 5" xfId="24397"/>
    <cellStyle name="메모 3 2 6 3" xfId="24398"/>
    <cellStyle name="메모 3 2 6 3 2" xfId="24399"/>
    <cellStyle name="메모 3 2 6 3 2 2" xfId="24400"/>
    <cellStyle name="메모 3 2 6 3 2 2 2" xfId="24401"/>
    <cellStyle name="메모 3 2 6 3 2 2 3" xfId="24402"/>
    <cellStyle name="메모 3 2 6 3 2 3" xfId="24403"/>
    <cellStyle name="메모 3 2 6 3 2 4" xfId="24404"/>
    <cellStyle name="메모 3 2 6 3 3" xfId="24405"/>
    <cellStyle name="메모 3 2 6 3 3 2" xfId="24406"/>
    <cellStyle name="메모 3 2 6 3 3 3" xfId="24407"/>
    <cellStyle name="메모 3 2 6 3 4" xfId="24408"/>
    <cellStyle name="메모 3 2 6 3 5" xfId="24409"/>
    <cellStyle name="메모 3 2 6 4" xfId="24410"/>
    <cellStyle name="메모 3 2 6 4 2" xfId="24411"/>
    <cellStyle name="메모 3 2 6 4 2 2" xfId="24412"/>
    <cellStyle name="메모 3 2 6 4 2 3" xfId="24413"/>
    <cellStyle name="메모 3 2 6 4 3" xfId="24414"/>
    <cellStyle name="메모 3 2 6 4 4" xfId="24415"/>
    <cellStyle name="메모 3 2 6 5" xfId="24416"/>
    <cellStyle name="메모 3 2 6 5 2" xfId="24417"/>
    <cellStyle name="메모 3 2 6 5 3" xfId="24418"/>
    <cellStyle name="메모 3 2 6 6" xfId="24419"/>
    <cellStyle name="메모 3 2 6 7" xfId="24420"/>
    <cellStyle name="메모 3 2 7" xfId="24421"/>
    <cellStyle name="메모 3 2 7 2" xfId="24422"/>
    <cellStyle name="메모 3 2 7 2 2" xfId="24423"/>
    <cellStyle name="메모 3 2 7 2 2 2" xfId="24424"/>
    <cellStyle name="메모 3 2 7 2 2 3" xfId="24425"/>
    <cellStyle name="메모 3 2 7 2 3" xfId="24426"/>
    <cellStyle name="메모 3 2 7 2 4" xfId="24427"/>
    <cellStyle name="메모 3 2 7 3" xfId="24428"/>
    <cellStyle name="메모 3 2 7 3 2" xfId="24429"/>
    <cellStyle name="메모 3 2 7 3 3" xfId="24430"/>
    <cellStyle name="메모 3 2 7 4" xfId="24431"/>
    <cellStyle name="메모 3 2 7 5" xfId="24432"/>
    <cellStyle name="메모 3 2 8" xfId="24433"/>
    <cellStyle name="메모 3 2 8 2" xfId="24434"/>
    <cellStyle name="메모 3 2 8 2 2" xfId="24435"/>
    <cellStyle name="메모 3 2 8 2 2 2" xfId="24436"/>
    <cellStyle name="메모 3 2 8 2 2 3" xfId="24437"/>
    <cellStyle name="메모 3 2 8 2 3" xfId="24438"/>
    <cellStyle name="메모 3 2 8 2 4" xfId="24439"/>
    <cellStyle name="메모 3 2 8 3" xfId="24440"/>
    <cellStyle name="메모 3 2 8 3 2" xfId="24441"/>
    <cellStyle name="메모 3 2 8 3 3" xfId="24442"/>
    <cellStyle name="메모 3 2 8 4" xfId="24443"/>
    <cellStyle name="메모 3 2 8 5" xfId="24444"/>
    <cellStyle name="메모 3 2 9" xfId="24445"/>
    <cellStyle name="메모 3 2 9 2" xfId="24446"/>
    <cellStyle name="메모 3 2 9 2 2" xfId="24447"/>
    <cellStyle name="메모 3 2 9 2 2 2" xfId="24448"/>
    <cellStyle name="메모 3 2 9 2 2 3" xfId="24449"/>
    <cellStyle name="메모 3 2 9 2 3" xfId="24450"/>
    <cellStyle name="메모 3 2 9 2 4" xfId="24451"/>
    <cellStyle name="메모 3 2 9 3" xfId="24452"/>
    <cellStyle name="메모 3 2 9 3 2" xfId="24453"/>
    <cellStyle name="메모 3 2 9 3 3" xfId="24454"/>
    <cellStyle name="메모 3 2 9 4" xfId="24455"/>
    <cellStyle name="메모 3 2 9 5" xfId="24456"/>
    <cellStyle name="메모 3 3" xfId="24457"/>
    <cellStyle name="메모 3 3 10" xfId="24458"/>
    <cellStyle name="메모 3 3 11" xfId="24459"/>
    <cellStyle name="메모 3 3 12" xfId="24460"/>
    <cellStyle name="메모 3 3 2" xfId="24461"/>
    <cellStyle name="메모 3 3 2 2" xfId="24462"/>
    <cellStyle name="메모 3 3 2 2 2" xfId="24463"/>
    <cellStyle name="메모 3 3 2 2 2 2" xfId="24464"/>
    <cellStyle name="메모 3 3 2 2 2 2 2" xfId="24465"/>
    <cellStyle name="메모 3 3 2 2 2 2 3" xfId="24466"/>
    <cellStyle name="메모 3 3 2 2 2 3" xfId="24467"/>
    <cellStyle name="메모 3 3 2 2 2 4" xfId="24468"/>
    <cellStyle name="메모 3 3 2 2 3" xfId="24469"/>
    <cellStyle name="메모 3 3 2 2 3 2" xfId="24470"/>
    <cellStyle name="메모 3 3 2 2 3 3" xfId="24471"/>
    <cellStyle name="메모 3 3 2 2 4" xfId="24472"/>
    <cellStyle name="메모 3 3 2 2 5" xfId="24473"/>
    <cellStyle name="메모 3 3 2 3" xfId="24474"/>
    <cellStyle name="메모 3 3 2 3 2" xfId="24475"/>
    <cellStyle name="메모 3 3 2 3 2 2" xfId="24476"/>
    <cellStyle name="메모 3 3 2 3 2 2 2" xfId="24477"/>
    <cellStyle name="메모 3 3 2 3 2 2 3" xfId="24478"/>
    <cellStyle name="메모 3 3 2 3 2 3" xfId="24479"/>
    <cellStyle name="메모 3 3 2 3 2 4" xfId="24480"/>
    <cellStyle name="메모 3 3 2 3 3" xfId="24481"/>
    <cellStyle name="메모 3 3 2 3 3 2" xfId="24482"/>
    <cellStyle name="메모 3 3 2 3 3 3" xfId="24483"/>
    <cellStyle name="메모 3 3 2 3 4" xfId="24484"/>
    <cellStyle name="메모 3 3 2 3 5" xfId="24485"/>
    <cellStyle name="메모 3 3 2 4" xfId="24486"/>
    <cellStyle name="메모 3 3 2 4 2" xfId="24487"/>
    <cellStyle name="메모 3 3 2 4 2 2" xfId="24488"/>
    <cellStyle name="메모 3 3 2 4 2 3" xfId="24489"/>
    <cellStyle name="메모 3 3 2 4 3" xfId="24490"/>
    <cellStyle name="메모 3 3 2 4 4" xfId="24491"/>
    <cellStyle name="메모 3 3 2 5" xfId="24492"/>
    <cellStyle name="메모 3 3 2 5 2" xfId="24493"/>
    <cellStyle name="메모 3 3 2 5 3" xfId="24494"/>
    <cellStyle name="메모 3 3 2 6" xfId="24495"/>
    <cellStyle name="메모 3 3 2 7" xfId="24496"/>
    <cellStyle name="메모 3 3 2 8" xfId="24497"/>
    <cellStyle name="메모 3 3 2 9" xfId="24498"/>
    <cellStyle name="메모 3 3 3" xfId="24499"/>
    <cellStyle name="메모 3 3 3 2" xfId="24500"/>
    <cellStyle name="메모 3 3 3 2 2" xfId="24501"/>
    <cellStyle name="메모 3 3 3 2 2 2" xfId="24502"/>
    <cellStyle name="메모 3 3 3 2 2 2 2" xfId="24503"/>
    <cellStyle name="메모 3 3 3 2 2 2 3" xfId="24504"/>
    <cellStyle name="메모 3 3 3 2 2 3" xfId="24505"/>
    <cellStyle name="메모 3 3 3 2 2 4" xfId="24506"/>
    <cellStyle name="메모 3 3 3 2 3" xfId="24507"/>
    <cellStyle name="메모 3 3 3 2 3 2" xfId="24508"/>
    <cellStyle name="메모 3 3 3 2 3 3" xfId="24509"/>
    <cellStyle name="메모 3 3 3 2 4" xfId="24510"/>
    <cellStyle name="메모 3 3 3 2 5" xfId="24511"/>
    <cellStyle name="메모 3 3 3 3" xfId="24512"/>
    <cellStyle name="메모 3 3 3 3 2" xfId="24513"/>
    <cellStyle name="메모 3 3 3 3 2 2" xfId="24514"/>
    <cellStyle name="메모 3 3 3 3 2 2 2" xfId="24515"/>
    <cellStyle name="메모 3 3 3 3 2 2 3" xfId="24516"/>
    <cellStyle name="메모 3 3 3 3 2 3" xfId="24517"/>
    <cellStyle name="메모 3 3 3 3 2 4" xfId="24518"/>
    <cellStyle name="메모 3 3 3 3 3" xfId="24519"/>
    <cellStyle name="메모 3 3 3 3 3 2" xfId="24520"/>
    <cellStyle name="메모 3 3 3 3 3 3" xfId="24521"/>
    <cellStyle name="메모 3 3 3 3 4" xfId="24522"/>
    <cellStyle name="메모 3 3 3 3 5" xfId="24523"/>
    <cellStyle name="메모 3 3 3 4" xfId="24524"/>
    <cellStyle name="메모 3 3 3 4 2" xfId="24525"/>
    <cellStyle name="메모 3 3 3 4 2 2" xfId="24526"/>
    <cellStyle name="메모 3 3 3 4 2 3" xfId="24527"/>
    <cellStyle name="메모 3 3 3 4 3" xfId="24528"/>
    <cellStyle name="메모 3 3 3 4 4" xfId="24529"/>
    <cellStyle name="메모 3 3 3 5" xfId="24530"/>
    <cellStyle name="메모 3 3 3 5 2" xfId="24531"/>
    <cellStyle name="메모 3 3 3 5 3" xfId="24532"/>
    <cellStyle name="메모 3 3 3 6" xfId="24533"/>
    <cellStyle name="메모 3 3 3 7" xfId="24534"/>
    <cellStyle name="메모 3 3 4" xfId="24535"/>
    <cellStyle name="메모 3 3 4 2" xfId="24536"/>
    <cellStyle name="메모 3 3 4 2 2" xfId="24537"/>
    <cellStyle name="메모 3 3 4 2 2 2" xfId="24538"/>
    <cellStyle name="메모 3 3 4 2 2 3" xfId="24539"/>
    <cellStyle name="메모 3 3 4 2 3" xfId="24540"/>
    <cellStyle name="메모 3 3 4 2 4" xfId="24541"/>
    <cellStyle name="메모 3 3 4 3" xfId="24542"/>
    <cellStyle name="메모 3 3 4 3 2" xfId="24543"/>
    <cellStyle name="메모 3 3 4 3 3" xfId="24544"/>
    <cellStyle name="메모 3 3 4 4" xfId="24545"/>
    <cellStyle name="메모 3 3 4 5" xfId="24546"/>
    <cellStyle name="메모 3 3 5" xfId="24547"/>
    <cellStyle name="메모 3 3 5 2" xfId="24548"/>
    <cellStyle name="메모 3 3 5 2 2" xfId="24549"/>
    <cellStyle name="메모 3 3 5 2 2 2" xfId="24550"/>
    <cellStyle name="메모 3 3 5 2 2 3" xfId="24551"/>
    <cellStyle name="메모 3 3 5 2 3" xfId="24552"/>
    <cellStyle name="메모 3 3 5 2 4" xfId="24553"/>
    <cellStyle name="메모 3 3 5 3" xfId="24554"/>
    <cellStyle name="메모 3 3 5 3 2" xfId="24555"/>
    <cellStyle name="메모 3 3 5 3 3" xfId="24556"/>
    <cellStyle name="메모 3 3 5 4" xfId="24557"/>
    <cellStyle name="메모 3 3 5 5" xfId="24558"/>
    <cellStyle name="메모 3 3 6" xfId="24559"/>
    <cellStyle name="메모 3 3 6 2" xfId="24560"/>
    <cellStyle name="메모 3 3 6 2 2" xfId="24561"/>
    <cellStyle name="메모 3 3 6 2 2 2" xfId="24562"/>
    <cellStyle name="메모 3 3 6 2 2 3" xfId="24563"/>
    <cellStyle name="메모 3 3 6 2 3" xfId="24564"/>
    <cellStyle name="메모 3 3 6 2 4" xfId="24565"/>
    <cellStyle name="메모 3 3 6 3" xfId="24566"/>
    <cellStyle name="메모 3 3 6 3 2" xfId="24567"/>
    <cellStyle name="메모 3 3 6 3 3" xfId="24568"/>
    <cellStyle name="메모 3 3 6 4" xfId="24569"/>
    <cellStyle name="메모 3 3 6 5" xfId="24570"/>
    <cellStyle name="메모 3 3 7" xfId="24571"/>
    <cellStyle name="메모 3 3 7 2" xfId="24572"/>
    <cellStyle name="메모 3 3 7 2 2" xfId="24573"/>
    <cellStyle name="메모 3 3 7 2 3" xfId="24574"/>
    <cellStyle name="메모 3 3 7 3" xfId="24575"/>
    <cellStyle name="메모 3 3 7 4" xfId="24576"/>
    <cellStyle name="메모 3 3 8" xfId="24577"/>
    <cellStyle name="메모 3 3 8 2" xfId="24578"/>
    <cellStyle name="메모 3 3 8 3" xfId="24579"/>
    <cellStyle name="메모 3 3 9" xfId="24580"/>
    <cellStyle name="메모 3 4" xfId="24581"/>
    <cellStyle name="메모 3 4 10" xfId="24582"/>
    <cellStyle name="메모 3 4 11" xfId="24583"/>
    <cellStyle name="메모 3 4 12" xfId="24584"/>
    <cellStyle name="메모 3 4 2" xfId="24585"/>
    <cellStyle name="메모 3 4 2 2" xfId="24586"/>
    <cellStyle name="메모 3 4 2 2 2" xfId="24587"/>
    <cellStyle name="메모 3 4 2 2 2 2" xfId="24588"/>
    <cellStyle name="메모 3 4 2 2 2 2 2" xfId="24589"/>
    <cellStyle name="메모 3 4 2 2 2 2 3" xfId="24590"/>
    <cellStyle name="메모 3 4 2 2 2 3" xfId="24591"/>
    <cellStyle name="메모 3 4 2 2 2 4" xfId="24592"/>
    <cellStyle name="메모 3 4 2 2 3" xfId="24593"/>
    <cellStyle name="메모 3 4 2 2 3 2" xfId="24594"/>
    <cellStyle name="메모 3 4 2 2 3 3" xfId="24595"/>
    <cellStyle name="메모 3 4 2 2 4" xfId="24596"/>
    <cellStyle name="메모 3 4 2 2 5" xfId="24597"/>
    <cellStyle name="메모 3 4 2 3" xfId="24598"/>
    <cellStyle name="메모 3 4 2 3 2" xfId="24599"/>
    <cellStyle name="메모 3 4 2 3 2 2" xfId="24600"/>
    <cellStyle name="메모 3 4 2 3 2 2 2" xfId="24601"/>
    <cellStyle name="메모 3 4 2 3 2 2 3" xfId="24602"/>
    <cellStyle name="메모 3 4 2 3 2 3" xfId="24603"/>
    <cellStyle name="메모 3 4 2 3 2 4" xfId="24604"/>
    <cellStyle name="메모 3 4 2 3 3" xfId="24605"/>
    <cellStyle name="메모 3 4 2 3 3 2" xfId="24606"/>
    <cellStyle name="메모 3 4 2 3 3 3" xfId="24607"/>
    <cellStyle name="메모 3 4 2 3 4" xfId="24608"/>
    <cellStyle name="메모 3 4 2 3 5" xfId="24609"/>
    <cellStyle name="메모 3 4 2 4" xfId="24610"/>
    <cellStyle name="메모 3 4 2 4 2" xfId="24611"/>
    <cellStyle name="메모 3 4 2 4 2 2" xfId="24612"/>
    <cellStyle name="메모 3 4 2 4 2 3" xfId="24613"/>
    <cellStyle name="메모 3 4 2 4 3" xfId="24614"/>
    <cellStyle name="메모 3 4 2 4 4" xfId="24615"/>
    <cellStyle name="메모 3 4 2 5" xfId="24616"/>
    <cellStyle name="메모 3 4 2 5 2" xfId="24617"/>
    <cellStyle name="메모 3 4 2 5 3" xfId="24618"/>
    <cellStyle name="메모 3 4 2 6" xfId="24619"/>
    <cellStyle name="메모 3 4 2 7" xfId="24620"/>
    <cellStyle name="메모 3 4 3" xfId="24621"/>
    <cellStyle name="메모 3 4 3 2" xfId="24622"/>
    <cellStyle name="메모 3 4 3 2 2" xfId="24623"/>
    <cellStyle name="메모 3 4 3 2 2 2" xfId="24624"/>
    <cellStyle name="메모 3 4 3 2 2 2 2" xfId="24625"/>
    <cellStyle name="메모 3 4 3 2 2 2 3" xfId="24626"/>
    <cellStyle name="메모 3 4 3 2 2 3" xfId="24627"/>
    <cellStyle name="메모 3 4 3 2 2 4" xfId="24628"/>
    <cellStyle name="메모 3 4 3 2 3" xfId="24629"/>
    <cellStyle name="메모 3 4 3 2 3 2" xfId="24630"/>
    <cellStyle name="메모 3 4 3 2 3 3" xfId="24631"/>
    <cellStyle name="메모 3 4 3 2 4" xfId="24632"/>
    <cellStyle name="메모 3 4 3 2 5" xfId="24633"/>
    <cellStyle name="메모 3 4 3 3" xfId="24634"/>
    <cellStyle name="메모 3 4 3 3 2" xfId="24635"/>
    <cellStyle name="메모 3 4 3 3 2 2" xfId="24636"/>
    <cellStyle name="메모 3 4 3 3 2 2 2" xfId="24637"/>
    <cellStyle name="메모 3 4 3 3 2 2 3" xfId="24638"/>
    <cellStyle name="메모 3 4 3 3 2 3" xfId="24639"/>
    <cellStyle name="메모 3 4 3 3 2 4" xfId="24640"/>
    <cellStyle name="메모 3 4 3 3 3" xfId="24641"/>
    <cellStyle name="메모 3 4 3 3 3 2" xfId="24642"/>
    <cellStyle name="메모 3 4 3 3 3 3" xfId="24643"/>
    <cellStyle name="메모 3 4 3 3 4" xfId="24644"/>
    <cellStyle name="메모 3 4 3 3 5" xfId="24645"/>
    <cellStyle name="메모 3 4 3 4" xfId="24646"/>
    <cellStyle name="메모 3 4 3 4 2" xfId="24647"/>
    <cellStyle name="메모 3 4 3 4 2 2" xfId="24648"/>
    <cellStyle name="메모 3 4 3 4 2 3" xfId="24649"/>
    <cellStyle name="메모 3 4 3 4 3" xfId="24650"/>
    <cellStyle name="메모 3 4 3 4 4" xfId="24651"/>
    <cellStyle name="메모 3 4 3 5" xfId="24652"/>
    <cellStyle name="메모 3 4 3 5 2" xfId="24653"/>
    <cellStyle name="메모 3 4 3 5 3" xfId="24654"/>
    <cellStyle name="메모 3 4 3 6" xfId="24655"/>
    <cellStyle name="메모 3 4 3 7" xfId="24656"/>
    <cellStyle name="메모 3 4 4" xfId="24657"/>
    <cellStyle name="메모 3 4 4 2" xfId="24658"/>
    <cellStyle name="메모 3 4 4 2 2" xfId="24659"/>
    <cellStyle name="메모 3 4 4 2 2 2" xfId="24660"/>
    <cellStyle name="메모 3 4 4 2 2 3" xfId="24661"/>
    <cellStyle name="메모 3 4 4 2 3" xfId="24662"/>
    <cellStyle name="메모 3 4 4 2 4" xfId="24663"/>
    <cellStyle name="메모 3 4 4 3" xfId="24664"/>
    <cellStyle name="메모 3 4 4 3 2" xfId="24665"/>
    <cellStyle name="메모 3 4 4 3 3" xfId="24666"/>
    <cellStyle name="메모 3 4 4 4" xfId="24667"/>
    <cellStyle name="메모 3 4 4 5" xfId="24668"/>
    <cellStyle name="메모 3 4 5" xfId="24669"/>
    <cellStyle name="메모 3 4 5 2" xfId="24670"/>
    <cellStyle name="메모 3 4 5 2 2" xfId="24671"/>
    <cellStyle name="메모 3 4 5 2 2 2" xfId="24672"/>
    <cellStyle name="메모 3 4 5 2 2 3" xfId="24673"/>
    <cellStyle name="메모 3 4 5 2 3" xfId="24674"/>
    <cellStyle name="메모 3 4 5 2 4" xfId="24675"/>
    <cellStyle name="메모 3 4 5 3" xfId="24676"/>
    <cellStyle name="메모 3 4 5 3 2" xfId="24677"/>
    <cellStyle name="메모 3 4 5 3 3" xfId="24678"/>
    <cellStyle name="메모 3 4 5 4" xfId="24679"/>
    <cellStyle name="메모 3 4 5 5" xfId="24680"/>
    <cellStyle name="메모 3 4 6" xfId="24681"/>
    <cellStyle name="메모 3 4 6 2" xfId="24682"/>
    <cellStyle name="메모 3 4 6 2 2" xfId="24683"/>
    <cellStyle name="메모 3 4 6 2 2 2" xfId="24684"/>
    <cellStyle name="메모 3 4 6 2 2 3" xfId="24685"/>
    <cellStyle name="메모 3 4 6 2 3" xfId="24686"/>
    <cellStyle name="메모 3 4 6 2 4" xfId="24687"/>
    <cellStyle name="메모 3 4 6 3" xfId="24688"/>
    <cellStyle name="메모 3 4 6 3 2" xfId="24689"/>
    <cellStyle name="메모 3 4 6 3 3" xfId="24690"/>
    <cellStyle name="메모 3 4 6 4" xfId="24691"/>
    <cellStyle name="메모 3 4 6 5" xfId="24692"/>
    <cellStyle name="메모 3 4 7" xfId="24693"/>
    <cellStyle name="메모 3 4 7 2" xfId="24694"/>
    <cellStyle name="메모 3 4 7 2 2" xfId="24695"/>
    <cellStyle name="메모 3 4 7 2 3" xfId="24696"/>
    <cellStyle name="메모 3 4 7 3" xfId="24697"/>
    <cellStyle name="메모 3 4 7 4" xfId="24698"/>
    <cellStyle name="메모 3 4 8" xfId="24699"/>
    <cellStyle name="메모 3 4 8 2" xfId="24700"/>
    <cellStyle name="메모 3 4 8 3" xfId="24701"/>
    <cellStyle name="메모 3 4 9" xfId="24702"/>
    <cellStyle name="메모 3 5" xfId="24703"/>
    <cellStyle name="메모 3 5 10" xfId="24704"/>
    <cellStyle name="메모 3 5 10 2" xfId="24705"/>
    <cellStyle name="메모 3 5 10 3" xfId="24706"/>
    <cellStyle name="메모 3 5 10 4" xfId="24707"/>
    <cellStyle name="메모 3 5 11" xfId="24708"/>
    <cellStyle name="메모 3 5 11 2" xfId="24709"/>
    <cellStyle name="메모 3 5 11 3" xfId="24710"/>
    <cellStyle name="메모 3 5 12" xfId="24711"/>
    <cellStyle name="메모 3 5 13" xfId="24712"/>
    <cellStyle name="메모 3 5 14" xfId="24713"/>
    <cellStyle name="메모 3 5 2" xfId="24714"/>
    <cellStyle name="메모 3 5 2 2" xfId="24715"/>
    <cellStyle name="메모 3 5 2 2 2" xfId="24716"/>
    <cellStyle name="메모 3 5 2 2 2 2" xfId="24717"/>
    <cellStyle name="메모 3 5 2 2 2 2 2" xfId="24718"/>
    <cellStyle name="메모 3 5 2 2 2 2 3" xfId="24719"/>
    <cellStyle name="메모 3 5 2 2 2 3" xfId="24720"/>
    <cellStyle name="메모 3 5 2 2 2 4" xfId="24721"/>
    <cellStyle name="메모 3 5 2 2 3" xfId="24722"/>
    <cellStyle name="메모 3 5 2 2 3 2" xfId="24723"/>
    <cellStyle name="메모 3 5 2 2 3 3" xfId="24724"/>
    <cellStyle name="메모 3 5 2 2 4" xfId="24725"/>
    <cellStyle name="메모 3 5 2 2 5" xfId="24726"/>
    <cellStyle name="메모 3 5 2 2 6" xfId="24727"/>
    <cellStyle name="메모 3 5 2 3" xfId="24728"/>
    <cellStyle name="메모 3 5 2 3 2" xfId="24729"/>
    <cellStyle name="메모 3 5 2 3 2 2" xfId="24730"/>
    <cellStyle name="메모 3 5 2 3 2 2 2" xfId="24731"/>
    <cellStyle name="메모 3 5 2 3 2 2 3" xfId="24732"/>
    <cellStyle name="메모 3 5 2 3 2 3" xfId="24733"/>
    <cellStyle name="메모 3 5 2 3 2 4" xfId="24734"/>
    <cellStyle name="메모 3 5 2 3 3" xfId="24735"/>
    <cellStyle name="메모 3 5 2 3 3 2" xfId="24736"/>
    <cellStyle name="메모 3 5 2 3 3 3" xfId="24737"/>
    <cellStyle name="메모 3 5 2 3 4" xfId="24738"/>
    <cellStyle name="메모 3 5 2 3 5" xfId="24739"/>
    <cellStyle name="메모 3 5 2 4" xfId="24740"/>
    <cellStyle name="메모 3 5 2 4 2" xfId="24741"/>
    <cellStyle name="메모 3 5 2 4 2 2" xfId="24742"/>
    <cellStyle name="메모 3 5 2 4 2 3" xfId="24743"/>
    <cellStyle name="메모 3 5 2 4 3" xfId="24744"/>
    <cellStyle name="메모 3 5 2 4 4" xfId="24745"/>
    <cellStyle name="메모 3 5 2 5" xfId="24746"/>
    <cellStyle name="메모 3 5 2 5 2" xfId="24747"/>
    <cellStyle name="메모 3 5 2 5 3" xfId="24748"/>
    <cellStyle name="메모 3 5 2 6" xfId="24749"/>
    <cellStyle name="메모 3 5 2 7" xfId="24750"/>
    <cellStyle name="메모 3 5 2 8" xfId="24751"/>
    <cellStyle name="메모 3 5 3" xfId="24752"/>
    <cellStyle name="메모 3 5 3 2" xfId="24753"/>
    <cellStyle name="메모 3 5 3 2 2" xfId="24754"/>
    <cellStyle name="메모 3 5 3 2 2 2" xfId="24755"/>
    <cellStyle name="메모 3 5 3 2 2 2 2" xfId="24756"/>
    <cellStyle name="메모 3 5 3 2 2 2 3" xfId="24757"/>
    <cellStyle name="메모 3 5 3 2 2 3" xfId="24758"/>
    <cellStyle name="메모 3 5 3 2 2 4" xfId="24759"/>
    <cellStyle name="메모 3 5 3 2 3" xfId="24760"/>
    <cellStyle name="메모 3 5 3 2 3 2" xfId="24761"/>
    <cellStyle name="메모 3 5 3 2 3 3" xfId="24762"/>
    <cellStyle name="메모 3 5 3 2 4" xfId="24763"/>
    <cellStyle name="메모 3 5 3 2 5" xfId="24764"/>
    <cellStyle name="메모 3 5 3 2 6" xfId="24765"/>
    <cellStyle name="메모 3 5 3 3" xfId="24766"/>
    <cellStyle name="메모 3 5 3 3 2" xfId="24767"/>
    <cellStyle name="메모 3 5 3 3 2 2" xfId="24768"/>
    <cellStyle name="메모 3 5 3 3 2 2 2" xfId="24769"/>
    <cellStyle name="메모 3 5 3 3 2 2 3" xfId="24770"/>
    <cellStyle name="메모 3 5 3 3 2 3" xfId="24771"/>
    <cellStyle name="메모 3 5 3 3 2 4" xfId="24772"/>
    <cellStyle name="메모 3 5 3 3 3" xfId="24773"/>
    <cellStyle name="메모 3 5 3 3 3 2" xfId="24774"/>
    <cellStyle name="메모 3 5 3 3 3 3" xfId="24775"/>
    <cellStyle name="메모 3 5 3 3 4" xfId="24776"/>
    <cellStyle name="메모 3 5 3 3 5" xfId="24777"/>
    <cellStyle name="메모 3 5 3 4" xfId="24778"/>
    <cellStyle name="메모 3 5 3 4 2" xfId="24779"/>
    <cellStyle name="메모 3 5 3 4 2 2" xfId="24780"/>
    <cellStyle name="메모 3 5 3 4 2 3" xfId="24781"/>
    <cellStyle name="메모 3 5 3 4 3" xfId="24782"/>
    <cellStyle name="메모 3 5 3 4 4" xfId="24783"/>
    <cellStyle name="메모 3 5 3 5" xfId="24784"/>
    <cellStyle name="메모 3 5 3 5 2" xfId="24785"/>
    <cellStyle name="메모 3 5 3 5 3" xfId="24786"/>
    <cellStyle name="메모 3 5 3 6" xfId="24787"/>
    <cellStyle name="메모 3 5 3 7" xfId="24788"/>
    <cellStyle name="메모 3 5 3 8" xfId="24789"/>
    <cellStyle name="메모 3 5 4" xfId="24790"/>
    <cellStyle name="메모 3 5 4 2" xfId="24791"/>
    <cellStyle name="메모 3 5 4 2 2" xfId="24792"/>
    <cellStyle name="메모 3 5 4 2 2 2" xfId="24793"/>
    <cellStyle name="메모 3 5 4 2 2 3" xfId="24794"/>
    <cellStyle name="메모 3 5 4 2 3" xfId="24795"/>
    <cellStyle name="메모 3 5 4 2 4" xfId="24796"/>
    <cellStyle name="메모 3 5 4 2 5" xfId="24797"/>
    <cellStyle name="메모 3 5 4 3" xfId="24798"/>
    <cellStyle name="메모 3 5 4 3 2" xfId="24799"/>
    <cellStyle name="메모 3 5 4 3 3" xfId="24800"/>
    <cellStyle name="메모 3 5 4 4" xfId="24801"/>
    <cellStyle name="메모 3 5 4 5" xfId="24802"/>
    <cellStyle name="메모 3 5 4 6" xfId="24803"/>
    <cellStyle name="메모 3 5 5" xfId="24804"/>
    <cellStyle name="메모 3 5 5 2" xfId="24805"/>
    <cellStyle name="메모 3 5 5 2 2" xfId="24806"/>
    <cellStyle name="메모 3 5 5 2 2 2" xfId="24807"/>
    <cellStyle name="메모 3 5 5 2 2 3" xfId="24808"/>
    <cellStyle name="메모 3 5 5 2 3" xfId="24809"/>
    <cellStyle name="메모 3 5 5 2 4" xfId="24810"/>
    <cellStyle name="메모 3 5 5 2 5" xfId="24811"/>
    <cellStyle name="메모 3 5 5 3" xfId="24812"/>
    <cellStyle name="메모 3 5 5 3 2" xfId="24813"/>
    <cellStyle name="메모 3 5 5 3 3" xfId="24814"/>
    <cellStyle name="메모 3 5 5 4" xfId="24815"/>
    <cellStyle name="메모 3 5 5 5" xfId="24816"/>
    <cellStyle name="메모 3 5 5 6" xfId="24817"/>
    <cellStyle name="메모 3 5 6" xfId="24818"/>
    <cellStyle name="메모 3 5 6 2" xfId="24819"/>
    <cellStyle name="메모 3 5 6 2 2" xfId="24820"/>
    <cellStyle name="메모 3 5 6 2 2 2" xfId="24821"/>
    <cellStyle name="메모 3 5 6 2 2 3" xfId="24822"/>
    <cellStyle name="메모 3 5 6 2 3" xfId="24823"/>
    <cellStyle name="메모 3 5 6 2 4" xfId="24824"/>
    <cellStyle name="메모 3 5 6 2 5" xfId="24825"/>
    <cellStyle name="메모 3 5 6 3" xfId="24826"/>
    <cellStyle name="메모 3 5 6 3 2" xfId="24827"/>
    <cellStyle name="메모 3 5 6 3 3" xfId="24828"/>
    <cellStyle name="메모 3 5 6 4" xfId="24829"/>
    <cellStyle name="메모 3 5 6 5" xfId="24830"/>
    <cellStyle name="메모 3 5 6 6" xfId="24831"/>
    <cellStyle name="메모 3 5 7" xfId="24832"/>
    <cellStyle name="메모 3 5 7 2" xfId="24833"/>
    <cellStyle name="메모 3 5 7 2 2" xfId="24834"/>
    <cellStyle name="메모 3 5 7 2 3" xfId="24835"/>
    <cellStyle name="메모 3 5 7 2 4" xfId="24836"/>
    <cellStyle name="메모 3 5 7 3" xfId="24837"/>
    <cellStyle name="메모 3 5 7 4" xfId="24838"/>
    <cellStyle name="메모 3 5 7 5" xfId="24839"/>
    <cellStyle name="메모 3 5 8" xfId="24840"/>
    <cellStyle name="메모 3 5 8 2" xfId="24841"/>
    <cellStyle name="메모 3 5 8 2 2" xfId="24842"/>
    <cellStyle name="메모 3 5 8 3" xfId="24843"/>
    <cellStyle name="메모 3 5 8 3 2" xfId="24844"/>
    <cellStyle name="메모 3 5 8 4" xfId="24845"/>
    <cellStyle name="메모 3 5 9" xfId="24846"/>
    <cellStyle name="메모 3 5 9 2" xfId="24847"/>
    <cellStyle name="메모 3 5 9 3" xfId="24848"/>
    <cellStyle name="메모 3 5 9 4" xfId="24849"/>
    <cellStyle name="메모 3 6" xfId="24850"/>
    <cellStyle name="메모 3 6 2" xfId="24851"/>
    <cellStyle name="메모 3 6 2 2" xfId="24852"/>
    <cellStyle name="메모 3 6 2 2 2" xfId="24853"/>
    <cellStyle name="메모 3 6 2 2 2 2" xfId="24854"/>
    <cellStyle name="메모 3 6 2 2 2 3" xfId="24855"/>
    <cellStyle name="메모 3 6 2 2 3" xfId="24856"/>
    <cellStyle name="메모 3 6 2 2 4" xfId="24857"/>
    <cellStyle name="메모 3 6 2 3" xfId="24858"/>
    <cellStyle name="메모 3 6 2 3 2" xfId="24859"/>
    <cellStyle name="메모 3 6 2 3 3" xfId="24860"/>
    <cellStyle name="메모 3 6 2 4" xfId="24861"/>
    <cellStyle name="메모 3 6 2 5" xfId="24862"/>
    <cellStyle name="메모 3 6 3" xfId="24863"/>
    <cellStyle name="메모 3 6 3 2" xfId="24864"/>
    <cellStyle name="메모 3 6 3 2 2" xfId="24865"/>
    <cellStyle name="메모 3 6 3 2 2 2" xfId="24866"/>
    <cellStyle name="메모 3 6 3 2 2 3" xfId="24867"/>
    <cellStyle name="메모 3 6 3 2 3" xfId="24868"/>
    <cellStyle name="메모 3 6 3 2 4" xfId="24869"/>
    <cellStyle name="메모 3 6 3 3" xfId="24870"/>
    <cellStyle name="메모 3 6 3 3 2" xfId="24871"/>
    <cellStyle name="메모 3 6 3 3 3" xfId="24872"/>
    <cellStyle name="메모 3 6 3 4" xfId="24873"/>
    <cellStyle name="메모 3 6 3 5" xfId="24874"/>
    <cellStyle name="메모 3 6 4" xfId="24875"/>
    <cellStyle name="메모 3 6 4 2" xfId="24876"/>
    <cellStyle name="메모 3 6 4 2 2" xfId="24877"/>
    <cellStyle name="메모 3 6 4 2 3" xfId="24878"/>
    <cellStyle name="메모 3 6 4 3" xfId="24879"/>
    <cellStyle name="메모 3 6 4 4" xfId="24880"/>
    <cellStyle name="메모 3 6 5" xfId="24881"/>
    <cellStyle name="메모 3 6 5 2" xfId="24882"/>
    <cellStyle name="메모 3 6 5 3" xfId="24883"/>
    <cellStyle name="메모 3 6 6" xfId="24884"/>
    <cellStyle name="메모 3 6 7" xfId="24885"/>
    <cellStyle name="메모 3 7" xfId="24886"/>
    <cellStyle name="메모 3 7 2" xfId="24887"/>
    <cellStyle name="메모 3 7 2 2" xfId="24888"/>
    <cellStyle name="메모 3 7 2 2 2" xfId="24889"/>
    <cellStyle name="메모 3 7 2 2 2 2" xfId="24890"/>
    <cellStyle name="메모 3 7 2 2 2 3" xfId="24891"/>
    <cellStyle name="메모 3 7 2 2 3" xfId="24892"/>
    <cellStyle name="메모 3 7 2 2 4" xfId="24893"/>
    <cellStyle name="메모 3 7 2 3" xfId="24894"/>
    <cellStyle name="메모 3 7 2 3 2" xfId="24895"/>
    <cellStyle name="메모 3 7 2 3 3" xfId="24896"/>
    <cellStyle name="메모 3 7 2 4" xfId="24897"/>
    <cellStyle name="메모 3 7 2 5" xfId="24898"/>
    <cellStyle name="메모 3 7 3" xfId="24899"/>
    <cellStyle name="메모 3 7 3 2" xfId="24900"/>
    <cellStyle name="메모 3 7 3 2 2" xfId="24901"/>
    <cellStyle name="메모 3 7 3 2 2 2" xfId="24902"/>
    <cellStyle name="메모 3 7 3 2 2 3" xfId="24903"/>
    <cellStyle name="메모 3 7 3 2 3" xfId="24904"/>
    <cellStyle name="메모 3 7 3 2 4" xfId="24905"/>
    <cellStyle name="메모 3 7 3 3" xfId="24906"/>
    <cellStyle name="메모 3 7 3 3 2" xfId="24907"/>
    <cellStyle name="메모 3 7 3 3 3" xfId="24908"/>
    <cellStyle name="메모 3 7 3 4" xfId="24909"/>
    <cellStyle name="메모 3 7 3 5" xfId="24910"/>
    <cellStyle name="메모 3 7 4" xfId="24911"/>
    <cellStyle name="메모 3 7 4 2" xfId="24912"/>
    <cellStyle name="메모 3 7 4 2 2" xfId="24913"/>
    <cellStyle name="메모 3 7 4 2 3" xfId="24914"/>
    <cellStyle name="메모 3 7 4 3" xfId="24915"/>
    <cellStyle name="메모 3 7 4 4" xfId="24916"/>
    <cellStyle name="메모 3 7 5" xfId="24917"/>
    <cellStyle name="메모 3 7 5 2" xfId="24918"/>
    <cellStyle name="메모 3 7 5 3" xfId="24919"/>
    <cellStyle name="메모 3 7 6" xfId="24920"/>
    <cellStyle name="메모 3 7 7" xfId="24921"/>
    <cellStyle name="메모 3 8" xfId="24922"/>
    <cellStyle name="메모 3 8 2" xfId="24923"/>
    <cellStyle name="메모 3 8 2 2" xfId="24924"/>
    <cellStyle name="메모 3 8 2 2 2" xfId="24925"/>
    <cellStyle name="메모 3 8 2 2 3" xfId="24926"/>
    <cellStyle name="메모 3 8 2 3" xfId="24927"/>
    <cellStyle name="메모 3 8 2 4" xfId="24928"/>
    <cellStyle name="메모 3 8 3" xfId="24929"/>
    <cellStyle name="메모 3 8 3 2" xfId="24930"/>
    <cellStyle name="메모 3 8 3 3" xfId="24931"/>
    <cellStyle name="메모 3 8 4" xfId="24932"/>
    <cellStyle name="메모 3 8 5" xfId="24933"/>
    <cellStyle name="메모 3 9" xfId="24934"/>
    <cellStyle name="메모 3 9 2" xfId="24935"/>
    <cellStyle name="메모 3 9 2 2" xfId="24936"/>
    <cellStyle name="메모 3 9 2 2 2" xfId="24937"/>
    <cellStyle name="메모 3 9 2 2 3" xfId="24938"/>
    <cellStyle name="메모 3 9 2 3" xfId="24939"/>
    <cellStyle name="메모 3 9 2 4" xfId="24940"/>
    <cellStyle name="메모 3 9 3" xfId="24941"/>
    <cellStyle name="메모 3 9 3 2" xfId="24942"/>
    <cellStyle name="메모 3 9 3 3" xfId="24943"/>
    <cellStyle name="메모 3 9 4" xfId="24944"/>
    <cellStyle name="메모 3 9 5" xfId="24945"/>
    <cellStyle name="메모 30" xfId="24946"/>
    <cellStyle name="메모 31" xfId="24947"/>
    <cellStyle name="메모 32" xfId="24948"/>
    <cellStyle name="메모 33" xfId="24949"/>
    <cellStyle name="메모 34" xfId="24950"/>
    <cellStyle name="메모 35" xfId="24951"/>
    <cellStyle name="메모 36" xfId="24952"/>
    <cellStyle name="메모 37" xfId="24953"/>
    <cellStyle name="메모 38" xfId="24954"/>
    <cellStyle name="메모 39" xfId="24955"/>
    <cellStyle name="메모 4" xfId="24956"/>
    <cellStyle name="메모 4 10" xfId="24957"/>
    <cellStyle name="메모 4 10 2" xfId="24958"/>
    <cellStyle name="메모 4 10 2 2" xfId="24959"/>
    <cellStyle name="메모 4 10 2 3" xfId="24960"/>
    <cellStyle name="메모 4 10 3" xfId="24961"/>
    <cellStyle name="메모 4 10 4" xfId="24962"/>
    <cellStyle name="메모 4 11" xfId="24963"/>
    <cellStyle name="메모 4 11 2" xfId="24964"/>
    <cellStyle name="메모 4 11 3" xfId="24965"/>
    <cellStyle name="메모 4 12" xfId="24966"/>
    <cellStyle name="메모 4 13" xfId="24967"/>
    <cellStyle name="메모 4 14" xfId="24968"/>
    <cellStyle name="메모 4 15" xfId="24969"/>
    <cellStyle name="메모 4 2" xfId="24970"/>
    <cellStyle name="메모 4 2 10" xfId="24971"/>
    <cellStyle name="메모 4 2 11" xfId="24972"/>
    <cellStyle name="메모 4 2 12" xfId="24973"/>
    <cellStyle name="메모 4 2 2" xfId="24974"/>
    <cellStyle name="메모 4 2 2 2" xfId="24975"/>
    <cellStyle name="메모 4 2 2 2 2" xfId="24976"/>
    <cellStyle name="메모 4 2 2 2 2 2" xfId="24977"/>
    <cellStyle name="메모 4 2 2 2 2 2 2" xfId="24978"/>
    <cellStyle name="메모 4 2 2 2 2 2 3" xfId="24979"/>
    <cellStyle name="메모 4 2 2 2 2 3" xfId="24980"/>
    <cellStyle name="메모 4 2 2 2 2 4" xfId="24981"/>
    <cellStyle name="메모 4 2 2 2 3" xfId="24982"/>
    <cellStyle name="메모 4 2 2 2 3 2" xfId="24983"/>
    <cellStyle name="메모 4 2 2 2 3 3" xfId="24984"/>
    <cellStyle name="메모 4 2 2 2 4" xfId="24985"/>
    <cellStyle name="메모 4 2 2 2 5" xfId="24986"/>
    <cellStyle name="메모 4 2 2 3" xfId="24987"/>
    <cellStyle name="메모 4 2 2 3 2" xfId="24988"/>
    <cellStyle name="메모 4 2 2 3 2 2" xfId="24989"/>
    <cellStyle name="메모 4 2 2 3 2 2 2" xfId="24990"/>
    <cellStyle name="메모 4 2 2 3 2 2 3" xfId="24991"/>
    <cellStyle name="메모 4 2 2 3 2 3" xfId="24992"/>
    <cellStyle name="메모 4 2 2 3 2 4" xfId="24993"/>
    <cellStyle name="메모 4 2 2 3 3" xfId="24994"/>
    <cellStyle name="메모 4 2 2 3 3 2" xfId="24995"/>
    <cellStyle name="메모 4 2 2 3 3 3" xfId="24996"/>
    <cellStyle name="메모 4 2 2 3 4" xfId="24997"/>
    <cellStyle name="메모 4 2 2 3 5" xfId="24998"/>
    <cellStyle name="메모 4 2 2 4" xfId="24999"/>
    <cellStyle name="메모 4 2 2 4 2" xfId="25000"/>
    <cellStyle name="메모 4 2 2 4 2 2" xfId="25001"/>
    <cellStyle name="메모 4 2 2 4 2 3" xfId="25002"/>
    <cellStyle name="메모 4 2 2 4 3" xfId="25003"/>
    <cellStyle name="메모 4 2 2 4 4" xfId="25004"/>
    <cellStyle name="메모 4 2 2 5" xfId="25005"/>
    <cellStyle name="메모 4 2 2 5 2" xfId="25006"/>
    <cellStyle name="메모 4 2 2 5 3" xfId="25007"/>
    <cellStyle name="메모 4 2 2 6" xfId="25008"/>
    <cellStyle name="메모 4 2 2 7" xfId="25009"/>
    <cellStyle name="메모 4 2 2 8" xfId="25010"/>
    <cellStyle name="메모 4 2 2 9" xfId="25011"/>
    <cellStyle name="메모 4 2 3" xfId="25012"/>
    <cellStyle name="메모 4 2 3 2" xfId="25013"/>
    <cellStyle name="메모 4 2 3 2 2" xfId="25014"/>
    <cellStyle name="메모 4 2 3 2 2 2" xfId="25015"/>
    <cellStyle name="메모 4 2 3 2 2 2 2" xfId="25016"/>
    <cellStyle name="메모 4 2 3 2 2 2 3" xfId="25017"/>
    <cellStyle name="메모 4 2 3 2 2 3" xfId="25018"/>
    <cellStyle name="메모 4 2 3 2 2 4" xfId="25019"/>
    <cellStyle name="메모 4 2 3 2 3" xfId="25020"/>
    <cellStyle name="메모 4 2 3 2 3 2" xfId="25021"/>
    <cellStyle name="메모 4 2 3 2 3 3" xfId="25022"/>
    <cellStyle name="메모 4 2 3 2 4" xfId="25023"/>
    <cellStyle name="메모 4 2 3 2 5" xfId="25024"/>
    <cellStyle name="메모 4 2 3 3" xfId="25025"/>
    <cellStyle name="메모 4 2 3 3 2" xfId="25026"/>
    <cellStyle name="메모 4 2 3 3 2 2" xfId="25027"/>
    <cellStyle name="메모 4 2 3 3 2 2 2" xfId="25028"/>
    <cellStyle name="메모 4 2 3 3 2 2 3" xfId="25029"/>
    <cellStyle name="메모 4 2 3 3 2 3" xfId="25030"/>
    <cellStyle name="메모 4 2 3 3 2 4" xfId="25031"/>
    <cellStyle name="메모 4 2 3 3 3" xfId="25032"/>
    <cellStyle name="메모 4 2 3 3 3 2" xfId="25033"/>
    <cellStyle name="메모 4 2 3 3 3 3" xfId="25034"/>
    <cellStyle name="메모 4 2 3 3 4" xfId="25035"/>
    <cellStyle name="메모 4 2 3 3 5" xfId="25036"/>
    <cellStyle name="메모 4 2 3 4" xfId="25037"/>
    <cellStyle name="메모 4 2 3 4 2" xfId="25038"/>
    <cellStyle name="메모 4 2 3 4 2 2" xfId="25039"/>
    <cellStyle name="메모 4 2 3 4 2 3" xfId="25040"/>
    <cellStyle name="메모 4 2 3 4 3" xfId="25041"/>
    <cellStyle name="메모 4 2 3 4 4" xfId="25042"/>
    <cellStyle name="메모 4 2 3 5" xfId="25043"/>
    <cellStyle name="메모 4 2 3 5 2" xfId="25044"/>
    <cellStyle name="메모 4 2 3 5 3" xfId="25045"/>
    <cellStyle name="메모 4 2 3 6" xfId="25046"/>
    <cellStyle name="메모 4 2 3 7" xfId="25047"/>
    <cellStyle name="메모 4 2 4" xfId="25048"/>
    <cellStyle name="메모 4 2 4 2" xfId="25049"/>
    <cellStyle name="메모 4 2 4 2 2" xfId="25050"/>
    <cellStyle name="메모 4 2 4 2 2 2" xfId="25051"/>
    <cellStyle name="메모 4 2 4 2 2 3" xfId="25052"/>
    <cellStyle name="메모 4 2 4 2 3" xfId="25053"/>
    <cellStyle name="메모 4 2 4 2 4" xfId="25054"/>
    <cellStyle name="메모 4 2 4 3" xfId="25055"/>
    <cellStyle name="메모 4 2 4 3 2" xfId="25056"/>
    <cellStyle name="메모 4 2 4 3 3" xfId="25057"/>
    <cellStyle name="메모 4 2 4 4" xfId="25058"/>
    <cellStyle name="메모 4 2 4 5" xfId="25059"/>
    <cellStyle name="메모 4 2 5" xfId="25060"/>
    <cellStyle name="메모 4 2 5 2" xfId="25061"/>
    <cellStyle name="메모 4 2 5 2 2" xfId="25062"/>
    <cellStyle name="메모 4 2 5 2 2 2" xfId="25063"/>
    <cellStyle name="메모 4 2 5 2 2 3" xfId="25064"/>
    <cellStyle name="메모 4 2 5 2 3" xfId="25065"/>
    <cellStyle name="메모 4 2 5 2 4" xfId="25066"/>
    <cellStyle name="메모 4 2 5 3" xfId="25067"/>
    <cellStyle name="메모 4 2 5 3 2" xfId="25068"/>
    <cellStyle name="메모 4 2 5 3 3" xfId="25069"/>
    <cellStyle name="메모 4 2 5 4" xfId="25070"/>
    <cellStyle name="메모 4 2 5 5" xfId="25071"/>
    <cellStyle name="메모 4 2 6" xfId="25072"/>
    <cellStyle name="메모 4 2 6 2" xfId="25073"/>
    <cellStyle name="메모 4 2 6 2 2" xfId="25074"/>
    <cellStyle name="메모 4 2 6 2 2 2" xfId="25075"/>
    <cellStyle name="메모 4 2 6 2 2 3" xfId="25076"/>
    <cellStyle name="메모 4 2 6 2 3" xfId="25077"/>
    <cellStyle name="메모 4 2 6 2 4" xfId="25078"/>
    <cellStyle name="메모 4 2 6 3" xfId="25079"/>
    <cellStyle name="메모 4 2 6 3 2" xfId="25080"/>
    <cellStyle name="메모 4 2 6 3 3" xfId="25081"/>
    <cellStyle name="메모 4 2 6 4" xfId="25082"/>
    <cellStyle name="메모 4 2 6 5" xfId="25083"/>
    <cellStyle name="메모 4 2 7" xfId="25084"/>
    <cellStyle name="메모 4 2 7 2" xfId="25085"/>
    <cellStyle name="메모 4 2 7 2 2" xfId="25086"/>
    <cellStyle name="메모 4 2 7 2 3" xfId="25087"/>
    <cellStyle name="메모 4 2 7 3" xfId="25088"/>
    <cellStyle name="메모 4 2 7 4" xfId="25089"/>
    <cellStyle name="메모 4 2 8" xfId="25090"/>
    <cellStyle name="메모 4 2 8 2" xfId="25091"/>
    <cellStyle name="메모 4 2 8 3" xfId="25092"/>
    <cellStyle name="메모 4 2 9" xfId="25093"/>
    <cellStyle name="메모 4 3" xfId="25094"/>
    <cellStyle name="메모 4 3 10" xfId="25095"/>
    <cellStyle name="메모 4 3 11" xfId="25096"/>
    <cellStyle name="메모 4 3 12" xfId="25097"/>
    <cellStyle name="메모 4 3 2" xfId="25098"/>
    <cellStyle name="메모 4 3 2 2" xfId="25099"/>
    <cellStyle name="메모 4 3 2 2 2" xfId="25100"/>
    <cellStyle name="메모 4 3 2 2 2 2" xfId="25101"/>
    <cellStyle name="메모 4 3 2 2 2 2 2" xfId="25102"/>
    <cellStyle name="메모 4 3 2 2 2 2 3" xfId="25103"/>
    <cellStyle name="메모 4 3 2 2 2 3" xfId="25104"/>
    <cellStyle name="메모 4 3 2 2 2 4" xfId="25105"/>
    <cellStyle name="메모 4 3 2 2 3" xfId="25106"/>
    <cellStyle name="메모 4 3 2 2 3 2" xfId="25107"/>
    <cellStyle name="메모 4 3 2 2 3 3" xfId="25108"/>
    <cellStyle name="메모 4 3 2 2 4" xfId="25109"/>
    <cellStyle name="메모 4 3 2 2 5" xfId="25110"/>
    <cellStyle name="메모 4 3 2 3" xfId="25111"/>
    <cellStyle name="메모 4 3 2 3 2" xfId="25112"/>
    <cellStyle name="메모 4 3 2 3 2 2" xfId="25113"/>
    <cellStyle name="메모 4 3 2 3 2 2 2" xfId="25114"/>
    <cellStyle name="메모 4 3 2 3 2 2 3" xfId="25115"/>
    <cellStyle name="메모 4 3 2 3 2 3" xfId="25116"/>
    <cellStyle name="메모 4 3 2 3 2 4" xfId="25117"/>
    <cellStyle name="메모 4 3 2 3 3" xfId="25118"/>
    <cellStyle name="메모 4 3 2 3 3 2" xfId="25119"/>
    <cellStyle name="메모 4 3 2 3 3 3" xfId="25120"/>
    <cellStyle name="메모 4 3 2 3 4" xfId="25121"/>
    <cellStyle name="메모 4 3 2 3 5" xfId="25122"/>
    <cellStyle name="메모 4 3 2 4" xfId="25123"/>
    <cellStyle name="메모 4 3 2 4 2" xfId="25124"/>
    <cellStyle name="메모 4 3 2 4 2 2" xfId="25125"/>
    <cellStyle name="메모 4 3 2 4 2 3" xfId="25126"/>
    <cellStyle name="메모 4 3 2 4 3" xfId="25127"/>
    <cellStyle name="메모 4 3 2 4 4" xfId="25128"/>
    <cellStyle name="메모 4 3 2 5" xfId="25129"/>
    <cellStyle name="메모 4 3 2 5 2" xfId="25130"/>
    <cellStyle name="메모 4 3 2 5 3" xfId="25131"/>
    <cellStyle name="메모 4 3 2 6" xfId="25132"/>
    <cellStyle name="메모 4 3 2 7" xfId="25133"/>
    <cellStyle name="메모 4 3 2 8" xfId="25134"/>
    <cellStyle name="메모 4 3 2 9" xfId="25135"/>
    <cellStyle name="메모 4 3 3" xfId="25136"/>
    <cellStyle name="메모 4 3 3 2" xfId="25137"/>
    <cellStyle name="메모 4 3 3 2 2" xfId="25138"/>
    <cellStyle name="메모 4 3 3 2 2 2" xfId="25139"/>
    <cellStyle name="메모 4 3 3 2 2 2 2" xfId="25140"/>
    <cellStyle name="메모 4 3 3 2 2 2 3" xfId="25141"/>
    <cellStyle name="메모 4 3 3 2 2 3" xfId="25142"/>
    <cellStyle name="메모 4 3 3 2 2 4" xfId="25143"/>
    <cellStyle name="메모 4 3 3 2 3" xfId="25144"/>
    <cellStyle name="메모 4 3 3 2 3 2" xfId="25145"/>
    <cellStyle name="메모 4 3 3 2 3 3" xfId="25146"/>
    <cellStyle name="메모 4 3 3 2 4" xfId="25147"/>
    <cellStyle name="메모 4 3 3 2 5" xfId="25148"/>
    <cellStyle name="메모 4 3 3 3" xfId="25149"/>
    <cellStyle name="메모 4 3 3 3 2" xfId="25150"/>
    <cellStyle name="메모 4 3 3 3 2 2" xfId="25151"/>
    <cellStyle name="메모 4 3 3 3 2 2 2" xfId="25152"/>
    <cellStyle name="메모 4 3 3 3 2 2 3" xfId="25153"/>
    <cellStyle name="메모 4 3 3 3 2 3" xfId="25154"/>
    <cellStyle name="메모 4 3 3 3 2 4" xfId="25155"/>
    <cellStyle name="메모 4 3 3 3 3" xfId="25156"/>
    <cellStyle name="메모 4 3 3 3 3 2" xfId="25157"/>
    <cellStyle name="메모 4 3 3 3 3 3" xfId="25158"/>
    <cellStyle name="메모 4 3 3 3 4" xfId="25159"/>
    <cellStyle name="메모 4 3 3 3 5" xfId="25160"/>
    <cellStyle name="메모 4 3 3 4" xfId="25161"/>
    <cellStyle name="메모 4 3 3 4 2" xfId="25162"/>
    <cellStyle name="메모 4 3 3 4 2 2" xfId="25163"/>
    <cellStyle name="메모 4 3 3 4 2 3" xfId="25164"/>
    <cellStyle name="메모 4 3 3 4 3" xfId="25165"/>
    <cellStyle name="메모 4 3 3 4 4" xfId="25166"/>
    <cellStyle name="메모 4 3 3 5" xfId="25167"/>
    <cellStyle name="메모 4 3 3 5 2" xfId="25168"/>
    <cellStyle name="메모 4 3 3 5 3" xfId="25169"/>
    <cellStyle name="메모 4 3 3 6" xfId="25170"/>
    <cellStyle name="메모 4 3 3 7" xfId="25171"/>
    <cellStyle name="메모 4 3 4" xfId="25172"/>
    <cellStyle name="메모 4 3 4 2" xfId="25173"/>
    <cellStyle name="메모 4 3 4 2 2" xfId="25174"/>
    <cellStyle name="메모 4 3 4 2 2 2" xfId="25175"/>
    <cellStyle name="메모 4 3 4 2 2 3" xfId="25176"/>
    <cellStyle name="메모 4 3 4 2 3" xfId="25177"/>
    <cellStyle name="메모 4 3 4 2 4" xfId="25178"/>
    <cellStyle name="메모 4 3 4 3" xfId="25179"/>
    <cellStyle name="메모 4 3 4 3 2" xfId="25180"/>
    <cellStyle name="메모 4 3 4 3 3" xfId="25181"/>
    <cellStyle name="메모 4 3 4 4" xfId="25182"/>
    <cellStyle name="메모 4 3 4 5" xfId="25183"/>
    <cellStyle name="메모 4 3 5" xfId="25184"/>
    <cellStyle name="메모 4 3 5 2" xfId="25185"/>
    <cellStyle name="메모 4 3 5 2 2" xfId="25186"/>
    <cellStyle name="메모 4 3 5 2 2 2" xfId="25187"/>
    <cellStyle name="메모 4 3 5 2 2 3" xfId="25188"/>
    <cellStyle name="메모 4 3 5 2 3" xfId="25189"/>
    <cellStyle name="메모 4 3 5 2 4" xfId="25190"/>
    <cellStyle name="메모 4 3 5 3" xfId="25191"/>
    <cellStyle name="메모 4 3 5 3 2" xfId="25192"/>
    <cellStyle name="메모 4 3 5 3 3" xfId="25193"/>
    <cellStyle name="메모 4 3 5 4" xfId="25194"/>
    <cellStyle name="메모 4 3 5 5" xfId="25195"/>
    <cellStyle name="메모 4 3 6" xfId="25196"/>
    <cellStyle name="메모 4 3 6 2" xfId="25197"/>
    <cellStyle name="메모 4 3 6 2 2" xfId="25198"/>
    <cellStyle name="메모 4 3 6 2 2 2" xfId="25199"/>
    <cellStyle name="메모 4 3 6 2 2 3" xfId="25200"/>
    <cellStyle name="메모 4 3 6 2 3" xfId="25201"/>
    <cellStyle name="메모 4 3 6 2 4" xfId="25202"/>
    <cellStyle name="메모 4 3 6 3" xfId="25203"/>
    <cellStyle name="메모 4 3 6 3 2" xfId="25204"/>
    <cellStyle name="메모 4 3 6 3 3" xfId="25205"/>
    <cellStyle name="메모 4 3 6 4" xfId="25206"/>
    <cellStyle name="메모 4 3 6 5" xfId="25207"/>
    <cellStyle name="메모 4 3 7" xfId="25208"/>
    <cellStyle name="메모 4 3 7 2" xfId="25209"/>
    <cellStyle name="메모 4 3 7 2 2" xfId="25210"/>
    <cellStyle name="메모 4 3 7 2 3" xfId="25211"/>
    <cellStyle name="메모 4 3 7 3" xfId="25212"/>
    <cellStyle name="메모 4 3 7 4" xfId="25213"/>
    <cellStyle name="메모 4 3 8" xfId="25214"/>
    <cellStyle name="메모 4 3 8 2" xfId="25215"/>
    <cellStyle name="메모 4 3 8 3" xfId="25216"/>
    <cellStyle name="메모 4 3 9" xfId="25217"/>
    <cellStyle name="메모 4 4" xfId="25218"/>
    <cellStyle name="메모 4 4 10" xfId="25219"/>
    <cellStyle name="메모 4 4 11" xfId="25220"/>
    <cellStyle name="메모 4 4 12" xfId="25221"/>
    <cellStyle name="메모 4 4 2" xfId="25222"/>
    <cellStyle name="메모 4 4 2 2" xfId="25223"/>
    <cellStyle name="메모 4 4 2 2 2" xfId="25224"/>
    <cellStyle name="메모 4 4 2 2 2 2" xfId="25225"/>
    <cellStyle name="메모 4 4 2 2 2 2 2" xfId="25226"/>
    <cellStyle name="메모 4 4 2 2 2 2 3" xfId="25227"/>
    <cellStyle name="메모 4 4 2 2 2 3" xfId="25228"/>
    <cellStyle name="메모 4 4 2 2 2 4" xfId="25229"/>
    <cellStyle name="메모 4 4 2 2 3" xfId="25230"/>
    <cellStyle name="메모 4 4 2 2 3 2" xfId="25231"/>
    <cellStyle name="메모 4 4 2 2 3 3" xfId="25232"/>
    <cellStyle name="메모 4 4 2 2 4" xfId="25233"/>
    <cellStyle name="메모 4 4 2 2 5" xfId="25234"/>
    <cellStyle name="메모 4 4 2 3" xfId="25235"/>
    <cellStyle name="메모 4 4 2 3 2" xfId="25236"/>
    <cellStyle name="메모 4 4 2 3 2 2" xfId="25237"/>
    <cellStyle name="메모 4 4 2 3 2 2 2" xfId="25238"/>
    <cellStyle name="메모 4 4 2 3 2 2 3" xfId="25239"/>
    <cellStyle name="메모 4 4 2 3 2 3" xfId="25240"/>
    <cellStyle name="메모 4 4 2 3 2 4" xfId="25241"/>
    <cellStyle name="메모 4 4 2 3 3" xfId="25242"/>
    <cellStyle name="메모 4 4 2 3 3 2" xfId="25243"/>
    <cellStyle name="메모 4 4 2 3 3 3" xfId="25244"/>
    <cellStyle name="메모 4 4 2 3 4" xfId="25245"/>
    <cellStyle name="메모 4 4 2 3 5" xfId="25246"/>
    <cellStyle name="메모 4 4 2 4" xfId="25247"/>
    <cellStyle name="메모 4 4 2 4 2" xfId="25248"/>
    <cellStyle name="메모 4 4 2 4 2 2" xfId="25249"/>
    <cellStyle name="메모 4 4 2 4 2 3" xfId="25250"/>
    <cellStyle name="메모 4 4 2 4 3" xfId="25251"/>
    <cellStyle name="메모 4 4 2 4 4" xfId="25252"/>
    <cellStyle name="메모 4 4 2 5" xfId="25253"/>
    <cellStyle name="메모 4 4 2 5 2" xfId="25254"/>
    <cellStyle name="메모 4 4 2 5 3" xfId="25255"/>
    <cellStyle name="메모 4 4 2 6" xfId="25256"/>
    <cellStyle name="메모 4 4 2 7" xfId="25257"/>
    <cellStyle name="메모 4 4 3" xfId="25258"/>
    <cellStyle name="메모 4 4 3 2" xfId="25259"/>
    <cellStyle name="메모 4 4 3 2 2" xfId="25260"/>
    <cellStyle name="메모 4 4 3 2 2 2" xfId="25261"/>
    <cellStyle name="메모 4 4 3 2 2 2 2" xfId="25262"/>
    <cellStyle name="메모 4 4 3 2 2 2 3" xfId="25263"/>
    <cellStyle name="메모 4 4 3 2 2 3" xfId="25264"/>
    <cellStyle name="메모 4 4 3 2 2 4" xfId="25265"/>
    <cellStyle name="메모 4 4 3 2 3" xfId="25266"/>
    <cellStyle name="메모 4 4 3 2 3 2" xfId="25267"/>
    <cellStyle name="메모 4 4 3 2 3 3" xfId="25268"/>
    <cellStyle name="메모 4 4 3 2 4" xfId="25269"/>
    <cellStyle name="메모 4 4 3 2 5" xfId="25270"/>
    <cellStyle name="메모 4 4 3 3" xfId="25271"/>
    <cellStyle name="메모 4 4 3 3 2" xfId="25272"/>
    <cellStyle name="메모 4 4 3 3 2 2" xfId="25273"/>
    <cellStyle name="메모 4 4 3 3 2 2 2" xfId="25274"/>
    <cellStyle name="메모 4 4 3 3 2 2 3" xfId="25275"/>
    <cellStyle name="메모 4 4 3 3 2 3" xfId="25276"/>
    <cellStyle name="메모 4 4 3 3 2 4" xfId="25277"/>
    <cellStyle name="메모 4 4 3 3 3" xfId="25278"/>
    <cellStyle name="메모 4 4 3 3 3 2" xfId="25279"/>
    <cellStyle name="메모 4 4 3 3 3 3" xfId="25280"/>
    <cellStyle name="메모 4 4 3 3 4" xfId="25281"/>
    <cellStyle name="메모 4 4 3 3 5" xfId="25282"/>
    <cellStyle name="메모 4 4 3 4" xfId="25283"/>
    <cellStyle name="메모 4 4 3 4 2" xfId="25284"/>
    <cellStyle name="메모 4 4 3 4 2 2" xfId="25285"/>
    <cellStyle name="메모 4 4 3 4 2 3" xfId="25286"/>
    <cellStyle name="메모 4 4 3 4 3" xfId="25287"/>
    <cellStyle name="메모 4 4 3 4 4" xfId="25288"/>
    <cellStyle name="메모 4 4 3 5" xfId="25289"/>
    <cellStyle name="메모 4 4 3 5 2" xfId="25290"/>
    <cellStyle name="메모 4 4 3 5 3" xfId="25291"/>
    <cellStyle name="메모 4 4 3 6" xfId="25292"/>
    <cellStyle name="메모 4 4 3 7" xfId="25293"/>
    <cellStyle name="메모 4 4 4" xfId="25294"/>
    <cellStyle name="메모 4 4 4 2" xfId="25295"/>
    <cellStyle name="메모 4 4 4 2 2" xfId="25296"/>
    <cellStyle name="메모 4 4 4 2 2 2" xfId="25297"/>
    <cellStyle name="메모 4 4 4 2 2 3" xfId="25298"/>
    <cellStyle name="메모 4 4 4 2 3" xfId="25299"/>
    <cellStyle name="메모 4 4 4 2 4" xfId="25300"/>
    <cellStyle name="메모 4 4 4 3" xfId="25301"/>
    <cellStyle name="메모 4 4 4 3 2" xfId="25302"/>
    <cellStyle name="메모 4 4 4 3 3" xfId="25303"/>
    <cellStyle name="메모 4 4 4 4" xfId="25304"/>
    <cellStyle name="메모 4 4 4 5" xfId="25305"/>
    <cellStyle name="메모 4 4 5" xfId="25306"/>
    <cellStyle name="메모 4 4 5 2" xfId="25307"/>
    <cellStyle name="메모 4 4 5 2 2" xfId="25308"/>
    <cellStyle name="메모 4 4 5 2 2 2" xfId="25309"/>
    <cellStyle name="메모 4 4 5 2 2 3" xfId="25310"/>
    <cellStyle name="메모 4 4 5 2 3" xfId="25311"/>
    <cellStyle name="메모 4 4 5 2 4" xfId="25312"/>
    <cellStyle name="메모 4 4 5 3" xfId="25313"/>
    <cellStyle name="메모 4 4 5 3 2" xfId="25314"/>
    <cellStyle name="메모 4 4 5 3 3" xfId="25315"/>
    <cellStyle name="메모 4 4 5 4" xfId="25316"/>
    <cellStyle name="메모 4 4 5 5" xfId="25317"/>
    <cellStyle name="메모 4 4 6" xfId="25318"/>
    <cellStyle name="메모 4 4 6 2" xfId="25319"/>
    <cellStyle name="메모 4 4 6 2 2" xfId="25320"/>
    <cellStyle name="메모 4 4 6 2 2 2" xfId="25321"/>
    <cellStyle name="메모 4 4 6 2 2 3" xfId="25322"/>
    <cellStyle name="메모 4 4 6 2 3" xfId="25323"/>
    <cellStyle name="메모 4 4 6 2 4" xfId="25324"/>
    <cellStyle name="메모 4 4 6 3" xfId="25325"/>
    <cellStyle name="메모 4 4 6 3 2" xfId="25326"/>
    <cellStyle name="메모 4 4 6 3 3" xfId="25327"/>
    <cellStyle name="메모 4 4 6 4" xfId="25328"/>
    <cellStyle name="메모 4 4 6 5" xfId="25329"/>
    <cellStyle name="메모 4 4 7" xfId="25330"/>
    <cellStyle name="메모 4 4 7 2" xfId="25331"/>
    <cellStyle name="메모 4 4 7 2 2" xfId="25332"/>
    <cellStyle name="메모 4 4 7 2 3" xfId="25333"/>
    <cellStyle name="메모 4 4 7 3" xfId="25334"/>
    <cellStyle name="메모 4 4 7 4" xfId="25335"/>
    <cellStyle name="메모 4 4 8" xfId="25336"/>
    <cellStyle name="메모 4 4 8 2" xfId="25337"/>
    <cellStyle name="메모 4 4 8 3" xfId="25338"/>
    <cellStyle name="메모 4 4 9" xfId="25339"/>
    <cellStyle name="메모 4 5" xfId="25340"/>
    <cellStyle name="메모 4 5 2" xfId="25341"/>
    <cellStyle name="메모 4 5 2 2" xfId="25342"/>
    <cellStyle name="메모 4 5 2 2 2" xfId="25343"/>
    <cellStyle name="메모 4 5 2 2 2 2" xfId="25344"/>
    <cellStyle name="메모 4 5 2 2 2 3" xfId="25345"/>
    <cellStyle name="메모 4 5 2 2 3" xfId="25346"/>
    <cellStyle name="메모 4 5 2 2 4" xfId="25347"/>
    <cellStyle name="메모 4 5 2 3" xfId="25348"/>
    <cellStyle name="메모 4 5 2 3 2" xfId="25349"/>
    <cellStyle name="메모 4 5 2 3 3" xfId="25350"/>
    <cellStyle name="메모 4 5 2 4" xfId="25351"/>
    <cellStyle name="메모 4 5 2 5" xfId="25352"/>
    <cellStyle name="메모 4 5 3" xfId="25353"/>
    <cellStyle name="메모 4 5 3 2" xfId="25354"/>
    <cellStyle name="메모 4 5 3 2 2" xfId="25355"/>
    <cellStyle name="메모 4 5 3 2 2 2" xfId="25356"/>
    <cellStyle name="메모 4 5 3 2 2 3" xfId="25357"/>
    <cellStyle name="메모 4 5 3 2 3" xfId="25358"/>
    <cellStyle name="메모 4 5 3 2 4" xfId="25359"/>
    <cellStyle name="메모 4 5 3 3" xfId="25360"/>
    <cellStyle name="메모 4 5 3 3 2" xfId="25361"/>
    <cellStyle name="메모 4 5 3 3 3" xfId="25362"/>
    <cellStyle name="메모 4 5 3 4" xfId="25363"/>
    <cellStyle name="메모 4 5 3 5" xfId="25364"/>
    <cellStyle name="메모 4 5 4" xfId="25365"/>
    <cellStyle name="메모 4 5 4 2" xfId="25366"/>
    <cellStyle name="메모 4 5 4 2 2" xfId="25367"/>
    <cellStyle name="메모 4 5 4 2 3" xfId="25368"/>
    <cellStyle name="메모 4 5 4 3" xfId="25369"/>
    <cellStyle name="메모 4 5 4 4" xfId="25370"/>
    <cellStyle name="메모 4 5 5" xfId="25371"/>
    <cellStyle name="메모 4 5 5 2" xfId="25372"/>
    <cellStyle name="메모 4 5 5 3" xfId="25373"/>
    <cellStyle name="메모 4 5 6" xfId="25374"/>
    <cellStyle name="메모 4 5 7" xfId="25375"/>
    <cellStyle name="메모 4 6" xfId="25376"/>
    <cellStyle name="메모 4 6 2" xfId="25377"/>
    <cellStyle name="메모 4 6 2 2" xfId="25378"/>
    <cellStyle name="메모 4 6 2 2 2" xfId="25379"/>
    <cellStyle name="메모 4 6 2 2 2 2" xfId="25380"/>
    <cellStyle name="메모 4 6 2 2 2 3" xfId="25381"/>
    <cellStyle name="메모 4 6 2 2 3" xfId="25382"/>
    <cellStyle name="메모 4 6 2 2 4" xfId="25383"/>
    <cellStyle name="메모 4 6 2 3" xfId="25384"/>
    <cellStyle name="메모 4 6 2 3 2" xfId="25385"/>
    <cellStyle name="메모 4 6 2 3 3" xfId="25386"/>
    <cellStyle name="메모 4 6 2 4" xfId="25387"/>
    <cellStyle name="메모 4 6 2 5" xfId="25388"/>
    <cellStyle name="메모 4 6 3" xfId="25389"/>
    <cellStyle name="메모 4 6 3 2" xfId="25390"/>
    <cellStyle name="메모 4 6 3 2 2" xfId="25391"/>
    <cellStyle name="메모 4 6 3 2 2 2" xfId="25392"/>
    <cellStyle name="메모 4 6 3 2 2 3" xfId="25393"/>
    <cellStyle name="메모 4 6 3 2 3" xfId="25394"/>
    <cellStyle name="메모 4 6 3 2 4" xfId="25395"/>
    <cellStyle name="메모 4 6 3 3" xfId="25396"/>
    <cellStyle name="메모 4 6 3 3 2" xfId="25397"/>
    <cellStyle name="메모 4 6 3 3 3" xfId="25398"/>
    <cellStyle name="메모 4 6 3 4" xfId="25399"/>
    <cellStyle name="메모 4 6 3 5" xfId="25400"/>
    <cellStyle name="메모 4 6 4" xfId="25401"/>
    <cellStyle name="메모 4 6 4 2" xfId="25402"/>
    <cellStyle name="메모 4 6 4 2 2" xfId="25403"/>
    <cellStyle name="메모 4 6 4 2 3" xfId="25404"/>
    <cellStyle name="메모 4 6 4 3" xfId="25405"/>
    <cellStyle name="메모 4 6 4 4" xfId="25406"/>
    <cellStyle name="메모 4 6 5" xfId="25407"/>
    <cellStyle name="메모 4 6 5 2" xfId="25408"/>
    <cellStyle name="메모 4 6 5 3" xfId="25409"/>
    <cellStyle name="메모 4 6 6" xfId="25410"/>
    <cellStyle name="메모 4 6 7" xfId="25411"/>
    <cellStyle name="메모 4 7" xfId="25412"/>
    <cellStyle name="메모 4 7 2" xfId="25413"/>
    <cellStyle name="메모 4 7 2 2" xfId="25414"/>
    <cellStyle name="메모 4 7 2 2 2" xfId="25415"/>
    <cellStyle name="메모 4 7 2 2 3" xfId="25416"/>
    <cellStyle name="메모 4 7 2 3" xfId="25417"/>
    <cellStyle name="메모 4 7 2 4" xfId="25418"/>
    <cellStyle name="메모 4 7 3" xfId="25419"/>
    <cellStyle name="메모 4 7 3 2" xfId="25420"/>
    <cellStyle name="메모 4 7 3 3" xfId="25421"/>
    <cellStyle name="메모 4 7 4" xfId="25422"/>
    <cellStyle name="메모 4 7 5" xfId="25423"/>
    <cellStyle name="메모 4 8" xfId="25424"/>
    <cellStyle name="메모 4 8 2" xfId="25425"/>
    <cellStyle name="메모 4 8 2 2" xfId="25426"/>
    <cellStyle name="메모 4 8 2 2 2" xfId="25427"/>
    <cellStyle name="메모 4 8 2 2 3" xfId="25428"/>
    <cellStyle name="메모 4 8 2 3" xfId="25429"/>
    <cellStyle name="메모 4 8 2 4" xfId="25430"/>
    <cellStyle name="메모 4 8 3" xfId="25431"/>
    <cellStyle name="메모 4 8 3 2" xfId="25432"/>
    <cellStyle name="메모 4 8 3 3" xfId="25433"/>
    <cellStyle name="메모 4 8 4" xfId="25434"/>
    <cellStyle name="메모 4 8 5" xfId="25435"/>
    <cellStyle name="메모 4 9" xfId="25436"/>
    <cellStyle name="메모 4 9 2" xfId="25437"/>
    <cellStyle name="메모 4 9 2 2" xfId="25438"/>
    <cellStyle name="메모 4 9 2 2 2" xfId="25439"/>
    <cellStyle name="메모 4 9 2 2 3" xfId="25440"/>
    <cellStyle name="메모 4 9 2 3" xfId="25441"/>
    <cellStyle name="메모 4 9 2 4" xfId="25442"/>
    <cellStyle name="메모 4 9 3" xfId="25443"/>
    <cellStyle name="메모 4 9 3 2" xfId="25444"/>
    <cellStyle name="메모 4 9 3 3" xfId="25445"/>
    <cellStyle name="메모 4 9 4" xfId="25446"/>
    <cellStyle name="메모 4 9 5" xfId="25447"/>
    <cellStyle name="메모 40" xfId="25448"/>
    <cellStyle name="메모 41" xfId="25449"/>
    <cellStyle name="메모 42" xfId="25450"/>
    <cellStyle name="메모 43" xfId="25451"/>
    <cellStyle name="메모 44" xfId="25452"/>
    <cellStyle name="메모 45" xfId="25453"/>
    <cellStyle name="메모 46" xfId="25454"/>
    <cellStyle name="메모 47" xfId="25455"/>
    <cellStyle name="메모 48" xfId="25456"/>
    <cellStyle name="메모 49" xfId="25457"/>
    <cellStyle name="메모 5" xfId="25458"/>
    <cellStyle name="메모 5 2" xfId="25459"/>
    <cellStyle name="메모 5 2 2" xfId="25460"/>
    <cellStyle name="메모 5 2 2 2" xfId="25461"/>
    <cellStyle name="메모 5 2 2 2 2" xfId="25462"/>
    <cellStyle name="메모 5 2 2 2 3" xfId="25463"/>
    <cellStyle name="메모 5 2 2 3" xfId="25464"/>
    <cellStyle name="메모 5 2 2 4" xfId="25465"/>
    <cellStyle name="메모 5 2 3" xfId="25466"/>
    <cellStyle name="메모 5 2 3 2" xfId="25467"/>
    <cellStyle name="메모 5 2 3 3" xfId="25468"/>
    <cellStyle name="메모 5 2 4" xfId="25469"/>
    <cellStyle name="메모 5 2 5" xfId="25470"/>
    <cellStyle name="메모 5 3" xfId="25471"/>
    <cellStyle name="메모 5 3 2" xfId="25472"/>
    <cellStyle name="메모 5 3 2 2" xfId="25473"/>
    <cellStyle name="메모 5 3 2 2 2" xfId="25474"/>
    <cellStyle name="메모 5 3 2 2 3" xfId="25475"/>
    <cellStyle name="메모 5 3 2 3" xfId="25476"/>
    <cellStyle name="메모 5 3 2 4" xfId="25477"/>
    <cellStyle name="메모 5 3 3" xfId="25478"/>
    <cellStyle name="메모 5 3 3 2" xfId="25479"/>
    <cellStyle name="메모 5 3 3 3" xfId="25480"/>
    <cellStyle name="메모 5 3 4" xfId="25481"/>
    <cellStyle name="메모 5 3 5" xfId="25482"/>
    <cellStyle name="메모 5 4" xfId="25483"/>
    <cellStyle name="메모 5 4 2" xfId="25484"/>
    <cellStyle name="메모 5 4 2 2" xfId="25485"/>
    <cellStyle name="메모 5 4 2 3" xfId="25486"/>
    <cellStyle name="메모 5 4 3" xfId="25487"/>
    <cellStyle name="메모 5 4 4" xfId="25488"/>
    <cellStyle name="메모 5 5" xfId="25489"/>
    <cellStyle name="메모 5 5 2" xfId="25490"/>
    <cellStyle name="메모 5 5 3" xfId="25491"/>
    <cellStyle name="메모 5 6" xfId="25492"/>
    <cellStyle name="메모 5 7" xfId="25493"/>
    <cellStyle name="메모 5 8" xfId="25494"/>
    <cellStyle name="메모 50" xfId="25495"/>
    <cellStyle name="메모 51" xfId="25496"/>
    <cellStyle name="메모 52" xfId="25497"/>
    <cellStyle name="메모 53" xfId="25498"/>
    <cellStyle name="메모 54" xfId="25499"/>
    <cellStyle name="메모 55" xfId="25500"/>
    <cellStyle name="메모 56" xfId="25501"/>
    <cellStyle name="메모 57" xfId="25502"/>
    <cellStyle name="메모 58" xfId="25503"/>
    <cellStyle name="메모 59" xfId="25504"/>
    <cellStyle name="메모 6" xfId="25505"/>
    <cellStyle name="메모 6 2" xfId="25506"/>
    <cellStyle name="메모 6 2 2" xfId="25507"/>
    <cellStyle name="메모 6 2 3" xfId="25508"/>
    <cellStyle name="메모 6 3" xfId="25509"/>
    <cellStyle name="메모 6 4" xfId="25510"/>
    <cellStyle name="메모 7" xfId="25511"/>
    <cellStyle name="메모 7 2" xfId="25512"/>
    <cellStyle name="메모 7 3" xfId="25513"/>
    <cellStyle name="메모 8" xfId="25514"/>
    <cellStyle name="메모 8 2" xfId="25515"/>
    <cellStyle name="메모 8 3" xfId="25516"/>
    <cellStyle name="메모 9" xfId="25517"/>
    <cellStyle name="메모 9 2" xfId="25518"/>
    <cellStyle name="메모 9 3" xfId="25519"/>
    <cellStyle name="묮뎋 [0.00]_PRODUCT DETAIL Q1" xfId="25520"/>
    <cellStyle name="묮뎋_PRODUCT DETAIL Q1" xfId="25521"/>
    <cellStyle name="믅됞 [0.00]_NT Server " xfId="25522"/>
    <cellStyle name="믅됞_NT Server " xfId="25523"/>
    <cellStyle name="백" xfId="25524"/>
    <cellStyle name="백_ROTATION 유동" xfId="25525"/>
    <cellStyle name="백_ROTATION 유동_도금 열처리 주단조 평가품의(040329)" xfId="25526"/>
    <cellStyle name="백_ROTATION 유동_도금 열처리 주단조 평가품의(040329)_도금 열처리 주단조 평가품의(040329)" xfId="25527"/>
    <cellStyle name="백_ROTATION 유동_도금 열처리 주단조 평가품의(040329)업체" xfId="25528"/>
    <cellStyle name="백_ROTATION 유동_열처리결과품의(031017)개발" xfId="25529"/>
    <cellStyle name="백_ROTATION 유동_열처리결과품의(031017)개발_도금 열처리 주단조 평가품의(040329)" xfId="25530"/>
    <cellStyle name="백_ROTATION 유동_용접업종 평가결과품의(040510)" xfId="25531"/>
    <cellStyle name="백_ROTATION 유동_용접업종 평가결과품의(040510)_용접업종 평가결과품의(040510)" xfId="25532"/>
    <cellStyle name="백_ROTATION 유동_용접업종 평가결과품의(040510)_용접업종 평가결과품의(040510)(1)" xfId="25533"/>
    <cellStyle name="백_ROTATION 유동_용접업종 평가결과품의(040510)_주단조용접업종 평가결과품의(040510)(1)" xfId="25534"/>
    <cellStyle name="백_ROTATION 유동_주단조 업종 평가결과품의(040407)" xfId="25535"/>
    <cellStyle name="백_ROTATION 유동_주단조 업종 평가결과품의(040407)_용접업종 평가결과품의(040510)" xfId="25536"/>
    <cellStyle name="백_ROTATION 유동_주단조 업종 평가결과품의(040407)_용접업종 평가결과품의(040510)(1)" xfId="25537"/>
    <cellStyle name="백_ROTATION 유동_주단조 업종 평가결과품의(040407)_주단조용접업종 평가결과품의(040510)(1)" xfId="25538"/>
    <cellStyle name="백_ROTATION 유동_주단조 업종 평가결과품의(040416)(1)" xfId="25539"/>
    <cellStyle name="백_ROTATION 유동_주단조 업종 평가결과품의(040416)(1)_용접업종 평가결과품의(040510)" xfId="25540"/>
    <cellStyle name="백_ROTATION 유동_주단조 업종 평가결과품의(040416)(1)_용접업종 평가결과품의(040510)(1)" xfId="25541"/>
    <cellStyle name="백_ROTATION 유동_주단조 업종 평가결과품의(040416)(1)_주단조용접업종 평가결과품의(040510)(1)" xfId="25542"/>
    <cellStyle name="백_ROTATION 유동_최신-SQ인증업체현황1343사(03년평가완료031229수정)" xfId="25543"/>
    <cellStyle name="백_ROTATION 유동_최신-SQ인증업체현황1343사(03년평가완료031229수정)_용접업종 평가결과품의(040510)" xfId="25544"/>
    <cellStyle name="백_ROTATION 유동_최신-SQ인증업체현황1343사(03년평가완료031229수정)_용접업종 평가결과품의(040510)(1)" xfId="25545"/>
    <cellStyle name="백_ROTATION 유동_최신-SQ인증업체현황1343사(03년평가완료031229수정)_주단조용접업종 평가결과품의(040510)(1)" xfId="25546"/>
    <cellStyle name="백_SLIDE 폭" xfId="25547"/>
    <cellStyle name="백_SLIDE 폭_도금 열처리 주단조 평가품의(040329)" xfId="25548"/>
    <cellStyle name="백_SLIDE 폭_도금 열처리 주단조 평가품의(040329)_도금 열처리 주단조 평가품의(040329)" xfId="25549"/>
    <cellStyle name="백_SLIDE 폭_도금 열처리 주단조 평가품의(040329)업체" xfId="25550"/>
    <cellStyle name="백_SLIDE 폭_열처리결과품의(031017)개발" xfId="25551"/>
    <cellStyle name="백_SLIDE 폭_열처리결과품의(031017)개발_도금 열처리 주단조 평가품의(040329)" xfId="25552"/>
    <cellStyle name="백_SLIDE 폭_용접업종 평가결과품의(040510)" xfId="25553"/>
    <cellStyle name="백_SLIDE 폭_용접업종 평가결과품의(040510)_용접업종 평가결과품의(040510)" xfId="25554"/>
    <cellStyle name="백_SLIDE 폭_용접업종 평가결과품의(040510)_용접업종 평가결과품의(040510)(1)" xfId="25555"/>
    <cellStyle name="백_SLIDE 폭_용접업종 평가결과품의(040510)_주단조용접업종 평가결과품의(040510)(1)" xfId="25556"/>
    <cellStyle name="백_SLIDE 폭_주단조 업종 평가결과품의(040407)" xfId="25557"/>
    <cellStyle name="백_SLIDE 폭_주단조 업종 평가결과품의(040407)_용접업종 평가결과품의(040510)" xfId="25558"/>
    <cellStyle name="백_SLIDE 폭_주단조 업종 평가결과품의(040407)_용접업종 평가결과품의(040510)(1)" xfId="25559"/>
    <cellStyle name="백_SLIDE 폭_주단조 업종 평가결과품의(040407)_주단조용접업종 평가결과품의(040510)(1)" xfId="25560"/>
    <cellStyle name="백_SLIDE 폭_주단조 업종 평가결과품의(040416)(1)" xfId="25561"/>
    <cellStyle name="백_SLIDE 폭_주단조 업종 평가결과품의(040416)(1)_용접업종 평가결과품의(040510)" xfId="25562"/>
    <cellStyle name="백_SLIDE 폭_주단조 업종 평가결과품의(040416)(1)_용접업종 평가결과품의(040510)(1)" xfId="25563"/>
    <cellStyle name="백_SLIDE 폭_주단조 업종 평가결과품의(040416)(1)_주단조용접업종 평가결과품의(040510)(1)" xfId="25564"/>
    <cellStyle name="백_SLIDE 폭_최신-SQ인증업체현황1343사(03년평가완료031229수정)" xfId="25565"/>
    <cellStyle name="백_SLIDE 폭_최신-SQ인증업체현황1343사(03년평가완료031229수정)_용접업종 평가결과품의(040510)" xfId="25566"/>
    <cellStyle name="백_SLIDE 폭_최신-SQ인증업체현황1343사(03년평가완료031229수정)_용접업종 평가결과품의(040510)(1)" xfId="25567"/>
    <cellStyle name="백_SLIDE 폭_최신-SQ인증업체현황1343사(03년평가완료031229수정)_주단조용접업종 평가결과품의(040510)(1)" xfId="25568"/>
    <cellStyle name="백_도금 열처리 주단조 평가품의(040329)" xfId="25569"/>
    <cellStyle name="백_도금 열처리 주단조 평가품의(040329)_도금 열처리 주단조 평가품의(040329)" xfId="25570"/>
    <cellStyle name="백_도금 열처리 주단조 평가품의(040329)업체" xfId="25571"/>
    <cellStyle name="백_사전회의(1208)" xfId="25572"/>
    <cellStyle name="백_사전회의(1208)_ROTATION 유동" xfId="25573"/>
    <cellStyle name="백_사전회의(1208)_ROTATION 유동_도금 열처리 주단조 평가품의(040329)" xfId="25574"/>
    <cellStyle name="백_사전회의(1208)_ROTATION 유동_도금 열처리 주단조 평가품의(040329)_도금 열처리 주단조 평가품의(040329)" xfId="25575"/>
    <cellStyle name="백_사전회의(1208)_ROTATION 유동_도금 열처리 주단조 평가품의(040329)업체" xfId="25576"/>
    <cellStyle name="백_사전회의(1208)_ROTATION 유동_열처리결과품의(031017)개발" xfId="25577"/>
    <cellStyle name="백_사전회의(1208)_ROTATION 유동_열처리결과품의(031017)개발_도금 열처리 주단조 평가품의(040329)" xfId="25578"/>
    <cellStyle name="백_사전회의(1208)_ROTATION 유동_용접업종 평가결과품의(040510)" xfId="25579"/>
    <cellStyle name="백_사전회의(1208)_ROTATION 유동_용접업종 평가결과품의(040510)_용접업종 평가결과품의(040510)" xfId="25580"/>
    <cellStyle name="백_사전회의(1208)_ROTATION 유동_용접업종 평가결과품의(040510)_용접업종 평가결과품의(040510)(1)" xfId="25581"/>
    <cellStyle name="백_사전회의(1208)_ROTATION 유동_용접업종 평가결과품의(040510)_주단조용접업종 평가결과품의(040510)(1)" xfId="25582"/>
    <cellStyle name="백_사전회의(1208)_ROTATION 유동_주단조 업종 평가결과품의(040407)" xfId="25583"/>
    <cellStyle name="백_사전회의(1208)_ROTATION 유동_주단조 업종 평가결과품의(040407)_용접업종 평가결과품의(040510)" xfId="25584"/>
    <cellStyle name="백_사전회의(1208)_ROTATION 유동_주단조 업종 평가결과품의(040407)_용접업종 평가결과품의(040510)(1)" xfId="25585"/>
    <cellStyle name="백_사전회의(1208)_ROTATION 유동_주단조 업종 평가결과품의(040407)_주단조용접업종 평가결과품의(040510)(1)" xfId="25586"/>
    <cellStyle name="백_사전회의(1208)_ROTATION 유동_주단조 업종 평가결과품의(040416)(1)" xfId="25587"/>
    <cellStyle name="백_사전회의(1208)_ROTATION 유동_주단조 업종 평가결과품의(040416)(1)_용접업종 평가결과품의(040510)" xfId="25588"/>
    <cellStyle name="백_사전회의(1208)_ROTATION 유동_주단조 업종 평가결과품의(040416)(1)_용접업종 평가결과품의(040510)(1)" xfId="25589"/>
    <cellStyle name="백_사전회의(1208)_ROTATION 유동_주단조 업종 평가결과품의(040416)(1)_주단조용접업종 평가결과품의(040510)(1)" xfId="25590"/>
    <cellStyle name="백_사전회의(1208)_ROTATION 유동_최신-SQ인증업체현황1343사(03년평가완료031229수정)" xfId="25591"/>
    <cellStyle name="백_사전회의(1208)_ROTATION 유동_최신-SQ인증업체현황1343사(03년평가완료031229수정)_용접업종 평가결과품의(040510)" xfId="25592"/>
    <cellStyle name="백_사전회의(1208)_ROTATION 유동_최신-SQ인증업체현황1343사(03년평가완료031229수정)_용접업종 평가결과품의(040510)(1)" xfId="25593"/>
    <cellStyle name="백_사전회의(1208)_ROTATION 유동_최신-SQ인증업체현황1343사(03년평가완료031229수정)_주단조용접업종 평가결과품의(040510)(1)" xfId="25594"/>
    <cellStyle name="백_사전회의(1208)_SLIDE 폭" xfId="25595"/>
    <cellStyle name="백_사전회의(1208)_SLIDE 폭_도금 열처리 주단조 평가품의(040329)" xfId="25596"/>
    <cellStyle name="백_사전회의(1208)_SLIDE 폭_도금 열처리 주단조 평가품의(040329)_도금 열처리 주단조 평가품의(040329)" xfId="25597"/>
    <cellStyle name="백_사전회의(1208)_SLIDE 폭_도금 열처리 주단조 평가품의(040329)업체" xfId="25598"/>
    <cellStyle name="백_사전회의(1208)_SLIDE 폭_열처리결과품의(031017)개발" xfId="25599"/>
    <cellStyle name="백_사전회의(1208)_SLIDE 폭_열처리결과품의(031017)개발_도금 열처리 주단조 평가품의(040329)" xfId="25600"/>
    <cellStyle name="백_사전회의(1208)_SLIDE 폭_용접업종 평가결과품의(040510)" xfId="25601"/>
    <cellStyle name="백_사전회의(1208)_SLIDE 폭_용접업종 평가결과품의(040510)_용접업종 평가결과품의(040510)" xfId="25602"/>
    <cellStyle name="백_사전회의(1208)_SLIDE 폭_용접업종 평가결과품의(040510)_용접업종 평가결과품의(040510)(1)" xfId="25603"/>
    <cellStyle name="백_사전회의(1208)_SLIDE 폭_용접업종 평가결과품의(040510)_주단조용접업종 평가결과품의(040510)(1)" xfId="25604"/>
    <cellStyle name="백_사전회의(1208)_SLIDE 폭_주단조 업종 평가결과품의(040407)" xfId="25605"/>
    <cellStyle name="백_사전회의(1208)_SLIDE 폭_주단조 업종 평가결과품의(040407)_용접업종 평가결과품의(040510)" xfId="25606"/>
    <cellStyle name="백_사전회의(1208)_SLIDE 폭_주단조 업종 평가결과품의(040407)_용접업종 평가결과품의(040510)(1)" xfId="25607"/>
    <cellStyle name="백_사전회의(1208)_SLIDE 폭_주단조 업종 평가결과품의(040407)_주단조용접업종 평가결과품의(040510)(1)" xfId="25608"/>
    <cellStyle name="백_사전회의(1208)_SLIDE 폭_주단조 업종 평가결과품의(040416)(1)" xfId="25609"/>
    <cellStyle name="백_사전회의(1208)_SLIDE 폭_주단조 업종 평가결과품의(040416)(1)_용접업종 평가결과품의(040510)" xfId="25610"/>
    <cellStyle name="백_사전회의(1208)_SLIDE 폭_주단조 업종 평가결과품의(040416)(1)_용접업종 평가결과품의(040510)(1)" xfId="25611"/>
    <cellStyle name="백_사전회의(1208)_SLIDE 폭_주단조 업종 평가결과품의(040416)(1)_주단조용접업종 평가결과품의(040510)(1)" xfId="25612"/>
    <cellStyle name="백_사전회의(1208)_SLIDE 폭_최신-SQ인증업체현황1343사(03년평가완료031229수정)" xfId="25613"/>
    <cellStyle name="백_사전회의(1208)_SLIDE 폭_최신-SQ인증업체현황1343사(03년평가완료031229수정)_용접업종 평가결과품의(040510)" xfId="25614"/>
    <cellStyle name="백_사전회의(1208)_SLIDE 폭_최신-SQ인증업체현황1343사(03년평가완료031229수정)_용접업종 평가결과품의(040510)(1)" xfId="25615"/>
    <cellStyle name="백_사전회의(1208)_SLIDE 폭_최신-SQ인증업체현황1343사(03년평가완료031229수정)_주단조용접업종 평가결과품의(040510)(1)" xfId="25616"/>
    <cellStyle name="백_사전회의(1208)_도금 열처리 주단조 평가품의(040329)" xfId="25617"/>
    <cellStyle name="백_사전회의(1208)_도금 열처리 주단조 평가품의(040329)_도금 열처리 주단조 평가품의(040329)" xfId="25618"/>
    <cellStyle name="백_사전회의(1208)_도금 열처리 주단조 평가품의(040329)업체" xfId="25619"/>
    <cellStyle name="백_사전회의(1208)_새벽시장1" xfId="25620"/>
    <cellStyle name="백_사전회의(1208)_새벽시장1_도금 열처리 주단조 평가품의(040329)" xfId="25621"/>
    <cellStyle name="백_사전회의(1208)_새벽시장1_도금 열처리 주단조 평가품의(040329)_도금 열처리 주단조 평가품의(040329)" xfId="25622"/>
    <cellStyle name="백_사전회의(1208)_새벽시장1_도금 열처리 주단조 평가품의(040329)업체" xfId="25623"/>
    <cellStyle name="백_사전회의(1208)_새벽시장1_열처리결과품의(031017)개발" xfId="25624"/>
    <cellStyle name="백_사전회의(1208)_새벽시장1_열처리결과품의(031017)개발_도금 열처리 주단조 평가품의(040329)" xfId="25625"/>
    <cellStyle name="백_사전회의(1208)_새벽시장1_용접업종 평가결과품의(040510)" xfId="25626"/>
    <cellStyle name="백_사전회의(1208)_새벽시장1_용접업종 평가결과품의(040510)_용접업종 평가결과품의(040510)" xfId="25627"/>
    <cellStyle name="백_사전회의(1208)_새벽시장1_용접업종 평가결과품의(040510)_용접업종 평가결과품의(040510)(1)" xfId="25628"/>
    <cellStyle name="백_사전회의(1208)_새벽시장1_용접업종 평가결과품의(040510)_주단조용접업종 평가결과품의(040510)(1)" xfId="25629"/>
    <cellStyle name="백_사전회의(1208)_새벽시장1_주단조 업종 평가결과품의(040407)" xfId="25630"/>
    <cellStyle name="백_사전회의(1208)_새벽시장1_주단조 업종 평가결과품의(040407)_용접업종 평가결과품의(040510)" xfId="25631"/>
    <cellStyle name="백_사전회의(1208)_새벽시장1_주단조 업종 평가결과품의(040407)_용접업종 평가결과품의(040510)(1)" xfId="25632"/>
    <cellStyle name="백_사전회의(1208)_새벽시장1_주단조 업종 평가결과품의(040407)_주단조용접업종 평가결과품의(040510)(1)" xfId="25633"/>
    <cellStyle name="백_사전회의(1208)_새벽시장1_주단조 업종 평가결과품의(040416)(1)" xfId="25634"/>
    <cellStyle name="백_사전회의(1208)_새벽시장1_주단조 업종 평가결과품의(040416)(1)_용접업종 평가결과품의(040510)" xfId="25635"/>
    <cellStyle name="백_사전회의(1208)_새벽시장1_주단조 업종 평가결과품의(040416)(1)_용접업종 평가결과품의(040510)(1)" xfId="25636"/>
    <cellStyle name="백_사전회의(1208)_새벽시장1_주단조 업종 평가결과품의(040416)(1)_주단조용접업종 평가결과품의(040510)(1)" xfId="25637"/>
    <cellStyle name="백_사전회의(1208)_새벽시장1_최신-SQ인증업체현황1343사(03년평가완료031229수정)" xfId="25638"/>
    <cellStyle name="백_사전회의(1208)_새벽시장1_최신-SQ인증업체현황1343사(03년평가완료031229수정)_용접업종 평가결과품의(040510)" xfId="25639"/>
    <cellStyle name="백_사전회의(1208)_새벽시장1_최신-SQ인증업체현황1343사(03년평가완료031229수정)_용접업종 평가결과품의(040510)(1)" xfId="25640"/>
    <cellStyle name="백_사전회의(1208)_새벽시장1_최신-SQ인증업체현황1343사(03년평가완료031229수정)_주단조용접업종 평가결과품의(040510)(1)" xfId="25641"/>
    <cellStyle name="백_사전회의(1208)_새벽시장3" xfId="25642"/>
    <cellStyle name="백_사전회의(1208)_새벽시장3_도금 열처리 주단조 평가품의(040329)" xfId="25643"/>
    <cellStyle name="백_사전회의(1208)_새벽시장3_도금 열처리 주단조 평가품의(040329)_도금 열처리 주단조 평가품의(040329)" xfId="25644"/>
    <cellStyle name="백_사전회의(1208)_새벽시장3_도금 열처리 주단조 평가품의(040329)업체" xfId="25645"/>
    <cellStyle name="백_사전회의(1208)_새벽시장3_열처리결과품의(031017)개발" xfId="25646"/>
    <cellStyle name="백_사전회의(1208)_새벽시장3_열처리결과품의(031017)개발_도금 열처리 주단조 평가품의(040329)" xfId="25647"/>
    <cellStyle name="백_사전회의(1208)_새벽시장3_용접업종 평가결과품의(040510)" xfId="25648"/>
    <cellStyle name="백_사전회의(1208)_새벽시장3_용접업종 평가결과품의(040510)_용접업종 평가결과품의(040510)" xfId="25649"/>
    <cellStyle name="백_사전회의(1208)_새벽시장3_용접업종 평가결과품의(040510)_용접업종 평가결과품의(040510)(1)" xfId="25650"/>
    <cellStyle name="백_사전회의(1208)_새벽시장3_용접업종 평가결과품의(040510)_주단조용접업종 평가결과품의(040510)(1)" xfId="25651"/>
    <cellStyle name="백_사전회의(1208)_새벽시장3_주단조 업종 평가결과품의(040407)" xfId="25652"/>
    <cellStyle name="백_사전회의(1208)_새벽시장3_주단조 업종 평가결과품의(040407)_용접업종 평가결과품의(040510)" xfId="25653"/>
    <cellStyle name="백_사전회의(1208)_새벽시장3_주단조 업종 평가결과품의(040407)_용접업종 평가결과품의(040510)(1)" xfId="25654"/>
    <cellStyle name="백_사전회의(1208)_새벽시장3_주단조 업종 평가결과품의(040407)_주단조용접업종 평가결과품의(040510)(1)" xfId="25655"/>
    <cellStyle name="백_사전회의(1208)_새벽시장3_주단조 업종 평가결과품의(040416)(1)" xfId="25656"/>
    <cellStyle name="백_사전회의(1208)_새벽시장3_주단조 업종 평가결과품의(040416)(1)_용접업종 평가결과품의(040510)" xfId="25657"/>
    <cellStyle name="백_사전회의(1208)_새벽시장3_주단조 업종 평가결과품의(040416)(1)_용접업종 평가결과품의(040510)(1)" xfId="25658"/>
    <cellStyle name="백_사전회의(1208)_새벽시장3_주단조 업종 평가결과품의(040416)(1)_주단조용접업종 평가결과품의(040510)(1)" xfId="25659"/>
    <cellStyle name="백_사전회의(1208)_새벽시장3_최신-SQ인증업체현황1343사(03년평가완료031229수정)" xfId="25660"/>
    <cellStyle name="백_사전회의(1208)_새벽시장3_최신-SQ인증업체현황1343사(03년평가완료031229수정)_용접업종 평가결과품의(040510)" xfId="25661"/>
    <cellStyle name="백_사전회의(1208)_새벽시장3_최신-SQ인증업체현황1343사(03년평가완료031229수정)_용접업종 평가결과품의(040510)(1)" xfId="25662"/>
    <cellStyle name="백_사전회의(1208)_새벽시장3_최신-SQ인증업체현황1343사(03년평가완료031229수정)_주단조용접업종 평가결과품의(040510)(1)" xfId="25663"/>
    <cellStyle name="백_사전회의(1208)_새벽시장5" xfId="25664"/>
    <cellStyle name="백_사전회의(1208)_새벽시장5_도금 열처리 주단조 평가품의(040329)" xfId="25665"/>
    <cellStyle name="백_사전회의(1208)_새벽시장5_도금 열처리 주단조 평가품의(040329)_도금 열처리 주단조 평가품의(040329)" xfId="25666"/>
    <cellStyle name="백_사전회의(1208)_새벽시장5_도금 열처리 주단조 평가품의(040329)업체" xfId="25667"/>
    <cellStyle name="백_사전회의(1208)_새벽시장5_열처리결과품의(031017)개발" xfId="25668"/>
    <cellStyle name="백_사전회의(1208)_새벽시장5_열처리결과품의(031017)개발_도금 열처리 주단조 평가품의(040329)" xfId="25669"/>
    <cellStyle name="백_사전회의(1208)_새벽시장5_용접업종 평가결과품의(040510)" xfId="25670"/>
    <cellStyle name="백_사전회의(1208)_새벽시장5_용접업종 평가결과품의(040510)_용접업종 평가결과품의(040510)" xfId="25671"/>
    <cellStyle name="백_사전회의(1208)_새벽시장5_용접업종 평가결과품의(040510)_용접업종 평가결과품의(040510)(1)" xfId="25672"/>
    <cellStyle name="백_사전회의(1208)_새벽시장5_용접업종 평가결과품의(040510)_주단조용접업종 평가결과품의(040510)(1)" xfId="25673"/>
    <cellStyle name="백_사전회의(1208)_새벽시장5_주단조 업종 평가결과품의(040407)" xfId="25674"/>
    <cellStyle name="백_사전회의(1208)_새벽시장5_주단조 업종 평가결과품의(040407)_용접업종 평가결과품의(040510)" xfId="25675"/>
    <cellStyle name="백_사전회의(1208)_새벽시장5_주단조 업종 평가결과품의(040407)_용접업종 평가결과품의(040510)(1)" xfId="25676"/>
    <cellStyle name="백_사전회의(1208)_새벽시장5_주단조 업종 평가결과품의(040407)_주단조용접업종 평가결과품의(040510)(1)" xfId="25677"/>
    <cellStyle name="백_사전회의(1208)_새벽시장5_주단조 업종 평가결과품의(040416)(1)" xfId="25678"/>
    <cellStyle name="백_사전회의(1208)_새벽시장5_주단조 업종 평가결과품의(040416)(1)_용접업종 평가결과품의(040510)" xfId="25679"/>
    <cellStyle name="백_사전회의(1208)_새벽시장5_주단조 업종 평가결과품의(040416)(1)_용접업종 평가결과품의(040510)(1)" xfId="25680"/>
    <cellStyle name="백_사전회의(1208)_새벽시장5_주단조 업종 평가결과품의(040416)(1)_주단조용접업종 평가결과품의(040510)(1)" xfId="25681"/>
    <cellStyle name="백_사전회의(1208)_새벽시장5_최신-SQ인증업체현황1343사(03년평가완료031229수정)" xfId="25682"/>
    <cellStyle name="백_사전회의(1208)_새벽시장5_최신-SQ인증업체현황1343사(03년평가완료031229수정)_용접업종 평가결과품의(040510)" xfId="25683"/>
    <cellStyle name="백_사전회의(1208)_새벽시장5_최신-SQ인증업체현황1343사(03년평가완료031229수정)_용접업종 평가결과품의(040510)(1)" xfId="25684"/>
    <cellStyle name="백_사전회의(1208)_새벽시장5_최신-SQ인증업체현황1343사(03년평가완료031229수정)_주단조용접업종 평가결과품의(040510)(1)" xfId="25685"/>
    <cellStyle name="백_사전회의(1208)_새벽시장7" xfId="25686"/>
    <cellStyle name="백_사전회의(1208)_새벽시장7_도금 열처리 주단조 평가품의(040329)" xfId="25687"/>
    <cellStyle name="백_사전회의(1208)_새벽시장7_도금 열처리 주단조 평가품의(040329)_도금 열처리 주단조 평가품의(040329)" xfId="25688"/>
    <cellStyle name="백_사전회의(1208)_새벽시장7_도금 열처리 주단조 평가품의(040329)업체" xfId="25689"/>
    <cellStyle name="백_사전회의(1208)_새벽시장7_열처리결과품의(031017)개발" xfId="25690"/>
    <cellStyle name="백_사전회의(1208)_새벽시장7_열처리결과품의(031017)개발_도금 열처리 주단조 평가품의(040329)" xfId="25691"/>
    <cellStyle name="백_사전회의(1208)_새벽시장7_용접업종 평가결과품의(040510)" xfId="25692"/>
    <cellStyle name="백_사전회의(1208)_새벽시장7_용접업종 평가결과품의(040510)_용접업종 평가결과품의(040510)" xfId="25693"/>
    <cellStyle name="백_사전회의(1208)_새벽시장7_용접업종 평가결과품의(040510)_용접업종 평가결과품의(040510)(1)" xfId="25694"/>
    <cellStyle name="백_사전회의(1208)_새벽시장7_용접업종 평가결과품의(040510)_주단조용접업종 평가결과품의(040510)(1)" xfId="25695"/>
    <cellStyle name="백_사전회의(1208)_새벽시장7_주단조 업종 평가결과품의(040407)" xfId="25696"/>
    <cellStyle name="백_사전회의(1208)_새벽시장7_주단조 업종 평가결과품의(040407)_용접업종 평가결과품의(040510)" xfId="25697"/>
    <cellStyle name="백_사전회의(1208)_새벽시장7_주단조 업종 평가결과품의(040407)_용접업종 평가결과품의(040510)(1)" xfId="25698"/>
    <cellStyle name="백_사전회의(1208)_새벽시장7_주단조 업종 평가결과품의(040407)_주단조용접업종 평가결과품의(040510)(1)" xfId="25699"/>
    <cellStyle name="백_사전회의(1208)_새벽시장7_주단조 업종 평가결과품의(040416)(1)" xfId="25700"/>
    <cellStyle name="백_사전회의(1208)_새벽시장7_주단조 업종 평가결과품의(040416)(1)_용접업종 평가결과품의(040510)" xfId="25701"/>
    <cellStyle name="백_사전회의(1208)_새벽시장7_주단조 업종 평가결과품의(040416)(1)_용접업종 평가결과품의(040510)(1)" xfId="25702"/>
    <cellStyle name="백_사전회의(1208)_새벽시장7_주단조 업종 평가결과품의(040416)(1)_주단조용접업종 평가결과품의(040510)(1)" xfId="25703"/>
    <cellStyle name="백_사전회의(1208)_새벽시장7_최신-SQ인증업체현황1343사(03년평가완료031229수정)" xfId="25704"/>
    <cellStyle name="백_사전회의(1208)_새벽시장7_최신-SQ인증업체현황1343사(03년평가완료031229수정)_용접업종 평가결과품의(040510)" xfId="25705"/>
    <cellStyle name="백_사전회의(1208)_새벽시장7_최신-SQ인증업체현황1343사(03년평가완료031229수정)_용접업종 평가결과품의(040510)(1)" xfId="25706"/>
    <cellStyle name="백_사전회의(1208)_새벽시장7_최신-SQ인증업체현황1343사(03년평가완료031229수정)_주단조용접업종 평가결과품의(040510)(1)" xfId="25707"/>
    <cellStyle name="백_사전회의(1208)_새벽시장8.10xls" xfId="25708"/>
    <cellStyle name="백_사전회의(1208)_새벽시장8.10xls_도금 열처리 주단조 평가품의(040329)" xfId="25709"/>
    <cellStyle name="백_사전회의(1208)_새벽시장8.10xls_도금 열처리 주단조 평가품의(040329)_도금 열처리 주단조 평가품의(040329)" xfId="25710"/>
    <cellStyle name="백_사전회의(1208)_새벽시장8.10xls_도금 열처리 주단조 평가품의(040329)업체" xfId="25711"/>
    <cellStyle name="백_사전회의(1208)_새벽시장8.10xls_열처리결과품의(031017)개발" xfId="25712"/>
    <cellStyle name="백_사전회의(1208)_새벽시장8.10xls_열처리결과품의(031017)개발_도금 열처리 주단조 평가품의(040329)" xfId="25713"/>
    <cellStyle name="백_사전회의(1208)_새벽시장8.10xls_용접업종 평가결과품의(040510)" xfId="25714"/>
    <cellStyle name="백_사전회의(1208)_새벽시장8.10xls_용접업종 평가결과품의(040510)_용접업종 평가결과품의(040510)" xfId="25715"/>
    <cellStyle name="백_사전회의(1208)_새벽시장8.10xls_용접업종 평가결과품의(040510)_용접업종 평가결과품의(040510)(1)" xfId="25716"/>
    <cellStyle name="백_사전회의(1208)_새벽시장8.10xls_용접업종 평가결과품의(040510)_주단조용접업종 평가결과품의(040510)(1)" xfId="25717"/>
    <cellStyle name="백_사전회의(1208)_새벽시장8.10xls_주단조 업종 평가결과품의(040407)" xfId="25718"/>
    <cellStyle name="백_사전회의(1208)_새벽시장8.10xls_주단조 업종 평가결과품의(040407)_용접업종 평가결과품의(040510)" xfId="25719"/>
    <cellStyle name="백_사전회의(1208)_새벽시장8.10xls_주단조 업종 평가결과품의(040407)_용접업종 평가결과품의(040510)(1)" xfId="25720"/>
    <cellStyle name="백_사전회의(1208)_새벽시장8.10xls_주단조 업종 평가결과품의(040407)_주단조용접업종 평가결과품의(040510)(1)" xfId="25721"/>
    <cellStyle name="백_사전회의(1208)_새벽시장8.10xls_주단조 업종 평가결과품의(040416)(1)" xfId="25722"/>
    <cellStyle name="백_사전회의(1208)_새벽시장8.10xls_주단조 업종 평가결과품의(040416)(1)_용접업종 평가결과품의(040510)" xfId="25723"/>
    <cellStyle name="백_사전회의(1208)_새벽시장8.10xls_주단조 업종 평가결과품의(040416)(1)_용접업종 평가결과품의(040510)(1)" xfId="25724"/>
    <cellStyle name="백_사전회의(1208)_새벽시장8.10xls_주단조 업종 평가결과품의(040416)(1)_주단조용접업종 평가결과품의(040510)(1)" xfId="25725"/>
    <cellStyle name="백_사전회의(1208)_새벽시장8.10xls_최신-SQ인증업체현황1343사(03년평가완료031229수정)" xfId="25726"/>
    <cellStyle name="백_사전회의(1208)_새벽시장8.10xls_최신-SQ인증업체현황1343사(03년평가완료031229수정)_용접업종 평가결과품의(040510)" xfId="25727"/>
    <cellStyle name="백_사전회의(1208)_새벽시장8.10xls_최신-SQ인증업체현황1343사(03년평가완료031229수정)_용접업종 평가결과품의(040510)(1)" xfId="25728"/>
    <cellStyle name="백_사전회의(1208)_새벽시장8.10xls_최신-SQ인증업체현황1343사(03년평가완료031229수정)_주단조용접업종 평가결과품의(040510)(1)" xfId="25729"/>
    <cellStyle name="백_사전회의(1208)_새벽시장8.26xls" xfId="25730"/>
    <cellStyle name="백_사전회의(1208)_새벽시장8.26xls_도금 열처리 주단조 평가품의(040329)" xfId="25731"/>
    <cellStyle name="백_사전회의(1208)_새벽시장8.26xls_도금 열처리 주단조 평가품의(040329)_도금 열처리 주단조 평가품의(040329)" xfId="25732"/>
    <cellStyle name="백_사전회의(1208)_새벽시장8.26xls_도금 열처리 주단조 평가품의(040329)업체" xfId="25733"/>
    <cellStyle name="백_사전회의(1208)_새벽시장8.26xls_열처리결과품의(031017)개발" xfId="25734"/>
    <cellStyle name="백_사전회의(1208)_새벽시장8.26xls_열처리결과품의(031017)개발_도금 열처리 주단조 평가품의(040329)" xfId="25735"/>
    <cellStyle name="백_사전회의(1208)_새벽시장8.26xls_용접업종 평가결과품의(040510)" xfId="25736"/>
    <cellStyle name="백_사전회의(1208)_새벽시장8.26xls_용접업종 평가결과품의(040510)_용접업종 평가결과품의(040510)" xfId="25737"/>
    <cellStyle name="백_사전회의(1208)_새벽시장8.26xls_용접업종 평가결과품의(040510)_용접업종 평가결과품의(040510)(1)" xfId="25738"/>
    <cellStyle name="백_사전회의(1208)_새벽시장8.26xls_용접업종 평가결과품의(040510)_주단조용접업종 평가결과품의(040510)(1)" xfId="25739"/>
    <cellStyle name="백_사전회의(1208)_새벽시장8.26xls_주단조 업종 평가결과품의(040407)" xfId="25740"/>
    <cellStyle name="백_사전회의(1208)_새벽시장8.26xls_주단조 업종 평가결과품의(040407)_용접업종 평가결과품의(040510)" xfId="25741"/>
    <cellStyle name="백_사전회의(1208)_새벽시장8.26xls_주단조 업종 평가결과품의(040407)_용접업종 평가결과품의(040510)(1)" xfId="25742"/>
    <cellStyle name="백_사전회의(1208)_새벽시장8.26xls_주단조 업종 평가결과품의(040407)_주단조용접업종 평가결과품의(040510)(1)" xfId="25743"/>
    <cellStyle name="백_사전회의(1208)_새벽시장8.26xls_주단조 업종 평가결과품의(040416)(1)" xfId="25744"/>
    <cellStyle name="백_사전회의(1208)_새벽시장8.26xls_주단조 업종 평가결과품의(040416)(1)_용접업종 평가결과품의(040510)" xfId="25745"/>
    <cellStyle name="백_사전회의(1208)_새벽시장8.26xls_주단조 업종 평가결과품의(040416)(1)_용접업종 평가결과품의(040510)(1)" xfId="25746"/>
    <cellStyle name="백_사전회의(1208)_새벽시장8.26xls_주단조 업종 평가결과품의(040416)(1)_주단조용접업종 평가결과품의(040510)(1)" xfId="25747"/>
    <cellStyle name="백_사전회의(1208)_새벽시장8.26xls_최신-SQ인증업체현황1343사(03년평가완료031229수정)" xfId="25748"/>
    <cellStyle name="백_사전회의(1208)_새벽시장8.26xls_최신-SQ인증업체현황1343사(03년평가완료031229수정)_용접업종 평가결과품의(040510)" xfId="25749"/>
    <cellStyle name="백_사전회의(1208)_새벽시장8.26xls_최신-SQ인증업체현황1343사(03년평가완료031229수정)_용접업종 평가결과품의(040510)(1)" xfId="25750"/>
    <cellStyle name="백_사전회의(1208)_새벽시장8.26xls_최신-SQ인증업체현황1343사(03년평가완료031229수정)_주단조용접업종 평가결과품의(040510)(1)" xfId="25751"/>
    <cellStyle name="백_사전회의(1208)_새벽시장9.16" xfId="25752"/>
    <cellStyle name="백_사전회의(1208)_새벽시장9.16_도금 열처리 주단조 평가품의(040329)" xfId="25753"/>
    <cellStyle name="백_사전회의(1208)_새벽시장9.16_도금 열처리 주단조 평가품의(040329)_도금 열처리 주단조 평가품의(040329)" xfId="25754"/>
    <cellStyle name="백_사전회의(1208)_새벽시장9.16_도금 열처리 주단조 평가품의(040329)업체" xfId="25755"/>
    <cellStyle name="백_사전회의(1208)_새벽시장9.16_열처리결과품의(031017)개발" xfId="25756"/>
    <cellStyle name="백_사전회의(1208)_새벽시장9.16_열처리결과품의(031017)개발_도금 열처리 주단조 평가품의(040329)" xfId="25757"/>
    <cellStyle name="백_사전회의(1208)_새벽시장9.16_용접업종 평가결과품의(040510)" xfId="25758"/>
    <cellStyle name="백_사전회의(1208)_새벽시장9.16_용접업종 평가결과품의(040510)_용접업종 평가결과품의(040510)" xfId="25759"/>
    <cellStyle name="백_사전회의(1208)_새벽시장9.16_용접업종 평가결과품의(040510)_용접업종 평가결과품의(040510)(1)" xfId="25760"/>
    <cellStyle name="백_사전회의(1208)_새벽시장9.16_용접업종 평가결과품의(040510)_주단조용접업종 평가결과품의(040510)(1)" xfId="25761"/>
    <cellStyle name="백_사전회의(1208)_새벽시장9.16_주단조 업종 평가결과품의(040407)" xfId="25762"/>
    <cellStyle name="백_사전회의(1208)_새벽시장9.16_주단조 업종 평가결과품의(040407)_용접업종 평가결과품의(040510)" xfId="25763"/>
    <cellStyle name="백_사전회의(1208)_새벽시장9.16_주단조 업종 평가결과품의(040407)_용접업종 평가결과품의(040510)(1)" xfId="25764"/>
    <cellStyle name="백_사전회의(1208)_새벽시장9.16_주단조 업종 평가결과품의(040407)_주단조용접업종 평가결과품의(040510)(1)" xfId="25765"/>
    <cellStyle name="백_사전회의(1208)_새벽시장9.16_주단조 업종 평가결과품의(040416)(1)" xfId="25766"/>
    <cellStyle name="백_사전회의(1208)_새벽시장9.16_주단조 업종 평가결과품의(040416)(1)_용접업종 평가결과품의(040510)" xfId="25767"/>
    <cellStyle name="백_사전회의(1208)_새벽시장9.16_주단조 업종 평가결과품의(040416)(1)_용접업종 평가결과품의(040510)(1)" xfId="25768"/>
    <cellStyle name="백_사전회의(1208)_새벽시장9.16_주단조 업종 평가결과품의(040416)(1)_주단조용접업종 평가결과품의(040510)(1)" xfId="25769"/>
    <cellStyle name="백_사전회의(1208)_새벽시장9.16_최신-SQ인증업체현황1343사(03년평가완료031229수정)" xfId="25770"/>
    <cellStyle name="백_사전회의(1208)_새벽시장9.16_최신-SQ인증업체현황1343사(03년평가완료031229수정)_용접업종 평가결과품의(040510)" xfId="25771"/>
    <cellStyle name="백_사전회의(1208)_새벽시장9.16_최신-SQ인증업체현황1343사(03년평가완료031229수정)_용접업종 평가결과품의(040510)(1)" xfId="25772"/>
    <cellStyle name="백_사전회의(1208)_새벽시장9.16_최신-SQ인증업체현황1343사(03년평가완료031229수정)_주단조용접업종 평가결과품의(040510)(1)" xfId="25773"/>
    <cellStyle name="백_사전회의(1208)_열처리결과품의(031017)개발" xfId="25774"/>
    <cellStyle name="백_사전회의(1208)_열처리결과품의(031017)개발_도금 열처리 주단조 평가품의(040329)" xfId="25775"/>
    <cellStyle name="백_사전회의(1208)_용접업종 평가결과품의(040510)" xfId="25776"/>
    <cellStyle name="백_사전회의(1208)_용접업종 평가결과품의(040510)_용접업종 평가결과품의(040510)" xfId="25777"/>
    <cellStyle name="백_사전회의(1208)_용접업종 평가결과품의(040510)_용접업종 평가결과품의(040510)(1)" xfId="25778"/>
    <cellStyle name="백_사전회의(1208)_용접업종 평가결과품의(040510)_주단조용접업종 평가결과품의(040510)(1)" xfId="25779"/>
    <cellStyle name="백_사전회의(1208)_주단조 업종 평가결과품의(040407)" xfId="25780"/>
    <cellStyle name="백_사전회의(1208)_주단조 업종 평가결과품의(040407)_용접업종 평가결과품의(040510)" xfId="25781"/>
    <cellStyle name="백_사전회의(1208)_주단조 업종 평가결과품의(040407)_용접업종 평가결과품의(040510)(1)" xfId="25782"/>
    <cellStyle name="백_사전회의(1208)_주단조 업종 평가결과품의(040407)_주단조용접업종 평가결과품의(040510)(1)" xfId="25783"/>
    <cellStyle name="백_사전회의(1208)_주단조 업종 평가결과품의(040416)(1)" xfId="25784"/>
    <cellStyle name="백_사전회의(1208)_주단조 업종 평가결과품의(040416)(1)_용접업종 평가결과품의(040510)" xfId="25785"/>
    <cellStyle name="백_사전회의(1208)_주단조 업종 평가결과품의(040416)(1)_용접업종 평가결과품의(040510)(1)" xfId="25786"/>
    <cellStyle name="백_사전회의(1208)_주단조 업종 평가결과품의(040416)(1)_주단조용접업종 평가결과품의(040510)(1)" xfId="25787"/>
    <cellStyle name="백_사전회의(1208)_최신-SQ인증업체현황1343사(03년평가완료031229수정)" xfId="25788"/>
    <cellStyle name="백_사전회의(1208)_최신-SQ인증업체현황1343사(03년평가완료031229수정)_용접업종 평가결과품의(040510)" xfId="25789"/>
    <cellStyle name="백_사전회의(1208)_최신-SQ인증업체현황1343사(03년평가완료031229수정)_용접업종 평가결과품의(040510)(1)" xfId="25790"/>
    <cellStyle name="백_사전회의(1208)_최신-SQ인증업체현황1343사(03년평가완료031229수정)_주단조용접업종 평가결과품의(040510)(1)" xfId="25791"/>
    <cellStyle name="백_새벽시장1" xfId="25792"/>
    <cellStyle name="백_새벽시장1_도금 열처리 주단조 평가품의(040329)" xfId="25793"/>
    <cellStyle name="백_새벽시장1_도금 열처리 주단조 평가품의(040329)_도금 열처리 주단조 평가품의(040329)" xfId="25794"/>
    <cellStyle name="백_새벽시장1_도금 열처리 주단조 평가품의(040329)업체" xfId="25795"/>
    <cellStyle name="백_새벽시장1_열처리결과품의(031017)개발" xfId="25796"/>
    <cellStyle name="백_새벽시장1_열처리결과품의(031017)개발_도금 열처리 주단조 평가품의(040329)" xfId="25797"/>
    <cellStyle name="백_새벽시장1_용접업종 평가결과품의(040510)" xfId="25798"/>
    <cellStyle name="백_새벽시장1_용접업종 평가결과품의(040510)_용접업종 평가결과품의(040510)" xfId="25799"/>
    <cellStyle name="백_새벽시장1_용접업종 평가결과품의(040510)_용접업종 평가결과품의(040510)(1)" xfId="25800"/>
    <cellStyle name="백_새벽시장1_용접업종 평가결과품의(040510)_주단조용접업종 평가결과품의(040510)(1)" xfId="25801"/>
    <cellStyle name="백_새벽시장1_주단조 업종 평가결과품의(040407)" xfId="25802"/>
    <cellStyle name="백_새벽시장1_주단조 업종 평가결과품의(040407)_용접업종 평가결과품의(040510)" xfId="25803"/>
    <cellStyle name="백_새벽시장1_주단조 업종 평가결과품의(040407)_용접업종 평가결과품의(040510)(1)" xfId="25804"/>
    <cellStyle name="백_새벽시장1_주단조 업종 평가결과품의(040407)_주단조용접업종 평가결과품의(040510)(1)" xfId="25805"/>
    <cellStyle name="백_새벽시장1_주단조 업종 평가결과품의(040416)(1)" xfId="25806"/>
    <cellStyle name="백_새벽시장1_주단조 업종 평가결과품의(040416)(1)_용접업종 평가결과품의(040510)" xfId="25807"/>
    <cellStyle name="백_새벽시장1_주단조 업종 평가결과품의(040416)(1)_용접업종 평가결과품의(040510)(1)" xfId="25808"/>
    <cellStyle name="백_새벽시장1_주단조 업종 평가결과품의(040416)(1)_주단조용접업종 평가결과품의(040510)(1)" xfId="25809"/>
    <cellStyle name="백_새벽시장1_최신-SQ인증업체현황1343사(03년평가완료031229수정)" xfId="25810"/>
    <cellStyle name="백_새벽시장1_최신-SQ인증업체현황1343사(03년평가완료031229수정)_용접업종 평가결과품의(040510)" xfId="25811"/>
    <cellStyle name="백_새벽시장1_최신-SQ인증업체현황1343사(03년평가완료031229수정)_용접업종 평가결과품의(040510)(1)" xfId="25812"/>
    <cellStyle name="백_새벽시장1_최신-SQ인증업체현황1343사(03년평가완료031229수정)_주단조용접업종 평가결과품의(040510)(1)" xfId="25813"/>
    <cellStyle name="백_새벽시장3" xfId="25814"/>
    <cellStyle name="백_새벽시장3_도금 열처리 주단조 평가품의(040329)" xfId="25815"/>
    <cellStyle name="백_새벽시장3_도금 열처리 주단조 평가품의(040329)_도금 열처리 주단조 평가품의(040329)" xfId="25816"/>
    <cellStyle name="백_새벽시장3_도금 열처리 주단조 평가품의(040329)업체" xfId="25817"/>
    <cellStyle name="백_새벽시장3_열처리결과품의(031017)개발" xfId="25818"/>
    <cellStyle name="백_새벽시장3_열처리결과품의(031017)개발_도금 열처리 주단조 평가품의(040329)" xfId="25819"/>
    <cellStyle name="백_새벽시장3_용접업종 평가결과품의(040510)" xfId="25820"/>
    <cellStyle name="백_새벽시장3_용접업종 평가결과품의(040510)_용접업종 평가결과품의(040510)" xfId="25821"/>
    <cellStyle name="백_새벽시장3_용접업종 평가결과품의(040510)_용접업종 평가결과품의(040510)(1)" xfId="25822"/>
    <cellStyle name="백_새벽시장3_용접업종 평가결과품의(040510)_주단조용접업종 평가결과품의(040510)(1)" xfId="25823"/>
    <cellStyle name="백_새벽시장3_주단조 업종 평가결과품의(040407)" xfId="25824"/>
    <cellStyle name="백_새벽시장3_주단조 업종 평가결과품의(040407)_용접업종 평가결과품의(040510)" xfId="25825"/>
    <cellStyle name="백_새벽시장3_주단조 업종 평가결과품의(040407)_용접업종 평가결과품의(040510)(1)" xfId="25826"/>
    <cellStyle name="백_새벽시장3_주단조 업종 평가결과품의(040407)_주단조용접업종 평가결과품의(040510)(1)" xfId="25827"/>
    <cellStyle name="백_새벽시장3_주단조 업종 평가결과품의(040416)(1)" xfId="25828"/>
    <cellStyle name="백_새벽시장3_주단조 업종 평가결과품의(040416)(1)_용접업종 평가결과품의(040510)" xfId="25829"/>
    <cellStyle name="백_새벽시장3_주단조 업종 평가결과품의(040416)(1)_용접업종 평가결과품의(040510)(1)" xfId="25830"/>
    <cellStyle name="백_새벽시장3_주단조 업종 평가결과품의(040416)(1)_주단조용접업종 평가결과품의(040510)(1)" xfId="25831"/>
    <cellStyle name="백_새벽시장3_최신-SQ인증업체현황1343사(03년평가완료031229수정)" xfId="25832"/>
    <cellStyle name="백_새벽시장3_최신-SQ인증업체현황1343사(03년평가완료031229수정)_용접업종 평가결과품의(040510)" xfId="25833"/>
    <cellStyle name="백_새벽시장3_최신-SQ인증업체현황1343사(03년평가완료031229수정)_용접업종 평가결과품의(040510)(1)" xfId="25834"/>
    <cellStyle name="백_새벽시장3_최신-SQ인증업체현황1343사(03년평가완료031229수정)_주단조용접업종 평가결과품의(040510)(1)" xfId="25835"/>
    <cellStyle name="백_새벽시장5" xfId="25836"/>
    <cellStyle name="백_새벽시장5_도금 열처리 주단조 평가품의(040329)" xfId="25837"/>
    <cellStyle name="백_새벽시장5_도금 열처리 주단조 평가품의(040329)_도금 열처리 주단조 평가품의(040329)" xfId="25838"/>
    <cellStyle name="백_새벽시장5_도금 열처리 주단조 평가품의(040329)업체" xfId="25839"/>
    <cellStyle name="백_새벽시장5_열처리결과품의(031017)개발" xfId="25840"/>
    <cellStyle name="백_새벽시장5_열처리결과품의(031017)개발_도금 열처리 주단조 평가품의(040329)" xfId="25841"/>
    <cellStyle name="백_새벽시장5_용접업종 평가결과품의(040510)" xfId="25842"/>
    <cellStyle name="백_새벽시장5_용접업종 평가결과품의(040510)_용접업종 평가결과품의(040510)" xfId="25843"/>
    <cellStyle name="백_새벽시장5_용접업종 평가결과품의(040510)_용접업종 평가결과품의(040510)(1)" xfId="25844"/>
    <cellStyle name="백_새벽시장5_용접업종 평가결과품의(040510)_주단조용접업종 평가결과품의(040510)(1)" xfId="25845"/>
    <cellStyle name="백_새벽시장5_주단조 업종 평가결과품의(040407)" xfId="25846"/>
    <cellStyle name="백_새벽시장5_주단조 업종 평가결과품의(040407)_용접업종 평가결과품의(040510)" xfId="25847"/>
    <cellStyle name="백_새벽시장5_주단조 업종 평가결과품의(040407)_용접업종 평가결과품의(040510)(1)" xfId="25848"/>
    <cellStyle name="백_새벽시장5_주단조 업종 평가결과품의(040407)_주단조용접업종 평가결과품의(040510)(1)" xfId="25849"/>
    <cellStyle name="백_새벽시장5_주단조 업종 평가결과품의(040416)(1)" xfId="25850"/>
    <cellStyle name="백_새벽시장5_주단조 업종 평가결과품의(040416)(1)_용접업종 평가결과품의(040510)" xfId="25851"/>
    <cellStyle name="백_새벽시장5_주단조 업종 평가결과품의(040416)(1)_용접업종 평가결과품의(040510)(1)" xfId="25852"/>
    <cellStyle name="백_새벽시장5_주단조 업종 평가결과품의(040416)(1)_주단조용접업종 평가결과품의(040510)(1)" xfId="25853"/>
    <cellStyle name="백_새벽시장5_최신-SQ인증업체현황1343사(03년평가완료031229수정)" xfId="25854"/>
    <cellStyle name="백_새벽시장5_최신-SQ인증업체현황1343사(03년평가완료031229수정)_용접업종 평가결과품의(040510)" xfId="25855"/>
    <cellStyle name="백_새벽시장5_최신-SQ인증업체현황1343사(03년평가완료031229수정)_용접업종 평가결과품의(040510)(1)" xfId="25856"/>
    <cellStyle name="백_새벽시장5_최신-SQ인증업체현황1343사(03년평가완료031229수정)_주단조용접업종 평가결과품의(040510)(1)" xfId="25857"/>
    <cellStyle name="백_새벽시장7" xfId="25858"/>
    <cellStyle name="백_새벽시장7_도금 열처리 주단조 평가품의(040329)" xfId="25859"/>
    <cellStyle name="백_새벽시장7_도금 열처리 주단조 평가품의(040329)_도금 열처리 주단조 평가품의(040329)" xfId="25860"/>
    <cellStyle name="백_새벽시장7_도금 열처리 주단조 평가품의(040329)업체" xfId="25861"/>
    <cellStyle name="백_새벽시장7_열처리결과품의(031017)개발" xfId="25862"/>
    <cellStyle name="백_새벽시장7_열처리결과품의(031017)개발_도금 열처리 주단조 평가품의(040329)" xfId="25863"/>
    <cellStyle name="백_새벽시장7_용접업종 평가결과품의(040510)" xfId="25864"/>
    <cellStyle name="백_새벽시장7_용접업종 평가결과품의(040510)_용접업종 평가결과품의(040510)" xfId="25865"/>
    <cellStyle name="백_새벽시장7_용접업종 평가결과품의(040510)_용접업종 평가결과품의(040510)(1)" xfId="25866"/>
    <cellStyle name="백_새벽시장7_용접업종 평가결과품의(040510)_주단조용접업종 평가결과품의(040510)(1)" xfId="25867"/>
    <cellStyle name="백_새벽시장7_주단조 업종 평가결과품의(040407)" xfId="25868"/>
    <cellStyle name="백_새벽시장7_주단조 업종 평가결과품의(040407)_용접업종 평가결과품의(040510)" xfId="25869"/>
    <cellStyle name="백_새벽시장7_주단조 업종 평가결과품의(040407)_용접업종 평가결과품의(040510)(1)" xfId="25870"/>
    <cellStyle name="백_새벽시장7_주단조 업종 평가결과품의(040407)_주단조용접업종 평가결과품의(040510)(1)" xfId="25871"/>
    <cellStyle name="백_새벽시장7_주단조 업종 평가결과품의(040416)(1)" xfId="25872"/>
    <cellStyle name="백_새벽시장7_주단조 업종 평가결과품의(040416)(1)_용접업종 평가결과품의(040510)" xfId="25873"/>
    <cellStyle name="백_새벽시장7_주단조 업종 평가결과품의(040416)(1)_용접업종 평가결과품의(040510)(1)" xfId="25874"/>
    <cellStyle name="백_새벽시장7_주단조 업종 평가결과품의(040416)(1)_주단조용접업종 평가결과품의(040510)(1)" xfId="25875"/>
    <cellStyle name="백_새벽시장7_최신-SQ인증업체현황1343사(03년평가완료031229수정)" xfId="25876"/>
    <cellStyle name="백_새벽시장7_최신-SQ인증업체현황1343사(03년평가완료031229수정)_용접업종 평가결과품의(040510)" xfId="25877"/>
    <cellStyle name="백_새벽시장7_최신-SQ인증업체현황1343사(03년평가완료031229수정)_용접업종 평가결과품의(040510)(1)" xfId="25878"/>
    <cellStyle name="백_새벽시장7_최신-SQ인증업체현황1343사(03년평가완료031229수정)_주단조용접업종 평가결과품의(040510)(1)" xfId="25879"/>
    <cellStyle name="백_새벽시장8.10xls" xfId="25880"/>
    <cellStyle name="백_새벽시장8.10xls_도금 열처리 주단조 평가품의(040329)" xfId="25881"/>
    <cellStyle name="백_새벽시장8.10xls_도금 열처리 주단조 평가품의(040329)_도금 열처리 주단조 평가품의(040329)" xfId="25882"/>
    <cellStyle name="백_새벽시장8.10xls_도금 열처리 주단조 평가품의(040329)업체" xfId="25883"/>
    <cellStyle name="백_새벽시장8.10xls_열처리결과품의(031017)개발" xfId="25884"/>
    <cellStyle name="백_새벽시장8.10xls_열처리결과품의(031017)개발_도금 열처리 주단조 평가품의(040329)" xfId="25885"/>
    <cellStyle name="백_새벽시장8.10xls_용접업종 평가결과품의(040510)" xfId="25886"/>
    <cellStyle name="백_새벽시장8.10xls_용접업종 평가결과품의(040510)_용접업종 평가결과품의(040510)" xfId="25887"/>
    <cellStyle name="백_새벽시장8.10xls_용접업종 평가결과품의(040510)_용접업종 평가결과품의(040510)(1)" xfId="25888"/>
    <cellStyle name="백_새벽시장8.10xls_용접업종 평가결과품의(040510)_주단조용접업종 평가결과품의(040510)(1)" xfId="25889"/>
    <cellStyle name="백_새벽시장8.10xls_주단조 업종 평가결과품의(040407)" xfId="25890"/>
    <cellStyle name="백_새벽시장8.10xls_주단조 업종 평가결과품의(040407)_용접업종 평가결과품의(040510)" xfId="25891"/>
    <cellStyle name="백_새벽시장8.10xls_주단조 업종 평가결과품의(040407)_용접업종 평가결과품의(040510)(1)" xfId="25892"/>
    <cellStyle name="백_새벽시장8.10xls_주단조 업종 평가결과품의(040407)_주단조용접업종 평가결과품의(040510)(1)" xfId="25893"/>
    <cellStyle name="백_새벽시장8.10xls_주단조 업종 평가결과품의(040416)(1)" xfId="25894"/>
    <cellStyle name="백_새벽시장8.10xls_주단조 업종 평가결과품의(040416)(1)_용접업종 평가결과품의(040510)" xfId="25895"/>
    <cellStyle name="백_새벽시장8.10xls_주단조 업종 평가결과품의(040416)(1)_용접업종 평가결과품의(040510)(1)" xfId="25896"/>
    <cellStyle name="백_새벽시장8.10xls_주단조 업종 평가결과품의(040416)(1)_주단조용접업종 평가결과품의(040510)(1)" xfId="25897"/>
    <cellStyle name="백_새벽시장8.10xls_최신-SQ인증업체현황1343사(03년평가완료031229수정)" xfId="25898"/>
    <cellStyle name="백_새벽시장8.10xls_최신-SQ인증업체현황1343사(03년평가완료031229수정)_용접업종 평가결과품의(040510)" xfId="25899"/>
    <cellStyle name="백_새벽시장8.10xls_최신-SQ인증업체현황1343사(03년평가완료031229수정)_용접업종 평가결과품의(040510)(1)" xfId="25900"/>
    <cellStyle name="백_새벽시장8.10xls_최신-SQ인증업체현황1343사(03년평가완료031229수정)_주단조용접업종 평가결과품의(040510)(1)" xfId="25901"/>
    <cellStyle name="백_새벽시장8.26xls" xfId="25902"/>
    <cellStyle name="백_새벽시장8.26xls_도금 열처리 주단조 평가품의(040329)" xfId="25903"/>
    <cellStyle name="백_새벽시장8.26xls_도금 열처리 주단조 평가품의(040329)_도금 열처리 주단조 평가품의(040329)" xfId="25904"/>
    <cellStyle name="백_새벽시장8.26xls_도금 열처리 주단조 평가품의(040329)업체" xfId="25905"/>
    <cellStyle name="백_새벽시장8.26xls_열처리결과품의(031017)개발" xfId="25906"/>
    <cellStyle name="백_새벽시장8.26xls_열처리결과품의(031017)개발_도금 열처리 주단조 평가품의(040329)" xfId="25907"/>
    <cellStyle name="백_새벽시장8.26xls_용접업종 평가결과품의(040510)" xfId="25908"/>
    <cellStyle name="백_새벽시장8.26xls_용접업종 평가결과품의(040510)_용접업종 평가결과품의(040510)" xfId="25909"/>
    <cellStyle name="백_새벽시장8.26xls_용접업종 평가결과품의(040510)_용접업종 평가결과품의(040510)(1)" xfId="25910"/>
    <cellStyle name="백_새벽시장8.26xls_용접업종 평가결과품의(040510)_주단조용접업종 평가결과품의(040510)(1)" xfId="25911"/>
    <cellStyle name="백_새벽시장8.26xls_주단조 업종 평가결과품의(040407)" xfId="25912"/>
    <cellStyle name="백_새벽시장8.26xls_주단조 업종 평가결과품의(040407)_용접업종 평가결과품의(040510)" xfId="25913"/>
    <cellStyle name="백_새벽시장8.26xls_주단조 업종 평가결과품의(040407)_용접업종 평가결과품의(040510)(1)" xfId="25914"/>
    <cellStyle name="백_새벽시장8.26xls_주단조 업종 평가결과품의(040407)_주단조용접업종 평가결과품의(040510)(1)" xfId="25915"/>
    <cellStyle name="백_새벽시장8.26xls_주단조 업종 평가결과품의(040416)(1)" xfId="25916"/>
    <cellStyle name="백_새벽시장8.26xls_주단조 업종 평가결과품의(040416)(1)_용접업종 평가결과품의(040510)" xfId="25917"/>
    <cellStyle name="백_새벽시장8.26xls_주단조 업종 평가결과품의(040416)(1)_용접업종 평가결과품의(040510)(1)" xfId="25918"/>
    <cellStyle name="백_새벽시장8.26xls_주단조 업종 평가결과품의(040416)(1)_주단조용접업종 평가결과품의(040510)(1)" xfId="25919"/>
    <cellStyle name="백_새벽시장8.26xls_최신-SQ인증업체현황1343사(03년평가완료031229수정)" xfId="25920"/>
    <cellStyle name="백_새벽시장8.26xls_최신-SQ인증업체현황1343사(03년평가완료031229수정)_용접업종 평가결과품의(040510)" xfId="25921"/>
    <cellStyle name="백_새벽시장8.26xls_최신-SQ인증업체현황1343사(03년평가완료031229수정)_용접업종 평가결과품의(040510)(1)" xfId="25922"/>
    <cellStyle name="백_새벽시장8.26xls_최신-SQ인증업체현황1343사(03년평가완료031229수정)_주단조용접업종 평가결과품의(040510)(1)" xfId="25923"/>
    <cellStyle name="백_새벽시장9.16" xfId="25924"/>
    <cellStyle name="백_새벽시장9.16_도금 열처리 주단조 평가품의(040329)" xfId="25925"/>
    <cellStyle name="백_새벽시장9.16_도금 열처리 주단조 평가품의(040329)_도금 열처리 주단조 평가품의(040329)" xfId="25926"/>
    <cellStyle name="백_새벽시장9.16_도금 열처리 주단조 평가품의(040329)업체" xfId="25927"/>
    <cellStyle name="백_새벽시장9.16_열처리결과품의(031017)개발" xfId="25928"/>
    <cellStyle name="백_새벽시장9.16_열처리결과품의(031017)개발_도금 열처리 주단조 평가품의(040329)" xfId="25929"/>
    <cellStyle name="백_새벽시장9.16_용접업종 평가결과품의(040510)" xfId="25930"/>
    <cellStyle name="백_새벽시장9.16_용접업종 평가결과품의(040510)_용접업종 평가결과품의(040510)" xfId="25931"/>
    <cellStyle name="백_새벽시장9.16_용접업종 평가결과품의(040510)_용접업종 평가결과품의(040510)(1)" xfId="25932"/>
    <cellStyle name="백_새벽시장9.16_용접업종 평가결과품의(040510)_주단조용접업종 평가결과품의(040510)(1)" xfId="25933"/>
    <cellStyle name="백_새벽시장9.16_주단조 업종 평가결과품의(040407)" xfId="25934"/>
    <cellStyle name="백_새벽시장9.16_주단조 업종 평가결과품의(040407)_용접업종 평가결과품의(040510)" xfId="25935"/>
    <cellStyle name="백_새벽시장9.16_주단조 업종 평가결과품의(040407)_용접업종 평가결과품의(040510)(1)" xfId="25936"/>
    <cellStyle name="백_새벽시장9.16_주단조 업종 평가결과품의(040407)_주단조용접업종 평가결과품의(040510)(1)" xfId="25937"/>
    <cellStyle name="백_새벽시장9.16_주단조 업종 평가결과품의(040416)(1)" xfId="25938"/>
    <cellStyle name="백_새벽시장9.16_주단조 업종 평가결과품의(040416)(1)_용접업종 평가결과품의(040510)" xfId="25939"/>
    <cellStyle name="백_새벽시장9.16_주단조 업종 평가결과품의(040416)(1)_용접업종 평가결과품의(040510)(1)" xfId="25940"/>
    <cellStyle name="백_새벽시장9.16_주단조 업종 평가결과품의(040416)(1)_주단조용접업종 평가결과품의(040510)(1)" xfId="25941"/>
    <cellStyle name="백_새벽시장9.16_최신-SQ인증업체현황1343사(03년평가완료031229수정)" xfId="25942"/>
    <cellStyle name="백_새벽시장9.16_최신-SQ인증업체현황1343사(03년평가완료031229수정)_용접업종 평가결과품의(040510)" xfId="25943"/>
    <cellStyle name="백_새벽시장9.16_최신-SQ인증업체현황1343사(03년평가완료031229수정)_용접업종 평가결과품의(040510)(1)" xfId="25944"/>
    <cellStyle name="백_새벽시장9.16_최신-SQ인증업체현황1343사(03년평가완료031229수정)_주단조용접업종 평가결과품의(040510)(1)" xfId="25945"/>
    <cellStyle name="백_열처리결과품의(031017)개발" xfId="25946"/>
    <cellStyle name="백_열처리결과품의(031017)개발_도금 열처리 주단조 평가품의(040329)" xfId="25947"/>
    <cellStyle name="백_용접업종 평가결과품의(040510)" xfId="25948"/>
    <cellStyle name="백_용접업종 평가결과품의(040510)_용접업종 평가결과품의(040510)" xfId="25949"/>
    <cellStyle name="백_용접업종 평가결과품의(040510)_용접업종 평가결과품의(040510)(1)" xfId="25950"/>
    <cellStyle name="백_용접업종 평가결과품의(040510)_주단조용접업종 평가결과품의(040510)(1)" xfId="25951"/>
    <cellStyle name="백_주단조 업종 평가결과품의(040407)" xfId="25952"/>
    <cellStyle name="백_주단조 업종 평가결과품의(040407)_용접업종 평가결과품의(040510)" xfId="25953"/>
    <cellStyle name="백_주단조 업종 평가결과품의(040407)_용접업종 평가결과품의(040510)(1)" xfId="25954"/>
    <cellStyle name="백_주단조 업종 평가결과품의(040407)_주단조용접업종 평가결과품의(040510)(1)" xfId="25955"/>
    <cellStyle name="백_주단조 업종 평가결과품의(040416)(1)" xfId="25956"/>
    <cellStyle name="백_주단조 업종 평가결과품의(040416)(1)_용접업종 평가결과품의(040510)" xfId="25957"/>
    <cellStyle name="백_주단조 업종 평가결과품의(040416)(1)_용접업종 평가결과품의(040510)(1)" xfId="25958"/>
    <cellStyle name="백_주단조 업종 평가결과품의(040416)(1)_주단조용접업종 평가결과품의(040510)(1)" xfId="25959"/>
    <cellStyle name="백_최신-SQ인증업체현황1343사(03년평가완료031229수정)" xfId="25960"/>
    <cellStyle name="백_최신-SQ인증업체현황1343사(03년평가완료031229수정)_용접업종 평가결과품의(040510)" xfId="25961"/>
    <cellStyle name="백_최신-SQ인증업체현황1343사(03년평가완료031229수정)_용접업종 평가결과품의(040510)(1)" xfId="25962"/>
    <cellStyle name="백_최신-SQ인증업체현황1343사(03년평가완료031229수정)_주단조용접업종 평가결과품의(040510)(1)" xfId="25963"/>
    <cellStyle name="백_출장계획서" xfId="25964"/>
    <cellStyle name="백_출장계획서_ROTATION 유동" xfId="25965"/>
    <cellStyle name="백_출장계획서_ROTATION 유동_도금 열처리 주단조 평가품의(040329)" xfId="25966"/>
    <cellStyle name="백_출장계획서_ROTATION 유동_도금 열처리 주단조 평가품의(040329)_도금 열처리 주단조 평가품의(040329)" xfId="25967"/>
    <cellStyle name="백_출장계획서_ROTATION 유동_도금 열처리 주단조 평가품의(040329)업체" xfId="25968"/>
    <cellStyle name="백_출장계획서_ROTATION 유동_열처리결과품의(031017)개발" xfId="25969"/>
    <cellStyle name="백_출장계획서_ROTATION 유동_열처리결과품의(031017)개발_도금 열처리 주단조 평가품의(040329)" xfId="25970"/>
    <cellStyle name="백_출장계획서_ROTATION 유동_용접업종 평가결과품의(040510)" xfId="25971"/>
    <cellStyle name="백_출장계획서_ROTATION 유동_용접업종 평가결과품의(040510)_용접업종 평가결과품의(040510)" xfId="25972"/>
    <cellStyle name="백_출장계획서_ROTATION 유동_용접업종 평가결과품의(040510)_용접업종 평가결과품의(040510)(1)" xfId="25973"/>
    <cellStyle name="백_출장계획서_ROTATION 유동_용접업종 평가결과품의(040510)_주단조용접업종 평가결과품의(040510)(1)" xfId="25974"/>
    <cellStyle name="백_출장계획서_ROTATION 유동_주단조 업종 평가결과품의(040407)" xfId="25975"/>
    <cellStyle name="백_출장계획서_ROTATION 유동_주단조 업종 평가결과품의(040407)_용접업종 평가결과품의(040510)" xfId="25976"/>
    <cellStyle name="백_출장계획서_ROTATION 유동_주단조 업종 평가결과품의(040407)_용접업종 평가결과품의(040510)(1)" xfId="25977"/>
    <cellStyle name="백_출장계획서_ROTATION 유동_주단조 업종 평가결과품의(040407)_주단조용접업종 평가결과품의(040510)(1)" xfId="25978"/>
    <cellStyle name="백_출장계획서_ROTATION 유동_주단조 업종 평가결과품의(040416)(1)" xfId="25979"/>
    <cellStyle name="백_출장계획서_ROTATION 유동_주단조 업종 평가결과품의(040416)(1)_용접업종 평가결과품의(040510)" xfId="25980"/>
    <cellStyle name="백_출장계획서_ROTATION 유동_주단조 업종 평가결과품의(040416)(1)_용접업종 평가결과품의(040510)(1)" xfId="25981"/>
    <cellStyle name="백_출장계획서_ROTATION 유동_주단조 업종 평가결과품의(040416)(1)_주단조용접업종 평가결과품의(040510)(1)" xfId="25982"/>
    <cellStyle name="백_출장계획서_ROTATION 유동_최신-SQ인증업체현황1343사(03년평가완료031229수정)" xfId="25983"/>
    <cellStyle name="백_출장계획서_ROTATION 유동_최신-SQ인증업체현황1343사(03년평가완료031229수정)_용접업종 평가결과품의(040510)" xfId="25984"/>
    <cellStyle name="백_출장계획서_ROTATION 유동_최신-SQ인증업체현황1343사(03년평가완료031229수정)_용접업종 평가결과품의(040510)(1)" xfId="25985"/>
    <cellStyle name="백_출장계획서_ROTATION 유동_최신-SQ인증업체현황1343사(03년평가완료031229수정)_주단조용접업종 평가결과품의(040510)(1)" xfId="25986"/>
    <cellStyle name="백_출장계획서_SLIDE 폭" xfId="25987"/>
    <cellStyle name="백_출장계획서_SLIDE 폭_도금 열처리 주단조 평가품의(040329)" xfId="25988"/>
    <cellStyle name="백_출장계획서_SLIDE 폭_도금 열처리 주단조 평가품의(040329)_도금 열처리 주단조 평가품의(040329)" xfId="25989"/>
    <cellStyle name="백_출장계획서_SLIDE 폭_도금 열처리 주단조 평가품의(040329)업체" xfId="25990"/>
    <cellStyle name="백_출장계획서_SLIDE 폭_열처리결과품의(031017)개발" xfId="25991"/>
    <cellStyle name="백_출장계획서_SLIDE 폭_열처리결과품의(031017)개발_도금 열처리 주단조 평가품의(040329)" xfId="25992"/>
    <cellStyle name="백_출장계획서_SLIDE 폭_용접업종 평가결과품의(040510)" xfId="25993"/>
    <cellStyle name="백_출장계획서_SLIDE 폭_용접업종 평가결과품의(040510)_용접업종 평가결과품의(040510)" xfId="25994"/>
    <cellStyle name="백_출장계획서_SLIDE 폭_용접업종 평가결과품의(040510)_용접업종 평가결과품의(040510)(1)" xfId="25995"/>
    <cellStyle name="백_출장계획서_SLIDE 폭_용접업종 평가결과품의(040510)_주단조용접업종 평가결과품의(040510)(1)" xfId="25996"/>
    <cellStyle name="백_출장계획서_SLIDE 폭_주단조 업종 평가결과품의(040407)" xfId="25997"/>
    <cellStyle name="백_출장계획서_SLIDE 폭_주단조 업종 평가결과품의(040407)_용접업종 평가결과품의(040510)" xfId="25998"/>
    <cellStyle name="백_출장계획서_SLIDE 폭_주단조 업종 평가결과품의(040407)_용접업종 평가결과품의(040510)(1)" xfId="25999"/>
    <cellStyle name="백_출장계획서_SLIDE 폭_주단조 업종 평가결과품의(040407)_주단조용접업종 평가결과품의(040510)(1)" xfId="26000"/>
    <cellStyle name="백_출장계획서_SLIDE 폭_주단조 업종 평가결과품의(040416)(1)" xfId="26001"/>
    <cellStyle name="백_출장계획서_SLIDE 폭_주단조 업종 평가결과품의(040416)(1)_용접업종 평가결과품의(040510)" xfId="26002"/>
    <cellStyle name="백_출장계획서_SLIDE 폭_주단조 업종 평가결과품의(040416)(1)_용접업종 평가결과품의(040510)(1)" xfId="26003"/>
    <cellStyle name="백_출장계획서_SLIDE 폭_주단조 업종 평가결과품의(040416)(1)_주단조용접업종 평가결과품의(040510)(1)" xfId="26004"/>
    <cellStyle name="백_출장계획서_SLIDE 폭_최신-SQ인증업체현황1343사(03년평가완료031229수정)" xfId="26005"/>
    <cellStyle name="백_출장계획서_SLIDE 폭_최신-SQ인증업체현황1343사(03년평가완료031229수정)_용접업종 평가결과품의(040510)" xfId="26006"/>
    <cellStyle name="백_출장계획서_SLIDE 폭_최신-SQ인증업체현황1343사(03년평가완료031229수정)_용접업종 평가결과품의(040510)(1)" xfId="26007"/>
    <cellStyle name="백_출장계획서_SLIDE 폭_최신-SQ인증업체현황1343사(03년평가완료031229수정)_주단조용접업종 평가결과품의(040510)(1)" xfId="26008"/>
    <cellStyle name="백_출장계획서_도금 열처리 주단조 평가품의(040329)" xfId="26009"/>
    <cellStyle name="백_출장계획서_도금 열처리 주단조 평가품의(040329)_도금 열처리 주단조 평가품의(040329)" xfId="26010"/>
    <cellStyle name="백_출장계획서_도금 열처리 주단조 평가품의(040329)업체" xfId="26011"/>
    <cellStyle name="백_출장계획서_새벽시장1" xfId="26012"/>
    <cellStyle name="백_출장계획서_새벽시장1_도금 열처리 주단조 평가품의(040329)" xfId="26013"/>
    <cellStyle name="백_출장계획서_새벽시장1_도금 열처리 주단조 평가품의(040329)_도금 열처리 주단조 평가품의(040329)" xfId="26014"/>
    <cellStyle name="백_출장계획서_새벽시장1_도금 열처리 주단조 평가품의(040329)업체" xfId="26015"/>
    <cellStyle name="백_출장계획서_새벽시장1_열처리결과품의(031017)개발" xfId="26016"/>
    <cellStyle name="백_출장계획서_새벽시장1_열처리결과품의(031017)개발_도금 열처리 주단조 평가품의(040329)" xfId="26017"/>
    <cellStyle name="백_출장계획서_새벽시장1_용접업종 평가결과품의(040510)" xfId="26018"/>
    <cellStyle name="백_출장계획서_새벽시장1_용접업종 평가결과품의(040510)_용접업종 평가결과품의(040510)" xfId="26019"/>
    <cellStyle name="백_출장계획서_새벽시장1_용접업종 평가결과품의(040510)_용접업종 평가결과품의(040510)(1)" xfId="26020"/>
    <cellStyle name="백_출장계획서_새벽시장1_용접업종 평가결과품의(040510)_주단조용접업종 평가결과품의(040510)(1)" xfId="26021"/>
    <cellStyle name="백_출장계획서_새벽시장1_주단조 업종 평가결과품의(040407)" xfId="26022"/>
    <cellStyle name="백_출장계획서_새벽시장1_주단조 업종 평가결과품의(040407)_용접업종 평가결과품의(040510)" xfId="26023"/>
    <cellStyle name="백_출장계획서_새벽시장1_주단조 업종 평가결과품의(040407)_용접업종 평가결과품의(040510)(1)" xfId="26024"/>
    <cellStyle name="백_출장계획서_새벽시장1_주단조 업종 평가결과품의(040407)_주단조용접업종 평가결과품의(040510)(1)" xfId="26025"/>
    <cellStyle name="백_출장계획서_새벽시장1_주단조 업종 평가결과품의(040416)(1)" xfId="26026"/>
    <cellStyle name="백_출장계획서_새벽시장1_주단조 업종 평가결과품의(040416)(1)_용접업종 평가결과품의(040510)" xfId="26027"/>
    <cellStyle name="백_출장계획서_새벽시장1_주단조 업종 평가결과품의(040416)(1)_용접업종 평가결과품의(040510)(1)" xfId="26028"/>
    <cellStyle name="백_출장계획서_새벽시장1_주단조 업종 평가결과품의(040416)(1)_주단조용접업종 평가결과품의(040510)(1)" xfId="26029"/>
    <cellStyle name="백_출장계획서_새벽시장1_최신-SQ인증업체현황1343사(03년평가완료031229수정)" xfId="26030"/>
    <cellStyle name="백_출장계획서_새벽시장1_최신-SQ인증업체현황1343사(03년평가완료031229수정)_용접업종 평가결과품의(040510)" xfId="26031"/>
    <cellStyle name="백_출장계획서_새벽시장1_최신-SQ인증업체현황1343사(03년평가완료031229수정)_용접업종 평가결과품의(040510)(1)" xfId="26032"/>
    <cellStyle name="백_출장계획서_새벽시장1_최신-SQ인증업체현황1343사(03년평가완료031229수정)_주단조용접업종 평가결과품의(040510)(1)" xfId="26033"/>
    <cellStyle name="백_출장계획서_새벽시장3" xfId="26034"/>
    <cellStyle name="백_출장계획서_새벽시장3_도금 열처리 주단조 평가품의(040329)" xfId="26035"/>
    <cellStyle name="백_출장계획서_새벽시장3_도금 열처리 주단조 평가품의(040329)_도금 열처리 주단조 평가품의(040329)" xfId="26036"/>
    <cellStyle name="백_출장계획서_새벽시장3_도금 열처리 주단조 평가품의(040329)업체" xfId="26037"/>
    <cellStyle name="백_출장계획서_새벽시장3_열처리결과품의(031017)개발" xfId="26038"/>
    <cellStyle name="백_출장계획서_새벽시장3_열처리결과품의(031017)개발_도금 열처리 주단조 평가품의(040329)" xfId="26039"/>
    <cellStyle name="백_출장계획서_새벽시장3_용접업종 평가결과품의(040510)" xfId="26040"/>
    <cellStyle name="백_출장계획서_새벽시장3_용접업종 평가결과품의(040510)_용접업종 평가결과품의(040510)" xfId="26041"/>
    <cellStyle name="백_출장계획서_새벽시장3_용접업종 평가결과품의(040510)_용접업종 평가결과품의(040510)(1)" xfId="26042"/>
    <cellStyle name="백_출장계획서_새벽시장3_용접업종 평가결과품의(040510)_주단조용접업종 평가결과품의(040510)(1)" xfId="26043"/>
    <cellStyle name="백_출장계획서_새벽시장3_주단조 업종 평가결과품의(040407)" xfId="26044"/>
    <cellStyle name="백_출장계획서_새벽시장3_주단조 업종 평가결과품의(040407)_용접업종 평가결과품의(040510)" xfId="26045"/>
    <cellStyle name="백_출장계획서_새벽시장3_주단조 업종 평가결과품의(040407)_용접업종 평가결과품의(040510)(1)" xfId="26046"/>
    <cellStyle name="백_출장계획서_새벽시장3_주단조 업종 평가결과품의(040407)_주단조용접업종 평가결과품의(040510)(1)" xfId="26047"/>
    <cellStyle name="백_출장계획서_새벽시장3_주단조 업종 평가결과품의(040416)(1)" xfId="26048"/>
    <cellStyle name="백_출장계획서_새벽시장3_주단조 업종 평가결과품의(040416)(1)_용접업종 평가결과품의(040510)" xfId="26049"/>
    <cellStyle name="백_출장계획서_새벽시장3_주단조 업종 평가결과품의(040416)(1)_용접업종 평가결과품의(040510)(1)" xfId="26050"/>
    <cellStyle name="백_출장계획서_새벽시장3_주단조 업종 평가결과품의(040416)(1)_주단조용접업종 평가결과품의(040510)(1)" xfId="26051"/>
    <cellStyle name="백_출장계획서_새벽시장3_최신-SQ인증업체현황1343사(03년평가완료031229수정)" xfId="26052"/>
    <cellStyle name="백_출장계획서_새벽시장3_최신-SQ인증업체현황1343사(03년평가완료031229수정)_용접업종 평가결과품의(040510)" xfId="26053"/>
    <cellStyle name="백_출장계획서_새벽시장3_최신-SQ인증업체현황1343사(03년평가완료031229수정)_용접업종 평가결과품의(040510)(1)" xfId="26054"/>
    <cellStyle name="백_출장계획서_새벽시장3_최신-SQ인증업체현황1343사(03년평가완료031229수정)_주단조용접업종 평가결과품의(040510)(1)" xfId="26055"/>
    <cellStyle name="백_출장계획서_새벽시장5" xfId="26056"/>
    <cellStyle name="백_출장계획서_새벽시장5_도금 열처리 주단조 평가품의(040329)" xfId="26057"/>
    <cellStyle name="백_출장계획서_새벽시장5_도금 열처리 주단조 평가품의(040329)_도금 열처리 주단조 평가품의(040329)" xfId="26058"/>
    <cellStyle name="백_출장계획서_새벽시장5_도금 열처리 주단조 평가품의(040329)업체" xfId="26059"/>
    <cellStyle name="백_출장계획서_새벽시장5_열처리결과품의(031017)개발" xfId="26060"/>
    <cellStyle name="백_출장계획서_새벽시장5_열처리결과품의(031017)개발_도금 열처리 주단조 평가품의(040329)" xfId="26061"/>
    <cellStyle name="백_출장계획서_새벽시장5_용접업종 평가결과품의(040510)" xfId="26062"/>
    <cellStyle name="백_출장계획서_새벽시장5_용접업종 평가결과품의(040510)_용접업종 평가결과품의(040510)" xfId="26063"/>
    <cellStyle name="백_출장계획서_새벽시장5_용접업종 평가결과품의(040510)_용접업종 평가결과품의(040510)(1)" xfId="26064"/>
    <cellStyle name="백_출장계획서_새벽시장5_용접업종 평가결과품의(040510)_주단조용접업종 평가결과품의(040510)(1)" xfId="26065"/>
    <cellStyle name="백_출장계획서_새벽시장5_주단조 업종 평가결과품의(040407)" xfId="26066"/>
    <cellStyle name="백_출장계획서_새벽시장5_주단조 업종 평가결과품의(040407)_용접업종 평가결과품의(040510)" xfId="26067"/>
    <cellStyle name="백_출장계획서_새벽시장5_주단조 업종 평가결과품의(040407)_용접업종 평가결과품의(040510)(1)" xfId="26068"/>
    <cellStyle name="백_출장계획서_새벽시장5_주단조 업종 평가결과품의(040407)_주단조용접업종 평가결과품의(040510)(1)" xfId="26069"/>
    <cellStyle name="백_출장계획서_새벽시장5_주단조 업종 평가결과품의(040416)(1)" xfId="26070"/>
    <cellStyle name="백_출장계획서_새벽시장5_주단조 업종 평가결과품의(040416)(1)_용접업종 평가결과품의(040510)" xfId="26071"/>
    <cellStyle name="백_출장계획서_새벽시장5_주단조 업종 평가결과품의(040416)(1)_용접업종 평가결과품의(040510)(1)" xfId="26072"/>
    <cellStyle name="백_출장계획서_새벽시장5_주단조 업종 평가결과품의(040416)(1)_주단조용접업종 평가결과품의(040510)(1)" xfId="26073"/>
    <cellStyle name="백_출장계획서_새벽시장5_최신-SQ인증업체현황1343사(03년평가완료031229수정)" xfId="26074"/>
    <cellStyle name="백_출장계획서_새벽시장5_최신-SQ인증업체현황1343사(03년평가완료031229수정)_용접업종 평가결과품의(040510)" xfId="26075"/>
    <cellStyle name="백_출장계획서_새벽시장5_최신-SQ인증업체현황1343사(03년평가완료031229수정)_용접업종 평가결과품의(040510)(1)" xfId="26076"/>
    <cellStyle name="백_출장계획서_새벽시장5_최신-SQ인증업체현황1343사(03년평가완료031229수정)_주단조용접업종 평가결과품의(040510)(1)" xfId="26077"/>
    <cellStyle name="백_출장계획서_새벽시장7" xfId="26078"/>
    <cellStyle name="백_출장계획서_새벽시장7_도금 열처리 주단조 평가품의(040329)" xfId="26079"/>
    <cellStyle name="백_출장계획서_새벽시장7_도금 열처리 주단조 평가품의(040329)_도금 열처리 주단조 평가품의(040329)" xfId="26080"/>
    <cellStyle name="백_출장계획서_새벽시장7_도금 열처리 주단조 평가품의(040329)업체" xfId="26081"/>
    <cellStyle name="백_출장계획서_새벽시장7_열처리결과품의(031017)개발" xfId="26082"/>
    <cellStyle name="백_출장계획서_새벽시장7_열처리결과품의(031017)개발_도금 열처리 주단조 평가품의(040329)" xfId="26083"/>
    <cellStyle name="백_출장계획서_새벽시장7_용접업종 평가결과품의(040510)" xfId="26084"/>
    <cellStyle name="백_출장계획서_새벽시장7_용접업종 평가결과품의(040510)_용접업종 평가결과품의(040510)" xfId="26085"/>
    <cellStyle name="백_출장계획서_새벽시장7_용접업종 평가결과품의(040510)_용접업종 평가결과품의(040510)(1)" xfId="26086"/>
    <cellStyle name="백_출장계획서_새벽시장7_용접업종 평가결과품의(040510)_주단조용접업종 평가결과품의(040510)(1)" xfId="26087"/>
    <cellStyle name="백_출장계획서_새벽시장7_주단조 업종 평가결과품의(040407)" xfId="26088"/>
    <cellStyle name="백_출장계획서_새벽시장7_주단조 업종 평가결과품의(040407)_용접업종 평가결과품의(040510)" xfId="26089"/>
    <cellStyle name="백_출장계획서_새벽시장7_주단조 업종 평가결과품의(040407)_용접업종 평가결과품의(040510)(1)" xfId="26090"/>
    <cellStyle name="백_출장계획서_새벽시장7_주단조 업종 평가결과품의(040407)_주단조용접업종 평가결과품의(040510)(1)" xfId="26091"/>
    <cellStyle name="백_출장계획서_새벽시장7_주단조 업종 평가결과품의(040416)(1)" xfId="26092"/>
    <cellStyle name="백_출장계획서_새벽시장7_주단조 업종 평가결과품의(040416)(1)_용접업종 평가결과품의(040510)" xfId="26093"/>
    <cellStyle name="백_출장계획서_새벽시장7_주단조 업종 평가결과품의(040416)(1)_용접업종 평가결과품의(040510)(1)" xfId="26094"/>
    <cellStyle name="백_출장계획서_새벽시장7_주단조 업종 평가결과품의(040416)(1)_주단조용접업종 평가결과품의(040510)(1)" xfId="26095"/>
    <cellStyle name="백_출장계획서_새벽시장7_최신-SQ인증업체현황1343사(03년평가완료031229수정)" xfId="26096"/>
    <cellStyle name="백_출장계획서_새벽시장7_최신-SQ인증업체현황1343사(03년평가완료031229수정)_용접업종 평가결과품의(040510)" xfId="26097"/>
    <cellStyle name="백_출장계획서_새벽시장7_최신-SQ인증업체현황1343사(03년평가완료031229수정)_용접업종 평가결과품의(040510)(1)" xfId="26098"/>
    <cellStyle name="백_출장계획서_새벽시장7_최신-SQ인증업체현황1343사(03년평가완료031229수정)_주단조용접업종 평가결과품의(040510)(1)" xfId="26099"/>
    <cellStyle name="백_출장계획서_새벽시장8.10xls" xfId="26100"/>
    <cellStyle name="백_출장계획서_새벽시장8.10xls_도금 열처리 주단조 평가품의(040329)" xfId="26101"/>
    <cellStyle name="백_출장계획서_새벽시장8.10xls_도금 열처리 주단조 평가품의(040329)_도금 열처리 주단조 평가품의(040329)" xfId="26102"/>
    <cellStyle name="백_출장계획서_새벽시장8.10xls_도금 열처리 주단조 평가품의(040329)업체" xfId="26103"/>
    <cellStyle name="백_출장계획서_새벽시장8.10xls_열처리결과품의(031017)개발" xfId="26104"/>
    <cellStyle name="백_출장계획서_새벽시장8.10xls_열처리결과품의(031017)개발_도금 열처리 주단조 평가품의(040329)" xfId="26105"/>
    <cellStyle name="백_출장계획서_새벽시장8.10xls_용접업종 평가결과품의(040510)" xfId="26106"/>
    <cellStyle name="백_출장계획서_새벽시장8.10xls_용접업종 평가결과품의(040510)_용접업종 평가결과품의(040510)" xfId="26107"/>
    <cellStyle name="백_출장계획서_새벽시장8.10xls_용접업종 평가결과품의(040510)_용접업종 평가결과품의(040510)(1)" xfId="26108"/>
    <cellStyle name="백_출장계획서_새벽시장8.10xls_용접업종 평가결과품의(040510)_주단조용접업종 평가결과품의(040510)(1)" xfId="26109"/>
    <cellStyle name="백_출장계획서_새벽시장8.10xls_주단조 업종 평가결과품의(040407)" xfId="26110"/>
    <cellStyle name="백_출장계획서_새벽시장8.10xls_주단조 업종 평가결과품의(040407)_용접업종 평가결과품의(040510)" xfId="26111"/>
    <cellStyle name="백_출장계획서_새벽시장8.10xls_주단조 업종 평가결과품의(040407)_용접업종 평가결과품의(040510)(1)" xfId="26112"/>
    <cellStyle name="백_출장계획서_새벽시장8.10xls_주단조 업종 평가결과품의(040407)_주단조용접업종 평가결과품의(040510)(1)" xfId="26113"/>
    <cellStyle name="백_출장계획서_새벽시장8.10xls_주단조 업종 평가결과품의(040416)(1)" xfId="26114"/>
    <cellStyle name="백_출장계획서_새벽시장8.10xls_주단조 업종 평가결과품의(040416)(1)_용접업종 평가결과품의(040510)" xfId="26115"/>
    <cellStyle name="백_출장계획서_새벽시장8.10xls_주단조 업종 평가결과품의(040416)(1)_용접업종 평가결과품의(040510)(1)" xfId="26116"/>
    <cellStyle name="백_출장계획서_새벽시장8.10xls_주단조 업종 평가결과품의(040416)(1)_주단조용접업종 평가결과품의(040510)(1)" xfId="26117"/>
    <cellStyle name="백_출장계획서_새벽시장8.10xls_최신-SQ인증업체현황1343사(03년평가완료031229수정)" xfId="26118"/>
    <cellStyle name="백_출장계획서_새벽시장8.10xls_최신-SQ인증업체현황1343사(03년평가완료031229수정)_용접업종 평가결과품의(040510)" xfId="26119"/>
    <cellStyle name="백_출장계획서_새벽시장8.10xls_최신-SQ인증업체현황1343사(03년평가완료031229수정)_용접업종 평가결과품의(040510)(1)" xfId="26120"/>
    <cellStyle name="백_출장계획서_새벽시장8.10xls_최신-SQ인증업체현황1343사(03년평가완료031229수정)_주단조용접업종 평가결과품의(040510)(1)" xfId="26121"/>
    <cellStyle name="백_출장계획서_새벽시장8.26xls" xfId="26122"/>
    <cellStyle name="백_출장계획서_새벽시장8.26xls_도금 열처리 주단조 평가품의(040329)" xfId="26123"/>
    <cellStyle name="백_출장계획서_새벽시장8.26xls_도금 열처리 주단조 평가품의(040329)_도금 열처리 주단조 평가품의(040329)" xfId="26124"/>
    <cellStyle name="백_출장계획서_새벽시장8.26xls_도금 열처리 주단조 평가품의(040329)업체" xfId="26125"/>
    <cellStyle name="백_출장계획서_새벽시장8.26xls_열처리결과품의(031017)개발" xfId="26126"/>
    <cellStyle name="백_출장계획서_새벽시장8.26xls_열처리결과품의(031017)개발_도금 열처리 주단조 평가품의(040329)" xfId="26127"/>
    <cellStyle name="백_출장계획서_새벽시장8.26xls_용접업종 평가결과품의(040510)" xfId="26128"/>
    <cellStyle name="백_출장계획서_새벽시장8.26xls_용접업종 평가결과품의(040510)_용접업종 평가결과품의(040510)" xfId="26129"/>
    <cellStyle name="백_출장계획서_새벽시장8.26xls_용접업종 평가결과품의(040510)_용접업종 평가결과품의(040510)(1)" xfId="26130"/>
    <cellStyle name="백_출장계획서_새벽시장8.26xls_용접업종 평가결과품의(040510)_주단조용접업종 평가결과품의(040510)(1)" xfId="26131"/>
    <cellStyle name="백_출장계획서_새벽시장8.26xls_주단조 업종 평가결과품의(040407)" xfId="26132"/>
    <cellStyle name="백_출장계획서_새벽시장8.26xls_주단조 업종 평가결과품의(040407)_용접업종 평가결과품의(040510)" xfId="26133"/>
    <cellStyle name="백_출장계획서_새벽시장8.26xls_주단조 업종 평가결과품의(040407)_용접업종 평가결과품의(040510)(1)" xfId="26134"/>
    <cellStyle name="백_출장계획서_새벽시장8.26xls_주단조 업종 평가결과품의(040407)_주단조용접업종 평가결과품의(040510)(1)" xfId="26135"/>
    <cellStyle name="백_출장계획서_새벽시장8.26xls_주단조 업종 평가결과품의(040416)(1)" xfId="26136"/>
    <cellStyle name="백_출장계획서_새벽시장8.26xls_주단조 업종 평가결과품의(040416)(1)_용접업종 평가결과품의(040510)" xfId="26137"/>
    <cellStyle name="백_출장계획서_새벽시장8.26xls_주단조 업종 평가결과품의(040416)(1)_용접업종 평가결과품의(040510)(1)" xfId="26138"/>
    <cellStyle name="백_출장계획서_새벽시장8.26xls_주단조 업종 평가결과품의(040416)(1)_주단조용접업종 평가결과품의(040510)(1)" xfId="26139"/>
    <cellStyle name="백_출장계획서_새벽시장8.26xls_최신-SQ인증업체현황1343사(03년평가완료031229수정)" xfId="26140"/>
    <cellStyle name="백_출장계획서_새벽시장8.26xls_최신-SQ인증업체현황1343사(03년평가완료031229수정)_용접업종 평가결과품의(040510)" xfId="26141"/>
    <cellStyle name="백_출장계획서_새벽시장8.26xls_최신-SQ인증업체현황1343사(03년평가완료031229수정)_용접업종 평가결과품의(040510)(1)" xfId="26142"/>
    <cellStyle name="백_출장계획서_새벽시장8.26xls_최신-SQ인증업체현황1343사(03년평가완료031229수정)_주단조용접업종 평가결과품의(040510)(1)" xfId="26143"/>
    <cellStyle name="백_출장계획서_새벽시장9.16" xfId="26144"/>
    <cellStyle name="백_출장계획서_새벽시장9.16_도금 열처리 주단조 평가품의(040329)" xfId="26145"/>
    <cellStyle name="백_출장계획서_새벽시장9.16_도금 열처리 주단조 평가품의(040329)_도금 열처리 주단조 평가품의(040329)" xfId="26146"/>
    <cellStyle name="백_출장계획서_새벽시장9.16_도금 열처리 주단조 평가품의(040329)업체" xfId="26147"/>
    <cellStyle name="백_출장계획서_새벽시장9.16_열처리결과품의(031017)개발" xfId="26148"/>
    <cellStyle name="백_출장계획서_새벽시장9.16_열처리결과품의(031017)개발_도금 열처리 주단조 평가품의(040329)" xfId="26149"/>
    <cellStyle name="백_출장계획서_새벽시장9.16_용접업종 평가결과품의(040510)" xfId="26150"/>
    <cellStyle name="백_출장계획서_새벽시장9.16_용접업종 평가결과품의(040510)_용접업종 평가결과품의(040510)" xfId="26151"/>
    <cellStyle name="백_출장계획서_새벽시장9.16_용접업종 평가결과품의(040510)_용접업종 평가결과품의(040510)(1)" xfId="26152"/>
    <cellStyle name="백_출장계획서_새벽시장9.16_용접업종 평가결과품의(040510)_주단조용접업종 평가결과품의(040510)(1)" xfId="26153"/>
    <cellStyle name="백_출장계획서_새벽시장9.16_주단조 업종 평가결과품의(040407)" xfId="26154"/>
    <cellStyle name="백_출장계획서_새벽시장9.16_주단조 업종 평가결과품의(040407)_용접업종 평가결과품의(040510)" xfId="26155"/>
    <cellStyle name="백_출장계획서_새벽시장9.16_주단조 업종 평가결과품의(040407)_용접업종 평가결과품의(040510)(1)" xfId="26156"/>
    <cellStyle name="백_출장계획서_새벽시장9.16_주단조 업종 평가결과품의(040407)_주단조용접업종 평가결과품의(040510)(1)" xfId="26157"/>
    <cellStyle name="백_출장계획서_새벽시장9.16_주단조 업종 평가결과품의(040416)(1)" xfId="26158"/>
    <cellStyle name="백_출장계획서_새벽시장9.16_주단조 업종 평가결과품의(040416)(1)_용접업종 평가결과품의(040510)" xfId="26159"/>
    <cellStyle name="백_출장계획서_새벽시장9.16_주단조 업종 평가결과품의(040416)(1)_용접업종 평가결과품의(040510)(1)" xfId="26160"/>
    <cellStyle name="백_출장계획서_새벽시장9.16_주단조 업종 평가결과품의(040416)(1)_주단조용접업종 평가결과품의(040510)(1)" xfId="26161"/>
    <cellStyle name="백_출장계획서_새벽시장9.16_최신-SQ인증업체현황1343사(03년평가완료031229수정)" xfId="26162"/>
    <cellStyle name="백_출장계획서_새벽시장9.16_최신-SQ인증업체현황1343사(03년평가완료031229수정)_용접업종 평가결과품의(040510)" xfId="26163"/>
    <cellStyle name="백_출장계획서_새벽시장9.16_최신-SQ인증업체현황1343사(03년평가완료031229수정)_용접업종 평가결과품의(040510)(1)" xfId="26164"/>
    <cellStyle name="백_출장계획서_새벽시장9.16_최신-SQ인증업체현황1343사(03년평가완료031229수정)_주단조용접업종 평가결과품의(040510)(1)" xfId="26165"/>
    <cellStyle name="백_출장계획서_열처리결과품의(031017)개발" xfId="26166"/>
    <cellStyle name="백_출장계획서_열처리결과품의(031017)개발_도금 열처리 주단조 평가품의(040329)" xfId="26167"/>
    <cellStyle name="백_출장계획서_용접업종 평가결과품의(040510)" xfId="26168"/>
    <cellStyle name="백_출장계획서_용접업종 평가결과품의(040510)_용접업종 평가결과품의(040510)" xfId="26169"/>
    <cellStyle name="백_출장계획서_용접업종 평가결과품의(040510)_용접업종 평가결과품의(040510)(1)" xfId="26170"/>
    <cellStyle name="백_출장계획서_용접업종 평가결과품의(040510)_주단조용접업종 평가결과품의(040510)(1)" xfId="26171"/>
    <cellStyle name="백_출장계획서_주단조 업종 평가결과품의(040407)" xfId="26172"/>
    <cellStyle name="백_출장계획서_주단조 업종 평가결과품의(040407)_용접업종 평가결과품의(040510)" xfId="26173"/>
    <cellStyle name="백_출장계획서_주단조 업종 평가결과품의(040407)_용접업종 평가결과품의(040510)(1)" xfId="26174"/>
    <cellStyle name="백_출장계획서_주단조 업종 평가결과품의(040407)_주단조용접업종 평가결과품의(040510)(1)" xfId="26175"/>
    <cellStyle name="백_출장계획서_주단조 업종 평가결과품의(040416)(1)" xfId="26176"/>
    <cellStyle name="백_출장계획서_주단조 업종 평가결과품의(040416)(1)_용접업종 평가결과품의(040510)" xfId="26177"/>
    <cellStyle name="백_출장계획서_주단조 업종 평가결과품의(040416)(1)_용접업종 평가결과품의(040510)(1)" xfId="26178"/>
    <cellStyle name="백_출장계획서_주단조 업종 평가결과품의(040416)(1)_주단조용접업종 평가결과품의(040510)(1)" xfId="26179"/>
    <cellStyle name="백_출장계획서_최신-SQ인증업체현황1343사(03년평가완료031229수정)" xfId="26180"/>
    <cellStyle name="백_출장계획서_최신-SQ인증업체현황1343사(03년평가완료031229수정)_용접업종 평가결과품의(040510)" xfId="26181"/>
    <cellStyle name="백_출장계획서_최신-SQ인증업체현황1343사(03년평가완료031229수정)_용접업종 평가결과품의(040510)(1)" xfId="26182"/>
    <cellStyle name="백_출장계획서_최신-SQ인증업체현황1343사(03년평가완료031229수정)_주단조용접업종 평가결과품의(040510)(1)" xfId="26183"/>
    <cellStyle name="百分比_ORDER COVER SHEET(D9905-3)" xfId="26184"/>
    <cellStyle name="백분율 2" xfId="26185"/>
    <cellStyle name="백분율 2 2" xfId="26186"/>
    <cellStyle name="백분율 2 2 2" xfId="26187"/>
    <cellStyle name="백분율 2 2 2 2" xfId="26188"/>
    <cellStyle name="백분율 2 2 2 3" xfId="26189"/>
    <cellStyle name="백분율 2 2 3" xfId="26190"/>
    <cellStyle name="백분율 2 3" xfId="26191"/>
    <cellStyle name="백분율 2 3 2" xfId="26192"/>
    <cellStyle name="백분율 2 3 3" xfId="26193"/>
    <cellStyle name="백분율 2 4" xfId="26194"/>
    <cellStyle name="백분율 2 4 2" xfId="26195"/>
    <cellStyle name="백분율 2 5" xfId="26196"/>
    <cellStyle name="백분율 3" xfId="26197"/>
    <cellStyle name="백분율 3 2" xfId="26198"/>
    <cellStyle name="백분율 4" xfId="26199"/>
    <cellStyle name="백분율 4 2" xfId="26200"/>
    <cellStyle name="백분율 5" xfId="26201"/>
    <cellStyle name="백분율 5 2" xfId="26202"/>
    <cellStyle name="백분율 6" xfId="26203"/>
    <cellStyle name="백분율 6 10" xfId="26204"/>
    <cellStyle name="백분율 6 10 2" xfId="26205"/>
    <cellStyle name="백분율 6 10 2 2" xfId="26206"/>
    <cellStyle name="백분율 6 10 2 2 2" xfId="26207"/>
    <cellStyle name="백분율 6 10 2 2 2 2" xfId="26208"/>
    <cellStyle name="백분율 6 10 2 2 2 3" xfId="26209"/>
    <cellStyle name="백분율 6 10 2 2 3" xfId="26210"/>
    <cellStyle name="백분율 6 10 2 2 4" xfId="26211"/>
    <cellStyle name="백분율 6 10 2 3" xfId="26212"/>
    <cellStyle name="백분율 6 10 2 3 2" xfId="26213"/>
    <cellStyle name="백분율 6 10 2 3 3" xfId="26214"/>
    <cellStyle name="백분율 6 10 2 4" xfId="26215"/>
    <cellStyle name="백분율 6 10 2 5" xfId="26216"/>
    <cellStyle name="백분율 6 10 3" xfId="26217"/>
    <cellStyle name="백분율 6 10 3 2" xfId="26218"/>
    <cellStyle name="백분율 6 10 3 2 2" xfId="26219"/>
    <cellStyle name="백분율 6 10 3 2 2 2" xfId="26220"/>
    <cellStyle name="백분율 6 10 3 2 2 3" xfId="26221"/>
    <cellStyle name="백분율 6 10 3 2 3" xfId="26222"/>
    <cellStyle name="백분율 6 10 3 2 4" xfId="26223"/>
    <cellStyle name="백분율 6 10 3 3" xfId="26224"/>
    <cellStyle name="백분율 6 10 3 3 2" xfId="26225"/>
    <cellStyle name="백분율 6 10 3 3 3" xfId="26226"/>
    <cellStyle name="백분율 6 10 3 4" xfId="26227"/>
    <cellStyle name="백분율 6 10 3 5" xfId="26228"/>
    <cellStyle name="백분율 6 10 4" xfId="26229"/>
    <cellStyle name="백분율 6 10 4 2" xfId="26230"/>
    <cellStyle name="백분율 6 10 4 2 2" xfId="26231"/>
    <cellStyle name="백분율 6 10 4 2 3" xfId="26232"/>
    <cellStyle name="백분율 6 10 4 3" xfId="26233"/>
    <cellStyle name="백분율 6 10 4 4" xfId="26234"/>
    <cellStyle name="백분율 6 10 5" xfId="26235"/>
    <cellStyle name="백분율 6 10 5 2" xfId="26236"/>
    <cellStyle name="백분율 6 10 5 3" xfId="26237"/>
    <cellStyle name="백분율 6 10 6" xfId="26238"/>
    <cellStyle name="백분율 6 10 7" xfId="26239"/>
    <cellStyle name="백분율 6 11" xfId="26240"/>
    <cellStyle name="백분율 6 11 2" xfId="26241"/>
    <cellStyle name="백분율 6 11 2 2" xfId="26242"/>
    <cellStyle name="백분율 6 11 2 2 2" xfId="26243"/>
    <cellStyle name="백분율 6 11 2 2 3" xfId="26244"/>
    <cellStyle name="백분율 6 11 2 3" xfId="26245"/>
    <cellStyle name="백분율 6 11 2 4" xfId="26246"/>
    <cellStyle name="백분율 6 11 3" xfId="26247"/>
    <cellStyle name="백분율 6 11 3 2" xfId="26248"/>
    <cellStyle name="백분율 6 11 3 3" xfId="26249"/>
    <cellStyle name="백분율 6 11 4" xfId="26250"/>
    <cellStyle name="백분율 6 11 5" xfId="26251"/>
    <cellStyle name="백분율 6 12" xfId="26252"/>
    <cellStyle name="백분율 6 12 2" xfId="26253"/>
    <cellStyle name="백분율 6 12 2 2" xfId="26254"/>
    <cellStyle name="백분율 6 12 2 2 2" xfId="26255"/>
    <cellStyle name="백분율 6 12 2 2 3" xfId="26256"/>
    <cellStyle name="백분율 6 12 2 3" xfId="26257"/>
    <cellStyle name="백분율 6 12 2 4" xfId="26258"/>
    <cellStyle name="백분율 6 12 3" xfId="26259"/>
    <cellStyle name="백분율 6 12 3 2" xfId="26260"/>
    <cellStyle name="백분율 6 12 3 3" xfId="26261"/>
    <cellStyle name="백분율 6 12 4" xfId="26262"/>
    <cellStyle name="백분율 6 12 5" xfId="26263"/>
    <cellStyle name="백분율 6 13" xfId="26264"/>
    <cellStyle name="백분율 6 13 2" xfId="26265"/>
    <cellStyle name="백분율 6 13 2 2" xfId="26266"/>
    <cellStyle name="백분율 6 13 2 2 2" xfId="26267"/>
    <cellStyle name="백분율 6 13 2 2 3" xfId="26268"/>
    <cellStyle name="백분율 6 13 2 3" xfId="26269"/>
    <cellStyle name="백분율 6 13 2 4" xfId="26270"/>
    <cellStyle name="백분율 6 13 3" xfId="26271"/>
    <cellStyle name="백분율 6 13 3 2" xfId="26272"/>
    <cellStyle name="백분율 6 13 3 3" xfId="26273"/>
    <cellStyle name="백분율 6 13 4" xfId="26274"/>
    <cellStyle name="백분율 6 13 5" xfId="26275"/>
    <cellStyle name="백분율 6 14" xfId="26276"/>
    <cellStyle name="백분율 6 14 2" xfId="26277"/>
    <cellStyle name="백분율 6 14 2 2" xfId="26278"/>
    <cellStyle name="백분율 6 14 2 3" xfId="26279"/>
    <cellStyle name="백분율 6 14 3" xfId="26280"/>
    <cellStyle name="백분율 6 14 4" xfId="26281"/>
    <cellStyle name="백분율 6 15" xfId="26282"/>
    <cellStyle name="백분율 6 15 2" xfId="26283"/>
    <cellStyle name="백분율 6 15 3" xfId="26284"/>
    <cellStyle name="백분율 6 16" xfId="26285"/>
    <cellStyle name="백분율 6 17" xfId="26286"/>
    <cellStyle name="백분율 6 2" xfId="26287"/>
    <cellStyle name="백분율 6 2 10" xfId="26288"/>
    <cellStyle name="백분율 6 2 10 2" xfId="26289"/>
    <cellStyle name="백분율 6 2 10 2 2" xfId="26290"/>
    <cellStyle name="백분율 6 2 10 2 2 2" xfId="26291"/>
    <cellStyle name="백분율 6 2 10 2 2 3" xfId="26292"/>
    <cellStyle name="백분율 6 2 10 2 3" xfId="26293"/>
    <cellStyle name="백분율 6 2 10 2 4" xfId="26294"/>
    <cellStyle name="백분율 6 2 10 3" xfId="26295"/>
    <cellStyle name="백분율 6 2 10 3 2" xfId="26296"/>
    <cellStyle name="백분율 6 2 10 3 3" xfId="26297"/>
    <cellStyle name="백분율 6 2 10 4" xfId="26298"/>
    <cellStyle name="백분율 6 2 10 5" xfId="26299"/>
    <cellStyle name="백분율 6 2 11" xfId="26300"/>
    <cellStyle name="백분율 6 2 11 2" xfId="26301"/>
    <cellStyle name="백분율 6 2 11 2 2" xfId="26302"/>
    <cellStyle name="백분율 6 2 11 2 3" xfId="26303"/>
    <cellStyle name="백분율 6 2 11 3" xfId="26304"/>
    <cellStyle name="백분율 6 2 11 4" xfId="26305"/>
    <cellStyle name="백분율 6 2 12" xfId="26306"/>
    <cellStyle name="백분율 6 2 12 2" xfId="26307"/>
    <cellStyle name="백분율 6 2 12 3" xfId="26308"/>
    <cellStyle name="백분율 6 2 13" xfId="26309"/>
    <cellStyle name="백분율 6 2 14" xfId="26310"/>
    <cellStyle name="백분율 6 2 2" xfId="26311"/>
    <cellStyle name="백분율 6 2 2 10" xfId="26312"/>
    <cellStyle name="백분율 6 2 2 10 2" xfId="26313"/>
    <cellStyle name="백분율 6 2 2 10 2 2" xfId="26314"/>
    <cellStyle name="백분율 6 2 2 10 2 3" xfId="26315"/>
    <cellStyle name="백분율 6 2 2 10 3" xfId="26316"/>
    <cellStyle name="백분율 6 2 2 10 4" xfId="26317"/>
    <cellStyle name="백분율 6 2 2 11" xfId="26318"/>
    <cellStyle name="백분율 6 2 2 11 2" xfId="26319"/>
    <cellStyle name="백분율 6 2 2 11 3" xfId="26320"/>
    <cellStyle name="백분율 6 2 2 12" xfId="26321"/>
    <cellStyle name="백분율 6 2 2 13" xfId="26322"/>
    <cellStyle name="백분율 6 2 2 2" xfId="26323"/>
    <cellStyle name="백분율 6 2 2 2 10" xfId="26324"/>
    <cellStyle name="백분율 6 2 2 2 2" xfId="26325"/>
    <cellStyle name="백분율 6 2 2 2 2 2" xfId="26326"/>
    <cellStyle name="백분율 6 2 2 2 2 2 2" xfId="26327"/>
    <cellStyle name="백분율 6 2 2 2 2 2 2 2" xfId="26328"/>
    <cellStyle name="백분율 6 2 2 2 2 2 2 2 2" xfId="26329"/>
    <cellStyle name="백분율 6 2 2 2 2 2 2 2 3" xfId="26330"/>
    <cellStyle name="백분율 6 2 2 2 2 2 2 3" xfId="26331"/>
    <cellStyle name="백분율 6 2 2 2 2 2 2 4" xfId="26332"/>
    <cellStyle name="백분율 6 2 2 2 2 2 3" xfId="26333"/>
    <cellStyle name="백분율 6 2 2 2 2 2 3 2" xfId="26334"/>
    <cellStyle name="백분율 6 2 2 2 2 2 3 3" xfId="26335"/>
    <cellStyle name="백분율 6 2 2 2 2 2 4" xfId="26336"/>
    <cellStyle name="백분율 6 2 2 2 2 2 5" xfId="26337"/>
    <cellStyle name="백분율 6 2 2 2 2 3" xfId="26338"/>
    <cellStyle name="백분율 6 2 2 2 2 3 2" xfId="26339"/>
    <cellStyle name="백분율 6 2 2 2 2 3 2 2" xfId="26340"/>
    <cellStyle name="백분율 6 2 2 2 2 3 2 2 2" xfId="26341"/>
    <cellStyle name="백분율 6 2 2 2 2 3 2 2 3" xfId="26342"/>
    <cellStyle name="백분율 6 2 2 2 2 3 2 3" xfId="26343"/>
    <cellStyle name="백분율 6 2 2 2 2 3 2 4" xfId="26344"/>
    <cellStyle name="백분율 6 2 2 2 2 3 3" xfId="26345"/>
    <cellStyle name="백분율 6 2 2 2 2 3 3 2" xfId="26346"/>
    <cellStyle name="백분율 6 2 2 2 2 3 3 3" xfId="26347"/>
    <cellStyle name="백분율 6 2 2 2 2 3 4" xfId="26348"/>
    <cellStyle name="백분율 6 2 2 2 2 3 5" xfId="26349"/>
    <cellStyle name="백분율 6 2 2 2 2 4" xfId="26350"/>
    <cellStyle name="백분율 6 2 2 2 2 4 2" xfId="26351"/>
    <cellStyle name="백분율 6 2 2 2 2 4 2 2" xfId="26352"/>
    <cellStyle name="백분율 6 2 2 2 2 4 2 3" xfId="26353"/>
    <cellStyle name="백분율 6 2 2 2 2 4 3" xfId="26354"/>
    <cellStyle name="백분율 6 2 2 2 2 4 4" xfId="26355"/>
    <cellStyle name="백분율 6 2 2 2 2 5" xfId="26356"/>
    <cellStyle name="백분율 6 2 2 2 2 5 2" xfId="26357"/>
    <cellStyle name="백분율 6 2 2 2 2 5 3" xfId="26358"/>
    <cellStyle name="백분율 6 2 2 2 2 6" xfId="26359"/>
    <cellStyle name="백분율 6 2 2 2 2 7" xfId="26360"/>
    <cellStyle name="백분율 6 2 2 2 3" xfId="26361"/>
    <cellStyle name="백분율 6 2 2 2 3 2" xfId="26362"/>
    <cellStyle name="백분율 6 2 2 2 3 2 2" xfId="26363"/>
    <cellStyle name="백분율 6 2 2 2 3 2 2 2" xfId="26364"/>
    <cellStyle name="백분율 6 2 2 2 3 2 2 2 2" xfId="26365"/>
    <cellStyle name="백분율 6 2 2 2 3 2 2 2 3" xfId="26366"/>
    <cellStyle name="백분율 6 2 2 2 3 2 2 3" xfId="26367"/>
    <cellStyle name="백분율 6 2 2 2 3 2 2 4" xfId="26368"/>
    <cellStyle name="백분율 6 2 2 2 3 2 3" xfId="26369"/>
    <cellStyle name="백분율 6 2 2 2 3 2 3 2" xfId="26370"/>
    <cellStyle name="백분율 6 2 2 2 3 2 3 3" xfId="26371"/>
    <cellStyle name="백분율 6 2 2 2 3 2 4" xfId="26372"/>
    <cellStyle name="백분율 6 2 2 2 3 2 5" xfId="26373"/>
    <cellStyle name="백분율 6 2 2 2 3 3" xfId="26374"/>
    <cellStyle name="백분율 6 2 2 2 3 3 2" xfId="26375"/>
    <cellStyle name="백분율 6 2 2 2 3 3 2 2" xfId="26376"/>
    <cellStyle name="백분율 6 2 2 2 3 3 2 2 2" xfId="26377"/>
    <cellStyle name="백분율 6 2 2 2 3 3 2 2 3" xfId="26378"/>
    <cellStyle name="백분율 6 2 2 2 3 3 2 3" xfId="26379"/>
    <cellStyle name="백분율 6 2 2 2 3 3 2 4" xfId="26380"/>
    <cellStyle name="백분율 6 2 2 2 3 3 3" xfId="26381"/>
    <cellStyle name="백분율 6 2 2 2 3 3 3 2" xfId="26382"/>
    <cellStyle name="백분율 6 2 2 2 3 3 3 3" xfId="26383"/>
    <cellStyle name="백분율 6 2 2 2 3 3 4" xfId="26384"/>
    <cellStyle name="백분율 6 2 2 2 3 3 5" xfId="26385"/>
    <cellStyle name="백분율 6 2 2 2 3 4" xfId="26386"/>
    <cellStyle name="백분율 6 2 2 2 3 4 2" xfId="26387"/>
    <cellStyle name="백분율 6 2 2 2 3 4 2 2" xfId="26388"/>
    <cellStyle name="백분율 6 2 2 2 3 4 2 3" xfId="26389"/>
    <cellStyle name="백분율 6 2 2 2 3 4 3" xfId="26390"/>
    <cellStyle name="백분율 6 2 2 2 3 4 4" xfId="26391"/>
    <cellStyle name="백분율 6 2 2 2 3 5" xfId="26392"/>
    <cellStyle name="백분율 6 2 2 2 3 5 2" xfId="26393"/>
    <cellStyle name="백분율 6 2 2 2 3 5 3" xfId="26394"/>
    <cellStyle name="백분율 6 2 2 2 3 6" xfId="26395"/>
    <cellStyle name="백분율 6 2 2 2 3 7" xfId="26396"/>
    <cellStyle name="백분율 6 2 2 2 4" xfId="26397"/>
    <cellStyle name="백분율 6 2 2 2 4 2" xfId="26398"/>
    <cellStyle name="백분율 6 2 2 2 4 2 2" xfId="26399"/>
    <cellStyle name="백분율 6 2 2 2 4 2 2 2" xfId="26400"/>
    <cellStyle name="백분율 6 2 2 2 4 2 2 3" xfId="26401"/>
    <cellStyle name="백분율 6 2 2 2 4 2 3" xfId="26402"/>
    <cellStyle name="백분율 6 2 2 2 4 2 4" xfId="26403"/>
    <cellStyle name="백분율 6 2 2 2 4 3" xfId="26404"/>
    <cellStyle name="백분율 6 2 2 2 4 3 2" xfId="26405"/>
    <cellStyle name="백분율 6 2 2 2 4 3 3" xfId="26406"/>
    <cellStyle name="백분율 6 2 2 2 4 4" xfId="26407"/>
    <cellStyle name="백분율 6 2 2 2 4 5" xfId="26408"/>
    <cellStyle name="백분율 6 2 2 2 5" xfId="26409"/>
    <cellStyle name="백분율 6 2 2 2 5 2" xfId="26410"/>
    <cellStyle name="백분율 6 2 2 2 5 2 2" xfId="26411"/>
    <cellStyle name="백분율 6 2 2 2 5 2 2 2" xfId="26412"/>
    <cellStyle name="백분율 6 2 2 2 5 2 2 3" xfId="26413"/>
    <cellStyle name="백분율 6 2 2 2 5 2 3" xfId="26414"/>
    <cellStyle name="백분율 6 2 2 2 5 2 4" xfId="26415"/>
    <cellStyle name="백분율 6 2 2 2 5 3" xfId="26416"/>
    <cellStyle name="백분율 6 2 2 2 5 3 2" xfId="26417"/>
    <cellStyle name="백분율 6 2 2 2 5 3 3" xfId="26418"/>
    <cellStyle name="백분율 6 2 2 2 5 4" xfId="26419"/>
    <cellStyle name="백분율 6 2 2 2 5 5" xfId="26420"/>
    <cellStyle name="백분율 6 2 2 2 6" xfId="26421"/>
    <cellStyle name="백분율 6 2 2 2 6 2" xfId="26422"/>
    <cellStyle name="백분율 6 2 2 2 6 2 2" xfId="26423"/>
    <cellStyle name="백분율 6 2 2 2 6 2 2 2" xfId="26424"/>
    <cellStyle name="백분율 6 2 2 2 6 2 2 3" xfId="26425"/>
    <cellStyle name="백분율 6 2 2 2 6 2 3" xfId="26426"/>
    <cellStyle name="백분율 6 2 2 2 6 2 4" xfId="26427"/>
    <cellStyle name="백분율 6 2 2 2 6 3" xfId="26428"/>
    <cellStyle name="백분율 6 2 2 2 6 3 2" xfId="26429"/>
    <cellStyle name="백분율 6 2 2 2 6 3 3" xfId="26430"/>
    <cellStyle name="백분율 6 2 2 2 6 4" xfId="26431"/>
    <cellStyle name="백분율 6 2 2 2 6 5" xfId="26432"/>
    <cellStyle name="백분율 6 2 2 2 7" xfId="26433"/>
    <cellStyle name="백분율 6 2 2 2 7 2" xfId="26434"/>
    <cellStyle name="백분율 6 2 2 2 7 2 2" xfId="26435"/>
    <cellStyle name="백분율 6 2 2 2 7 2 3" xfId="26436"/>
    <cellStyle name="백분율 6 2 2 2 7 3" xfId="26437"/>
    <cellStyle name="백분율 6 2 2 2 7 4" xfId="26438"/>
    <cellStyle name="백분율 6 2 2 2 8" xfId="26439"/>
    <cellStyle name="백분율 6 2 2 2 8 2" xfId="26440"/>
    <cellStyle name="백분율 6 2 2 2 8 3" xfId="26441"/>
    <cellStyle name="백분율 6 2 2 2 9" xfId="26442"/>
    <cellStyle name="백분율 6 2 2 3" xfId="26443"/>
    <cellStyle name="백분율 6 2 2 3 10" xfId="26444"/>
    <cellStyle name="백분율 6 2 2 3 2" xfId="26445"/>
    <cellStyle name="백분율 6 2 2 3 2 2" xfId="26446"/>
    <cellStyle name="백분율 6 2 2 3 2 2 2" xfId="26447"/>
    <cellStyle name="백분율 6 2 2 3 2 2 2 2" xfId="26448"/>
    <cellStyle name="백분율 6 2 2 3 2 2 2 2 2" xfId="26449"/>
    <cellStyle name="백분율 6 2 2 3 2 2 2 2 3" xfId="26450"/>
    <cellStyle name="백분율 6 2 2 3 2 2 2 3" xfId="26451"/>
    <cellStyle name="백분율 6 2 2 3 2 2 2 4" xfId="26452"/>
    <cellStyle name="백분율 6 2 2 3 2 2 3" xfId="26453"/>
    <cellStyle name="백분율 6 2 2 3 2 2 3 2" xfId="26454"/>
    <cellStyle name="백분율 6 2 2 3 2 2 3 3" xfId="26455"/>
    <cellStyle name="백분율 6 2 2 3 2 2 4" xfId="26456"/>
    <cellStyle name="백분율 6 2 2 3 2 2 5" xfId="26457"/>
    <cellStyle name="백분율 6 2 2 3 2 3" xfId="26458"/>
    <cellStyle name="백분율 6 2 2 3 2 3 2" xfId="26459"/>
    <cellStyle name="백분율 6 2 2 3 2 3 2 2" xfId="26460"/>
    <cellStyle name="백분율 6 2 2 3 2 3 2 2 2" xfId="26461"/>
    <cellStyle name="백분율 6 2 2 3 2 3 2 2 3" xfId="26462"/>
    <cellStyle name="백분율 6 2 2 3 2 3 2 3" xfId="26463"/>
    <cellStyle name="백분율 6 2 2 3 2 3 2 4" xfId="26464"/>
    <cellStyle name="백분율 6 2 2 3 2 3 3" xfId="26465"/>
    <cellStyle name="백분율 6 2 2 3 2 3 3 2" xfId="26466"/>
    <cellStyle name="백분율 6 2 2 3 2 3 3 3" xfId="26467"/>
    <cellStyle name="백분율 6 2 2 3 2 3 4" xfId="26468"/>
    <cellStyle name="백분율 6 2 2 3 2 3 5" xfId="26469"/>
    <cellStyle name="백분율 6 2 2 3 2 4" xfId="26470"/>
    <cellStyle name="백분율 6 2 2 3 2 4 2" xfId="26471"/>
    <cellStyle name="백분율 6 2 2 3 2 4 2 2" xfId="26472"/>
    <cellStyle name="백분율 6 2 2 3 2 4 2 3" xfId="26473"/>
    <cellStyle name="백분율 6 2 2 3 2 4 3" xfId="26474"/>
    <cellStyle name="백분율 6 2 2 3 2 4 4" xfId="26475"/>
    <cellStyle name="백분율 6 2 2 3 2 5" xfId="26476"/>
    <cellStyle name="백분율 6 2 2 3 2 5 2" xfId="26477"/>
    <cellStyle name="백분율 6 2 2 3 2 5 3" xfId="26478"/>
    <cellStyle name="백분율 6 2 2 3 2 6" xfId="26479"/>
    <cellStyle name="백분율 6 2 2 3 2 7" xfId="26480"/>
    <cellStyle name="백분율 6 2 2 3 3" xfId="26481"/>
    <cellStyle name="백분율 6 2 2 3 3 2" xfId="26482"/>
    <cellStyle name="백분율 6 2 2 3 3 2 2" xfId="26483"/>
    <cellStyle name="백분율 6 2 2 3 3 2 2 2" xfId="26484"/>
    <cellStyle name="백분율 6 2 2 3 3 2 2 2 2" xfId="26485"/>
    <cellStyle name="백분율 6 2 2 3 3 2 2 2 3" xfId="26486"/>
    <cellStyle name="백분율 6 2 2 3 3 2 2 3" xfId="26487"/>
    <cellStyle name="백분율 6 2 2 3 3 2 2 4" xfId="26488"/>
    <cellStyle name="백분율 6 2 2 3 3 2 3" xfId="26489"/>
    <cellStyle name="백분율 6 2 2 3 3 2 3 2" xfId="26490"/>
    <cellStyle name="백분율 6 2 2 3 3 2 3 3" xfId="26491"/>
    <cellStyle name="백분율 6 2 2 3 3 2 4" xfId="26492"/>
    <cellStyle name="백분율 6 2 2 3 3 2 5" xfId="26493"/>
    <cellStyle name="백분율 6 2 2 3 3 3" xfId="26494"/>
    <cellStyle name="백분율 6 2 2 3 3 3 2" xfId="26495"/>
    <cellStyle name="백분율 6 2 2 3 3 3 2 2" xfId="26496"/>
    <cellStyle name="백분율 6 2 2 3 3 3 2 2 2" xfId="26497"/>
    <cellStyle name="백분율 6 2 2 3 3 3 2 2 3" xfId="26498"/>
    <cellStyle name="백분율 6 2 2 3 3 3 2 3" xfId="26499"/>
    <cellStyle name="백분율 6 2 2 3 3 3 2 4" xfId="26500"/>
    <cellStyle name="백분율 6 2 2 3 3 3 3" xfId="26501"/>
    <cellStyle name="백분율 6 2 2 3 3 3 3 2" xfId="26502"/>
    <cellStyle name="백분율 6 2 2 3 3 3 3 3" xfId="26503"/>
    <cellStyle name="백분율 6 2 2 3 3 3 4" xfId="26504"/>
    <cellStyle name="백분율 6 2 2 3 3 3 5" xfId="26505"/>
    <cellStyle name="백분율 6 2 2 3 3 4" xfId="26506"/>
    <cellStyle name="백분율 6 2 2 3 3 4 2" xfId="26507"/>
    <cellStyle name="백분율 6 2 2 3 3 4 2 2" xfId="26508"/>
    <cellStyle name="백분율 6 2 2 3 3 4 2 3" xfId="26509"/>
    <cellStyle name="백분율 6 2 2 3 3 4 3" xfId="26510"/>
    <cellStyle name="백분율 6 2 2 3 3 4 4" xfId="26511"/>
    <cellStyle name="백분율 6 2 2 3 3 5" xfId="26512"/>
    <cellStyle name="백분율 6 2 2 3 3 5 2" xfId="26513"/>
    <cellStyle name="백분율 6 2 2 3 3 5 3" xfId="26514"/>
    <cellStyle name="백분율 6 2 2 3 3 6" xfId="26515"/>
    <cellStyle name="백분율 6 2 2 3 3 7" xfId="26516"/>
    <cellStyle name="백분율 6 2 2 3 4" xfId="26517"/>
    <cellStyle name="백분율 6 2 2 3 4 2" xfId="26518"/>
    <cellStyle name="백분율 6 2 2 3 4 2 2" xfId="26519"/>
    <cellStyle name="백분율 6 2 2 3 4 2 2 2" xfId="26520"/>
    <cellStyle name="백분율 6 2 2 3 4 2 2 3" xfId="26521"/>
    <cellStyle name="백분율 6 2 2 3 4 2 3" xfId="26522"/>
    <cellStyle name="백분율 6 2 2 3 4 2 4" xfId="26523"/>
    <cellStyle name="백분율 6 2 2 3 4 3" xfId="26524"/>
    <cellStyle name="백분율 6 2 2 3 4 3 2" xfId="26525"/>
    <cellStyle name="백분율 6 2 2 3 4 3 3" xfId="26526"/>
    <cellStyle name="백분율 6 2 2 3 4 4" xfId="26527"/>
    <cellStyle name="백분율 6 2 2 3 4 5" xfId="26528"/>
    <cellStyle name="백분율 6 2 2 3 5" xfId="26529"/>
    <cellStyle name="백분율 6 2 2 3 5 2" xfId="26530"/>
    <cellStyle name="백분율 6 2 2 3 5 2 2" xfId="26531"/>
    <cellStyle name="백분율 6 2 2 3 5 2 2 2" xfId="26532"/>
    <cellStyle name="백분율 6 2 2 3 5 2 2 3" xfId="26533"/>
    <cellStyle name="백분율 6 2 2 3 5 2 3" xfId="26534"/>
    <cellStyle name="백분율 6 2 2 3 5 2 4" xfId="26535"/>
    <cellStyle name="백분율 6 2 2 3 5 3" xfId="26536"/>
    <cellStyle name="백분율 6 2 2 3 5 3 2" xfId="26537"/>
    <cellStyle name="백분율 6 2 2 3 5 3 3" xfId="26538"/>
    <cellStyle name="백분율 6 2 2 3 5 4" xfId="26539"/>
    <cellStyle name="백분율 6 2 2 3 5 5" xfId="26540"/>
    <cellStyle name="백분율 6 2 2 3 6" xfId="26541"/>
    <cellStyle name="백분율 6 2 2 3 6 2" xfId="26542"/>
    <cellStyle name="백분율 6 2 2 3 6 2 2" xfId="26543"/>
    <cellStyle name="백분율 6 2 2 3 6 2 2 2" xfId="26544"/>
    <cellStyle name="백분율 6 2 2 3 6 2 2 3" xfId="26545"/>
    <cellStyle name="백분율 6 2 2 3 6 2 3" xfId="26546"/>
    <cellStyle name="백분율 6 2 2 3 6 2 4" xfId="26547"/>
    <cellStyle name="백분율 6 2 2 3 6 3" xfId="26548"/>
    <cellStyle name="백분율 6 2 2 3 6 3 2" xfId="26549"/>
    <cellStyle name="백분율 6 2 2 3 6 3 3" xfId="26550"/>
    <cellStyle name="백분율 6 2 2 3 6 4" xfId="26551"/>
    <cellStyle name="백분율 6 2 2 3 6 5" xfId="26552"/>
    <cellStyle name="백분율 6 2 2 3 7" xfId="26553"/>
    <cellStyle name="백분율 6 2 2 3 7 2" xfId="26554"/>
    <cellStyle name="백분율 6 2 2 3 7 2 2" xfId="26555"/>
    <cellStyle name="백분율 6 2 2 3 7 2 3" xfId="26556"/>
    <cellStyle name="백분율 6 2 2 3 7 3" xfId="26557"/>
    <cellStyle name="백분율 6 2 2 3 7 4" xfId="26558"/>
    <cellStyle name="백분율 6 2 2 3 8" xfId="26559"/>
    <cellStyle name="백분율 6 2 2 3 8 2" xfId="26560"/>
    <cellStyle name="백분율 6 2 2 3 8 3" xfId="26561"/>
    <cellStyle name="백분율 6 2 2 3 9" xfId="26562"/>
    <cellStyle name="백분율 6 2 2 4" xfId="26563"/>
    <cellStyle name="백분율 6 2 2 4 10" xfId="26564"/>
    <cellStyle name="백분율 6 2 2 4 2" xfId="26565"/>
    <cellStyle name="백분율 6 2 2 4 2 2" xfId="26566"/>
    <cellStyle name="백분율 6 2 2 4 2 2 2" xfId="26567"/>
    <cellStyle name="백분율 6 2 2 4 2 2 2 2" xfId="26568"/>
    <cellStyle name="백분율 6 2 2 4 2 2 2 2 2" xfId="26569"/>
    <cellStyle name="백분율 6 2 2 4 2 2 2 2 3" xfId="26570"/>
    <cellStyle name="백분율 6 2 2 4 2 2 2 3" xfId="26571"/>
    <cellStyle name="백분율 6 2 2 4 2 2 2 4" xfId="26572"/>
    <cellStyle name="백분율 6 2 2 4 2 2 3" xfId="26573"/>
    <cellStyle name="백분율 6 2 2 4 2 2 3 2" xfId="26574"/>
    <cellStyle name="백분율 6 2 2 4 2 2 3 3" xfId="26575"/>
    <cellStyle name="백분율 6 2 2 4 2 2 4" xfId="26576"/>
    <cellStyle name="백분율 6 2 2 4 2 2 5" xfId="26577"/>
    <cellStyle name="백분율 6 2 2 4 2 3" xfId="26578"/>
    <cellStyle name="백분율 6 2 2 4 2 3 2" xfId="26579"/>
    <cellStyle name="백분율 6 2 2 4 2 3 2 2" xfId="26580"/>
    <cellStyle name="백분율 6 2 2 4 2 3 2 2 2" xfId="26581"/>
    <cellStyle name="백분율 6 2 2 4 2 3 2 2 3" xfId="26582"/>
    <cellStyle name="백분율 6 2 2 4 2 3 2 3" xfId="26583"/>
    <cellStyle name="백분율 6 2 2 4 2 3 2 4" xfId="26584"/>
    <cellStyle name="백분율 6 2 2 4 2 3 3" xfId="26585"/>
    <cellStyle name="백분율 6 2 2 4 2 3 3 2" xfId="26586"/>
    <cellStyle name="백분율 6 2 2 4 2 3 3 3" xfId="26587"/>
    <cellStyle name="백분율 6 2 2 4 2 3 4" xfId="26588"/>
    <cellStyle name="백분율 6 2 2 4 2 3 5" xfId="26589"/>
    <cellStyle name="백분율 6 2 2 4 2 4" xfId="26590"/>
    <cellStyle name="백분율 6 2 2 4 2 4 2" xfId="26591"/>
    <cellStyle name="백분율 6 2 2 4 2 4 2 2" xfId="26592"/>
    <cellStyle name="백분율 6 2 2 4 2 4 2 3" xfId="26593"/>
    <cellStyle name="백분율 6 2 2 4 2 4 3" xfId="26594"/>
    <cellStyle name="백분율 6 2 2 4 2 4 4" xfId="26595"/>
    <cellStyle name="백분율 6 2 2 4 2 5" xfId="26596"/>
    <cellStyle name="백분율 6 2 2 4 2 5 2" xfId="26597"/>
    <cellStyle name="백분율 6 2 2 4 2 5 3" xfId="26598"/>
    <cellStyle name="백분율 6 2 2 4 2 6" xfId="26599"/>
    <cellStyle name="백분율 6 2 2 4 2 7" xfId="26600"/>
    <cellStyle name="백분율 6 2 2 4 3" xfId="26601"/>
    <cellStyle name="백분율 6 2 2 4 3 2" xfId="26602"/>
    <cellStyle name="백분율 6 2 2 4 3 2 2" xfId="26603"/>
    <cellStyle name="백분율 6 2 2 4 3 2 2 2" xfId="26604"/>
    <cellStyle name="백분율 6 2 2 4 3 2 2 2 2" xfId="26605"/>
    <cellStyle name="백분율 6 2 2 4 3 2 2 2 3" xfId="26606"/>
    <cellStyle name="백분율 6 2 2 4 3 2 2 3" xfId="26607"/>
    <cellStyle name="백분율 6 2 2 4 3 2 2 4" xfId="26608"/>
    <cellStyle name="백분율 6 2 2 4 3 2 3" xfId="26609"/>
    <cellStyle name="백분율 6 2 2 4 3 2 3 2" xfId="26610"/>
    <cellStyle name="백분율 6 2 2 4 3 2 3 3" xfId="26611"/>
    <cellStyle name="백분율 6 2 2 4 3 2 4" xfId="26612"/>
    <cellStyle name="백분율 6 2 2 4 3 2 5" xfId="26613"/>
    <cellStyle name="백분율 6 2 2 4 3 3" xfId="26614"/>
    <cellStyle name="백분율 6 2 2 4 3 3 2" xfId="26615"/>
    <cellStyle name="백분율 6 2 2 4 3 3 2 2" xfId="26616"/>
    <cellStyle name="백분율 6 2 2 4 3 3 2 2 2" xfId="26617"/>
    <cellStyle name="백분율 6 2 2 4 3 3 2 2 3" xfId="26618"/>
    <cellStyle name="백분율 6 2 2 4 3 3 2 3" xfId="26619"/>
    <cellStyle name="백분율 6 2 2 4 3 3 2 4" xfId="26620"/>
    <cellStyle name="백분율 6 2 2 4 3 3 3" xfId="26621"/>
    <cellStyle name="백분율 6 2 2 4 3 3 3 2" xfId="26622"/>
    <cellStyle name="백분율 6 2 2 4 3 3 3 3" xfId="26623"/>
    <cellStyle name="백분율 6 2 2 4 3 3 4" xfId="26624"/>
    <cellStyle name="백분율 6 2 2 4 3 3 5" xfId="26625"/>
    <cellStyle name="백분율 6 2 2 4 3 4" xfId="26626"/>
    <cellStyle name="백분율 6 2 2 4 3 4 2" xfId="26627"/>
    <cellStyle name="백분율 6 2 2 4 3 4 2 2" xfId="26628"/>
    <cellStyle name="백분율 6 2 2 4 3 4 2 3" xfId="26629"/>
    <cellStyle name="백분율 6 2 2 4 3 4 3" xfId="26630"/>
    <cellStyle name="백분율 6 2 2 4 3 4 4" xfId="26631"/>
    <cellStyle name="백분율 6 2 2 4 3 5" xfId="26632"/>
    <cellStyle name="백분율 6 2 2 4 3 5 2" xfId="26633"/>
    <cellStyle name="백분율 6 2 2 4 3 5 3" xfId="26634"/>
    <cellStyle name="백분율 6 2 2 4 3 6" xfId="26635"/>
    <cellStyle name="백분율 6 2 2 4 3 7" xfId="26636"/>
    <cellStyle name="백분율 6 2 2 4 4" xfId="26637"/>
    <cellStyle name="백분율 6 2 2 4 4 2" xfId="26638"/>
    <cellStyle name="백분율 6 2 2 4 4 2 2" xfId="26639"/>
    <cellStyle name="백분율 6 2 2 4 4 2 2 2" xfId="26640"/>
    <cellStyle name="백분율 6 2 2 4 4 2 2 3" xfId="26641"/>
    <cellStyle name="백분율 6 2 2 4 4 2 3" xfId="26642"/>
    <cellStyle name="백분율 6 2 2 4 4 2 4" xfId="26643"/>
    <cellStyle name="백분율 6 2 2 4 4 3" xfId="26644"/>
    <cellStyle name="백분율 6 2 2 4 4 3 2" xfId="26645"/>
    <cellStyle name="백분율 6 2 2 4 4 3 3" xfId="26646"/>
    <cellStyle name="백분율 6 2 2 4 4 4" xfId="26647"/>
    <cellStyle name="백분율 6 2 2 4 4 5" xfId="26648"/>
    <cellStyle name="백분율 6 2 2 4 5" xfId="26649"/>
    <cellStyle name="백분율 6 2 2 4 5 2" xfId="26650"/>
    <cellStyle name="백분율 6 2 2 4 5 2 2" xfId="26651"/>
    <cellStyle name="백분율 6 2 2 4 5 2 2 2" xfId="26652"/>
    <cellStyle name="백분율 6 2 2 4 5 2 2 3" xfId="26653"/>
    <cellStyle name="백분율 6 2 2 4 5 2 3" xfId="26654"/>
    <cellStyle name="백분율 6 2 2 4 5 2 4" xfId="26655"/>
    <cellStyle name="백분율 6 2 2 4 5 3" xfId="26656"/>
    <cellStyle name="백분율 6 2 2 4 5 3 2" xfId="26657"/>
    <cellStyle name="백분율 6 2 2 4 5 3 3" xfId="26658"/>
    <cellStyle name="백분율 6 2 2 4 5 4" xfId="26659"/>
    <cellStyle name="백분율 6 2 2 4 5 5" xfId="26660"/>
    <cellStyle name="백분율 6 2 2 4 6" xfId="26661"/>
    <cellStyle name="백분율 6 2 2 4 6 2" xfId="26662"/>
    <cellStyle name="백분율 6 2 2 4 6 2 2" xfId="26663"/>
    <cellStyle name="백분율 6 2 2 4 6 2 2 2" xfId="26664"/>
    <cellStyle name="백분율 6 2 2 4 6 2 2 3" xfId="26665"/>
    <cellStyle name="백분율 6 2 2 4 6 2 3" xfId="26666"/>
    <cellStyle name="백분율 6 2 2 4 6 2 4" xfId="26667"/>
    <cellStyle name="백분율 6 2 2 4 6 3" xfId="26668"/>
    <cellStyle name="백분율 6 2 2 4 6 3 2" xfId="26669"/>
    <cellStyle name="백분율 6 2 2 4 6 3 3" xfId="26670"/>
    <cellStyle name="백분율 6 2 2 4 6 4" xfId="26671"/>
    <cellStyle name="백분율 6 2 2 4 6 5" xfId="26672"/>
    <cellStyle name="백분율 6 2 2 4 7" xfId="26673"/>
    <cellStyle name="백분율 6 2 2 4 7 2" xfId="26674"/>
    <cellStyle name="백분율 6 2 2 4 7 2 2" xfId="26675"/>
    <cellStyle name="백분율 6 2 2 4 7 2 3" xfId="26676"/>
    <cellStyle name="백분율 6 2 2 4 7 3" xfId="26677"/>
    <cellStyle name="백분율 6 2 2 4 7 4" xfId="26678"/>
    <cellStyle name="백분율 6 2 2 4 8" xfId="26679"/>
    <cellStyle name="백분율 6 2 2 4 8 2" xfId="26680"/>
    <cellStyle name="백분율 6 2 2 4 8 3" xfId="26681"/>
    <cellStyle name="백분율 6 2 2 4 9" xfId="26682"/>
    <cellStyle name="백분율 6 2 2 5" xfId="26683"/>
    <cellStyle name="백분율 6 2 2 5 2" xfId="26684"/>
    <cellStyle name="백분율 6 2 2 5 2 2" xfId="26685"/>
    <cellStyle name="백분율 6 2 2 5 2 2 2" xfId="26686"/>
    <cellStyle name="백분율 6 2 2 5 2 2 2 2" xfId="26687"/>
    <cellStyle name="백분율 6 2 2 5 2 2 2 3" xfId="26688"/>
    <cellStyle name="백분율 6 2 2 5 2 2 3" xfId="26689"/>
    <cellStyle name="백분율 6 2 2 5 2 2 4" xfId="26690"/>
    <cellStyle name="백분율 6 2 2 5 2 3" xfId="26691"/>
    <cellStyle name="백분율 6 2 2 5 2 3 2" xfId="26692"/>
    <cellStyle name="백분율 6 2 2 5 2 3 3" xfId="26693"/>
    <cellStyle name="백분율 6 2 2 5 2 4" xfId="26694"/>
    <cellStyle name="백분율 6 2 2 5 2 5" xfId="26695"/>
    <cellStyle name="백분율 6 2 2 5 3" xfId="26696"/>
    <cellStyle name="백분율 6 2 2 5 3 2" xfId="26697"/>
    <cellStyle name="백분율 6 2 2 5 3 2 2" xfId="26698"/>
    <cellStyle name="백분율 6 2 2 5 3 2 2 2" xfId="26699"/>
    <cellStyle name="백분율 6 2 2 5 3 2 2 3" xfId="26700"/>
    <cellStyle name="백분율 6 2 2 5 3 2 3" xfId="26701"/>
    <cellStyle name="백분율 6 2 2 5 3 2 4" xfId="26702"/>
    <cellStyle name="백분율 6 2 2 5 3 3" xfId="26703"/>
    <cellStyle name="백분율 6 2 2 5 3 3 2" xfId="26704"/>
    <cellStyle name="백분율 6 2 2 5 3 3 3" xfId="26705"/>
    <cellStyle name="백분율 6 2 2 5 3 4" xfId="26706"/>
    <cellStyle name="백분율 6 2 2 5 3 5" xfId="26707"/>
    <cellStyle name="백분율 6 2 2 5 4" xfId="26708"/>
    <cellStyle name="백분율 6 2 2 5 4 2" xfId="26709"/>
    <cellStyle name="백분율 6 2 2 5 4 2 2" xfId="26710"/>
    <cellStyle name="백분율 6 2 2 5 4 2 3" xfId="26711"/>
    <cellStyle name="백분율 6 2 2 5 4 3" xfId="26712"/>
    <cellStyle name="백분율 6 2 2 5 4 4" xfId="26713"/>
    <cellStyle name="백분율 6 2 2 5 5" xfId="26714"/>
    <cellStyle name="백분율 6 2 2 5 5 2" xfId="26715"/>
    <cellStyle name="백분율 6 2 2 5 5 3" xfId="26716"/>
    <cellStyle name="백분율 6 2 2 5 6" xfId="26717"/>
    <cellStyle name="백분율 6 2 2 5 7" xfId="26718"/>
    <cellStyle name="백분율 6 2 2 6" xfId="26719"/>
    <cellStyle name="백분율 6 2 2 6 2" xfId="26720"/>
    <cellStyle name="백분율 6 2 2 6 2 2" xfId="26721"/>
    <cellStyle name="백분율 6 2 2 6 2 2 2" xfId="26722"/>
    <cellStyle name="백분율 6 2 2 6 2 2 2 2" xfId="26723"/>
    <cellStyle name="백분율 6 2 2 6 2 2 2 3" xfId="26724"/>
    <cellStyle name="백분율 6 2 2 6 2 2 3" xfId="26725"/>
    <cellStyle name="백분율 6 2 2 6 2 2 4" xfId="26726"/>
    <cellStyle name="백분율 6 2 2 6 2 3" xfId="26727"/>
    <cellStyle name="백분율 6 2 2 6 2 3 2" xfId="26728"/>
    <cellStyle name="백분율 6 2 2 6 2 3 3" xfId="26729"/>
    <cellStyle name="백분율 6 2 2 6 2 4" xfId="26730"/>
    <cellStyle name="백분율 6 2 2 6 2 5" xfId="26731"/>
    <cellStyle name="백분율 6 2 2 6 3" xfId="26732"/>
    <cellStyle name="백분율 6 2 2 6 3 2" xfId="26733"/>
    <cellStyle name="백분율 6 2 2 6 3 2 2" xfId="26734"/>
    <cellStyle name="백분율 6 2 2 6 3 2 2 2" xfId="26735"/>
    <cellStyle name="백분율 6 2 2 6 3 2 2 3" xfId="26736"/>
    <cellStyle name="백분율 6 2 2 6 3 2 3" xfId="26737"/>
    <cellStyle name="백분율 6 2 2 6 3 2 4" xfId="26738"/>
    <cellStyle name="백분율 6 2 2 6 3 3" xfId="26739"/>
    <cellStyle name="백분율 6 2 2 6 3 3 2" xfId="26740"/>
    <cellStyle name="백분율 6 2 2 6 3 3 3" xfId="26741"/>
    <cellStyle name="백분율 6 2 2 6 3 4" xfId="26742"/>
    <cellStyle name="백분율 6 2 2 6 3 5" xfId="26743"/>
    <cellStyle name="백분율 6 2 2 6 4" xfId="26744"/>
    <cellStyle name="백분율 6 2 2 6 4 2" xfId="26745"/>
    <cellStyle name="백분율 6 2 2 6 4 2 2" xfId="26746"/>
    <cellStyle name="백분율 6 2 2 6 4 2 3" xfId="26747"/>
    <cellStyle name="백분율 6 2 2 6 4 3" xfId="26748"/>
    <cellStyle name="백분율 6 2 2 6 4 4" xfId="26749"/>
    <cellStyle name="백분율 6 2 2 6 5" xfId="26750"/>
    <cellStyle name="백분율 6 2 2 6 5 2" xfId="26751"/>
    <cellStyle name="백분율 6 2 2 6 5 3" xfId="26752"/>
    <cellStyle name="백분율 6 2 2 6 6" xfId="26753"/>
    <cellStyle name="백분율 6 2 2 6 7" xfId="26754"/>
    <cellStyle name="백분율 6 2 2 7" xfId="26755"/>
    <cellStyle name="백분율 6 2 2 7 2" xfId="26756"/>
    <cellStyle name="백분율 6 2 2 7 2 2" xfId="26757"/>
    <cellStyle name="백분율 6 2 2 7 2 2 2" xfId="26758"/>
    <cellStyle name="백분율 6 2 2 7 2 2 3" xfId="26759"/>
    <cellStyle name="백분율 6 2 2 7 2 3" xfId="26760"/>
    <cellStyle name="백분율 6 2 2 7 2 4" xfId="26761"/>
    <cellStyle name="백분율 6 2 2 7 3" xfId="26762"/>
    <cellStyle name="백분율 6 2 2 7 3 2" xfId="26763"/>
    <cellStyle name="백분율 6 2 2 7 3 3" xfId="26764"/>
    <cellStyle name="백분율 6 2 2 7 4" xfId="26765"/>
    <cellStyle name="백분율 6 2 2 7 5" xfId="26766"/>
    <cellStyle name="백분율 6 2 2 8" xfId="26767"/>
    <cellStyle name="백분율 6 2 2 8 2" xfId="26768"/>
    <cellStyle name="백분율 6 2 2 8 2 2" xfId="26769"/>
    <cellStyle name="백분율 6 2 2 8 2 2 2" xfId="26770"/>
    <cellStyle name="백분율 6 2 2 8 2 2 3" xfId="26771"/>
    <cellStyle name="백분율 6 2 2 8 2 3" xfId="26772"/>
    <cellStyle name="백분율 6 2 2 8 2 4" xfId="26773"/>
    <cellStyle name="백분율 6 2 2 8 3" xfId="26774"/>
    <cellStyle name="백분율 6 2 2 8 3 2" xfId="26775"/>
    <cellStyle name="백분율 6 2 2 8 3 3" xfId="26776"/>
    <cellStyle name="백분율 6 2 2 8 4" xfId="26777"/>
    <cellStyle name="백분율 6 2 2 8 5" xfId="26778"/>
    <cellStyle name="백분율 6 2 2 9" xfId="26779"/>
    <cellStyle name="백분율 6 2 2 9 2" xfId="26780"/>
    <cellStyle name="백분율 6 2 2 9 2 2" xfId="26781"/>
    <cellStyle name="백분율 6 2 2 9 2 2 2" xfId="26782"/>
    <cellStyle name="백분율 6 2 2 9 2 2 3" xfId="26783"/>
    <cellStyle name="백분율 6 2 2 9 2 3" xfId="26784"/>
    <cellStyle name="백분율 6 2 2 9 2 4" xfId="26785"/>
    <cellStyle name="백분율 6 2 2 9 3" xfId="26786"/>
    <cellStyle name="백분율 6 2 2 9 3 2" xfId="26787"/>
    <cellStyle name="백분율 6 2 2 9 3 3" xfId="26788"/>
    <cellStyle name="백분율 6 2 2 9 4" xfId="26789"/>
    <cellStyle name="백분율 6 2 2 9 5" xfId="26790"/>
    <cellStyle name="백분율 6 2 3" xfId="26791"/>
    <cellStyle name="백분율 6 2 3 10" xfId="26792"/>
    <cellStyle name="백분율 6 2 3 2" xfId="26793"/>
    <cellStyle name="백분율 6 2 3 2 2" xfId="26794"/>
    <cellStyle name="백분율 6 2 3 2 2 2" xfId="26795"/>
    <cellStyle name="백분율 6 2 3 2 2 2 2" xfId="26796"/>
    <cellStyle name="백분율 6 2 3 2 2 2 2 2" xfId="26797"/>
    <cellStyle name="백분율 6 2 3 2 2 2 2 3" xfId="26798"/>
    <cellStyle name="백분율 6 2 3 2 2 2 3" xfId="26799"/>
    <cellStyle name="백분율 6 2 3 2 2 2 4" xfId="26800"/>
    <cellStyle name="백분율 6 2 3 2 2 3" xfId="26801"/>
    <cellStyle name="백분율 6 2 3 2 2 3 2" xfId="26802"/>
    <cellStyle name="백분율 6 2 3 2 2 3 3" xfId="26803"/>
    <cellStyle name="백분율 6 2 3 2 2 4" xfId="26804"/>
    <cellStyle name="백분율 6 2 3 2 2 5" xfId="26805"/>
    <cellStyle name="백분율 6 2 3 2 3" xfId="26806"/>
    <cellStyle name="백분율 6 2 3 2 3 2" xfId="26807"/>
    <cellStyle name="백분율 6 2 3 2 3 2 2" xfId="26808"/>
    <cellStyle name="백분율 6 2 3 2 3 2 2 2" xfId="26809"/>
    <cellStyle name="백분율 6 2 3 2 3 2 2 3" xfId="26810"/>
    <cellStyle name="백분율 6 2 3 2 3 2 3" xfId="26811"/>
    <cellStyle name="백분율 6 2 3 2 3 2 4" xfId="26812"/>
    <cellStyle name="백분율 6 2 3 2 3 3" xfId="26813"/>
    <cellStyle name="백분율 6 2 3 2 3 3 2" xfId="26814"/>
    <cellStyle name="백분율 6 2 3 2 3 3 3" xfId="26815"/>
    <cellStyle name="백분율 6 2 3 2 3 4" xfId="26816"/>
    <cellStyle name="백분율 6 2 3 2 3 5" xfId="26817"/>
    <cellStyle name="백분율 6 2 3 2 4" xfId="26818"/>
    <cellStyle name="백분율 6 2 3 2 4 2" xfId="26819"/>
    <cellStyle name="백분율 6 2 3 2 4 2 2" xfId="26820"/>
    <cellStyle name="백분율 6 2 3 2 4 2 3" xfId="26821"/>
    <cellStyle name="백분율 6 2 3 2 4 3" xfId="26822"/>
    <cellStyle name="백분율 6 2 3 2 4 4" xfId="26823"/>
    <cellStyle name="백분율 6 2 3 2 5" xfId="26824"/>
    <cellStyle name="백분율 6 2 3 2 5 2" xfId="26825"/>
    <cellStyle name="백분율 6 2 3 2 5 3" xfId="26826"/>
    <cellStyle name="백분율 6 2 3 2 6" xfId="26827"/>
    <cellStyle name="백분율 6 2 3 2 7" xfId="26828"/>
    <cellStyle name="백분율 6 2 3 3" xfId="26829"/>
    <cellStyle name="백분율 6 2 3 3 2" xfId="26830"/>
    <cellStyle name="백분율 6 2 3 3 2 2" xfId="26831"/>
    <cellStyle name="백분율 6 2 3 3 2 2 2" xfId="26832"/>
    <cellStyle name="백분율 6 2 3 3 2 2 2 2" xfId="26833"/>
    <cellStyle name="백분율 6 2 3 3 2 2 2 3" xfId="26834"/>
    <cellStyle name="백분율 6 2 3 3 2 2 3" xfId="26835"/>
    <cellStyle name="백분율 6 2 3 3 2 2 4" xfId="26836"/>
    <cellStyle name="백분율 6 2 3 3 2 3" xfId="26837"/>
    <cellStyle name="백분율 6 2 3 3 2 3 2" xfId="26838"/>
    <cellStyle name="백분율 6 2 3 3 2 3 3" xfId="26839"/>
    <cellStyle name="백분율 6 2 3 3 2 4" xfId="26840"/>
    <cellStyle name="백분율 6 2 3 3 2 5" xfId="26841"/>
    <cellStyle name="백분율 6 2 3 3 3" xfId="26842"/>
    <cellStyle name="백분율 6 2 3 3 3 2" xfId="26843"/>
    <cellStyle name="백분율 6 2 3 3 3 2 2" xfId="26844"/>
    <cellStyle name="백분율 6 2 3 3 3 2 2 2" xfId="26845"/>
    <cellStyle name="백분율 6 2 3 3 3 2 2 3" xfId="26846"/>
    <cellStyle name="백분율 6 2 3 3 3 2 3" xfId="26847"/>
    <cellStyle name="백분율 6 2 3 3 3 2 4" xfId="26848"/>
    <cellStyle name="백분율 6 2 3 3 3 3" xfId="26849"/>
    <cellStyle name="백분율 6 2 3 3 3 3 2" xfId="26850"/>
    <cellStyle name="백분율 6 2 3 3 3 3 3" xfId="26851"/>
    <cellStyle name="백분율 6 2 3 3 3 4" xfId="26852"/>
    <cellStyle name="백분율 6 2 3 3 3 5" xfId="26853"/>
    <cellStyle name="백분율 6 2 3 3 4" xfId="26854"/>
    <cellStyle name="백분율 6 2 3 3 4 2" xfId="26855"/>
    <cellStyle name="백분율 6 2 3 3 4 2 2" xfId="26856"/>
    <cellStyle name="백분율 6 2 3 3 4 2 3" xfId="26857"/>
    <cellStyle name="백분율 6 2 3 3 4 3" xfId="26858"/>
    <cellStyle name="백분율 6 2 3 3 4 4" xfId="26859"/>
    <cellStyle name="백분율 6 2 3 3 5" xfId="26860"/>
    <cellStyle name="백분율 6 2 3 3 5 2" xfId="26861"/>
    <cellStyle name="백분율 6 2 3 3 5 3" xfId="26862"/>
    <cellStyle name="백분율 6 2 3 3 6" xfId="26863"/>
    <cellStyle name="백분율 6 2 3 3 7" xfId="26864"/>
    <cellStyle name="백분율 6 2 3 4" xfId="26865"/>
    <cellStyle name="백분율 6 2 3 4 2" xfId="26866"/>
    <cellStyle name="백분율 6 2 3 4 2 2" xfId="26867"/>
    <cellStyle name="백분율 6 2 3 4 2 2 2" xfId="26868"/>
    <cellStyle name="백분율 6 2 3 4 2 2 3" xfId="26869"/>
    <cellStyle name="백분율 6 2 3 4 2 3" xfId="26870"/>
    <cellStyle name="백분율 6 2 3 4 2 4" xfId="26871"/>
    <cellStyle name="백분율 6 2 3 4 3" xfId="26872"/>
    <cellStyle name="백분율 6 2 3 4 3 2" xfId="26873"/>
    <cellStyle name="백분율 6 2 3 4 3 3" xfId="26874"/>
    <cellStyle name="백분율 6 2 3 4 4" xfId="26875"/>
    <cellStyle name="백분율 6 2 3 4 5" xfId="26876"/>
    <cellStyle name="백분율 6 2 3 5" xfId="26877"/>
    <cellStyle name="백분율 6 2 3 5 2" xfId="26878"/>
    <cellStyle name="백분율 6 2 3 5 2 2" xfId="26879"/>
    <cellStyle name="백분율 6 2 3 5 2 2 2" xfId="26880"/>
    <cellStyle name="백분율 6 2 3 5 2 2 3" xfId="26881"/>
    <cellStyle name="백분율 6 2 3 5 2 3" xfId="26882"/>
    <cellStyle name="백분율 6 2 3 5 2 4" xfId="26883"/>
    <cellStyle name="백분율 6 2 3 5 3" xfId="26884"/>
    <cellStyle name="백분율 6 2 3 5 3 2" xfId="26885"/>
    <cellStyle name="백분율 6 2 3 5 3 3" xfId="26886"/>
    <cellStyle name="백분율 6 2 3 5 4" xfId="26887"/>
    <cellStyle name="백분율 6 2 3 5 5" xfId="26888"/>
    <cellStyle name="백분율 6 2 3 6" xfId="26889"/>
    <cellStyle name="백분율 6 2 3 6 2" xfId="26890"/>
    <cellStyle name="백분율 6 2 3 6 2 2" xfId="26891"/>
    <cellStyle name="백분율 6 2 3 6 2 2 2" xfId="26892"/>
    <cellStyle name="백분율 6 2 3 6 2 2 3" xfId="26893"/>
    <cellStyle name="백분율 6 2 3 6 2 3" xfId="26894"/>
    <cellStyle name="백분율 6 2 3 6 2 4" xfId="26895"/>
    <cellStyle name="백분율 6 2 3 6 3" xfId="26896"/>
    <cellStyle name="백분율 6 2 3 6 3 2" xfId="26897"/>
    <cellStyle name="백분율 6 2 3 6 3 3" xfId="26898"/>
    <cellStyle name="백분율 6 2 3 6 4" xfId="26899"/>
    <cellStyle name="백분율 6 2 3 6 5" xfId="26900"/>
    <cellStyle name="백분율 6 2 3 7" xfId="26901"/>
    <cellStyle name="백분율 6 2 3 7 2" xfId="26902"/>
    <cellStyle name="백분율 6 2 3 7 2 2" xfId="26903"/>
    <cellStyle name="백분율 6 2 3 7 2 3" xfId="26904"/>
    <cellStyle name="백분율 6 2 3 7 3" xfId="26905"/>
    <cellStyle name="백분율 6 2 3 7 4" xfId="26906"/>
    <cellStyle name="백분율 6 2 3 8" xfId="26907"/>
    <cellStyle name="백분율 6 2 3 8 2" xfId="26908"/>
    <cellStyle name="백분율 6 2 3 8 3" xfId="26909"/>
    <cellStyle name="백분율 6 2 3 9" xfId="26910"/>
    <cellStyle name="백분율 6 2 4" xfId="26911"/>
    <cellStyle name="백분율 6 2 4 10" xfId="26912"/>
    <cellStyle name="백분율 6 2 4 2" xfId="26913"/>
    <cellStyle name="백분율 6 2 4 2 2" xfId="26914"/>
    <cellStyle name="백분율 6 2 4 2 2 2" xfId="26915"/>
    <cellStyle name="백분율 6 2 4 2 2 2 2" xfId="26916"/>
    <cellStyle name="백분율 6 2 4 2 2 2 2 2" xfId="26917"/>
    <cellStyle name="백분율 6 2 4 2 2 2 2 3" xfId="26918"/>
    <cellStyle name="백분율 6 2 4 2 2 2 3" xfId="26919"/>
    <cellStyle name="백분율 6 2 4 2 2 2 4" xfId="26920"/>
    <cellStyle name="백분율 6 2 4 2 2 3" xfId="26921"/>
    <cellStyle name="백분율 6 2 4 2 2 3 2" xfId="26922"/>
    <cellStyle name="백분율 6 2 4 2 2 3 3" xfId="26923"/>
    <cellStyle name="백분율 6 2 4 2 2 4" xfId="26924"/>
    <cellStyle name="백분율 6 2 4 2 2 5" xfId="26925"/>
    <cellStyle name="백분율 6 2 4 2 3" xfId="26926"/>
    <cellStyle name="백분율 6 2 4 2 3 2" xfId="26927"/>
    <cellStyle name="백분율 6 2 4 2 3 2 2" xfId="26928"/>
    <cellStyle name="백분율 6 2 4 2 3 2 2 2" xfId="26929"/>
    <cellStyle name="백분율 6 2 4 2 3 2 2 3" xfId="26930"/>
    <cellStyle name="백분율 6 2 4 2 3 2 3" xfId="26931"/>
    <cellStyle name="백분율 6 2 4 2 3 2 4" xfId="26932"/>
    <cellStyle name="백분율 6 2 4 2 3 3" xfId="26933"/>
    <cellStyle name="백분율 6 2 4 2 3 3 2" xfId="26934"/>
    <cellStyle name="백분율 6 2 4 2 3 3 3" xfId="26935"/>
    <cellStyle name="백분율 6 2 4 2 3 4" xfId="26936"/>
    <cellStyle name="백분율 6 2 4 2 3 5" xfId="26937"/>
    <cellStyle name="백분율 6 2 4 2 4" xfId="26938"/>
    <cellStyle name="백분율 6 2 4 2 4 2" xfId="26939"/>
    <cellStyle name="백분율 6 2 4 2 4 2 2" xfId="26940"/>
    <cellStyle name="백분율 6 2 4 2 4 2 3" xfId="26941"/>
    <cellStyle name="백분율 6 2 4 2 4 3" xfId="26942"/>
    <cellStyle name="백분율 6 2 4 2 4 4" xfId="26943"/>
    <cellStyle name="백분율 6 2 4 2 5" xfId="26944"/>
    <cellStyle name="백분율 6 2 4 2 5 2" xfId="26945"/>
    <cellStyle name="백분율 6 2 4 2 5 3" xfId="26946"/>
    <cellStyle name="백분율 6 2 4 2 6" xfId="26947"/>
    <cellStyle name="백분율 6 2 4 2 7" xfId="26948"/>
    <cellStyle name="백분율 6 2 4 3" xfId="26949"/>
    <cellStyle name="백분율 6 2 4 3 2" xfId="26950"/>
    <cellStyle name="백분율 6 2 4 3 2 2" xfId="26951"/>
    <cellStyle name="백분율 6 2 4 3 2 2 2" xfId="26952"/>
    <cellStyle name="백분율 6 2 4 3 2 2 2 2" xfId="26953"/>
    <cellStyle name="백분율 6 2 4 3 2 2 2 3" xfId="26954"/>
    <cellStyle name="백분율 6 2 4 3 2 2 3" xfId="26955"/>
    <cellStyle name="백분율 6 2 4 3 2 2 4" xfId="26956"/>
    <cellStyle name="백분율 6 2 4 3 2 3" xfId="26957"/>
    <cellStyle name="백분율 6 2 4 3 2 3 2" xfId="26958"/>
    <cellStyle name="백분율 6 2 4 3 2 3 3" xfId="26959"/>
    <cellStyle name="백분율 6 2 4 3 2 4" xfId="26960"/>
    <cellStyle name="백분율 6 2 4 3 2 5" xfId="26961"/>
    <cellStyle name="백분율 6 2 4 3 3" xfId="26962"/>
    <cellStyle name="백분율 6 2 4 3 3 2" xfId="26963"/>
    <cellStyle name="백분율 6 2 4 3 3 2 2" xfId="26964"/>
    <cellStyle name="백분율 6 2 4 3 3 2 2 2" xfId="26965"/>
    <cellStyle name="백분율 6 2 4 3 3 2 2 3" xfId="26966"/>
    <cellStyle name="백분율 6 2 4 3 3 2 3" xfId="26967"/>
    <cellStyle name="백분율 6 2 4 3 3 2 4" xfId="26968"/>
    <cellStyle name="백분율 6 2 4 3 3 3" xfId="26969"/>
    <cellStyle name="백분율 6 2 4 3 3 3 2" xfId="26970"/>
    <cellStyle name="백분율 6 2 4 3 3 3 3" xfId="26971"/>
    <cellStyle name="백분율 6 2 4 3 3 4" xfId="26972"/>
    <cellStyle name="백분율 6 2 4 3 3 5" xfId="26973"/>
    <cellStyle name="백분율 6 2 4 3 4" xfId="26974"/>
    <cellStyle name="백분율 6 2 4 3 4 2" xfId="26975"/>
    <cellStyle name="백분율 6 2 4 3 4 2 2" xfId="26976"/>
    <cellStyle name="백분율 6 2 4 3 4 2 3" xfId="26977"/>
    <cellStyle name="백분율 6 2 4 3 4 3" xfId="26978"/>
    <cellStyle name="백분율 6 2 4 3 4 4" xfId="26979"/>
    <cellStyle name="백분율 6 2 4 3 5" xfId="26980"/>
    <cellStyle name="백분율 6 2 4 3 5 2" xfId="26981"/>
    <cellStyle name="백분율 6 2 4 3 5 3" xfId="26982"/>
    <cellStyle name="백분율 6 2 4 3 6" xfId="26983"/>
    <cellStyle name="백분율 6 2 4 3 7" xfId="26984"/>
    <cellStyle name="백분율 6 2 4 4" xfId="26985"/>
    <cellStyle name="백분율 6 2 4 4 2" xfId="26986"/>
    <cellStyle name="백분율 6 2 4 4 2 2" xfId="26987"/>
    <cellStyle name="백분율 6 2 4 4 2 2 2" xfId="26988"/>
    <cellStyle name="백분율 6 2 4 4 2 2 3" xfId="26989"/>
    <cellStyle name="백분율 6 2 4 4 2 3" xfId="26990"/>
    <cellStyle name="백분율 6 2 4 4 2 4" xfId="26991"/>
    <cellStyle name="백분율 6 2 4 4 3" xfId="26992"/>
    <cellStyle name="백분율 6 2 4 4 3 2" xfId="26993"/>
    <cellStyle name="백분율 6 2 4 4 3 3" xfId="26994"/>
    <cellStyle name="백분율 6 2 4 4 4" xfId="26995"/>
    <cellStyle name="백분율 6 2 4 4 5" xfId="26996"/>
    <cellStyle name="백분율 6 2 4 5" xfId="26997"/>
    <cellStyle name="백분율 6 2 4 5 2" xfId="26998"/>
    <cellStyle name="백분율 6 2 4 5 2 2" xfId="26999"/>
    <cellStyle name="백분율 6 2 4 5 2 2 2" xfId="27000"/>
    <cellStyle name="백분율 6 2 4 5 2 2 3" xfId="27001"/>
    <cellStyle name="백분율 6 2 4 5 2 3" xfId="27002"/>
    <cellStyle name="백분율 6 2 4 5 2 4" xfId="27003"/>
    <cellStyle name="백분율 6 2 4 5 3" xfId="27004"/>
    <cellStyle name="백분율 6 2 4 5 3 2" xfId="27005"/>
    <cellStyle name="백분율 6 2 4 5 3 3" xfId="27006"/>
    <cellStyle name="백분율 6 2 4 5 4" xfId="27007"/>
    <cellStyle name="백분율 6 2 4 5 5" xfId="27008"/>
    <cellStyle name="백분율 6 2 4 6" xfId="27009"/>
    <cellStyle name="백분율 6 2 4 6 2" xfId="27010"/>
    <cellStyle name="백분율 6 2 4 6 2 2" xfId="27011"/>
    <cellStyle name="백분율 6 2 4 6 2 2 2" xfId="27012"/>
    <cellStyle name="백분율 6 2 4 6 2 2 3" xfId="27013"/>
    <cellStyle name="백분율 6 2 4 6 2 3" xfId="27014"/>
    <cellStyle name="백분율 6 2 4 6 2 4" xfId="27015"/>
    <cellStyle name="백분율 6 2 4 6 3" xfId="27016"/>
    <cellStyle name="백분율 6 2 4 6 3 2" xfId="27017"/>
    <cellStyle name="백분율 6 2 4 6 3 3" xfId="27018"/>
    <cellStyle name="백분율 6 2 4 6 4" xfId="27019"/>
    <cellStyle name="백분율 6 2 4 6 5" xfId="27020"/>
    <cellStyle name="백분율 6 2 4 7" xfId="27021"/>
    <cellStyle name="백분율 6 2 4 7 2" xfId="27022"/>
    <cellStyle name="백분율 6 2 4 7 2 2" xfId="27023"/>
    <cellStyle name="백분율 6 2 4 7 2 3" xfId="27024"/>
    <cellStyle name="백분율 6 2 4 7 3" xfId="27025"/>
    <cellStyle name="백분율 6 2 4 7 4" xfId="27026"/>
    <cellStyle name="백분율 6 2 4 8" xfId="27027"/>
    <cellStyle name="백분율 6 2 4 8 2" xfId="27028"/>
    <cellStyle name="백분율 6 2 4 8 3" xfId="27029"/>
    <cellStyle name="백분율 6 2 4 9" xfId="27030"/>
    <cellStyle name="백분율 6 2 5" xfId="27031"/>
    <cellStyle name="백분율 6 2 5 10" xfId="27032"/>
    <cellStyle name="백분율 6 2 5 2" xfId="27033"/>
    <cellStyle name="백분율 6 2 5 2 2" xfId="27034"/>
    <cellStyle name="백분율 6 2 5 2 2 2" xfId="27035"/>
    <cellStyle name="백분율 6 2 5 2 2 2 2" xfId="27036"/>
    <cellStyle name="백분율 6 2 5 2 2 2 2 2" xfId="27037"/>
    <cellStyle name="백분율 6 2 5 2 2 2 2 3" xfId="27038"/>
    <cellStyle name="백분율 6 2 5 2 2 2 3" xfId="27039"/>
    <cellStyle name="백분율 6 2 5 2 2 2 4" xfId="27040"/>
    <cellStyle name="백분율 6 2 5 2 2 3" xfId="27041"/>
    <cellStyle name="백분율 6 2 5 2 2 3 2" xfId="27042"/>
    <cellStyle name="백분율 6 2 5 2 2 3 3" xfId="27043"/>
    <cellStyle name="백분율 6 2 5 2 2 4" xfId="27044"/>
    <cellStyle name="백분율 6 2 5 2 2 5" xfId="27045"/>
    <cellStyle name="백분율 6 2 5 2 3" xfId="27046"/>
    <cellStyle name="백분율 6 2 5 2 3 2" xfId="27047"/>
    <cellStyle name="백분율 6 2 5 2 3 2 2" xfId="27048"/>
    <cellStyle name="백분율 6 2 5 2 3 2 2 2" xfId="27049"/>
    <cellStyle name="백분율 6 2 5 2 3 2 2 3" xfId="27050"/>
    <cellStyle name="백분율 6 2 5 2 3 2 3" xfId="27051"/>
    <cellStyle name="백분율 6 2 5 2 3 2 4" xfId="27052"/>
    <cellStyle name="백분율 6 2 5 2 3 3" xfId="27053"/>
    <cellStyle name="백분율 6 2 5 2 3 3 2" xfId="27054"/>
    <cellStyle name="백분율 6 2 5 2 3 3 3" xfId="27055"/>
    <cellStyle name="백분율 6 2 5 2 3 4" xfId="27056"/>
    <cellStyle name="백분율 6 2 5 2 3 5" xfId="27057"/>
    <cellStyle name="백분율 6 2 5 2 4" xfId="27058"/>
    <cellStyle name="백분율 6 2 5 2 4 2" xfId="27059"/>
    <cellStyle name="백분율 6 2 5 2 4 2 2" xfId="27060"/>
    <cellStyle name="백분율 6 2 5 2 4 2 3" xfId="27061"/>
    <cellStyle name="백분율 6 2 5 2 4 3" xfId="27062"/>
    <cellStyle name="백분율 6 2 5 2 4 4" xfId="27063"/>
    <cellStyle name="백분율 6 2 5 2 5" xfId="27064"/>
    <cellStyle name="백분율 6 2 5 2 5 2" xfId="27065"/>
    <cellStyle name="백분율 6 2 5 2 5 3" xfId="27066"/>
    <cellStyle name="백분율 6 2 5 2 6" xfId="27067"/>
    <cellStyle name="백분율 6 2 5 2 7" xfId="27068"/>
    <cellStyle name="백분율 6 2 5 3" xfId="27069"/>
    <cellStyle name="백분율 6 2 5 3 2" xfId="27070"/>
    <cellStyle name="백분율 6 2 5 3 2 2" xfId="27071"/>
    <cellStyle name="백분율 6 2 5 3 2 2 2" xfId="27072"/>
    <cellStyle name="백분율 6 2 5 3 2 2 2 2" xfId="27073"/>
    <cellStyle name="백분율 6 2 5 3 2 2 2 3" xfId="27074"/>
    <cellStyle name="백분율 6 2 5 3 2 2 3" xfId="27075"/>
    <cellStyle name="백분율 6 2 5 3 2 2 4" xfId="27076"/>
    <cellStyle name="백분율 6 2 5 3 2 3" xfId="27077"/>
    <cellStyle name="백분율 6 2 5 3 2 3 2" xfId="27078"/>
    <cellStyle name="백분율 6 2 5 3 2 3 3" xfId="27079"/>
    <cellStyle name="백분율 6 2 5 3 2 4" xfId="27080"/>
    <cellStyle name="백분율 6 2 5 3 2 5" xfId="27081"/>
    <cellStyle name="백분율 6 2 5 3 3" xfId="27082"/>
    <cellStyle name="백분율 6 2 5 3 3 2" xfId="27083"/>
    <cellStyle name="백분율 6 2 5 3 3 2 2" xfId="27084"/>
    <cellStyle name="백분율 6 2 5 3 3 2 2 2" xfId="27085"/>
    <cellStyle name="백분율 6 2 5 3 3 2 2 3" xfId="27086"/>
    <cellStyle name="백분율 6 2 5 3 3 2 3" xfId="27087"/>
    <cellStyle name="백분율 6 2 5 3 3 2 4" xfId="27088"/>
    <cellStyle name="백분율 6 2 5 3 3 3" xfId="27089"/>
    <cellStyle name="백분율 6 2 5 3 3 3 2" xfId="27090"/>
    <cellStyle name="백분율 6 2 5 3 3 3 3" xfId="27091"/>
    <cellStyle name="백분율 6 2 5 3 3 4" xfId="27092"/>
    <cellStyle name="백분율 6 2 5 3 3 5" xfId="27093"/>
    <cellStyle name="백분율 6 2 5 3 4" xfId="27094"/>
    <cellStyle name="백분율 6 2 5 3 4 2" xfId="27095"/>
    <cellStyle name="백분율 6 2 5 3 4 2 2" xfId="27096"/>
    <cellStyle name="백분율 6 2 5 3 4 2 3" xfId="27097"/>
    <cellStyle name="백분율 6 2 5 3 4 3" xfId="27098"/>
    <cellStyle name="백분율 6 2 5 3 4 4" xfId="27099"/>
    <cellStyle name="백분율 6 2 5 3 5" xfId="27100"/>
    <cellStyle name="백분율 6 2 5 3 5 2" xfId="27101"/>
    <cellStyle name="백분율 6 2 5 3 5 3" xfId="27102"/>
    <cellStyle name="백분율 6 2 5 3 6" xfId="27103"/>
    <cellStyle name="백분율 6 2 5 3 7" xfId="27104"/>
    <cellStyle name="백분율 6 2 5 4" xfId="27105"/>
    <cellStyle name="백분율 6 2 5 4 2" xfId="27106"/>
    <cellStyle name="백분율 6 2 5 4 2 2" xfId="27107"/>
    <cellStyle name="백분율 6 2 5 4 2 2 2" xfId="27108"/>
    <cellStyle name="백분율 6 2 5 4 2 2 3" xfId="27109"/>
    <cellStyle name="백분율 6 2 5 4 2 3" xfId="27110"/>
    <cellStyle name="백분율 6 2 5 4 2 4" xfId="27111"/>
    <cellStyle name="백분율 6 2 5 4 3" xfId="27112"/>
    <cellStyle name="백분율 6 2 5 4 3 2" xfId="27113"/>
    <cellStyle name="백분율 6 2 5 4 3 3" xfId="27114"/>
    <cellStyle name="백분율 6 2 5 4 4" xfId="27115"/>
    <cellStyle name="백분율 6 2 5 4 5" xfId="27116"/>
    <cellStyle name="백분율 6 2 5 5" xfId="27117"/>
    <cellStyle name="백분율 6 2 5 5 2" xfId="27118"/>
    <cellStyle name="백분율 6 2 5 5 2 2" xfId="27119"/>
    <cellStyle name="백분율 6 2 5 5 2 2 2" xfId="27120"/>
    <cellStyle name="백분율 6 2 5 5 2 2 3" xfId="27121"/>
    <cellStyle name="백분율 6 2 5 5 2 3" xfId="27122"/>
    <cellStyle name="백분율 6 2 5 5 2 4" xfId="27123"/>
    <cellStyle name="백분율 6 2 5 5 3" xfId="27124"/>
    <cellStyle name="백분율 6 2 5 5 3 2" xfId="27125"/>
    <cellStyle name="백분율 6 2 5 5 3 3" xfId="27126"/>
    <cellStyle name="백분율 6 2 5 5 4" xfId="27127"/>
    <cellStyle name="백분율 6 2 5 5 5" xfId="27128"/>
    <cellStyle name="백분율 6 2 5 6" xfId="27129"/>
    <cellStyle name="백분율 6 2 5 6 2" xfId="27130"/>
    <cellStyle name="백분율 6 2 5 6 2 2" xfId="27131"/>
    <cellStyle name="백분율 6 2 5 6 2 2 2" xfId="27132"/>
    <cellStyle name="백분율 6 2 5 6 2 2 3" xfId="27133"/>
    <cellStyle name="백분율 6 2 5 6 2 3" xfId="27134"/>
    <cellStyle name="백분율 6 2 5 6 2 4" xfId="27135"/>
    <cellStyle name="백분율 6 2 5 6 3" xfId="27136"/>
    <cellStyle name="백분율 6 2 5 6 3 2" xfId="27137"/>
    <cellStyle name="백분율 6 2 5 6 3 3" xfId="27138"/>
    <cellStyle name="백분율 6 2 5 6 4" xfId="27139"/>
    <cellStyle name="백분율 6 2 5 6 5" xfId="27140"/>
    <cellStyle name="백분율 6 2 5 7" xfId="27141"/>
    <cellStyle name="백분율 6 2 5 7 2" xfId="27142"/>
    <cellStyle name="백분율 6 2 5 7 2 2" xfId="27143"/>
    <cellStyle name="백분율 6 2 5 7 2 3" xfId="27144"/>
    <cellStyle name="백분율 6 2 5 7 3" xfId="27145"/>
    <cellStyle name="백분율 6 2 5 7 4" xfId="27146"/>
    <cellStyle name="백분율 6 2 5 8" xfId="27147"/>
    <cellStyle name="백분율 6 2 5 8 2" xfId="27148"/>
    <cellStyle name="백분율 6 2 5 8 3" xfId="27149"/>
    <cellStyle name="백분율 6 2 5 9" xfId="27150"/>
    <cellStyle name="백분율 6 2 6" xfId="27151"/>
    <cellStyle name="백분율 6 2 6 2" xfId="27152"/>
    <cellStyle name="백분율 6 2 6 2 2" xfId="27153"/>
    <cellStyle name="백분율 6 2 6 2 2 2" xfId="27154"/>
    <cellStyle name="백분율 6 2 6 2 2 2 2" xfId="27155"/>
    <cellStyle name="백분율 6 2 6 2 2 2 3" xfId="27156"/>
    <cellStyle name="백분율 6 2 6 2 2 3" xfId="27157"/>
    <cellStyle name="백분율 6 2 6 2 2 4" xfId="27158"/>
    <cellStyle name="백분율 6 2 6 2 3" xfId="27159"/>
    <cellStyle name="백분율 6 2 6 2 3 2" xfId="27160"/>
    <cellStyle name="백분율 6 2 6 2 3 3" xfId="27161"/>
    <cellStyle name="백분율 6 2 6 2 4" xfId="27162"/>
    <cellStyle name="백분율 6 2 6 2 5" xfId="27163"/>
    <cellStyle name="백분율 6 2 6 3" xfId="27164"/>
    <cellStyle name="백분율 6 2 6 3 2" xfId="27165"/>
    <cellStyle name="백분율 6 2 6 3 2 2" xfId="27166"/>
    <cellStyle name="백분율 6 2 6 3 2 2 2" xfId="27167"/>
    <cellStyle name="백분율 6 2 6 3 2 2 3" xfId="27168"/>
    <cellStyle name="백분율 6 2 6 3 2 3" xfId="27169"/>
    <cellStyle name="백분율 6 2 6 3 2 4" xfId="27170"/>
    <cellStyle name="백분율 6 2 6 3 3" xfId="27171"/>
    <cellStyle name="백분율 6 2 6 3 3 2" xfId="27172"/>
    <cellStyle name="백분율 6 2 6 3 3 3" xfId="27173"/>
    <cellStyle name="백분율 6 2 6 3 4" xfId="27174"/>
    <cellStyle name="백분율 6 2 6 3 5" xfId="27175"/>
    <cellStyle name="백분율 6 2 6 4" xfId="27176"/>
    <cellStyle name="백분율 6 2 6 4 2" xfId="27177"/>
    <cellStyle name="백분율 6 2 6 4 2 2" xfId="27178"/>
    <cellStyle name="백분율 6 2 6 4 2 3" xfId="27179"/>
    <cellStyle name="백분율 6 2 6 4 3" xfId="27180"/>
    <cellStyle name="백분율 6 2 6 4 4" xfId="27181"/>
    <cellStyle name="백분율 6 2 6 5" xfId="27182"/>
    <cellStyle name="백분율 6 2 6 5 2" xfId="27183"/>
    <cellStyle name="백분율 6 2 6 5 3" xfId="27184"/>
    <cellStyle name="백분율 6 2 6 6" xfId="27185"/>
    <cellStyle name="백분율 6 2 6 7" xfId="27186"/>
    <cellStyle name="백분율 6 2 7" xfId="27187"/>
    <cellStyle name="백분율 6 2 7 2" xfId="27188"/>
    <cellStyle name="백분율 6 2 7 2 2" xfId="27189"/>
    <cellStyle name="백분율 6 2 7 2 2 2" xfId="27190"/>
    <cellStyle name="백분율 6 2 7 2 2 2 2" xfId="27191"/>
    <cellStyle name="백분율 6 2 7 2 2 2 3" xfId="27192"/>
    <cellStyle name="백분율 6 2 7 2 2 3" xfId="27193"/>
    <cellStyle name="백분율 6 2 7 2 2 4" xfId="27194"/>
    <cellStyle name="백분율 6 2 7 2 3" xfId="27195"/>
    <cellStyle name="백분율 6 2 7 2 3 2" xfId="27196"/>
    <cellStyle name="백분율 6 2 7 2 3 3" xfId="27197"/>
    <cellStyle name="백분율 6 2 7 2 4" xfId="27198"/>
    <cellStyle name="백분율 6 2 7 2 5" xfId="27199"/>
    <cellStyle name="백분율 6 2 7 3" xfId="27200"/>
    <cellStyle name="백분율 6 2 7 3 2" xfId="27201"/>
    <cellStyle name="백분율 6 2 7 3 2 2" xfId="27202"/>
    <cellStyle name="백분율 6 2 7 3 2 2 2" xfId="27203"/>
    <cellStyle name="백분율 6 2 7 3 2 2 3" xfId="27204"/>
    <cellStyle name="백분율 6 2 7 3 2 3" xfId="27205"/>
    <cellStyle name="백분율 6 2 7 3 2 4" xfId="27206"/>
    <cellStyle name="백분율 6 2 7 3 3" xfId="27207"/>
    <cellStyle name="백분율 6 2 7 3 3 2" xfId="27208"/>
    <cellStyle name="백분율 6 2 7 3 3 3" xfId="27209"/>
    <cellStyle name="백분율 6 2 7 3 4" xfId="27210"/>
    <cellStyle name="백분율 6 2 7 3 5" xfId="27211"/>
    <cellStyle name="백분율 6 2 7 4" xfId="27212"/>
    <cellStyle name="백분율 6 2 7 4 2" xfId="27213"/>
    <cellStyle name="백분율 6 2 7 4 2 2" xfId="27214"/>
    <cellStyle name="백분율 6 2 7 4 2 3" xfId="27215"/>
    <cellStyle name="백분율 6 2 7 4 3" xfId="27216"/>
    <cellStyle name="백분율 6 2 7 4 4" xfId="27217"/>
    <cellStyle name="백분율 6 2 7 5" xfId="27218"/>
    <cellStyle name="백분율 6 2 7 5 2" xfId="27219"/>
    <cellStyle name="백분율 6 2 7 5 3" xfId="27220"/>
    <cellStyle name="백분율 6 2 7 6" xfId="27221"/>
    <cellStyle name="백분율 6 2 7 7" xfId="27222"/>
    <cellStyle name="백분율 6 2 8" xfId="27223"/>
    <cellStyle name="백분율 6 2 8 2" xfId="27224"/>
    <cellStyle name="백분율 6 2 8 2 2" xfId="27225"/>
    <cellStyle name="백분율 6 2 8 2 2 2" xfId="27226"/>
    <cellStyle name="백분율 6 2 8 2 2 3" xfId="27227"/>
    <cellStyle name="백분율 6 2 8 2 3" xfId="27228"/>
    <cellStyle name="백분율 6 2 8 2 4" xfId="27229"/>
    <cellStyle name="백분율 6 2 8 3" xfId="27230"/>
    <cellStyle name="백분율 6 2 8 3 2" xfId="27231"/>
    <cellStyle name="백분율 6 2 8 3 3" xfId="27232"/>
    <cellStyle name="백분율 6 2 8 4" xfId="27233"/>
    <cellStyle name="백분율 6 2 8 5" xfId="27234"/>
    <cellStyle name="백분율 6 2 9" xfId="27235"/>
    <cellStyle name="백분율 6 2 9 2" xfId="27236"/>
    <cellStyle name="백분율 6 2 9 2 2" xfId="27237"/>
    <cellStyle name="백분율 6 2 9 2 2 2" xfId="27238"/>
    <cellStyle name="백분율 6 2 9 2 2 3" xfId="27239"/>
    <cellStyle name="백분율 6 2 9 2 3" xfId="27240"/>
    <cellStyle name="백분율 6 2 9 2 4" xfId="27241"/>
    <cellStyle name="백분율 6 2 9 3" xfId="27242"/>
    <cellStyle name="백분율 6 2 9 3 2" xfId="27243"/>
    <cellStyle name="백분율 6 2 9 3 3" xfId="27244"/>
    <cellStyle name="백분율 6 2 9 4" xfId="27245"/>
    <cellStyle name="백분율 6 2 9 5" xfId="27246"/>
    <cellStyle name="백분율 6 3" xfId="27247"/>
    <cellStyle name="백분율 6 3 10" xfId="27248"/>
    <cellStyle name="백분율 6 3 10 2" xfId="27249"/>
    <cellStyle name="백분율 6 3 10 2 2" xfId="27250"/>
    <cellStyle name="백분율 6 3 10 2 2 2" xfId="27251"/>
    <cellStyle name="백분율 6 3 10 2 2 3" xfId="27252"/>
    <cellStyle name="백분율 6 3 10 2 3" xfId="27253"/>
    <cellStyle name="백분율 6 3 10 2 4" xfId="27254"/>
    <cellStyle name="백분율 6 3 10 3" xfId="27255"/>
    <cellStyle name="백분율 6 3 10 3 2" xfId="27256"/>
    <cellStyle name="백분율 6 3 10 3 3" xfId="27257"/>
    <cellStyle name="백분율 6 3 10 4" xfId="27258"/>
    <cellStyle name="백분율 6 3 10 5" xfId="27259"/>
    <cellStyle name="백분율 6 3 11" xfId="27260"/>
    <cellStyle name="백분율 6 3 11 2" xfId="27261"/>
    <cellStyle name="백분율 6 3 11 2 2" xfId="27262"/>
    <cellStyle name="백분율 6 3 11 2 3" xfId="27263"/>
    <cellStyle name="백분율 6 3 11 3" xfId="27264"/>
    <cellStyle name="백분율 6 3 11 4" xfId="27265"/>
    <cellStyle name="백분율 6 3 12" xfId="27266"/>
    <cellStyle name="백분율 6 3 12 2" xfId="27267"/>
    <cellStyle name="백분율 6 3 12 3" xfId="27268"/>
    <cellStyle name="백분율 6 3 13" xfId="27269"/>
    <cellStyle name="백분율 6 3 14" xfId="27270"/>
    <cellStyle name="백분율 6 3 2" xfId="27271"/>
    <cellStyle name="백분율 6 3 2 10" xfId="27272"/>
    <cellStyle name="백분율 6 3 2 10 2" xfId="27273"/>
    <cellStyle name="백분율 6 3 2 10 2 2" xfId="27274"/>
    <cellStyle name="백분율 6 3 2 10 2 3" xfId="27275"/>
    <cellStyle name="백분율 6 3 2 10 3" xfId="27276"/>
    <cellStyle name="백분율 6 3 2 10 4" xfId="27277"/>
    <cellStyle name="백분율 6 3 2 11" xfId="27278"/>
    <cellStyle name="백분율 6 3 2 11 2" xfId="27279"/>
    <cellStyle name="백분율 6 3 2 11 3" xfId="27280"/>
    <cellStyle name="백분율 6 3 2 12" xfId="27281"/>
    <cellStyle name="백분율 6 3 2 13" xfId="27282"/>
    <cellStyle name="백분율 6 3 2 2" xfId="27283"/>
    <cellStyle name="백분율 6 3 2 2 10" xfId="27284"/>
    <cellStyle name="백분율 6 3 2 2 2" xfId="27285"/>
    <cellStyle name="백분율 6 3 2 2 2 2" xfId="27286"/>
    <cellStyle name="백분율 6 3 2 2 2 2 2" xfId="27287"/>
    <cellStyle name="백분율 6 3 2 2 2 2 2 2" xfId="27288"/>
    <cellStyle name="백분율 6 3 2 2 2 2 2 2 2" xfId="27289"/>
    <cellStyle name="백분율 6 3 2 2 2 2 2 2 3" xfId="27290"/>
    <cellStyle name="백분율 6 3 2 2 2 2 2 3" xfId="27291"/>
    <cellStyle name="백분율 6 3 2 2 2 2 2 4" xfId="27292"/>
    <cellStyle name="백분율 6 3 2 2 2 2 3" xfId="27293"/>
    <cellStyle name="백분율 6 3 2 2 2 2 3 2" xfId="27294"/>
    <cellStyle name="백분율 6 3 2 2 2 2 3 3" xfId="27295"/>
    <cellStyle name="백분율 6 3 2 2 2 2 4" xfId="27296"/>
    <cellStyle name="백분율 6 3 2 2 2 2 5" xfId="27297"/>
    <cellStyle name="백분율 6 3 2 2 2 3" xfId="27298"/>
    <cellStyle name="백분율 6 3 2 2 2 3 2" xfId="27299"/>
    <cellStyle name="백분율 6 3 2 2 2 3 2 2" xfId="27300"/>
    <cellStyle name="백분율 6 3 2 2 2 3 2 2 2" xfId="27301"/>
    <cellStyle name="백분율 6 3 2 2 2 3 2 2 3" xfId="27302"/>
    <cellStyle name="백분율 6 3 2 2 2 3 2 3" xfId="27303"/>
    <cellStyle name="백분율 6 3 2 2 2 3 2 4" xfId="27304"/>
    <cellStyle name="백분율 6 3 2 2 2 3 3" xfId="27305"/>
    <cellStyle name="백분율 6 3 2 2 2 3 3 2" xfId="27306"/>
    <cellStyle name="백분율 6 3 2 2 2 3 3 3" xfId="27307"/>
    <cellStyle name="백분율 6 3 2 2 2 3 4" xfId="27308"/>
    <cellStyle name="백분율 6 3 2 2 2 3 5" xfId="27309"/>
    <cellStyle name="백분율 6 3 2 2 2 4" xfId="27310"/>
    <cellStyle name="백분율 6 3 2 2 2 4 2" xfId="27311"/>
    <cellStyle name="백분율 6 3 2 2 2 4 2 2" xfId="27312"/>
    <cellStyle name="백분율 6 3 2 2 2 4 2 3" xfId="27313"/>
    <cellStyle name="백분율 6 3 2 2 2 4 3" xfId="27314"/>
    <cellStyle name="백분율 6 3 2 2 2 4 4" xfId="27315"/>
    <cellStyle name="백분율 6 3 2 2 2 5" xfId="27316"/>
    <cellStyle name="백분율 6 3 2 2 2 5 2" xfId="27317"/>
    <cellStyle name="백분율 6 3 2 2 2 5 3" xfId="27318"/>
    <cellStyle name="백분율 6 3 2 2 2 6" xfId="27319"/>
    <cellStyle name="백분율 6 3 2 2 2 7" xfId="27320"/>
    <cellStyle name="백분율 6 3 2 2 3" xfId="27321"/>
    <cellStyle name="백분율 6 3 2 2 3 2" xfId="27322"/>
    <cellStyle name="백분율 6 3 2 2 3 2 2" xfId="27323"/>
    <cellStyle name="백분율 6 3 2 2 3 2 2 2" xfId="27324"/>
    <cellStyle name="백분율 6 3 2 2 3 2 2 2 2" xfId="27325"/>
    <cellStyle name="백분율 6 3 2 2 3 2 2 2 3" xfId="27326"/>
    <cellStyle name="백분율 6 3 2 2 3 2 2 3" xfId="27327"/>
    <cellStyle name="백분율 6 3 2 2 3 2 2 4" xfId="27328"/>
    <cellStyle name="백분율 6 3 2 2 3 2 3" xfId="27329"/>
    <cellStyle name="백분율 6 3 2 2 3 2 3 2" xfId="27330"/>
    <cellStyle name="백분율 6 3 2 2 3 2 3 3" xfId="27331"/>
    <cellStyle name="백분율 6 3 2 2 3 2 4" xfId="27332"/>
    <cellStyle name="백분율 6 3 2 2 3 2 5" xfId="27333"/>
    <cellStyle name="백분율 6 3 2 2 3 3" xfId="27334"/>
    <cellStyle name="백분율 6 3 2 2 3 3 2" xfId="27335"/>
    <cellStyle name="백분율 6 3 2 2 3 3 2 2" xfId="27336"/>
    <cellStyle name="백분율 6 3 2 2 3 3 2 2 2" xfId="27337"/>
    <cellStyle name="백분율 6 3 2 2 3 3 2 2 3" xfId="27338"/>
    <cellStyle name="백분율 6 3 2 2 3 3 2 3" xfId="27339"/>
    <cellStyle name="백분율 6 3 2 2 3 3 2 4" xfId="27340"/>
    <cellStyle name="백분율 6 3 2 2 3 3 3" xfId="27341"/>
    <cellStyle name="백분율 6 3 2 2 3 3 3 2" xfId="27342"/>
    <cellStyle name="백분율 6 3 2 2 3 3 3 3" xfId="27343"/>
    <cellStyle name="백분율 6 3 2 2 3 3 4" xfId="27344"/>
    <cellStyle name="백분율 6 3 2 2 3 3 5" xfId="27345"/>
    <cellStyle name="백분율 6 3 2 2 3 4" xfId="27346"/>
    <cellStyle name="백분율 6 3 2 2 3 4 2" xfId="27347"/>
    <cellStyle name="백분율 6 3 2 2 3 4 2 2" xfId="27348"/>
    <cellStyle name="백분율 6 3 2 2 3 4 2 3" xfId="27349"/>
    <cellStyle name="백분율 6 3 2 2 3 4 3" xfId="27350"/>
    <cellStyle name="백분율 6 3 2 2 3 4 4" xfId="27351"/>
    <cellStyle name="백분율 6 3 2 2 3 5" xfId="27352"/>
    <cellStyle name="백분율 6 3 2 2 3 5 2" xfId="27353"/>
    <cellStyle name="백분율 6 3 2 2 3 5 3" xfId="27354"/>
    <cellStyle name="백분율 6 3 2 2 3 6" xfId="27355"/>
    <cellStyle name="백분율 6 3 2 2 3 7" xfId="27356"/>
    <cellStyle name="백분율 6 3 2 2 4" xfId="27357"/>
    <cellStyle name="백분율 6 3 2 2 4 2" xfId="27358"/>
    <cellStyle name="백분율 6 3 2 2 4 2 2" xfId="27359"/>
    <cellStyle name="백분율 6 3 2 2 4 2 2 2" xfId="27360"/>
    <cellStyle name="백분율 6 3 2 2 4 2 2 3" xfId="27361"/>
    <cellStyle name="백분율 6 3 2 2 4 2 3" xfId="27362"/>
    <cellStyle name="백분율 6 3 2 2 4 2 4" xfId="27363"/>
    <cellStyle name="백분율 6 3 2 2 4 3" xfId="27364"/>
    <cellStyle name="백분율 6 3 2 2 4 3 2" xfId="27365"/>
    <cellStyle name="백분율 6 3 2 2 4 3 3" xfId="27366"/>
    <cellStyle name="백분율 6 3 2 2 4 4" xfId="27367"/>
    <cellStyle name="백분율 6 3 2 2 4 5" xfId="27368"/>
    <cellStyle name="백분율 6 3 2 2 5" xfId="27369"/>
    <cellStyle name="백분율 6 3 2 2 5 2" xfId="27370"/>
    <cellStyle name="백분율 6 3 2 2 5 2 2" xfId="27371"/>
    <cellStyle name="백분율 6 3 2 2 5 2 2 2" xfId="27372"/>
    <cellStyle name="백분율 6 3 2 2 5 2 2 3" xfId="27373"/>
    <cellStyle name="백분율 6 3 2 2 5 2 3" xfId="27374"/>
    <cellStyle name="백분율 6 3 2 2 5 2 4" xfId="27375"/>
    <cellStyle name="백분율 6 3 2 2 5 3" xfId="27376"/>
    <cellStyle name="백분율 6 3 2 2 5 3 2" xfId="27377"/>
    <cellStyle name="백분율 6 3 2 2 5 3 3" xfId="27378"/>
    <cellStyle name="백분율 6 3 2 2 5 4" xfId="27379"/>
    <cellStyle name="백분율 6 3 2 2 5 5" xfId="27380"/>
    <cellStyle name="백분율 6 3 2 2 6" xfId="27381"/>
    <cellStyle name="백분율 6 3 2 2 6 2" xfId="27382"/>
    <cellStyle name="백분율 6 3 2 2 6 2 2" xfId="27383"/>
    <cellStyle name="백분율 6 3 2 2 6 2 2 2" xfId="27384"/>
    <cellStyle name="백분율 6 3 2 2 6 2 2 3" xfId="27385"/>
    <cellStyle name="백분율 6 3 2 2 6 2 3" xfId="27386"/>
    <cellStyle name="백분율 6 3 2 2 6 2 4" xfId="27387"/>
    <cellStyle name="백분율 6 3 2 2 6 3" xfId="27388"/>
    <cellStyle name="백분율 6 3 2 2 6 3 2" xfId="27389"/>
    <cellStyle name="백분율 6 3 2 2 6 3 3" xfId="27390"/>
    <cellStyle name="백분율 6 3 2 2 6 4" xfId="27391"/>
    <cellStyle name="백분율 6 3 2 2 6 5" xfId="27392"/>
    <cellStyle name="백분율 6 3 2 2 7" xfId="27393"/>
    <cellStyle name="백분율 6 3 2 2 7 2" xfId="27394"/>
    <cellStyle name="백분율 6 3 2 2 7 2 2" xfId="27395"/>
    <cellStyle name="백분율 6 3 2 2 7 2 3" xfId="27396"/>
    <cellStyle name="백분율 6 3 2 2 7 3" xfId="27397"/>
    <cellStyle name="백분율 6 3 2 2 7 4" xfId="27398"/>
    <cellStyle name="백분율 6 3 2 2 8" xfId="27399"/>
    <cellStyle name="백분율 6 3 2 2 8 2" xfId="27400"/>
    <cellStyle name="백분율 6 3 2 2 8 3" xfId="27401"/>
    <cellStyle name="백분율 6 3 2 2 9" xfId="27402"/>
    <cellStyle name="백분율 6 3 2 3" xfId="27403"/>
    <cellStyle name="백분율 6 3 2 3 10" xfId="27404"/>
    <cellStyle name="백분율 6 3 2 3 2" xfId="27405"/>
    <cellStyle name="백분율 6 3 2 3 2 2" xfId="27406"/>
    <cellStyle name="백분율 6 3 2 3 2 2 2" xfId="27407"/>
    <cellStyle name="백분율 6 3 2 3 2 2 2 2" xfId="27408"/>
    <cellStyle name="백분율 6 3 2 3 2 2 2 2 2" xfId="27409"/>
    <cellStyle name="백분율 6 3 2 3 2 2 2 2 3" xfId="27410"/>
    <cellStyle name="백분율 6 3 2 3 2 2 2 3" xfId="27411"/>
    <cellStyle name="백분율 6 3 2 3 2 2 2 4" xfId="27412"/>
    <cellStyle name="백분율 6 3 2 3 2 2 3" xfId="27413"/>
    <cellStyle name="백분율 6 3 2 3 2 2 3 2" xfId="27414"/>
    <cellStyle name="백분율 6 3 2 3 2 2 3 3" xfId="27415"/>
    <cellStyle name="백분율 6 3 2 3 2 2 4" xfId="27416"/>
    <cellStyle name="백분율 6 3 2 3 2 2 5" xfId="27417"/>
    <cellStyle name="백분율 6 3 2 3 2 3" xfId="27418"/>
    <cellStyle name="백분율 6 3 2 3 2 3 2" xfId="27419"/>
    <cellStyle name="백분율 6 3 2 3 2 3 2 2" xfId="27420"/>
    <cellStyle name="백분율 6 3 2 3 2 3 2 2 2" xfId="27421"/>
    <cellStyle name="백분율 6 3 2 3 2 3 2 2 3" xfId="27422"/>
    <cellStyle name="백분율 6 3 2 3 2 3 2 3" xfId="27423"/>
    <cellStyle name="백분율 6 3 2 3 2 3 2 4" xfId="27424"/>
    <cellStyle name="백분율 6 3 2 3 2 3 3" xfId="27425"/>
    <cellStyle name="백분율 6 3 2 3 2 3 3 2" xfId="27426"/>
    <cellStyle name="백분율 6 3 2 3 2 3 3 3" xfId="27427"/>
    <cellStyle name="백분율 6 3 2 3 2 3 4" xfId="27428"/>
    <cellStyle name="백분율 6 3 2 3 2 3 5" xfId="27429"/>
    <cellStyle name="백분율 6 3 2 3 2 4" xfId="27430"/>
    <cellStyle name="백분율 6 3 2 3 2 4 2" xfId="27431"/>
    <cellStyle name="백분율 6 3 2 3 2 4 2 2" xfId="27432"/>
    <cellStyle name="백분율 6 3 2 3 2 4 2 3" xfId="27433"/>
    <cellStyle name="백분율 6 3 2 3 2 4 3" xfId="27434"/>
    <cellStyle name="백분율 6 3 2 3 2 4 4" xfId="27435"/>
    <cellStyle name="백분율 6 3 2 3 2 5" xfId="27436"/>
    <cellStyle name="백분율 6 3 2 3 2 5 2" xfId="27437"/>
    <cellStyle name="백분율 6 3 2 3 2 5 3" xfId="27438"/>
    <cellStyle name="백분율 6 3 2 3 2 6" xfId="27439"/>
    <cellStyle name="백분율 6 3 2 3 2 7" xfId="27440"/>
    <cellStyle name="백분율 6 3 2 3 3" xfId="27441"/>
    <cellStyle name="백분율 6 3 2 3 3 2" xfId="27442"/>
    <cellStyle name="백분율 6 3 2 3 3 2 2" xfId="27443"/>
    <cellStyle name="백분율 6 3 2 3 3 2 2 2" xfId="27444"/>
    <cellStyle name="백분율 6 3 2 3 3 2 2 2 2" xfId="27445"/>
    <cellStyle name="백분율 6 3 2 3 3 2 2 2 3" xfId="27446"/>
    <cellStyle name="백분율 6 3 2 3 3 2 2 3" xfId="27447"/>
    <cellStyle name="백분율 6 3 2 3 3 2 2 4" xfId="27448"/>
    <cellStyle name="백분율 6 3 2 3 3 2 3" xfId="27449"/>
    <cellStyle name="백분율 6 3 2 3 3 2 3 2" xfId="27450"/>
    <cellStyle name="백분율 6 3 2 3 3 2 3 3" xfId="27451"/>
    <cellStyle name="백분율 6 3 2 3 3 2 4" xfId="27452"/>
    <cellStyle name="백분율 6 3 2 3 3 2 5" xfId="27453"/>
    <cellStyle name="백분율 6 3 2 3 3 3" xfId="27454"/>
    <cellStyle name="백분율 6 3 2 3 3 3 2" xfId="27455"/>
    <cellStyle name="백분율 6 3 2 3 3 3 2 2" xfId="27456"/>
    <cellStyle name="백분율 6 3 2 3 3 3 2 2 2" xfId="27457"/>
    <cellStyle name="백분율 6 3 2 3 3 3 2 2 3" xfId="27458"/>
    <cellStyle name="백분율 6 3 2 3 3 3 2 3" xfId="27459"/>
    <cellStyle name="백분율 6 3 2 3 3 3 2 4" xfId="27460"/>
    <cellStyle name="백분율 6 3 2 3 3 3 3" xfId="27461"/>
    <cellStyle name="백분율 6 3 2 3 3 3 3 2" xfId="27462"/>
    <cellStyle name="백분율 6 3 2 3 3 3 3 3" xfId="27463"/>
    <cellStyle name="백분율 6 3 2 3 3 3 4" xfId="27464"/>
    <cellStyle name="백분율 6 3 2 3 3 3 5" xfId="27465"/>
    <cellStyle name="백분율 6 3 2 3 3 4" xfId="27466"/>
    <cellStyle name="백분율 6 3 2 3 3 4 2" xfId="27467"/>
    <cellStyle name="백분율 6 3 2 3 3 4 2 2" xfId="27468"/>
    <cellStyle name="백분율 6 3 2 3 3 4 2 3" xfId="27469"/>
    <cellStyle name="백분율 6 3 2 3 3 4 3" xfId="27470"/>
    <cellStyle name="백분율 6 3 2 3 3 4 4" xfId="27471"/>
    <cellStyle name="백분율 6 3 2 3 3 5" xfId="27472"/>
    <cellStyle name="백분율 6 3 2 3 3 5 2" xfId="27473"/>
    <cellStyle name="백분율 6 3 2 3 3 5 3" xfId="27474"/>
    <cellStyle name="백분율 6 3 2 3 3 6" xfId="27475"/>
    <cellStyle name="백분율 6 3 2 3 3 7" xfId="27476"/>
    <cellStyle name="백분율 6 3 2 3 4" xfId="27477"/>
    <cellStyle name="백분율 6 3 2 3 4 2" xfId="27478"/>
    <cellStyle name="백분율 6 3 2 3 4 2 2" xfId="27479"/>
    <cellStyle name="백분율 6 3 2 3 4 2 2 2" xfId="27480"/>
    <cellStyle name="백분율 6 3 2 3 4 2 2 3" xfId="27481"/>
    <cellStyle name="백분율 6 3 2 3 4 2 3" xfId="27482"/>
    <cellStyle name="백분율 6 3 2 3 4 2 4" xfId="27483"/>
    <cellStyle name="백분율 6 3 2 3 4 3" xfId="27484"/>
    <cellStyle name="백분율 6 3 2 3 4 3 2" xfId="27485"/>
    <cellStyle name="백분율 6 3 2 3 4 3 3" xfId="27486"/>
    <cellStyle name="백분율 6 3 2 3 4 4" xfId="27487"/>
    <cellStyle name="백분율 6 3 2 3 4 5" xfId="27488"/>
    <cellStyle name="백분율 6 3 2 3 5" xfId="27489"/>
    <cellStyle name="백분율 6 3 2 3 5 2" xfId="27490"/>
    <cellStyle name="백분율 6 3 2 3 5 2 2" xfId="27491"/>
    <cellStyle name="백분율 6 3 2 3 5 2 2 2" xfId="27492"/>
    <cellStyle name="백분율 6 3 2 3 5 2 2 3" xfId="27493"/>
    <cellStyle name="백분율 6 3 2 3 5 2 3" xfId="27494"/>
    <cellStyle name="백분율 6 3 2 3 5 2 4" xfId="27495"/>
    <cellStyle name="백분율 6 3 2 3 5 3" xfId="27496"/>
    <cellStyle name="백분율 6 3 2 3 5 3 2" xfId="27497"/>
    <cellStyle name="백분율 6 3 2 3 5 3 3" xfId="27498"/>
    <cellStyle name="백분율 6 3 2 3 5 4" xfId="27499"/>
    <cellStyle name="백분율 6 3 2 3 5 5" xfId="27500"/>
    <cellStyle name="백분율 6 3 2 3 6" xfId="27501"/>
    <cellStyle name="백분율 6 3 2 3 6 2" xfId="27502"/>
    <cellStyle name="백분율 6 3 2 3 6 2 2" xfId="27503"/>
    <cellStyle name="백분율 6 3 2 3 6 2 2 2" xfId="27504"/>
    <cellStyle name="백분율 6 3 2 3 6 2 2 3" xfId="27505"/>
    <cellStyle name="백분율 6 3 2 3 6 2 3" xfId="27506"/>
    <cellStyle name="백분율 6 3 2 3 6 2 4" xfId="27507"/>
    <cellStyle name="백분율 6 3 2 3 6 3" xfId="27508"/>
    <cellStyle name="백분율 6 3 2 3 6 3 2" xfId="27509"/>
    <cellStyle name="백분율 6 3 2 3 6 3 3" xfId="27510"/>
    <cellStyle name="백분율 6 3 2 3 6 4" xfId="27511"/>
    <cellStyle name="백분율 6 3 2 3 6 5" xfId="27512"/>
    <cellStyle name="백분율 6 3 2 3 7" xfId="27513"/>
    <cellStyle name="백분율 6 3 2 3 7 2" xfId="27514"/>
    <cellStyle name="백분율 6 3 2 3 7 2 2" xfId="27515"/>
    <cellStyle name="백분율 6 3 2 3 7 2 3" xfId="27516"/>
    <cellStyle name="백분율 6 3 2 3 7 3" xfId="27517"/>
    <cellStyle name="백분율 6 3 2 3 7 4" xfId="27518"/>
    <cellStyle name="백분율 6 3 2 3 8" xfId="27519"/>
    <cellStyle name="백분율 6 3 2 3 8 2" xfId="27520"/>
    <cellStyle name="백분율 6 3 2 3 8 3" xfId="27521"/>
    <cellStyle name="백분율 6 3 2 3 9" xfId="27522"/>
    <cellStyle name="백분율 6 3 2 4" xfId="27523"/>
    <cellStyle name="백분율 6 3 2 4 10" xfId="27524"/>
    <cellStyle name="백분율 6 3 2 4 2" xfId="27525"/>
    <cellStyle name="백분율 6 3 2 4 2 2" xfId="27526"/>
    <cellStyle name="백분율 6 3 2 4 2 2 2" xfId="27527"/>
    <cellStyle name="백분율 6 3 2 4 2 2 2 2" xfId="27528"/>
    <cellStyle name="백분율 6 3 2 4 2 2 2 2 2" xfId="27529"/>
    <cellStyle name="백분율 6 3 2 4 2 2 2 2 3" xfId="27530"/>
    <cellStyle name="백분율 6 3 2 4 2 2 2 3" xfId="27531"/>
    <cellStyle name="백분율 6 3 2 4 2 2 2 4" xfId="27532"/>
    <cellStyle name="백분율 6 3 2 4 2 2 3" xfId="27533"/>
    <cellStyle name="백분율 6 3 2 4 2 2 3 2" xfId="27534"/>
    <cellStyle name="백분율 6 3 2 4 2 2 3 3" xfId="27535"/>
    <cellStyle name="백분율 6 3 2 4 2 2 4" xfId="27536"/>
    <cellStyle name="백분율 6 3 2 4 2 2 5" xfId="27537"/>
    <cellStyle name="백분율 6 3 2 4 2 3" xfId="27538"/>
    <cellStyle name="백분율 6 3 2 4 2 3 2" xfId="27539"/>
    <cellStyle name="백분율 6 3 2 4 2 3 2 2" xfId="27540"/>
    <cellStyle name="백분율 6 3 2 4 2 3 2 2 2" xfId="27541"/>
    <cellStyle name="백분율 6 3 2 4 2 3 2 2 3" xfId="27542"/>
    <cellStyle name="백분율 6 3 2 4 2 3 2 3" xfId="27543"/>
    <cellStyle name="백분율 6 3 2 4 2 3 2 4" xfId="27544"/>
    <cellStyle name="백분율 6 3 2 4 2 3 3" xfId="27545"/>
    <cellStyle name="백분율 6 3 2 4 2 3 3 2" xfId="27546"/>
    <cellStyle name="백분율 6 3 2 4 2 3 3 3" xfId="27547"/>
    <cellStyle name="백분율 6 3 2 4 2 3 4" xfId="27548"/>
    <cellStyle name="백분율 6 3 2 4 2 3 5" xfId="27549"/>
    <cellStyle name="백분율 6 3 2 4 2 4" xfId="27550"/>
    <cellStyle name="백분율 6 3 2 4 2 4 2" xfId="27551"/>
    <cellStyle name="백분율 6 3 2 4 2 4 2 2" xfId="27552"/>
    <cellStyle name="백분율 6 3 2 4 2 4 2 3" xfId="27553"/>
    <cellStyle name="백분율 6 3 2 4 2 4 3" xfId="27554"/>
    <cellStyle name="백분율 6 3 2 4 2 4 4" xfId="27555"/>
    <cellStyle name="백분율 6 3 2 4 2 5" xfId="27556"/>
    <cellStyle name="백분율 6 3 2 4 2 5 2" xfId="27557"/>
    <cellStyle name="백분율 6 3 2 4 2 5 3" xfId="27558"/>
    <cellStyle name="백분율 6 3 2 4 2 6" xfId="27559"/>
    <cellStyle name="백분율 6 3 2 4 2 7" xfId="27560"/>
    <cellStyle name="백분율 6 3 2 4 3" xfId="27561"/>
    <cellStyle name="백분율 6 3 2 4 3 2" xfId="27562"/>
    <cellStyle name="백분율 6 3 2 4 3 2 2" xfId="27563"/>
    <cellStyle name="백분율 6 3 2 4 3 2 2 2" xfId="27564"/>
    <cellStyle name="백분율 6 3 2 4 3 2 2 2 2" xfId="27565"/>
    <cellStyle name="백분율 6 3 2 4 3 2 2 2 3" xfId="27566"/>
    <cellStyle name="백분율 6 3 2 4 3 2 2 3" xfId="27567"/>
    <cellStyle name="백분율 6 3 2 4 3 2 2 4" xfId="27568"/>
    <cellStyle name="백분율 6 3 2 4 3 2 3" xfId="27569"/>
    <cellStyle name="백분율 6 3 2 4 3 2 3 2" xfId="27570"/>
    <cellStyle name="백분율 6 3 2 4 3 2 3 3" xfId="27571"/>
    <cellStyle name="백분율 6 3 2 4 3 2 4" xfId="27572"/>
    <cellStyle name="백분율 6 3 2 4 3 2 5" xfId="27573"/>
    <cellStyle name="백분율 6 3 2 4 3 3" xfId="27574"/>
    <cellStyle name="백분율 6 3 2 4 3 3 2" xfId="27575"/>
    <cellStyle name="백분율 6 3 2 4 3 3 2 2" xfId="27576"/>
    <cellStyle name="백분율 6 3 2 4 3 3 2 2 2" xfId="27577"/>
    <cellStyle name="백분율 6 3 2 4 3 3 2 2 3" xfId="27578"/>
    <cellStyle name="백분율 6 3 2 4 3 3 2 3" xfId="27579"/>
    <cellStyle name="백분율 6 3 2 4 3 3 2 4" xfId="27580"/>
    <cellStyle name="백분율 6 3 2 4 3 3 3" xfId="27581"/>
    <cellStyle name="백분율 6 3 2 4 3 3 3 2" xfId="27582"/>
    <cellStyle name="백분율 6 3 2 4 3 3 3 3" xfId="27583"/>
    <cellStyle name="백분율 6 3 2 4 3 3 4" xfId="27584"/>
    <cellStyle name="백분율 6 3 2 4 3 3 5" xfId="27585"/>
    <cellStyle name="백분율 6 3 2 4 3 4" xfId="27586"/>
    <cellStyle name="백분율 6 3 2 4 3 4 2" xfId="27587"/>
    <cellStyle name="백분율 6 3 2 4 3 4 2 2" xfId="27588"/>
    <cellStyle name="백분율 6 3 2 4 3 4 2 3" xfId="27589"/>
    <cellStyle name="백분율 6 3 2 4 3 4 3" xfId="27590"/>
    <cellStyle name="백분율 6 3 2 4 3 4 4" xfId="27591"/>
    <cellStyle name="백분율 6 3 2 4 3 5" xfId="27592"/>
    <cellStyle name="백분율 6 3 2 4 3 5 2" xfId="27593"/>
    <cellStyle name="백분율 6 3 2 4 3 5 3" xfId="27594"/>
    <cellStyle name="백분율 6 3 2 4 3 6" xfId="27595"/>
    <cellStyle name="백분율 6 3 2 4 3 7" xfId="27596"/>
    <cellStyle name="백분율 6 3 2 4 4" xfId="27597"/>
    <cellStyle name="백분율 6 3 2 4 4 2" xfId="27598"/>
    <cellStyle name="백분율 6 3 2 4 4 2 2" xfId="27599"/>
    <cellStyle name="백분율 6 3 2 4 4 2 2 2" xfId="27600"/>
    <cellStyle name="백분율 6 3 2 4 4 2 2 3" xfId="27601"/>
    <cellStyle name="백분율 6 3 2 4 4 2 3" xfId="27602"/>
    <cellStyle name="백분율 6 3 2 4 4 2 4" xfId="27603"/>
    <cellStyle name="백분율 6 3 2 4 4 3" xfId="27604"/>
    <cellStyle name="백분율 6 3 2 4 4 3 2" xfId="27605"/>
    <cellStyle name="백분율 6 3 2 4 4 3 3" xfId="27606"/>
    <cellStyle name="백분율 6 3 2 4 4 4" xfId="27607"/>
    <cellStyle name="백분율 6 3 2 4 4 5" xfId="27608"/>
    <cellStyle name="백분율 6 3 2 4 5" xfId="27609"/>
    <cellStyle name="백분율 6 3 2 4 5 2" xfId="27610"/>
    <cellStyle name="백분율 6 3 2 4 5 2 2" xfId="27611"/>
    <cellStyle name="백분율 6 3 2 4 5 2 2 2" xfId="27612"/>
    <cellStyle name="백분율 6 3 2 4 5 2 2 3" xfId="27613"/>
    <cellStyle name="백분율 6 3 2 4 5 2 3" xfId="27614"/>
    <cellStyle name="백분율 6 3 2 4 5 2 4" xfId="27615"/>
    <cellStyle name="백분율 6 3 2 4 5 3" xfId="27616"/>
    <cellStyle name="백분율 6 3 2 4 5 3 2" xfId="27617"/>
    <cellStyle name="백분율 6 3 2 4 5 3 3" xfId="27618"/>
    <cellStyle name="백분율 6 3 2 4 5 4" xfId="27619"/>
    <cellStyle name="백분율 6 3 2 4 5 5" xfId="27620"/>
    <cellStyle name="백분율 6 3 2 4 6" xfId="27621"/>
    <cellStyle name="백분율 6 3 2 4 6 2" xfId="27622"/>
    <cellStyle name="백분율 6 3 2 4 6 2 2" xfId="27623"/>
    <cellStyle name="백분율 6 3 2 4 6 2 2 2" xfId="27624"/>
    <cellStyle name="백분율 6 3 2 4 6 2 2 3" xfId="27625"/>
    <cellStyle name="백분율 6 3 2 4 6 2 3" xfId="27626"/>
    <cellStyle name="백분율 6 3 2 4 6 2 4" xfId="27627"/>
    <cellStyle name="백분율 6 3 2 4 6 3" xfId="27628"/>
    <cellStyle name="백분율 6 3 2 4 6 3 2" xfId="27629"/>
    <cellStyle name="백분율 6 3 2 4 6 3 3" xfId="27630"/>
    <cellStyle name="백분율 6 3 2 4 6 4" xfId="27631"/>
    <cellStyle name="백분율 6 3 2 4 6 5" xfId="27632"/>
    <cellStyle name="백분율 6 3 2 4 7" xfId="27633"/>
    <cellStyle name="백분율 6 3 2 4 7 2" xfId="27634"/>
    <cellStyle name="백분율 6 3 2 4 7 2 2" xfId="27635"/>
    <cellStyle name="백분율 6 3 2 4 7 2 3" xfId="27636"/>
    <cellStyle name="백분율 6 3 2 4 7 3" xfId="27637"/>
    <cellStyle name="백분율 6 3 2 4 7 4" xfId="27638"/>
    <cellStyle name="백분율 6 3 2 4 8" xfId="27639"/>
    <cellStyle name="백분율 6 3 2 4 8 2" xfId="27640"/>
    <cellStyle name="백분율 6 3 2 4 8 3" xfId="27641"/>
    <cellStyle name="백분율 6 3 2 4 9" xfId="27642"/>
    <cellStyle name="백분율 6 3 2 5" xfId="27643"/>
    <cellStyle name="백분율 6 3 2 5 2" xfId="27644"/>
    <cellStyle name="백분율 6 3 2 5 2 2" xfId="27645"/>
    <cellStyle name="백분율 6 3 2 5 2 2 2" xfId="27646"/>
    <cellStyle name="백분율 6 3 2 5 2 2 2 2" xfId="27647"/>
    <cellStyle name="백분율 6 3 2 5 2 2 2 3" xfId="27648"/>
    <cellStyle name="백분율 6 3 2 5 2 2 3" xfId="27649"/>
    <cellStyle name="백분율 6 3 2 5 2 2 4" xfId="27650"/>
    <cellStyle name="백분율 6 3 2 5 2 3" xfId="27651"/>
    <cellStyle name="백분율 6 3 2 5 2 3 2" xfId="27652"/>
    <cellStyle name="백분율 6 3 2 5 2 3 3" xfId="27653"/>
    <cellStyle name="백분율 6 3 2 5 2 4" xfId="27654"/>
    <cellStyle name="백분율 6 3 2 5 2 5" xfId="27655"/>
    <cellStyle name="백분율 6 3 2 5 3" xfId="27656"/>
    <cellStyle name="백분율 6 3 2 5 3 2" xfId="27657"/>
    <cellStyle name="백분율 6 3 2 5 3 2 2" xfId="27658"/>
    <cellStyle name="백분율 6 3 2 5 3 2 2 2" xfId="27659"/>
    <cellStyle name="백분율 6 3 2 5 3 2 2 3" xfId="27660"/>
    <cellStyle name="백분율 6 3 2 5 3 2 3" xfId="27661"/>
    <cellStyle name="백분율 6 3 2 5 3 2 4" xfId="27662"/>
    <cellStyle name="백분율 6 3 2 5 3 3" xfId="27663"/>
    <cellStyle name="백분율 6 3 2 5 3 3 2" xfId="27664"/>
    <cellStyle name="백분율 6 3 2 5 3 3 3" xfId="27665"/>
    <cellStyle name="백분율 6 3 2 5 3 4" xfId="27666"/>
    <cellStyle name="백분율 6 3 2 5 3 5" xfId="27667"/>
    <cellStyle name="백분율 6 3 2 5 4" xfId="27668"/>
    <cellStyle name="백분율 6 3 2 5 4 2" xfId="27669"/>
    <cellStyle name="백분율 6 3 2 5 4 2 2" xfId="27670"/>
    <cellStyle name="백분율 6 3 2 5 4 2 3" xfId="27671"/>
    <cellStyle name="백분율 6 3 2 5 4 3" xfId="27672"/>
    <cellStyle name="백분율 6 3 2 5 4 4" xfId="27673"/>
    <cellStyle name="백분율 6 3 2 5 5" xfId="27674"/>
    <cellStyle name="백분율 6 3 2 5 5 2" xfId="27675"/>
    <cellStyle name="백분율 6 3 2 5 5 3" xfId="27676"/>
    <cellStyle name="백분율 6 3 2 5 6" xfId="27677"/>
    <cellStyle name="백분율 6 3 2 5 7" xfId="27678"/>
    <cellStyle name="백분율 6 3 2 6" xfId="27679"/>
    <cellStyle name="백분율 6 3 2 6 2" xfId="27680"/>
    <cellStyle name="백분율 6 3 2 6 2 2" xfId="27681"/>
    <cellStyle name="백분율 6 3 2 6 2 2 2" xfId="27682"/>
    <cellStyle name="백분율 6 3 2 6 2 2 2 2" xfId="27683"/>
    <cellStyle name="백분율 6 3 2 6 2 2 2 3" xfId="27684"/>
    <cellStyle name="백분율 6 3 2 6 2 2 3" xfId="27685"/>
    <cellStyle name="백분율 6 3 2 6 2 2 4" xfId="27686"/>
    <cellStyle name="백분율 6 3 2 6 2 3" xfId="27687"/>
    <cellStyle name="백분율 6 3 2 6 2 3 2" xfId="27688"/>
    <cellStyle name="백분율 6 3 2 6 2 3 3" xfId="27689"/>
    <cellStyle name="백분율 6 3 2 6 2 4" xfId="27690"/>
    <cellStyle name="백분율 6 3 2 6 2 5" xfId="27691"/>
    <cellStyle name="백분율 6 3 2 6 3" xfId="27692"/>
    <cellStyle name="백분율 6 3 2 6 3 2" xfId="27693"/>
    <cellStyle name="백분율 6 3 2 6 3 2 2" xfId="27694"/>
    <cellStyle name="백분율 6 3 2 6 3 2 2 2" xfId="27695"/>
    <cellStyle name="백분율 6 3 2 6 3 2 2 3" xfId="27696"/>
    <cellStyle name="백분율 6 3 2 6 3 2 3" xfId="27697"/>
    <cellStyle name="백분율 6 3 2 6 3 2 4" xfId="27698"/>
    <cellStyle name="백분율 6 3 2 6 3 3" xfId="27699"/>
    <cellStyle name="백분율 6 3 2 6 3 3 2" xfId="27700"/>
    <cellStyle name="백분율 6 3 2 6 3 3 3" xfId="27701"/>
    <cellStyle name="백분율 6 3 2 6 3 4" xfId="27702"/>
    <cellStyle name="백분율 6 3 2 6 3 5" xfId="27703"/>
    <cellStyle name="백분율 6 3 2 6 4" xfId="27704"/>
    <cellStyle name="백분율 6 3 2 6 4 2" xfId="27705"/>
    <cellStyle name="백분율 6 3 2 6 4 2 2" xfId="27706"/>
    <cellStyle name="백분율 6 3 2 6 4 2 3" xfId="27707"/>
    <cellStyle name="백분율 6 3 2 6 4 3" xfId="27708"/>
    <cellStyle name="백분율 6 3 2 6 4 4" xfId="27709"/>
    <cellStyle name="백분율 6 3 2 6 5" xfId="27710"/>
    <cellStyle name="백분율 6 3 2 6 5 2" xfId="27711"/>
    <cellStyle name="백분율 6 3 2 6 5 3" xfId="27712"/>
    <cellStyle name="백분율 6 3 2 6 6" xfId="27713"/>
    <cellStyle name="백분율 6 3 2 6 7" xfId="27714"/>
    <cellStyle name="백분율 6 3 2 7" xfId="27715"/>
    <cellStyle name="백분율 6 3 2 7 2" xfId="27716"/>
    <cellStyle name="백분율 6 3 2 7 2 2" xfId="27717"/>
    <cellStyle name="백분율 6 3 2 7 2 2 2" xfId="27718"/>
    <cellStyle name="백분율 6 3 2 7 2 2 3" xfId="27719"/>
    <cellStyle name="백분율 6 3 2 7 2 3" xfId="27720"/>
    <cellStyle name="백분율 6 3 2 7 2 4" xfId="27721"/>
    <cellStyle name="백분율 6 3 2 7 3" xfId="27722"/>
    <cellStyle name="백분율 6 3 2 7 3 2" xfId="27723"/>
    <cellStyle name="백분율 6 3 2 7 3 3" xfId="27724"/>
    <cellStyle name="백분율 6 3 2 7 4" xfId="27725"/>
    <cellStyle name="백분율 6 3 2 7 5" xfId="27726"/>
    <cellStyle name="백분율 6 3 2 8" xfId="27727"/>
    <cellStyle name="백분율 6 3 2 8 2" xfId="27728"/>
    <cellStyle name="백분율 6 3 2 8 2 2" xfId="27729"/>
    <cellStyle name="백분율 6 3 2 8 2 2 2" xfId="27730"/>
    <cellStyle name="백분율 6 3 2 8 2 2 3" xfId="27731"/>
    <cellStyle name="백분율 6 3 2 8 2 3" xfId="27732"/>
    <cellStyle name="백분율 6 3 2 8 2 4" xfId="27733"/>
    <cellStyle name="백분율 6 3 2 8 3" xfId="27734"/>
    <cellStyle name="백분율 6 3 2 8 3 2" xfId="27735"/>
    <cellStyle name="백분율 6 3 2 8 3 3" xfId="27736"/>
    <cellStyle name="백분율 6 3 2 8 4" xfId="27737"/>
    <cellStyle name="백분율 6 3 2 8 5" xfId="27738"/>
    <cellStyle name="백분율 6 3 2 9" xfId="27739"/>
    <cellStyle name="백분율 6 3 2 9 2" xfId="27740"/>
    <cellStyle name="백분율 6 3 2 9 2 2" xfId="27741"/>
    <cellStyle name="백분율 6 3 2 9 2 2 2" xfId="27742"/>
    <cellStyle name="백분율 6 3 2 9 2 2 3" xfId="27743"/>
    <cellStyle name="백분율 6 3 2 9 2 3" xfId="27744"/>
    <cellStyle name="백분율 6 3 2 9 2 4" xfId="27745"/>
    <cellStyle name="백분율 6 3 2 9 3" xfId="27746"/>
    <cellStyle name="백분율 6 3 2 9 3 2" xfId="27747"/>
    <cellStyle name="백분율 6 3 2 9 3 3" xfId="27748"/>
    <cellStyle name="백분율 6 3 2 9 4" xfId="27749"/>
    <cellStyle name="백분율 6 3 2 9 5" xfId="27750"/>
    <cellStyle name="백분율 6 3 3" xfId="27751"/>
    <cellStyle name="백분율 6 3 3 10" xfId="27752"/>
    <cellStyle name="백분율 6 3 3 2" xfId="27753"/>
    <cellStyle name="백분율 6 3 3 2 2" xfId="27754"/>
    <cellStyle name="백분율 6 3 3 2 2 2" xfId="27755"/>
    <cellStyle name="백분율 6 3 3 2 2 2 2" xfId="27756"/>
    <cellStyle name="백분율 6 3 3 2 2 2 2 2" xfId="27757"/>
    <cellStyle name="백분율 6 3 3 2 2 2 2 3" xfId="27758"/>
    <cellStyle name="백분율 6 3 3 2 2 2 3" xfId="27759"/>
    <cellStyle name="백분율 6 3 3 2 2 2 4" xfId="27760"/>
    <cellStyle name="백분율 6 3 3 2 2 3" xfId="27761"/>
    <cellStyle name="백분율 6 3 3 2 2 3 2" xfId="27762"/>
    <cellStyle name="백분율 6 3 3 2 2 3 3" xfId="27763"/>
    <cellStyle name="백분율 6 3 3 2 2 4" xfId="27764"/>
    <cellStyle name="백분율 6 3 3 2 2 5" xfId="27765"/>
    <cellStyle name="백분율 6 3 3 2 3" xfId="27766"/>
    <cellStyle name="백분율 6 3 3 2 3 2" xfId="27767"/>
    <cellStyle name="백분율 6 3 3 2 3 2 2" xfId="27768"/>
    <cellStyle name="백분율 6 3 3 2 3 2 2 2" xfId="27769"/>
    <cellStyle name="백분율 6 3 3 2 3 2 2 3" xfId="27770"/>
    <cellStyle name="백분율 6 3 3 2 3 2 3" xfId="27771"/>
    <cellStyle name="백분율 6 3 3 2 3 2 4" xfId="27772"/>
    <cellStyle name="백분율 6 3 3 2 3 3" xfId="27773"/>
    <cellStyle name="백분율 6 3 3 2 3 3 2" xfId="27774"/>
    <cellStyle name="백분율 6 3 3 2 3 3 3" xfId="27775"/>
    <cellStyle name="백분율 6 3 3 2 3 4" xfId="27776"/>
    <cellStyle name="백분율 6 3 3 2 3 5" xfId="27777"/>
    <cellStyle name="백분율 6 3 3 2 4" xfId="27778"/>
    <cellStyle name="백분율 6 3 3 2 4 2" xfId="27779"/>
    <cellStyle name="백분율 6 3 3 2 4 2 2" xfId="27780"/>
    <cellStyle name="백분율 6 3 3 2 4 2 3" xfId="27781"/>
    <cellStyle name="백분율 6 3 3 2 4 3" xfId="27782"/>
    <cellStyle name="백분율 6 3 3 2 4 4" xfId="27783"/>
    <cellStyle name="백분율 6 3 3 2 5" xfId="27784"/>
    <cellStyle name="백분율 6 3 3 2 5 2" xfId="27785"/>
    <cellStyle name="백분율 6 3 3 2 5 3" xfId="27786"/>
    <cellStyle name="백분율 6 3 3 2 6" xfId="27787"/>
    <cellStyle name="백분율 6 3 3 2 7" xfId="27788"/>
    <cellStyle name="백분율 6 3 3 3" xfId="27789"/>
    <cellStyle name="백분율 6 3 3 3 2" xfId="27790"/>
    <cellStyle name="백분율 6 3 3 3 2 2" xfId="27791"/>
    <cellStyle name="백분율 6 3 3 3 2 2 2" xfId="27792"/>
    <cellStyle name="백분율 6 3 3 3 2 2 2 2" xfId="27793"/>
    <cellStyle name="백분율 6 3 3 3 2 2 2 3" xfId="27794"/>
    <cellStyle name="백분율 6 3 3 3 2 2 3" xfId="27795"/>
    <cellStyle name="백분율 6 3 3 3 2 2 4" xfId="27796"/>
    <cellStyle name="백분율 6 3 3 3 2 3" xfId="27797"/>
    <cellStyle name="백분율 6 3 3 3 2 3 2" xfId="27798"/>
    <cellStyle name="백분율 6 3 3 3 2 3 3" xfId="27799"/>
    <cellStyle name="백분율 6 3 3 3 2 4" xfId="27800"/>
    <cellStyle name="백분율 6 3 3 3 2 5" xfId="27801"/>
    <cellStyle name="백분율 6 3 3 3 3" xfId="27802"/>
    <cellStyle name="백분율 6 3 3 3 3 2" xfId="27803"/>
    <cellStyle name="백분율 6 3 3 3 3 2 2" xfId="27804"/>
    <cellStyle name="백분율 6 3 3 3 3 2 2 2" xfId="27805"/>
    <cellStyle name="백분율 6 3 3 3 3 2 2 3" xfId="27806"/>
    <cellStyle name="백분율 6 3 3 3 3 2 3" xfId="27807"/>
    <cellStyle name="백분율 6 3 3 3 3 2 4" xfId="27808"/>
    <cellStyle name="백분율 6 3 3 3 3 3" xfId="27809"/>
    <cellStyle name="백분율 6 3 3 3 3 3 2" xfId="27810"/>
    <cellStyle name="백분율 6 3 3 3 3 3 3" xfId="27811"/>
    <cellStyle name="백분율 6 3 3 3 3 4" xfId="27812"/>
    <cellStyle name="백분율 6 3 3 3 3 5" xfId="27813"/>
    <cellStyle name="백분율 6 3 3 3 4" xfId="27814"/>
    <cellStyle name="백분율 6 3 3 3 4 2" xfId="27815"/>
    <cellStyle name="백분율 6 3 3 3 4 2 2" xfId="27816"/>
    <cellStyle name="백분율 6 3 3 3 4 2 3" xfId="27817"/>
    <cellStyle name="백분율 6 3 3 3 4 3" xfId="27818"/>
    <cellStyle name="백분율 6 3 3 3 4 4" xfId="27819"/>
    <cellStyle name="백분율 6 3 3 3 5" xfId="27820"/>
    <cellStyle name="백분율 6 3 3 3 5 2" xfId="27821"/>
    <cellStyle name="백분율 6 3 3 3 5 3" xfId="27822"/>
    <cellStyle name="백분율 6 3 3 3 6" xfId="27823"/>
    <cellStyle name="백분율 6 3 3 3 7" xfId="27824"/>
    <cellStyle name="백분율 6 3 3 4" xfId="27825"/>
    <cellStyle name="백분율 6 3 3 4 2" xfId="27826"/>
    <cellStyle name="백분율 6 3 3 4 2 2" xfId="27827"/>
    <cellStyle name="백분율 6 3 3 4 2 2 2" xfId="27828"/>
    <cellStyle name="백분율 6 3 3 4 2 2 3" xfId="27829"/>
    <cellStyle name="백분율 6 3 3 4 2 3" xfId="27830"/>
    <cellStyle name="백분율 6 3 3 4 2 4" xfId="27831"/>
    <cellStyle name="백분율 6 3 3 4 3" xfId="27832"/>
    <cellStyle name="백분율 6 3 3 4 3 2" xfId="27833"/>
    <cellStyle name="백분율 6 3 3 4 3 3" xfId="27834"/>
    <cellStyle name="백분율 6 3 3 4 4" xfId="27835"/>
    <cellStyle name="백분율 6 3 3 4 5" xfId="27836"/>
    <cellStyle name="백분율 6 3 3 5" xfId="27837"/>
    <cellStyle name="백분율 6 3 3 5 2" xfId="27838"/>
    <cellStyle name="백분율 6 3 3 5 2 2" xfId="27839"/>
    <cellStyle name="백분율 6 3 3 5 2 2 2" xfId="27840"/>
    <cellStyle name="백분율 6 3 3 5 2 2 3" xfId="27841"/>
    <cellStyle name="백분율 6 3 3 5 2 3" xfId="27842"/>
    <cellStyle name="백분율 6 3 3 5 2 4" xfId="27843"/>
    <cellStyle name="백분율 6 3 3 5 3" xfId="27844"/>
    <cellStyle name="백분율 6 3 3 5 3 2" xfId="27845"/>
    <cellStyle name="백분율 6 3 3 5 3 3" xfId="27846"/>
    <cellStyle name="백분율 6 3 3 5 4" xfId="27847"/>
    <cellStyle name="백분율 6 3 3 5 5" xfId="27848"/>
    <cellStyle name="백분율 6 3 3 6" xfId="27849"/>
    <cellStyle name="백분율 6 3 3 6 2" xfId="27850"/>
    <cellStyle name="백분율 6 3 3 6 2 2" xfId="27851"/>
    <cellStyle name="백분율 6 3 3 6 2 2 2" xfId="27852"/>
    <cellStyle name="백분율 6 3 3 6 2 2 3" xfId="27853"/>
    <cellStyle name="백분율 6 3 3 6 2 3" xfId="27854"/>
    <cellStyle name="백분율 6 3 3 6 2 4" xfId="27855"/>
    <cellStyle name="백분율 6 3 3 6 3" xfId="27856"/>
    <cellStyle name="백분율 6 3 3 6 3 2" xfId="27857"/>
    <cellStyle name="백분율 6 3 3 6 3 3" xfId="27858"/>
    <cellStyle name="백분율 6 3 3 6 4" xfId="27859"/>
    <cellStyle name="백분율 6 3 3 6 5" xfId="27860"/>
    <cellStyle name="백분율 6 3 3 7" xfId="27861"/>
    <cellStyle name="백분율 6 3 3 7 2" xfId="27862"/>
    <cellStyle name="백분율 6 3 3 7 2 2" xfId="27863"/>
    <cellStyle name="백분율 6 3 3 7 2 3" xfId="27864"/>
    <cellStyle name="백분율 6 3 3 7 3" xfId="27865"/>
    <cellStyle name="백분율 6 3 3 7 4" xfId="27866"/>
    <cellStyle name="백분율 6 3 3 8" xfId="27867"/>
    <cellStyle name="백분율 6 3 3 8 2" xfId="27868"/>
    <cellStyle name="백분율 6 3 3 8 3" xfId="27869"/>
    <cellStyle name="백분율 6 3 3 9" xfId="27870"/>
    <cellStyle name="백분율 6 3 4" xfId="27871"/>
    <cellStyle name="백분율 6 3 4 10" xfId="27872"/>
    <cellStyle name="백분율 6 3 4 2" xfId="27873"/>
    <cellStyle name="백분율 6 3 4 2 2" xfId="27874"/>
    <cellStyle name="백분율 6 3 4 2 2 2" xfId="27875"/>
    <cellStyle name="백분율 6 3 4 2 2 2 2" xfId="27876"/>
    <cellStyle name="백분율 6 3 4 2 2 2 2 2" xfId="27877"/>
    <cellStyle name="백분율 6 3 4 2 2 2 2 3" xfId="27878"/>
    <cellStyle name="백분율 6 3 4 2 2 2 3" xfId="27879"/>
    <cellStyle name="백분율 6 3 4 2 2 2 4" xfId="27880"/>
    <cellStyle name="백분율 6 3 4 2 2 3" xfId="27881"/>
    <cellStyle name="백분율 6 3 4 2 2 3 2" xfId="27882"/>
    <cellStyle name="백분율 6 3 4 2 2 3 3" xfId="27883"/>
    <cellStyle name="백분율 6 3 4 2 2 4" xfId="27884"/>
    <cellStyle name="백분율 6 3 4 2 2 5" xfId="27885"/>
    <cellStyle name="백분율 6 3 4 2 3" xfId="27886"/>
    <cellStyle name="백분율 6 3 4 2 3 2" xfId="27887"/>
    <cellStyle name="백분율 6 3 4 2 3 2 2" xfId="27888"/>
    <cellStyle name="백분율 6 3 4 2 3 2 2 2" xfId="27889"/>
    <cellStyle name="백분율 6 3 4 2 3 2 2 3" xfId="27890"/>
    <cellStyle name="백분율 6 3 4 2 3 2 3" xfId="27891"/>
    <cellStyle name="백분율 6 3 4 2 3 2 4" xfId="27892"/>
    <cellStyle name="백분율 6 3 4 2 3 3" xfId="27893"/>
    <cellStyle name="백분율 6 3 4 2 3 3 2" xfId="27894"/>
    <cellStyle name="백분율 6 3 4 2 3 3 3" xfId="27895"/>
    <cellStyle name="백분율 6 3 4 2 3 4" xfId="27896"/>
    <cellStyle name="백분율 6 3 4 2 3 5" xfId="27897"/>
    <cellStyle name="백분율 6 3 4 2 4" xfId="27898"/>
    <cellStyle name="백분율 6 3 4 2 4 2" xfId="27899"/>
    <cellStyle name="백분율 6 3 4 2 4 2 2" xfId="27900"/>
    <cellStyle name="백분율 6 3 4 2 4 2 3" xfId="27901"/>
    <cellStyle name="백분율 6 3 4 2 4 3" xfId="27902"/>
    <cellStyle name="백분율 6 3 4 2 4 4" xfId="27903"/>
    <cellStyle name="백분율 6 3 4 2 5" xfId="27904"/>
    <cellStyle name="백분율 6 3 4 2 5 2" xfId="27905"/>
    <cellStyle name="백분율 6 3 4 2 5 3" xfId="27906"/>
    <cellStyle name="백분율 6 3 4 2 6" xfId="27907"/>
    <cellStyle name="백분율 6 3 4 2 7" xfId="27908"/>
    <cellStyle name="백분율 6 3 4 3" xfId="27909"/>
    <cellStyle name="백분율 6 3 4 3 2" xfId="27910"/>
    <cellStyle name="백분율 6 3 4 3 2 2" xfId="27911"/>
    <cellStyle name="백분율 6 3 4 3 2 2 2" xfId="27912"/>
    <cellStyle name="백분율 6 3 4 3 2 2 2 2" xfId="27913"/>
    <cellStyle name="백분율 6 3 4 3 2 2 2 3" xfId="27914"/>
    <cellStyle name="백분율 6 3 4 3 2 2 3" xfId="27915"/>
    <cellStyle name="백분율 6 3 4 3 2 2 4" xfId="27916"/>
    <cellStyle name="백분율 6 3 4 3 2 3" xfId="27917"/>
    <cellStyle name="백분율 6 3 4 3 2 3 2" xfId="27918"/>
    <cellStyle name="백분율 6 3 4 3 2 3 3" xfId="27919"/>
    <cellStyle name="백분율 6 3 4 3 2 4" xfId="27920"/>
    <cellStyle name="백분율 6 3 4 3 2 5" xfId="27921"/>
    <cellStyle name="백분율 6 3 4 3 3" xfId="27922"/>
    <cellStyle name="백분율 6 3 4 3 3 2" xfId="27923"/>
    <cellStyle name="백분율 6 3 4 3 3 2 2" xfId="27924"/>
    <cellStyle name="백분율 6 3 4 3 3 2 2 2" xfId="27925"/>
    <cellStyle name="백분율 6 3 4 3 3 2 2 3" xfId="27926"/>
    <cellStyle name="백분율 6 3 4 3 3 2 3" xfId="27927"/>
    <cellStyle name="백분율 6 3 4 3 3 2 4" xfId="27928"/>
    <cellStyle name="백분율 6 3 4 3 3 3" xfId="27929"/>
    <cellStyle name="백분율 6 3 4 3 3 3 2" xfId="27930"/>
    <cellStyle name="백분율 6 3 4 3 3 3 3" xfId="27931"/>
    <cellStyle name="백분율 6 3 4 3 3 4" xfId="27932"/>
    <cellStyle name="백분율 6 3 4 3 3 5" xfId="27933"/>
    <cellStyle name="백분율 6 3 4 3 4" xfId="27934"/>
    <cellStyle name="백분율 6 3 4 3 4 2" xfId="27935"/>
    <cellStyle name="백분율 6 3 4 3 4 2 2" xfId="27936"/>
    <cellStyle name="백분율 6 3 4 3 4 2 3" xfId="27937"/>
    <cellStyle name="백분율 6 3 4 3 4 3" xfId="27938"/>
    <cellStyle name="백분율 6 3 4 3 4 4" xfId="27939"/>
    <cellStyle name="백분율 6 3 4 3 5" xfId="27940"/>
    <cellStyle name="백분율 6 3 4 3 5 2" xfId="27941"/>
    <cellStyle name="백분율 6 3 4 3 5 3" xfId="27942"/>
    <cellStyle name="백분율 6 3 4 3 6" xfId="27943"/>
    <cellStyle name="백분율 6 3 4 3 7" xfId="27944"/>
    <cellStyle name="백분율 6 3 4 4" xfId="27945"/>
    <cellStyle name="백분율 6 3 4 4 2" xfId="27946"/>
    <cellStyle name="백분율 6 3 4 4 2 2" xfId="27947"/>
    <cellStyle name="백분율 6 3 4 4 2 2 2" xfId="27948"/>
    <cellStyle name="백분율 6 3 4 4 2 2 3" xfId="27949"/>
    <cellStyle name="백분율 6 3 4 4 2 3" xfId="27950"/>
    <cellStyle name="백분율 6 3 4 4 2 4" xfId="27951"/>
    <cellStyle name="백분율 6 3 4 4 3" xfId="27952"/>
    <cellStyle name="백분율 6 3 4 4 3 2" xfId="27953"/>
    <cellStyle name="백분율 6 3 4 4 3 3" xfId="27954"/>
    <cellStyle name="백분율 6 3 4 4 4" xfId="27955"/>
    <cellStyle name="백분율 6 3 4 4 5" xfId="27956"/>
    <cellStyle name="백분율 6 3 4 5" xfId="27957"/>
    <cellStyle name="백분율 6 3 4 5 2" xfId="27958"/>
    <cellStyle name="백분율 6 3 4 5 2 2" xfId="27959"/>
    <cellStyle name="백분율 6 3 4 5 2 2 2" xfId="27960"/>
    <cellStyle name="백분율 6 3 4 5 2 2 3" xfId="27961"/>
    <cellStyle name="백분율 6 3 4 5 2 3" xfId="27962"/>
    <cellStyle name="백분율 6 3 4 5 2 4" xfId="27963"/>
    <cellStyle name="백분율 6 3 4 5 3" xfId="27964"/>
    <cellStyle name="백분율 6 3 4 5 3 2" xfId="27965"/>
    <cellStyle name="백분율 6 3 4 5 3 3" xfId="27966"/>
    <cellStyle name="백분율 6 3 4 5 4" xfId="27967"/>
    <cellStyle name="백분율 6 3 4 5 5" xfId="27968"/>
    <cellStyle name="백분율 6 3 4 6" xfId="27969"/>
    <cellStyle name="백분율 6 3 4 6 2" xfId="27970"/>
    <cellStyle name="백분율 6 3 4 6 2 2" xfId="27971"/>
    <cellStyle name="백분율 6 3 4 6 2 2 2" xfId="27972"/>
    <cellStyle name="백분율 6 3 4 6 2 2 3" xfId="27973"/>
    <cellStyle name="백분율 6 3 4 6 2 3" xfId="27974"/>
    <cellStyle name="백분율 6 3 4 6 2 4" xfId="27975"/>
    <cellStyle name="백분율 6 3 4 6 3" xfId="27976"/>
    <cellStyle name="백분율 6 3 4 6 3 2" xfId="27977"/>
    <cellStyle name="백분율 6 3 4 6 3 3" xfId="27978"/>
    <cellStyle name="백분율 6 3 4 6 4" xfId="27979"/>
    <cellStyle name="백분율 6 3 4 6 5" xfId="27980"/>
    <cellStyle name="백분율 6 3 4 7" xfId="27981"/>
    <cellStyle name="백분율 6 3 4 7 2" xfId="27982"/>
    <cellStyle name="백분율 6 3 4 7 2 2" xfId="27983"/>
    <cellStyle name="백분율 6 3 4 7 2 3" xfId="27984"/>
    <cellStyle name="백분율 6 3 4 7 3" xfId="27985"/>
    <cellStyle name="백분율 6 3 4 7 4" xfId="27986"/>
    <cellStyle name="백분율 6 3 4 8" xfId="27987"/>
    <cellStyle name="백분율 6 3 4 8 2" xfId="27988"/>
    <cellStyle name="백분율 6 3 4 8 3" xfId="27989"/>
    <cellStyle name="백분율 6 3 4 9" xfId="27990"/>
    <cellStyle name="백분율 6 3 5" xfId="27991"/>
    <cellStyle name="백분율 6 3 5 10" xfId="27992"/>
    <cellStyle name="백분율 6 3 5 2" xfId="27993"/>
    <cellStyle name="백분율 6 3 5 2 2" xfId="27994"/>
    <cellStyle name="백분율 6 3 5 2 2 2" xfId="27995"/>
    <cellStyle name="백분율 6 3 5 2 2 2 2" xfId="27996"/>
    <cellStyle name="백분율 6 3 5 2 2 2 2 2" xfId="27997"/>
    <cellStyle name="백분율 6 3 5 2 2 2 2 3" xfId="27998"/>
    <cellStyle name="백분율 6 3 5 2 2 2 3" xfId="27999"/>
    <cellStyle name="백분율 6 3 5 2 2 2 4" xfId="28000"/>
    <cellStyle name="백분율 6 3 5 2 2 3" xfId="28001"/>
    <cellStyle name="백분율 6 3 5 2 2 3 2" xfId="28002"/>
    <cellStyle name="백분율 6 3 5 2 2 3 3" xfId="28003"/>
    <cellStyle name="백분율 6 3 5 2 2 4" xfId="28004"/>
    <cellStyle name="백분율 6 3 5 2 2 5" xfId="28005"/>
    <cellStyle name="백분율 6 3 5 2 3" xfId="28006"/>
    <cellStyle name="백분율 6 3 5 2 3 2" xfId="28007"/>
    <cellStyle name="백분율 6 3 5 2 3 2 2" xfId="28008"/>
    <cellStyle name="백분율 6 3 5 2 3 2 2 2" xfId="28009"/>
    <cellStyle name="백분율 6 3 5 2 3 2 2 3" xfId="28010"/>
    <cellStyle name="백분율 6 3 5 2 3 2 3" xfId="28011"/>
    <cellStyle name="백분율 6 3 5 2 3 2 4" xfId="28012"/>
    <cellStyle name="백분율 6 3 5 2 3 3" xfId="28013"/>
    <cellStyle name="백분율 6 3 5 2 3 3 2" xfId="28014"/>
    <cellStyle name="백분율 6 3 5 2 3 3 3" xfId="28015"/>
    <cellStyle name="백분율 6 3 5 2 3 4" xfId="28016"/>
    <cellStyle name="백분율 6 3 5 2 3 5" xfId="28017"/>
    <cellStyle name="백분율 6 3 5 2 4" xfId="28018"/>
    <cellStyle name="백분율 6 3 5 2 4 2" xfId="28019"/>
    <cellStyle name="백분율 6 3 5 2 4 2 2" xfId="28020"/>
    <cellStyle name="백분율 6 3 5 2 4 2 3" xfId="28021"/>
    <cellStyle name="백분율 6 3 5 2 4 3" xfId="28022"/>
    <cellStyle name="백분율 6 3 5 2 4 4" xfId="28023"/>
    <cellStyle name="백분율 6 3 5 2 5" xfId="28024"/>
    <cellStyle name="백분율 6 3 5 2 5 2" xfId="28025"/>
    <cellStyle name="백분율 6 3 5 2 5 3" xfId="28026"/>
    <cellStyle name="백분율 6 3 5 2 6" xfId="28027"/>
    <cellStyle name="백분율 6 3 5 2 7" xfId="28028"/>
    <cellStyle name="백분율 6 3 5 3" xfId="28029"/>
    <cellStyle name="백분율 6 3 5 3 2" xfId="28030"/>
    <cellStyle name="백분율 6 3 5 3 2 2" xfId="28031"/>
    <cellStyle name="백분율 6 3 5 3 2 2 2" xfId="28032"/>
    <cellStyle name="백분율 6 3 5 3 2 2 2 2" xfId="28033"/>
    <cellStyle name="백분율 6 3 5 3 2 2 2 3" xfId="28034"/>
    <cellStyle name="백분율 6 3 5 3 2 2 3" xfId="28035"/>
    <cellStyle name="백분율 6 3 5 3 2 2 4" xfId="28036"/>
    <cellStyle name="백분율 6 3 5 3 2 3" xfId="28037"/>
    <cellStyle name="백분율 6 3 5 3 2 3 2" xfId="28038"/>
    <cellStyle name="백분율 6 3 5 3 2 3 3" xfId="28039"/>
    <cellStyle name="백분율 6 3 5 3 2 4" xfId="28040"/>
    <cellStyle name="백분율 6 3 5 3 2 5" xfId="28041"/>
    <cellStyle name="백분율 6 3 5 3 3" xfId="28042"/>
    <cellStyle name="백분율 6 3 5 3 3 2" xfId="28043"/>
    <cellStyle name="백분율 6 3 5 3 3 2 2" xfId="28044"/>
    <cellStyle name="백분율 6 3 5 3 3 2 2 2" xfId="28045"/>
    <cellStyle name="백분율 6 3 5 3 3 2 2 3" xfId="28046"/>
    <cellStyle name="백분율 6 3 5 3 3 2 3" xfId="28047"/>
    <cellStyle name="백분율 6 3 5 3 3 2 4" xfId="28048"/>
    <cellStyle name="백분율 6 3 5 3 3 3" xfId="28049"/>
    <cellStyle name="백분율 6 3 5 3 3 3 2" xfId="28050"/>
    <cellStyle name="백분율 6 3 5 3 3 3 3" xfId="28051"/>
    <cellStyle name="백분율 6 3 5 3 3 4" xfId="28052"/>
    <cellStyle name="백분율 6 3 5 3 3 5" xfId="28053"/>
    <cellStyle name="백분율 6 3 5 3 4" xfId="28054"/>
    <cellStyle name="백분율 6 3 5 3 4 2" xfId="28055"/>
    <cellStyle name="백분율 6 3 5 3 4 2 2" xfId="28056"/>
    <cellStyle name="백분율 6 3 5 3 4 2 3" xfId="28057"/>
    <cellStyle name="백분율 6 3 5 3 4 3" xfId="28058"/>
    <cellStyle name="백분율 6 3 5 3 4 4" xfId="28059"/>
    <cellStyle name="백분율 6 3 5 3 5" xfId="28060"/>
    <cellStyle name="백분율 6 3 5 3 5 2" xfId="28061"/>
    <cellStyle name="백분율 6 3 5 3 5 3" xfId="28062"/>
    <cellStyle name="백분율 6 3 5 3 6" xfId="28063"/>
    <cellStyle name="백분율 6 3 5 3 7" xfId="28064"/>
    <cellStyle name="백분율 6 3 5 4" xfId="28065"/>
    <cellStyle name="백분율 6 3 5 4 2" xfId="28066"/>
    <cellStyle name="백분율 6 3 5 4 2 2" xfId="28067"/>
    <cellStyle name="백분율 6 3 5 4 2 2 2" xfId="28068"/>
    <cellStyle name="백분율 6 3 5 4 2 2 3" xfId="28069"/>
    <cellStyle name="백분율 6 3 5 4 2 3" xfId="28070"/>
    <cellStyle name="백분율 6 3 5 4 2 4" xfId="28071"/>
    <cellStyle name="백분율 6 3 5 4 3" xfId="28072"/>
    <cellStyle name="백분율 6 3 5 4 3 2" xfId="28073"/>
    <cellStyle name="백분율 6 3 5 4 3 3" xfId="28074"/>
    <cellStyle name="백분율 6 3 5 4 4" xfId="28075"/>
    <cellStyle name="백분율 6 3 5 4 5" xfId="28076"/>
    <cellStyle name="백분율 6 3 5 5" xfId="28077"/>
    <cellStyle name="백분율 6 3 5 5 2" xfId="28078"/>
    <cellStyle name="백분율 6 3 5 5 2 2" xfId="28079"/>
    <cellStyle name="백분율 6 3 5 5 2 2 2" xfId="28080"/>
    <cellStyle name="백분율 6 3 5 5 2 2 3" xfId="28081"/>
    <cellStyle name="백분율 6 3 5 5 2 3" xfId="28082"/>
    <cellStyle name="백분율 6 3 5 5 2 4" xfId="28083"/>
    <cellStyle name="백분율 6 3 5 5 3" xfId="28084"/>
    <cellStyle name="백분율 6 3 5 5 3 2" xfId="28085"/>
    <cellStyle name="백분율 6 3 5 5 3 3" xfId="28086"/>
    <cellStyle name="백분율 6 3 5 5 4" xfId="28087"/>
    <cellStyle name="백분율 6 3 5 5 5" xfId="28088"/>
    <cellStyle name="백분율 6 3 5 6" xfId="28089"/>
    <cellStyle name="백분율 6 3 5 6 2" xfId="28090"/>
    <cellStyle name="백분율 6 3 5 6 2 2" xfId="28091"/>
    <cellStyle name="백분율 6 3 5 6 2 2 2" xfId="28092"/>
    <cellStyle name="백분율 6 3 5 6 2 2 3" xfId="28093"/>
    <cellStyle name="백분율 6 3 5 6 2 3" xfId="28094"/>
    <cellStyle name="백분율 6 3 5 6 2 4" xfId="28095"/>
    <cellStyle name="백분율 6 3 5 6 3" xfId="28096"/>
    <cellStyle name="백분율 6 3 5 6 3 2" xfId="28097"/>
    <cellStyle name="백분율 6 3 5 6 3 3" xfId="28098"/>
    <cellStyle name="백분율 6 3 5 6 4" xfId="28099"/>
    <cellStyle name="백분율 6 3 5 6 5" xfId="28100"/>
    <cellStyle name="백분율 6 3 5 7" xfId="28101"/>
    <cellStyle name="백분율 6 3 5 7 2" xfId="28102"/>
    <cellStyle name="백분율 6 3 5 7 2 2" xfId="28103"/>
    <cellStyle name="백분율 6 3 5 7 2 3" xfId="28104"/>
    <cellStyle name="백분율 6 3 5 7 3" xfId="28105"/>
    <cellStyle name="백분율 6 3 5 7 4" xfId="28106"/>
    <cellStyle name="백분율 6 3 5 8" xfId="28107"/>
    <cellStyle name="백분율 6 3 5 8 2" xfId="28108"/>
    <cellStyle name="백분율 6 3 5 8 3" xfId="28109"/>
    <cellStyle name="백분율 6 3 5 9" xfId="28110"/>
    <cellStyle name="백분율 6 3 6" xfId="28111"/>
    <cellStyle name="백분율 6 3 6 2" xfId="28112"/>
    <cellStyle name="백분율 6 3 6 2 2" xfId="28113"/>
    <cellStyle name="백분율 6 3 6 2 2 2" xfId="28114"/>
    <cellStyle name="백분율 6 3 6 2 2 2 2" xfId="28115"/>
    <cellStyle name="백분율 6 3 6 2 2 2 3" xfId="28116"/>
    <cellStyle name="백분율 6 3 6 2 2 3" xfId="28117"/>
    <cellStyle name="백분율 6 3 6 2 2 4" xfId="28118"/>
    <cellStyle name="백분율 6 3 6 2 3" xfId="28119"/>
    <cellStyle name="백분율 6 3 6 2 3 2" xfId="28120"/>
    <cellStyle name="백분율 6 3 6 2 3 3" xfId="28121"/>
    <cellStyle name="백분율 6 3 6 2 4" xfId="28122"/>
    <cellStyle name="백분율 6 3 6 2 5" xfId="28123"/>
    <cellStyle name="백분율 6 3 6 3" xfId="28124"/>
    <cellStyle name="백분율 6 3 6 3 2" xfId="28125"/>
    <cellStyle name="백분율 6 3 6 3 2 2" xfId="28126"/>
    <cellStyle name="백분율 6 3 6 3 2 2 2" xfId="28127"/>
    <cellStyle name="백분율 6 3 6 3 2 2 3" xfId="28128"/>
    <cellStyle name="백분율 6 3 6 3 2 3" xfId="28129"/>
    <cellStyle name="백분율 6 3 6 3 2 4" xfId="28130"/>
    <cellStyle name="백분율 6 3 6 3 3" xfId="28131"/>
    <cellStyle name="백분율 6 3 6 3 3 2" xfId="28132"/>
    <cellStyle name="백분율 6 3 6 3 3 3" xfId="28133"/>
    <cellStyle name="백분율 6 3 6 3 4" xfId="28134"/>
    <cellStyle name="백분율 6 3 6 3 5" xfId="28135"/>
    <cellStyle name="백분율 6 3 6 4" xfId="28136"/>
    <cellStyle name="백분율 6 3 6 4 2" xfId="28137"/>
    <cellStyle name="백분율 6 3 6 4 2 2" xfId="28138"/>
    <cellStyle name="백분율 6 3 6 4 2 3" xfId="28139"/>
    <cellStyle name="백분율 6 3 6 4 3" xfId="28140"/>
    <cellStyle name="백분율 6 3 6 4 4" xfId="28141"/>
    <cellStyle name="백분율 6 3 6 5" xfId="28142"/>
    <cellStyle name="백분율 6 3 6 5 2" xfId="28143"/>
    <cellStyle name="백분율 6 3 6 5 3" xfId="28144"/>
    <cellStyle name="백분율 6 3 6 6" xfId="28145"/>
    <cellStyle name="백분율 6 3 6 7" xfId="28146"/>
    <cellStyle name="백분율 6 3 7" xfId="28147"/>
    <cellStyle name="백분율 6 3 7 2" xfId="28148"/>
    <cellStyle name="백분율 6 3 7 2 2" xfId="28149"/>
    <cellStyle name="백분율 6 3 7 2 2 2" xfId="28150"/>
    <cellStyle name="백분율 6 3 7 2 2 2 2" xfId="28151"/>
    <cellStyle name="백분율 6 3 7 2 2 2 3" xfId="28152"/>
    <cellStyle name="백분율 6 3 7 2 2 3" xfId="28153"/>
    <cellStyle name="백분율 6 3 7 2 2 4" xfId="28154"/>
    <cellStyle name="백분율 6 3 7 2 3" xfId="28155"/>
    <cellStyle name="백분율 6 3 7 2 3 2" xfId="28156"/>
    <cellStyle name="백분율 6 3 7 2 3 3" xfId="28157"/>
    <cellStyle name="백분율 6 3 7 2 4" xfId="28158"/>
    <cellStyle name="백분율 6 3 7 2 5" xfId="28159"/>
    <cellStyle name="백분율 6 3 7 3" xfId="28160"/>
    <cellStyle name="백분율 6 3 7 3 2" xfId="28161"/>
    <cellStyle name="백분율 6 3 7 3 2 2" xfId="28162"/>
    <cellStyle name="백분율 6 3 7 3 2 2 2" xfId="28163"/>
    <cellStyle name="백분율 6 3 7 3 2 2 3" xfId="28164"/>
    <cellStyle name="백분율 6 3 7 3 2 3" xfId="28165"/>
    <cellStyle name="백분율 6 3 7 3 2 4" xfId="28166"/>
    <cellStyle name="백분율 6 3 7 3 3" xfId="28167"/>
    <cellStyle name="백분율 6 3 7 3 3 2" xfId="28168"/>
    <cellStyle name="백분율 6 3 7 3 3 3" xfId="28169"/>
    <cellStyle name="백분율 6 3 7 3 4" xfId="28170"/>
    <cellStyle name="백분율 6 3 7 3 5" xfId="28171"/>
    <cellStyle name="백분율 6 3 7 4" xfId="28172"/>
    <cellStyle name="백분율 6 3 7 4 2" xfId="28173"/>
    <cellStyle name="백분율 6 3 7 4 2 2" xfId="28174"/>
    <cellStyle name="백분율 6 3 7 4 2 3" xfId="28175"/>
    <cellStyle name="백분율 6 3 7 4 3" xfId="28176"/>
    <cellStyle name="백분율 6 3 7 4 4" xfId="28177"/>
    <cellStyle name="백분율 6 3 7 5" xfId="28178"/>
    <cellStyle name="백분율 6 3 7 5 2" xfId="28179"/>
    <cellStyle name="백분율 6 3 7 5 3" xfId="28180"/>
    <cellStyle name="백분율 6 3 7 6" xfId="28181"/>
    <cellStyle name="백분율 6 3 7 7" xfId="28182"/>
    <cellStyle name="백분율 6 3 8" xfId="28183"/>
    <cellStyle name="백분율 6 3 8 2" xfId="28184"/>
    <cellStyle name="백분율 6 3 8 2 2" xfId="28185"/>
    <cellStyle name="백분율 6 3 8 2 2 2" xfId="28186"/>
    <cellStyle name="백분율 6 3 8 2 2 3" xfId="28187"/>
    <cellStyle name="백분율 6 3 8 2 3" xfId="28188"/>
    <cellStyle name="백분율 6 3 8 2 4" xfId="28189"/>
    <cellStyle name="백분율 6 3 8 3" xfId="28190"/>
    <cellStyle name="백분율 6 3 8 3 2" xfId="28191"/>
    <cellStyle name="백분율 6 3 8 3 3" xfId="28192"/>
    <cellStyle name="백분율 6 3 8 4" xfId="28193"/>
    <cellStyle name="백분율 6 3 8 5" xfId="28194"/>
    <cellStyle name="백분율 6 3 9" xfId="28195"/>
    <cellStyle name="백분율 6 3 9 2" xfId="28196"/>
    <cellStyle name="백분율 6 3 9 2 2" xfId="28197"/>
    <cellStyle name="백분율 6 3 9 2 2 2" xfId="28198"/>
    <cellStyle name="백분율 6 3 9 2 2 3" xfId="28199"/>
    <cellStyle name="백분율 6 3 9 2 3" xfId="28200"/>
    <cellStyle name="백분율 6 3 9 2 4" xfId="28201"/>
    <cellStyle name="백분율 6 3 9 3" xfId="28202"/>
    <cellStyle name="백분율 6 3 9 3 2" xfId="28203"/>
    <cellStyle name="백분율 6 3 9 3 3" xfId="28204"/>
    <cellStyle name="백분율 6 3 9 4" xfId="28205"/>
    <cellStyle name="백분율 6 3 9 5" xfId="28206"/>
    <cellStyle name="백분율 6 4" xfId="28207"/>
    <cellStyle name="백분율 6 4 10" xfId="28208"/>
    <cellStyle name="백분율 6 4 10 2" xfId="28209"/>
    <cellStyle name="백분율 6 4 10 2 2" xfId="28210"/>
    <cellStyle name="백분율 6 4 10 2 2 2" xfId="28211"/>
    <cellStyle name="백분율 6 4 10 2 2 3" xfId="28212"/>
    <cellStyle name="백분율 6 4 10 2 3" xfId="28213"/>
    <cellStyle name="백분율 6 4 10 2 4" xfId="28214"/>
    <cellStyle name="백분율 6 4 10 3" xfId="28215"/>
    <cellStyle name="백분율 6 4 10 3 2" xfId="28216"/>
    <cellStyle name="백분율 6 4 10 3 3" xfId="28217"/>
    <cellStyle name="백분율 6 4 10 4" xfId="28218"/>
    <cellStyle name="백분율 6 4 10 5" xfId="28219"/>
    <cellStyle name="백분율 6 4 11" xfId="28220"/>
    <cellStyle name="백분율 6 4 11 2" xfId="28221"/>
    <cellStyle name="백분율 6 4 11 2 2" xfId="28222"/>
    <cellStyle name="백분율 6 4 11 2 3" xfId="28223"/>
    <cellStyle name="백분율 6 4 11 3" xfId="28224"/>
    <cellStyle name="백분율 6 4 11 4" xfId="28225"/>
    <cellStyle name="백분율 6 4 12" xfId="28226"/>
    <cellStyle name="백분율 6 4 12 2" xfId="28227"/>
    <cellStyle name="백분율 6 4 12 3" xfId="28228"/>
    <cellStyle name="백분율 6 4 13" xfId="28229"/>
    <cellStyle name="백분율 6 4 14" xfId="28230"/>
    <cellStyle name="백분율 6 4 2" xfId="28231"/>
    <cellStyle name="백분율 6 4 2 10" xfId="28232"/>
    <cellStyle name="백분율 6 4 2 10 2" xfId="28233"/>
    <cellStyle name="백분율 6 4 2 10 2 2" xfId="28234"/>
    <cellStyle name="백분율 6 4 2 10 2 3" xfId="28235"/>
    <cellStyle name="백분율 6 4 2 10 3" xfId="28236"/>
    <cellStyle name="백분율 6 4 2 10 4" xfId="28237"/>
    <cellStyle name="백분율 6 4 2 11" xfId="28238"/>
    <cellStyle name="백분율 6 4 2 11 2" xfId="28239"/>
    <cellStyle name="백분율 6 4 2 11 3" xfId="28240"/>
    <cellStyle name="백분율 6 4 2 12" xfId="28241"/>
    <cellStyle name="백분율 6 4 2 13" xfId="28242"/>
    <cellStyle name="백분율 6 4 2 2" xfId="28243"/>
    <cellStyle name="백분율 6 4 2 2 10" xfId="28244"/>
    <cellStyle name="백분율 6 4 2 2 2" xfId="28245"/>
    <cellStyle name="백분율 6 4 2 2 2 2" xfId="28246"/>
    <cellStyle name="백분율 6 4 2 2 2 2 2" xfId="28247"/>
    <cellStyle name="백분율 6 4 2 2 2 2 2 2" xfId="28248"/>
    <cellStyle name="백분율 6 4 2 2 2 2 2 2 2" xfId="28249"/>
    <cellStyle name="백분율 6 4 2 2 2 2 2 2 3" xfId="28250"/>
    <cellStyle name="백분율 6 4 2 2 2 2 2 3" xfId="28251"/>
    <cellStyle name="백분율 6 4 2 2 2 2 2 4" xfId="28252"/>
    <cellStyle name="백분율 6 4 2 2 2 2 3" xfId="28253"/>
    <cellStyle name="백분율 6 4 2 2 2 2 3 2" xfId="28254"/>
    <cellStyle name="백분율 6 4 2 2 2 2 3 3" xfId="28255"/>
    <cellStyle name="백분율 6 4 2 2 2 2 4" xfId="28256"/>
    <cellStyle name="백분율 6 4 2 2 2 2 5" xfId="28257"/>
    <cellStyle name="백분율 6 4 2 2 2 3" xfId="28258"/>
    <cellStyle name="백분율 6 4 2 2 2 3 2" xfId="28259"/>
    <cellStyle name="백분율 6 4 2 2 2 3 2 2" xfId="28260"/>
    <cellStyle name="백분율 6 4 2 2 2 3 2 2 2" xfId="28261"/>
    <cellStyle name="백분율 6 4 2 2 2 3 2 2 3" xfId="28262"/>
    <cellStyle name="백분율 6 4 2 2 2 3 2 3" xfId="28263"/>
    <cellStyle name="백분율 6 4 2 2 2 3 2 4" xfId="28264"/>
    <cellStyle name="백분율 6 4 2 2 2 3 3" xfId="28265"/>
    <cellStyle name="백분율 6 4 2 2 2 3 3 2" xfId="28266"/>
    <cellStyle name="백분율 6 4 2 2 2 3 3 3" xfId="28267"/>
    <cellStyle name="백분율 6 4 2 2 2 3 4" xfId="28268"/>
    <cellStyle name="백분율 6 4 2 2 2 3 5" xfId="28269"/>
    <cellStyle name="백분율 6 4 2 2 2 4" xfId="28270"/>
    <cellStyle name="백분율 6 4 2 2 2 4 2" xfId="28271"/>
    <cellStyle name="백분율 6 4 2 2 2 4 2 2" xfId="28272"/>
    <cellStyle name="백분율 6 4 2 2 2 4 2 3" xfId="28273"/>
    <cellStyle name="백분율 6 4 2 2 2 4 3" xfId="28274"/>
    <cellStyle name="백분율 6 4 2 2 2 4 4" xfId="28275"/>
    <cellStyle name="백분율 6 4 2 2 2 5" xfId="28276"/>
    <cellStyle name="백분율 6 4 2 2 2 5 2" xfId="28277"/>
    <cellStyle name="백분율 6 4 2 2 2 5 3" xfId="28278"/>
    <cellStyle name="백분율 6 4 2 2 2 6" xfId="28279"/>
    <cellStyle name="백분율 6 4 2 2 2 7" xfId="28280"/>
    <cellStyle name="백분율 6 4 2 2 3" xfId="28281"/>
    <cellStyle name="백분율 6 4 2 2 3 2" xfId="28282"/>
    <cellStyle name="백분율 6 4 2 2 3 2 2" xfId="28283"/>
    <cellStyle name="백분율 6 4 2 2 3 2 2 2" xfId="28284"/>
    <cellStyle name="백분율 6 4 2 2 3 2 2 2 2" xfId="28285"/>
    <cellStyle name="백분율 6 4 2 2 3 2 2 2 3" xfId="28286"/>
    <cellStyle name="백분율 6 4 2 2 3 2 2 3" xfId="28287"/>
    <cellStyle name="백분율 6 4 2 2 3 2 2 4" xfId="28288"/>
    <cellStyle name="백분율 6 4 2 2 3 2 3" xfId="28289"/>
    <cellStyle name="백분율 6 4 2 2 3 2 3 2" xfId="28290"/>
    <cellStyle name="백분율 6 4 2 2 3 2 3 3" xfId="28291"/>
    <cellStyle name="백분율 6 4 2 2 3 2 4" xfId="28292"/>
    <cellStyle name="백분율 6 4 2 2 3 2 5" xfId="28293"/>
    <cellStyle name="백분율 6 4 2 2 3 3" xfId="28294"/>
    <cellStyle name="백분율 6 4 2 2 3 3 2" xfId="28295"/>
    <cellStyle name="백분율 6 4 2 2 3 3 2 2" xfId="28296"/>
    <cellStyle name="백분율 6 4 2 2 3 3 2 2 2" xfId="28297"/>
    <cellStyle name="백분율 6 4 2 2 3 3 2 2 3" xfId="28298"/>
    <cellStyle name="백분율 6 4 2 2 3 3 2 3" xfId="28299"/>
    <cellStyle name="백분율 6 4 2 2 3 3 2 4" xfId="28300"/>
    <cellStyle name="백분율 6 4 2 2 3 3 3" xfId="28301"/>
    <cellStyle name="백분율 6 4 2 2 3 3 3 2" xfId="28302"/>
    <cellStyle name="백분율 6 4 2 2 3 3 3 3" xfId="28303"/>
    <cellStyle name="백분율 6 4 2 2 3 3 4" xfId="28304"/>
    <cellStyle name="백분율 6 4 2 2 3 3 5" xfId="28305"/>
    <cellStyle name="백분율 6 4 2 2 3 4" xfId="28306"/>
    <cellStyle name="백분율 6 4 2 2 3 4 2" xfId="28307"/>
    <cellStyle name="백분율 6 4 2 2 3 4 2 2" xfId="28308"/>
    <cellStyle name="백분율 6 4 2 2 3 4 2 3" xfId="28309"/>
    <cellStyle name="백분율 6 4 2 2 3 4 3" xfId="28310"/>
    <cellStyle name="백분율 6 4 2 2 3 4 4" xfId="28311"/>
    <cellStyle name="백분율 6 4 2 2 3 5" xfId="28312"/>
    <cellStyle name="백분율 6 4 2 2 3 5 2" xfId="28313"/>
    <cellStyle name="백분율 6 4 2 2 3 5 3" xfId="28314"/>
    <cellStyle name="백분율 6 4 2 2 3 6" xfId="28315"/>
    <cellStyle name="백분율 6 4 2 2 3 7" xfId="28316"/>
    <cellStyle name="백분율 6 4 2 2 4" xfId="28317"/>
    <cellStyle name="백분율 6 4 2 2 4 2" xfId="28318"/>
    <cellStyle name="백분율 6 4 2 2 4 2 2" xfId="28319"/>
    <cellStyle name="백분율 6 4 2 2 4 2 2 2" xfId="28320"/>
    <cellStyle name="백분율 6 4 2 2 4 2 2 3" xfId="28321"/>
    <cellStyle name="백분율 6 4 2 2 4 2 3" xfId="28322"/>
    <cellStyle name="백분율 6 4 2 2 4 2 4" xfId="28323"/>
    <cellStyle name="백분율 6 4 2 2 4 3" xfId="28324"/>
    <cellStyle name="백분율 6 4 2 2 4 3 2" xfId="28325"/>
    <cellStyle name="백분율 6 4 2 2 4 3 3" xfId="28326"/>
    <cellStyle name="백분율 6 4 2 2 4 4" xfId="28327"/>
    <cellStyle name="백분율 6 4 2 2 4 5" xfId="28328"/>
    <cellStyle name="백분율 6 4 2 2 5" xfId="28329"/>
    <cellStyle name="백분율 6 4 2 2 5 2" xfId="28330"/>
    <cellStyle name="백분율 6 4 2 2 5 2 2" xfId="28331"/>
    <cellStyle name="백분율 6 4 2 2 5 2 2 2" xfId="28332"/>
    <cellStyle name="백분율 6 4 2 2 5 2 2 3" xfId="28333"/>
    <cellStyle name="백분율 6 4 2 2 5 2 3" xfId="28334"/>
    <cellStyle name="백분율 6 4 2 2 5 2 4" xfId="28335"/>
    <cellStyle name="백분율 6 4 2 2 5 3" xfId="28336"/>
    <cellStyle name="백분율 6 4 2 2 5 3 2" xfId="28337"/>
    <cellStyle name="백분율 6 4 2 2 5 3 3" xfId="28338"/>
    <cellStyle name="백분율 6 4 2 2 5 4" xfId="28339"/>
    <cellStyle name="백분율 6 4 2 2 5 5" xfId="28340"/>
    <cellStyle name="백분율 6 4 2 2 6" xfId="28341"/>
    <cellStyle name="백분율 6 4 2 2 6 2" xfId="28342"/>
    <cellStyle name="백분율 6 4 2 2 6 2 2" xfId="28343"/>
    <cellStyle name="백분율 6 4 2 2 6 2 2 2" xfId="28344"/>
    <cellStyle name="백분율 6 4 2 2 6 2 2 3" xfId="28345"/>
    <cellStyle name="백분율 6 4 2 2 6 2 3" xfId="28346"/>
    <cellStyle name="백분율 6 4 2 2 6 2 4" xfId="28347"/>
    <cellStyle name="백분율 6 4 2 2 6 3" xfId="28348"/>
    <cellStyle name="백분율 6 4 2 2 6 3 2" xfId="28349"/>
    <cellStyle name="백분율 6 4 2 2 6 3 3" xfId="28350"/>
    <cellStyle name="백분율 6 4 2 2 6 4" xfId="28351"/>
    <cellStyle name="백분율 6 4 2 2 6 5" xfId="28352"/>
    <cellStyle name="백분율 6 4 2 2 7" xfId="28353"/>
    <cellStyle name="백분율 6 4 2 2 7 2" xfId="28354"/>
    <cellStyle name="백분율 6 4 2 2 7 2 2" xfId="28355"/>
    <cellStyle name="백분율 6 4 2 2 7 2 3" xfId="28356"/>
    <cellStyle name="백분율 6 4 2 2 7 3" xfId="28357"/>
    <cellStyle name="백분율 6 4 2 2 7 4" xfId="28358"/>
    <cellStyle name="백분율 6 4 2 2 8" xfId="28359"/>
    <cellStyle name="백분율 6 4 2 2 8 2" xfId="28360"/>
    <cellStyle name="백분율 6 4 2 2 8 3" xfId="28361"/>
    <cellStyle name="백분율 6 4 2 2 9" xfId="28362"/>
    <cellStyle name="백분율 6 4 2 3" xfId="28363"/>
    <cellStyle name="백분율 6 4 2 3 10" xfId="28364"/>
    <cellStyle name="백분율 6 4 2 3 2" xfId="28365"/>
    <cellStyle name="백분율 6 4 2 3 2 2" xfId="28366"/>
    <cellStyle name="백분율 6 4 2 3 2 2 2" xfId="28367"/>
    <cellStyle name="백분율 6 4 2 3 2 2 2 2" xfId="28368"/>
    <cellStyle name="백분율 6 4 2 3 2 2 2 2 2" xfId="28369"/>
    <cellStyle name="백분율 6 4 2 3 2 2 2 2 3" xfId="28370"/>
    <cellStyle name="백분율 6 4 2 3 2 2 2 3" xfId="28371"/>
    <cellStyle name="백분율 6 4 2 3 2 2 2 4" xfId="28372"/>
    <cellStyle name="백분율 6 4 2 3 2 2 3" xfId="28373"/>
    <cellStyle name="백분율 6 4 2 3 2 2 3 2" xfId="28374"/>
    <cellStyle name="백분율 6 4 2 3 2 2 3 3" xfId="28375"/>
    <cellStyle name="백분율 6 4 2 3 2 2 4" xfId="28376"/>
    <cellStyle name="백분율 6 4 2 3 2 2 5" xfId="28377"/>
    <cellStyle name="백분율 6 4 2 3 2 3" xfId="28378"/>
    <cellStyle name="백분율 6 4 2 3 2 3 2" xfId="28379"/>
    <cellStyle name="백분율 6 4 2 3 2 3 2 2" xfId="28380"/>
    <cellStyle name="백분율 6 4 2 3 2 3 2 2 2" xfId="28381"/>
    <cellStyle name="백분율 6 4 2 3 2 3 2 2 3" xfId="28382"/>
    <cellStyle name="백분율 6 4 2 3 2 3 2 3" xfId="28383"/>
    <cellStyle name="백분율 6 4 2 3 2 3 2 4" xfId="28384"/>
    <cellStyle name="백분율 6 4 2 3 2 3 3" xfId="28385"/>
    <cellStyle name="백분율 6 4 2 3 2 3 3 2" xfId="28386"/>
    <cellStyle name="백분율 6 4 2 3 2 3 3 3" xfId="28387"/>
    <cellStyle name="백분율 6 4 2 3 2 3 4" xfId="28388"/>
    <cellStyle name="백분율 6 4 2 3 2 3 5" xfId="28389"/>
    <cellStyle name="백분율 6 4 2 3 2 4" xfId="28390"/>
    <cellStyle name="백분율 6 4 2 3 2 4 2" xfId="28391"/>
    <cellStyle name="백분율 6 4 2 3 2 4 2 2" xfId="28392"/>
    <cellStyle name="백분율 6 4 2 3 2 4 2 3" xfId="28393"/>
    <cellStyle name="백분율 6 4 2 3 2 4 3" xfId="28394"/>
    <cellStyle name="백분율 6 4 2 3 2 4 4" xfId="28395"/>
    <cellStyle name="백분율 6 4 2 3 2 5" xfId="28396"/>
    <cellStyle name="백분율 6 4 2 3 2 5 2" xfId="28397"/>
    <cellStyle name="백분율 6 4 2 3 2 5 3" xfId="28398"/>
    <cellStyle name="백분율 6 4 2 3 2 6" xfId="28399"/>
    <cellStyle name="백분율 6 4 2 3 2 7" xfId="28400"/>
    <cellStyle name="백분율 6 4 2 3 3" xfId="28401"/>
    <cellStyle name="백분율 6 4 2 3 3 2" xfId="28402"/>
    <cellStyle name="백분율 6 4 2 3 3 2 2" xfId="28403"/>
    <cellStyle name="백분율 6 4 2 3 3 2 2 2" xfId="28404"/>
    <cellStyle name="백분율 6 4 2 3 3 2 2 2 2" xfId="28405"/>
    <cellStyle name="백분율 6 4 2 3 3 2 2 2 3" xfId="28406"/>
    <cellStyle name="백분율 6 4 2 3 3 2 2 3" xfId="28407"/>
    <cellStyle name="백분율 6 4 2 3 3 2 2 4" xfId="28408"/>
    <cellStyle name="백분율 6 4 2 3 3 2 3" xfId="28409"/>
    <cellStyle name="백분율 6 4 2 3 3 2 3 2" xfId="28410"/>
    <cellStyle name="백분율 6 4 2 3 3 2 3 3" xfId="28411"/>
    <cellStyle name="백분율 6 4 2 3 3 2 4" xfId="28412"/>
    <cellStyle name="백분율 6 4 2 3 3 2 5" xfId="28413"/>
    <cellStyle name="백분율 6 4 2 3 3 3" xfId="28414"/>
    <cellStyle name="백분율 6 4 2 3 3 3 2" xfId="28415"/>
    <cellStyle name="백분율 6 4 2 3 3 3 2 2" xfId="28416"/>
    <cellStyle name="백분율 6 4 2 3 3 3 2 2 2" xfId="28417"/>
    <cellStyle name="백분율 6 4 2 3 3 3 2 2 3" xfId="28418"/>
    <cellStyle name="백분율 6 4 2 3 3 3 2 3" xfId="28419"/>
    <cellStyle name="백분율 6 4 2 3 3 3 2 4" xfId="28420"/>
    <cellStyle name="백분율 6 4 2 3 3 3 3" xfId="28421"/>
    <cellStyle name="백분율 6 4 2 3 3 3 3 2" xfId="28422"/>
    <cellStyle name="백분율 6 4 2 3 3 3 3 3" xfId="28423"/>
    <cellStyle name="백분율 6 4 2 3 3 3 4" xfId="28424"/>
    <cellStyle name="백분율 6 4 2 3 3 3 5" xfId="28425"/>
    <cellStyle name="백분율 6 4 2 3 3 4" xfId="28426"/>
    <cellStyle name="백분율 6 4 2 3 3 4 2" xfId="28427"/>
    <cellStyle name="백분율 6 4 2 3 3 4 2 2" xfId="28428"/>
    <cellStyle name="백분율 6 4 2 3 3 4 2 3" xfId="28429"/>
    <cellStyle name="백분율 6 4 2 3 3 4 3" xfId="28430"/>
    <cellStyle name="백분율 6 4 2 3 3 4 4" xfId="28431"/>
    <cellStyle name="백분율 6 4 2 3 3 5" xfId="28432"/>
    <cellStyle name="백분율 6 4 2 3 3 5 2" xfId="28433"/>
    <cellStyle name="백분율 6 4 2 3 3 5 3" xfId="28434"/>
    <cellStyle name="백분율 6 4 2 3 3 6" xfId="28435"/>
    <cellStyle name="백분율 6 4 2 3 3 7" xfId="28436"/>
    <cellStyle name="백분율 6 4 2 3 4" xfId="28437"/>
    <cellStyle name="백분율 6 4 2 3 4 2" xfId="28438"/>
    <cellStyle name="백분율 6 4 2 3 4 2 2" xfId="28439"/>
    <cellStyle name="백분율 6 4 2 3 4 2 2 2" xfId="28440"/>
    <cellStyle name="백분율 6 4 2 3 4 2 2 3" xfId="28441"/>
    <cellStyle name="백분율 6 4 2 3 4 2 3" xfId="28442"/>
    <cellStyle name="백분율 6 4 2 3 4 2 4" xfId="28443"/>
    <cellStyle name="백분율 6 4 2 3 4 3" xfId="28444"/>
    <cellStyle name="백분율 6 4 2 3 4 3 2" xfId="28445"/>
    <cellStyle name="백분율 6 4 2 3 4 3 3" xfId="28446"/>
    <cellStyle name="백분율 6 4 2 3 4 4" xfId="28447"/>
    <cellStyle name="백분율 6 4 2 3 4 5" xfId="28448"/>
    <cellStyle name="백분율 6 4 2 3 5" xfId="28449"/>
    <cellStyle name="백분율 6 4 2 3 5 2" xfId="28450"/>
    <cellStyle name="백분율 6 4 2 3 5 2 2" xfId="28451"/>
    <cellStyle name="백분율 6 4 2 3 5 2 2 2" xfId="28452"/>
    <cellStyle name="백분율 6 4 2 3 5 2 2 3" xfId="28453"/>
    <cellStyle name="백분율 6 4 2 3 5 2 3" xfId="28454"/>
    <cellStyle name="백분율 6 4 2 3 5 2 4" xfId="28455"/>
    <cellStyle name="백분율 6 4 2 3 5 3" xfId="28456"/>
    <cellStyle name="백분율 6 4 2 3 5 3 2" xfId="28457"/>
    <cellStyle name="백분율 6 4 2 3 5 3 3" xfId="28458"/>
    <cellStyle name="백분율 6 4 2 3 5 4" xfId="28459"/>
    <cellStyle name="백분율 6 4 2 3 5 5" xfId="28460"/>
    <cellStyle name="백분율 6 4 2 3 6" xfId="28461"/>
    <cellStyle name="백분율 6 4 2 3 6 2" xfId="28462"/>
    <cellStyle name="백분율 6 4 2 3 6 2 2" xfId="28463"/>
    <cellStyle name="백분율 6 4 2 3 6 2 2 2" xfId="28464"/>
    <cellStyle name="백분율 6 4 2 3 6 2 2 3" xfId="28465"/>
    <cellStyle name="백분율 6 4 2 3 6 2 3" xfId="28466"/>
    <cellStyle name="백분율 6 4 2 3 6 2 4" xfId="28467"/>
    <cellStyle name="백분율 6 4 2 3 6 3" xfId="28468"/>
    <cellStyle name="백분율 6 4 2 3 6 3 2" xfId="28469"/>
    <cellStyle name="백분율 6 4 2 3 6 3 3" xfId="28470"/>
    <cellStyle name="백분율 6 4 2 3 6 4" xfId="28471"/>
    <cellStyle name="백분율 6 4 2 3 6 5" xfId="28472"/>
    <cellStyle name="백분율 6 4 2 3 7" xfId="28473"/>
    <cellStyle name="백분율 6 4 2 3 7 2" xfId="28474"/>
    <cellStyle name="백분율 6 4 2 3 7 2 2" xfId="28475"/>
    <cellStyle name="백분율 6 4 2 3 7 2 3" xfId="28476"/>
    <cellStyle name="백분율 6 4 2 3 7 3" xfId="28477"/>
    <cellStyle name="백분율 6 4 2 3 7 4" xfId="28478"/>
    <cellStyle name="백분율 6 4 2 3 8" xfId="28479"/>
    <cellStyle name="백분율 6 4 2 3 8 2" xfId="28480"/>
    <cellStyle name="백분율 6 4 2 3 8 3" xfId="28481"/>
    <cellStyle name="백분율 6 4 2 3 9" xfId="28482"/>
    <cellStyle name="백분율 6 4 2 4" xfId="28483"/>
    <cellStyle name="백분율 6 4 2 4 10" xfId="28484"/>
    <cellStyle name="백분율 6 4 2 4 2" xfId="28485"/>
    <cellStyle name="백분율 6 4 2 4 2 2" xfId="28486"/>
    <cellStyle name="백분율 6 4 2 4 2 2 2" xfId="28487"/>
    <cellStyle name="백분율 6 4 2 4 2 2 2 2" xfId="28488"/>
    <cellStyle name="백분율 6 4 2 4 2 2 2 2 2" xfId="28489"/>
    <cellStyle name="백분율 6 4 2 4 2 2 2 2 3" xfId="28490"/>
    <cellStyle name="백분율 6 4 2 4 2 2 2 3" xfId="28491"/>
    <cellStyle name="백분율 6 4 2 4 2 2 2 4" xfId="28492"/>
    <cellStyle name="백분율 6 4 2 4 2 2 3" xfId="28493"/>
    <cellStyle name="백분율 6 4 2 4 2 2 3 2" xfId="28494"/>
    <cellStyle name="백분율 6 4 2 4 2 2 3 3" xfId="28495"/>
    <cellStyle name="백분율 6 4 2 4 2 2 4" xfId="28496"/>
    <cellStyle name="백분율 6 4 2 4 2 2 5" xfId="28497"/>
    <cellStyle name="백분율 6 4 2 4 2 3" xfId="28498"/>
    <cellStyle name="백분율 6 4 2 4 2 3 2" xfId="28499"/>
    <cellStyle name="백분율 6 4 2 4 2 3 2 2" xfId="28500"/>
    <cellStyle name="백분율 6 4 2 4 2 3 2 2 2" xfId="28501"/>
    <cellStyle name="백분율 6 4 2 4 2 3 2 2 3" xfId="28502"/>
    <cellStyle name="백분율 6 4 2 4 2 3 2 3" xfId="28503"/>
    <cellStyle name="백분율 6 4 2 4 2 3 2 4" xfId="28504"/>
    <cellStyle name="백분율 6 4 2 4 2 3 3" xfId="28505"/>
    <cellStyle name="백분율 6 4 2 4 2 3 3 2" xfId="28506"/>
    <cellStyle name="백분율 6 4 2 4 2 3 3 3" xfId="28507"/>
    <cellStyle name="백분율 6 4 2 4 2 3 4" xfId="28508"/>
    <cellStyle name="백분율 6 4 2 4 2 3 5" xfId="28509"/>
    <cellStyle name="백분율 6 4 2 4 2 4" xfId="28510"/>
    <cellStyle name="백분율 6 4 2 4 2 4 2" xfId="28511"/>
    <cellStyle name="백분율 6 4 2 4 2 4 2 2" xfId="28512"/>
    <cellStyle name="백분율 6 4 2 4 2 4 2 3" xfId="28513"/>
    <cellStyle name="백분율 6 4 2 4 2 4 3" xfId="28514"/>
    <cellStyle name="백분율 6 4 2 4 2 4 4" xfId="28515"/>
    <cellStyle name="백분율 6 4 2 4 2 5" xfId="28516"/>
    <cellStyle name="백분율 6 4 2 4 2 5 2" xfId="28517"/>
    <cellStyle name="백분율 6 4 2 4 2 5 3" xfId="28518"/>
    <cellStyle name="백분율 6 4 2 4 2 6" xfId="28519"/>
    <cellStyle name="백분율 6 4 2 4 2 7" xfId="28520"/>
    <cellStyle name="백분율 6 4 2 4 3" xfId="28521"/>
    <cellStyle name="백분율 6 4 2 4 3 2" xfId="28522"/>
    <cellStyle name="백분율 6 4 2 4 3 2 2" xfId="28523"/>
    <cellStyle name="백분율 6 4 2 4 3 2 2 2" xfId="28524"/>
    <cellStyle name="백분율 6 4 2 4 3 2 2 2 2" xfId="28525"/>
    <cellStyle name="백분율 6 4 2 4 3 2 2 2 3" xfId="28526"/>
    <cellStyle name="백분율 6 4 2 4 3 2 2 3" xfId="28527"/>
    <cellStyle name="백분율 6 4 2 4 3 2 2 4" xfId="28528"/>
    <cellStyle name="백분율 6 4 2 4 3 2 3" xfId="28529"/>
    <cellStyle name="백분율 6 4 2 4 3 2 3 2" xfId="28530"/>
    <cellStyle name="백분율 6 4 2 4 3 2 3 3" xfId="28531"/>
    <cellStyle name="백분율 6 4 2 4 3 2 4" xfId="28532"/>
    <cellStyle name="백분율 6 4 2 4 3 2 5" xfId="28533"/>
    <cellStyle name="백분율 6 4 2 4 3 3" xfId="28534"/>
    <cellStyle name="백분율 6 4 2 4 3 3 2" xfId="28535"/>
    <cellStyle name="백분율 6 4 2 4 3 3 2 2" xfId="28536"/>
    <cellStyle name="백분율 6 4 2 4 3 3 2 2 2" xfId="28537"/>
    <cellStyle name="백분율 6 4 2 4 3 3 2 2 3" xfId="28538"/>
    <cellStyle name="백분율 6 4 2 4 3 3 2 3" xfId="28539"/>
    <cellStyle name="백분율 6 4 2 4 3 3 2 4" xfId="28540"/>
    <cellStyle name="백분율 6 4 2 4 3 3 3" xfId="28541"/>
    <cellStyle name="백분율 6 4 2 4 3 3 3 2" xfId="28542"/>
    <cellStyle name="백분율 6 4 2 4 3 3 3 3" xfId="28543"/>
    <cellStyle name="백분율 6 4 2 4 3 3 4" xfId="28544"/>
    <cellStyle name="백분율 6 4 2 4 3 3 5" xfId="28545"/>
    <cellStyle name="백분율 6 4 2 4 3 4" xfId="28546"/>
    <cellStyle name="백분율 6 4 2 4 3 4 2" xfId="28547"/>
    <cellStyle name="백분율 6 4 2 4 3 4 2 2" xfId="28548"/>
    <cellStyle name="백분율 6 4 2 4 3 4 2 3" xfId="28549"/>
    <cellStyle name="백분율 6 4 2 4 3 4 3" xfId="28550"/>
    <cellStyle name="백분율 6 4 2 4 3 4 4" xfId="28551"/>
    <cellStyle name="백분율 6 4 2 4 3 5" xfId="28552"/>
    <cellStyle name="백분율 6 4 2 4 3 5 2" xfId="28553"/>
    <cellStyle name="백분율 6 4 2 4 3 5 3" xfId="28554"/>
    <cellStyle name="백분율 6 4 2 4 3 6" xfId="28555"/>
    <cellStyle name="백분율 6 4 2 4 3 7" xfId="28556"/>
    <cellStyle name="백분율 6 4 2 4 4" xfId="28557"/>
    <cellStyle name="백분율 6 4 2 4 4 2" xfId="28558"/>
    <cellStyle name="백분율 6 4 2 4 4 2 2" xfId="28559"/>
    <cellStyle name="백분율 6 4 2 4 4 2 2 2" xfId="28560"/>
    <cellStyle name="백분율 6 4 2 4 4 2 2 3" xfId="28561"/>
    <cellStyle name="백분율 6 4 2 4 4 2 3" xfId="28562"/>
    <cellStyle name="백분율 6 4 2 4 4 2 4" xfId="28563"/>
    <cellStyle name="백분율 6 4 2 4 4 3" xfId="28564"/>
    <cellStyle name="백분율 6 4 2 4 4 3 2" xfId="28565"/>
    <cellStyle name="백분율 6 4 2 4 4 3 3" xfId="28566"/>
    <cellStyle name="백분율 6 4 2 4 4 4" xfId="28567"/>
    <cellStyle name="백분율 6 4 2 4 4 5" xfId="28568"/>
    <cellStyle name="백분율 6 4 2 4 5" xfId="28569"/>
    <cellStyle name="백분율 6 4 2 4 5 2" xfId="28570"/>
    <cellStyle name="백분율 6 4 2 4 5 2 2" xfId="28571"/>
    <cellStyle name="백분율 6 4 2 4 5 2 2 2" xfId="28572"/>
    <cellStyle name="백분율 6 4 2 4 5 2 2 3" xfId="28573"/>
    <cellStyle name="백분율 6 4 2 4 5 2 3" xfId="28574"/>
    <cellStyle name="백분율 6 4 2 4 5 2 4" xfId="28575"/>
    <cellStyle name="백분율 6 4 2 4 5 3" xfId="28576"/>
    <cellStyle name="백분율 6 4 2 4 5 3 2" xfId="28577"/>
    <cellStyle name="백분율 6 4 2 4 5 3 3" xfId="28578"/>
    <cellStyle name="백분율 6 4 2 4 5 4" xfId="28579"/>
    <cellStyle name="백분율 6 4 2 4 5 5" xfId="28580"/>
    <cellStyle name="백분율 6 4 2 4 6" xfId="28581"/>
    <cellStyle name="백분율 6 4 2 4 6 2" xfId="28582"/>
    <cellStyle name="백분율 6 4 2 4 6 2 2" xfId="28583"/>
    <cellStyle name="백분율 6 4 2 4 6 2 2 2" xfId="28584"/>
    <cellStyle name="백분율 6 4 2 4 6 2 2 3" xfId="28585"/>
    <cellStyle name="백분율 6 4 2 4 6 2 3" xfId="28586"/>
    <cellStyle name="백분율 6 4 2 4 6 2 4" xfId="28587"/>
    <cellStyle name="백분율 6 4 2 4 6 3" xfId="28588"/>
    <cellStyle name="백분율 6 4 2 4 6 3 2" xfId="28589"/>
    <cellStyle name="백분율 6 4 2 4 6 3 3" xfId="28590"/>
    <cellStyle name="백분율 6 4 2 4 6 4" xfId="28591"/>
    <cellStyle name="백분율 6 4 2 4 6 5" xfId="28592"/>
    <cellStyle name="백분율 6 4 2 4 7" xfId="28593"/>
    <cellStyle name="백분율 6 4 2 4 7 2" xfId="28594"/>
    <cellStyle name="백분율 6 4 2 4 7 2 2" xfId="28595"/>
    <cellStyle name="백분율 6 4 2 4 7 2 3" xfId="28596"/>
    <cellStyle name="백분율 6 4 2 4 7 3" xfId="28597"/>
    <cellStyle name="백분율 6 4 2 4 7 4" xfId="28598"/>
    <cellStyle name="백분율 6 4 2 4 8" xfId="28599"/>
    <cellStyle name="백분율 6 4 2 4 8 2" xfId="28600"/>
    <cellStyle name="백분율 6 4 2 4 8 3" xfId="28601"/>
    <cellStyle name="백분율 6 4 2 4 9" xfId="28602"/>
    <cellStyle name="백분율 6 4 2 5" xfId="28603"/>
    <cellStyle name="백분율 6 4 2 5 2" xfId="28604"/>
    <cellStyle name="백분율 6 4 2 5 2 2" xfId="28605"/>
    <cellStyle name="백분율 6 4 2 5 2 2 2" xfId="28606"/>
    <cellStyle name="백분율 6 4 2 5 2 2 2 2" xfId="28607"/>
    <cellStyle name="백분율 6 4 2 5 2 2 2 3" xfId="28608"/>
    <cellStyle name="백분율 6 4 2 5 2 2 3" xfId="28609"/>
    <cellStyle name="백분율 6 4 2 5 2 2 4" xfId="28610"/>
    <cellStyle name="백분율 6 4 2 5 2 3" xfId="28611"/>
    <cellStyle name="백분율 6 4 2 5 2 3 2" xfId="28612"/>
    <cellStyle name="백분율 6 4 2 5 2 3 3" xfId="28613"/>
    <cellStyle name="백분율 6 4 2 5 2 4" xfId="28614"/>
    <cellStyle name="백분율 6 4 2 5 2 5" xfId="28615"/>
    <cellStyle name="백분율 6 4 2 5 3" xfId="28616"/>
    <cellStyle name="백분율 6 4 2 5 3 2" xfId="28617"/>
    <cellStyle name="백분율 6 4 2 5 3 2 2" xfId="28618"/>
    <cellStyle name="백분율 6 4 2 5 3 2 2 2" xfId="28619"/>
    <cellStyle name="백분율 6 4 2 5 3 2 2 3" xfId="28620"/>
    <cellStyle name="백분율 6 4 2 5 3 2 3" xfId="28621"/>
    <cellStyle name="백분율 6 4 2 5 3 2 4" xfId="28622"/>
    <cellStyle name="백분율 6 4 2 5 3 3" xfId="28623"/>
    <cellStyle name="백분율 6 4 2 5 3 3 2" xfId="28624"/>
    <cellStyle name="백분율 6 4 2 5 3 3 3" xfId="28625"/>
    <cellStyle name="백분율 6 4 2 5 3 4" xfId="28626"/>
    <cellStyle name="백분율 6 4 2 5 3 5" xfId="28627"/>
    <cellStyle name="백분율 6 4 2 5 4" xfId="28628"/>
    <cellStyle name="백분율 6 4 2 5 4 2" xfId="28629"/>
    <cellStyle name="백분율 6 4 2 5 4 2 2" xfId="28630"/>
    <cellStyle name="백분율 6 4 2 5 4 2 3" xfId="28631"/>
    <cellStyle name="백분율 6 4 2 5 4 3" xfId="28632"/>
    <cellStyle name="백분율 6 4 2 5 4 4" xfId="28633"/>
    <cellStyle name="백분율 6 4 2 5 5" xfId="28634"/>
    <cellStyle name="백분율 6 4 2 5 5 2" xfId="28635"/>
    <cellStyle name="백분율 6 4 2 5 5 3" xfId="28636"/>
    <cellStyle name="백분율 6 4 2 5 6" xfId="28637"/>
    <cellStyle name="백분율 6 4 2 5 7" xfId="28638"/>
    <cellStyle name="백분율 6 4 2 6" xfId="28639"/>
    <cellStyle name="백분율 6 4 2 6 2" xfId="28640"/>
    <cellStyle name="백분율 6 4 2 6 2 2" xfId="28641"/>
    <cellStyle name="백분율 6 4 2 6 2 2 2" xfId="28642"/>
    <cellStyle name="백분율 6 4 2 6 2 2 2 2" xfId="28643"/>
    <cellStyle name="백분율 6 4 2 6 2 2 2 3" xfId="28644"/>
    <cellStyle name="백분율 6 4 2 6 2 2 3" xfId="28645"/>
    <cellStyle name="백분율 6 4 2 6 2 2 4" xfId="28646"/>
    <cellStyle name="백분율 6 4 2 6 2 3" xfId="28647"/>
    <cellStyle name="백분율 6 4 2 6 2 3 2" xfId="28648"/>
    <cellStyle name="백분율 6 4 2 6 2 3 3" xfId="28649"/>
    <cellStyle name="백분율 6 4 2 6 2 4" xfId="28650"/>
    <cellStyle name="백분율 6 4 2 6 2 5" xfId="28651"/>
    <cellStyle name="백분율 6 4 2 6 3" xfId="28652"/>
    <cellStyle name="백분율 6 4 2 6 3 2" xfId="28653"/>
    <cellStyle name="백분율 6 4 2 6 3 2 2" xfId="28654"/>
    <cellStyle name="백분율 6 4 2 6 3 2 2 2" xfId="28655"/>
    <cellStyle name="백분율 6 4 2 6 3 2 2 3" xfId="28656"/>
    <cellStyle name="백분율 6 4 2 6 3 2 3" xfId="28657"/>
    <cellStyle name="백분율 6 4 2 6 3 2 4" xfId="28658"/>
    <cellStyle name="백분율 6 4 2 6 3 3" xfId="28659"/>
    <cellStyle name="백분율 6 4 2 6 3 3 2" xfId="28660"/>
    <cellStyle name="백분율 6 4 2 6 3 3 3" xfId="28661"/>
    <cellStyle name="백분율 6 4 2 6 3 4" xfId="28662"/>
    <cellStyle name="백분율 6 4 2 6 3 5" xfId="28663"/>
    <cellStyle name="백분율 6 4 2 6 4" xfId="28664"/>
    <cellStyle name="백분율 6 4 2 6 4 2" xfId="28665"/>
    <cellStyle name="백분율 6 4 2 6 4 2 2" xfId="28666"/>
    <cellStyle name="백분율 6 4 2 6 4 2 3" xfId="28667"/>
    <cellStyle name="백분율 6 4 2 6 4 3" xfId="28668"/>
    <cellStyle name="백분율 6 4 2 6 4 4" xfId="28669"/>
    <cellStyle name="백분율 6 4 2 6 5" xfId="28670"/>
    <cellStyle name="백분율 6 4 2 6 5 2" xfId="28671"/>
    <cellStyle name="백분율 6 4 2 6 5 3" xfId="28672"/>
    <cellStyle name="백분율 6 4 2 6 6" xfId="28673"/>
    <cellStyle name="백분율 6 4 2 6 7" xfId="28674"/>
    <cellStyle name="백분율 6 4 2 7" xfId="28675"/>
    <cellStyle name="백분율 6 4 2 7 2" xfId="28676"/>
    <cellStyle name="백분율 6 4 2 7 2 2" xfId="28677"/>
    <cellStyle name="백분율 6 4 2 7 2 2 2" xfId="28678"/>
    <cellStyle name="백분율 6 4 2 7 2 2 3" xfId="28679"/>
    <cellStyle name="백분율 6 4 2 7 2 3" xfId="28680"/>
    <cellStyle name="백분율 6 4 2 7 2 4" xfId="28681"/>
    <cellStyle name="백분율 6 4 2 7 3" xfId="28682"/>
    <cellStyle name="백분율 6 4 2 7 3 2" xfId="28683"/>
    <cellStyle name="백분율 6 4 2 7 3 3" xfId="28684"/>
    <cellStyle name="백분율 6 4 2 7 4" xfId="28685"/>
    <cellStyle name="백분율 6 4 2 7 5" xfId="28686"/>
    <cellStyle name="백분율 6 4 2 8" xfId="28687"/>
    <cellStyle name="백분율 6 4 2 8 2" xfId="28688"/>
    <cellStyle name="백분율 6 4 2 8 2 2" xfId="28689"/>
    <cellStyle name="백분율 6 4 2 8 2 2 2" xfId="28690"/>
    <cellStyle name="백분율 6 4 2 8 2 2 3" xfId="28691"/>
    <cellStyle name="백분율 6 4 2 8 2 3" xfId="28692"/>
    <cellStyle name="백분율 6 4 2 8 2 4" xfId="28693"/>
    <cellStyle name="백분율 6 4 2 8 3" xfId="28694"/>
    <cellStyle name="백분율 6 4 2 8 3 2" xfId="28695"/>
    <cellStyle name="백분율 6 4 2 8 3 3" xfId="28696"/>
    <cellStyle name="백분율 6 4 2 8 4" xfId="28697"/>
    <cellStyle name="백분율 6 4 2 8 5" xfId="28698"/>
    <cellStyle name="백분율 6 4 2 9" xfId="28699"/>
    <cellStyle name="백분율 6 4 2 9 2" xfId="28700"/>
    <cellStyle name="백분율 6 4 2 9 2 2" xfId="28701"/>
    <cellStyle name="백분율 6 4 2 9 2 2 2" xfId="28702"/>
    <cellStyle name="백분율 6 4 2 9 2 2 3" xfId="28703"/>
    <cellStyle name="백분율 6 4 2 9 2 3" xfId="28704"/>
    <cellStyle name="백분율 6 4 2 9 2 4" xfId="28705"/>
    <cellStyle name="백분율 6 4 2 9 3" xfId="28706"/>
    <cellStyle name="백분율 6 4 2 9 3 2" xfId="28707"/>
    <cellStyle name="백분율 6 4 2 9 3 3" xfId="28708"/>
    <cellStyle name="백분율 6 4 2 9 4" xfId="28709"/>
    <cellStyle name="백분율 6 4 2 9 5" xfId="28710"/>
    <cellStyle name="백분율 6 4 3" xfId="28711"/>
    <cellStyle name="백분율 6 4 3 10" xfId="28712"/>
    <cellStyle name="백분율 6 4 3 2" xfId="28713"/>
    <cellStyle name="백분율 6 4 3 2 2" xfId="28714"/>
    <cellStyle name="백분율 6 4 3 2 2 2" xfId="28715"/>
    <cellStyle name="백분율 6 4 3 2 2 2 2" xfId="28716"/>
    <cellStyle name="백분율 6 4 3 2 2 2 2 2" xfId="28717"/>
    <cellStyle name="백분율 6 4 3 2 2 2 2 3" xfId="28718"/>
    <cellStyle name="백분율 6 4 3 2 2 2 3" xfId="28719"/>
    <cellStyle name="백분율 6 4 3 2 2 2 4" xfId="28720"/>
    <cellStyle name="백분율 6 4 3 2 2 3" xfId="28721"/>
    <cellStyle name="백분율 6 4 3 2 2 3 2" xfId="28722"/>
    <cellStyle name="백분율 6 4 3 2 2 3 3" xfId="28723"/>
    <cellStyle name="백분율 6 4 3 2 2 4" xfId="28724"/>
    <cellStyle name="백분율 6 4 3 2 2 5" xfId="28725"/>
    <cellStyle name="백분율 6 4 3 2 3" xfId="28726"/>
    <cellStyle name="백분율 6 4 3 2 3 2" xfId="28727"/>
    <cellStyle name="백분율 6 4 3 2 3 2 2" xfId="28728"/>
    <cellStyle name="백분율 6 4 3 2 3 2 2 2" xfId="28729"/>
    <cellStyle name="백분율 6 4 3 2 3 2 2 3" xfId="28730"/>
    <cellStyle name="백분율 6 4 3 2 3 2 3" xfId="28731"/>
    <cellStyle name="백분율 6 4 3 2 3 2 4" xfId="28732"/>
    <cellStyle name="백분율 6 4 3 2 3 3" xfId="28733"/>
    <cellStyle name="백분율 6 4 3 2 3 3 2" xfId="28734"/>
    <cellStyle name="백분율 6 4 3 2 3 3 3" xfId="28735"/>
    <cellStyle name="백분율 6 4 3 2 3 4" xfId="28736"/>
    <cellStyle name="백분율 6 4 3 2 3 5" xfId="28737"/>
    <cellStyle name="백분율 6 4 3 2 4" xfId="28738"/>
    <cellStyle name="백분율 6 4 3 2 4 2" xfId="28739"/>
    <cellStyle name="백분율 6 4 3 2 4 2 2" xfId="28740"/>
    <cellStyle name="백분율 6 4 3 2 4 2 3" xfId="28741"/>
    <cellStyle name="백분율 6 4 3 2 4 3" xfId="28742"/>
    <cellStyle name="백분율 6 4 3 2 4 4" xfId="28743"/>
    <cellStyle name="백분율 6 4 3 2 5" xfId="28744"/>
    <cellStyle name="백분율 6 4 3 2 5 2" xfId="28745"/>
    <cellStyle name="백분율 6 4 3 2 5 3" xfId="28746"/>
    <cellStyle name="백분율 6 4 3 2 6" xfId="28747"/>
    <cellStyle name="백분율 6 4 3 2 7" xfId="28748"/>
    <cellStyle name="백분율 6 4 3 3" xfId="28749"/>
    <cellStyle name="백분율 6 4 3 3 2" xfId="28750"/>
    <cellStyle name="백분율 6 4 3 3 2 2" xfId="28751"/>
    <cellStyle name="백분율 6 4 3 3 2 2 2" xfId="28752"/>
    <cellStyle name="백분율 6 4 3 3 2 2 2 2" xfId="28753"/>
    <cellStyle name="백분율 6 4 3 3 2 2 2 3" xfId="28754"/>
    <cellStyle name="백분율 6 4 3 3 2 2 3" xfId="28755"/>
    <cellStyle name="백분율 6 4 3 3 2 2 4" xfId="28756"/>
    <cellStyle name="백분율 6 4 3 3 2 3" xfId="28757"/>
    <cellStyle name="백분율 6 4 3 3 2 3 2" xfId="28758"/>
    <cellStyle name="백분율 6 4 3 3 2 3 3" xfId="28759"/>
    <cellStyle name="백분율 6 4 3 3 2 4" xfId="28760"/>
    <cellStyle name="백분율 6 4 3 3 2 5" xfId="28761"/>
    <cellStyle name="백분율 6 4 3 3 3" xfId="28762"/>
    <cellStyle name="백분율 6 4 3 3 3 2" xfId="28763"/>
    <cellStyle name="백분율 6 4 3 3 3 2 2" xfId="28764"/>
    <cellStyle name="백분율 6 4 3 3 3 2 2 2" xfId="28765"/>
    <cellStyle name="백분율 6 4 3 3 3 2 2 3" xfId="28766"/>
    <cellStyle name="백분율 6 4 3 3 3 2 3" xfId="28767"/>
    <cellStyle name="백분율 6 4 3 3 3 2 4" xfId="28768"/>
    <cellStyle name="백분율 6 4 3 3 3 3" xfId="28769"/>
    <cellStyle name="백분율 6 4 3 3 3 3 2" xfId="28770"/>
    <cellStyle name="백분율 6 4 3 3 3 3 3" xfId="28771"/>
    <cellStyle name="백분율 6 4 3 3 3 4" xfId="28772"/>
    <cellStyle name="백분율 6 4 3 3 3 5" xfId="28773"/>
    <cellStyle name="백분율 6 4 3 3 4" xfId="28774"/>
    <cellStyle name="백분율 6 4 3 3 4 2" xfId="28775"/>
    <cellStyle name="백분율 6 4 3 3 4 2 2" xfId="28776"/>
    <cellStyle name="백분율 6 4 3 3 4 2 3" xfId="28777"/>
    <cellStyle name="백분율 6 4 3 3 4 3" xfId="28778"/>
    <cellStyle name="백분율 6 4 3 3 4 4" xfId="28779"/>
    <cellStyle name="백분율 6 4 3 3 5" xfId="28780"/>
    <cellStyle name="백분율 6 4 3 3 5 2" xfId="28781"/>
    <cellStyle name="백분율 6 4 3 3 5 3" xfId="28782"/>
    <cellStyle name="백분율 6 4 3 3 6" xfId="28783"/>
    <cellStyle name="백분율 6 4 3 3 7" xfId="28784"/>
    <cellStyle name="백분율 6 4 3 4" xfId="28785"/>
    <cellStyle name="백분율 6 4 3 4 2" xfId="28786"/>
    <cellStyle name="백분율 6 4 3 4 2 2" xfId="28787"/>
    <cellStyle name="백분율 6 4 3 4 2 2 2" xfId="28788"/>
    <cellStyle name="백분율 6 4 3 4 2 2 3" xfId="28789"/>
    <cellStyle name="백분율 6 4 3 4 2 3" xfId="28790"/>
    <cellStyle name="백분율 6 4 3 4 2 4" xfId="28791"/>
    <cellStyle name="백분율 6 4 3 4 3" xfId="28792"/>
    <cellStyle name="백분율 6 4 3 4 3 2" xfId="28793"/>
    <cellStyle name="백분율 6 4 3 4 3 3" xfId="28794"/>
    <cellStyle name="백분율 6 4 3 4 4" xfId="28795"/>
    <cellStyle name="백분율 6 4 3 4 5" xfId="28796"/>
    <cellStyle name="백분율 6 4 3 5" xfId="28797"/>
    <cellStyle name="백분율 6 4 3 5 2" xfId="28798"/>
    <cellStyle name="백분율 6 4 3 5 2 2" xfId="28799"/>
    <cellStyle name="백분율 6 4 3 5 2 2 2" xfId="28800"/>
    <cellStyle name="백분율 6 4 3 5 2 2 3" xfId="28801"/>
    <cellStyle name="백분율 6 4 3 5 2 3" xfId="28802"/>
    <cellStyle name="백분율 6 4 3 5 2 4" xfId="28803"/>
    <cellStyle name="백분율 6 4 3 5 3" xfId="28804"/>
    <cellStyle name="백분율 6 4 3 5 3 2" xfId="28805"/>
    <cellStyle name="백분율 6 4 3 5 3 3" xfId="28806"/>
    <cellStyle name="백분율 6 4 3 5 4" xfId="28807"/>
    <cellStyle name="백분율 6 4 3 5 5" xfId="28808"/>
    <cellStyle name="백분율 6 4 3 6" xfId="28809"/>
    <cellStyle name="백분율 6 4 3 6 2" xfId="28810"/>
    <cellStyle name="백분율 6 4 3 6 2 2" xfId="28811"/>
    <cellStyle name="백분율 6 4 3 6 2 2 2" xfId="28812"/>
    <cellStyle name="백분율 6 4 3 6 2 2 3" xfId="28813"/>
    <cellStyle name="백분율 6 4 3 6 2 3" xfId="28814"/>
    <cellStyle name="백분율 6 4 3 6 2 4" xfId="28815"/>
    <cellStyle name="백분율 6 4 3 6 3" xfId="28816"/>
    <cellStyle name="백분율 6 4 3 6 3 2" xfId="28817"/>
    <cellStyle name="백분율 6 4 3 6 3 3" xfId="28818"/>
    <cellStyle name="백분율 6 4 3 6 4" xfId="28819"/>
    <cellStyle name="백분율 6 4 3 6 5" xfId="28820"/>
    <cellStyle name="백분율 6 4 3 7" xfId="28821"/>
    <cellStyle name="백분율 6 4 3 7 2" xfId="28822"/>
    <cellStyle name="백분율 6 4 3 7 2 2" xfId="28823"/>
    <cellStyle name="백분율 6 4 3 7 2 3" xfId="28824"/>
    <cellStyle name="백분율 6 4 3 7 3" xfId="28825"/>
    <cellStyle name="백분율 6 4 3 7 4" xfId="28826"/>
    <cellStyle name="백분율 6 4 3 8" xfId="28827"/>
    <cellStyle name="백분율 6 4 3 8 2" xfId="28828"/>
    <cellStyle name="백분율 6 4 3 8 3" xfId="28829"/>
    <cellStyle name="백분율 6 4 3 9" xfId="28830"/>
    <cellStyle name="백분율 6 4 4" xfId="28831"/>
    <cellStyle name="백분율 6 4 4 10" xfId="28832"/>
    <cellStyle name="백분율 6 4 4 2" xfId="28833"/>
    <cellStyle name="백분율 6 4 4 2 2" xfId="28834"/>
    <cellStyle name="백분율 6 4 4 2 2 2" xfId="28835"/>
    <cellStyle name="백분율 6 4 4 2 2 2 2" xfId="28836"/>
    <cellStyle name="백분율 6 4 4 2 2 2 2 2" xfId="28837"/>
    <cellStyle name="백분율 6 4 4 2 2 2 2 3" xfId="28838"/>
    <cellStyle name="백분율 6 4 4 2 2 2 3" xfId="28839"/>
    <cellStyle name="백분율 6 4 4 2 2 2 4" xfId="28840"/>
    <cellStyle name="백분율 6 4 4 2 2 3" xfId="28841"/>
    <cellStyle name="백분율 6 4 4 2 2 3 2" xfId="28842"/>
    <cellStyle name="백분율 6 4 4 2 2 3 3" xfId="28843"/>
    <cellStyle name="백분율 6 4 4 2 2 4" xfId="28844"/>
    <cellStyle name="백분율 6 4 4 2 2 5" xfId="28845"/>
    <cellStyle name="백분율 6 4 4 2 3" xfId="28846"/>
    <cellStyle name="백분율 6 4 4 2 3 2" xfId="28847"/>
    <cellStyle name="백분율 6 4 4 2 3 2 2" xfId="28848"/>
    <cellStyle name="백분율 6 4 4 2 3 2 2 2" xfId="28849"/>
    <cellStyle name="백분율 6 4 4 2 3 2 2 3" xfId="28850"/>
    <cellStyle name="백분율 6 4 4 2 3 2 3" xfId="28851"/>
    <cellStyle name="백분율 6 4 4 2 3 2 4" xfId="28852"/>
    <cellStyle name="백분율 6 4 4 2 3 3" xfId="28853"/>
    <cellStyle name="백분율 6 4 4 2 3 3 2" xfId="28854"/>
    <cellStyle name="백분율 6 4 4 2 3 3 3" xfId="28855"/>
    <cellStyle name="백분율 6 4 4 2 3 4" xfId="28856"/>
    <cellStyle name="백분율 6 4 4 2 3 5" xfId="28857"/>
    <cellStyle name="백분율 6 4 4 2 4" xfId="28858"/>
    <cellStyle name="백분율 6 4 4 2 4 2" xfId="28859"/>
    <cellStyle name="백분율 6 4 4 2 4 2 2" xfId="28860"/>
    <cellStyle name="백분율 6 4 4 2 4 2 3" xfId="28861"/>
    <cellStyle name="백분율 6 4 4 2 4 3" xfId="28862"/>
    <cellStyle name="백분율 6 4 4 2 4 4" xfId="28863"/>
    <cellStyle name="백분율 6 4 4 2 5" xfId="28864"/>
    <cellStyle name="백분율 6 4 4 2 5 2" xfId="28865"/>
    <cellStyle name="백분율 6 4 4 2 5 3" xfId="28866"/>
    <cellStyle name="백분율 6 4 4 2 6" xfId="28867"/>
    <cellStyle name="백분율 6 4 4 2 7" xfId="28868"/>
    <cellStyle name="백분율 6 4 4 3" xfId="28869"/>
    <cellStyle name="백분율 6 4 4 3 2" xfId="28870"/>
    <cellStyle name="백분율 6 4 4 3 2 2" xfId="28871"/>
    <cellStyle name="백분율 6 4 4 3 2 2 2" xfId="28872"/>
    <cellStyle name="백분율 6 4 4 3 2 2 2 2" xfId="28873"/>
    <cellStyle name="백분율 6 4 4 3 2 2 2 3" xfId="28874"/>
    <cellStyle name="백분율 6 4 4 3 2 2 3" xfId="28875"/>
    <cellStyle name="백분율 6 4 4 3 2 2 4" xfId="28876"/>
    <cellStyle name="백분율 6 4 4 3 2 3" xfId="28877"/>
    <cellStyle name="백분율 6 4 4 3 2 3 2" xfId="28878"/>
    <cellStyle name="백분율 6 4 4 3 2 3 3" xfId="28879"/>
    <cellStyle name="백분율 6 4 4 3 2 4" xfId="28880"/>
    <cellStyle name="백분율 6 4 4 3 2 5" xfId="28881"/>
    <cellStyle name="백분율 6 4 4 3 3" xfId="28882"/>
    <cellStyle name="백분율 6 4 4 3 3 2" xfId="28883"/>
    <cellStyle name="백분율 6 4 4 3 3 2 2" xfId="28884"/>
    <cellStyle name="백분율 6 4 4 3 3 2 2 2" xfId="28885"/>
    <cellStyle name="백분율 6 4 4 3 3 2 2 3" xfId="28886"/>
    <cellStyle name="백분율 6 4 4 3 3 2 3" xfId="28887"/>
    <cellStyle name="백분율 6 4 4 3 3 2 4" xfId="28888"/>
    <cellStyle name="백분율 6 4 4 3 3 3" xfId="28889"/>
    <cellStyle name="백분율 6 4 4 3 3 3 2" xfId="28890"/>
    <cellStyle name="백분율 6 4 4 3 3 3 3" xfId="28891"/>
    <cellStyle name="백분율 6 4 4 3 3 4" xfId="28892"/>
    <cellStyle name="백분율 6 4 4 3 3 5" xfId="28893"/>
    <cellStyle name="백분율 6 4 4 3 4" xfId="28894"/>
    <cellStyle name="백분율 6 4 4 3 4 2" xfId="28895"/>
    <cellStyle name="백분율 6 4 4 3 4 2 2" xfId="28896"/>
    <cellStyle name="백분율 6 4 4 3 4 2 3" xfId="28897"/>
    <cellStyle name="백분율 6 4 4 3 4 3" xfId="28898"/>
    <cellStyle name="백분율 6 4 4 3 4 4" xfId="28899"/>
    <cellStyle name="백분율 6 4 4 3 5" xfId="28900"/>
    <cellStyle name="백분율 6 4 4 3 5 2" xfId="28901"/>
    <cellStyle name="백분율 6 4 4 3 5 3" xfId="28902"/>
    <cellStyle name="백분율 6 4 4 3 6" xfId="28903"/>
    <cellStyle name="백분율 6 4 4 3 7" xfId="28904"/>
    <cellStyle name="백분율 6 4 4 4" xfId="28905"/>
    <cellStyle name="백분율 6 4 4 4 2" xfId="28906"/>
    <cellStyle name="백분율 6 4 4 4 2 2" xfId="28907"/>
    <cellStyle name="백분율 6 4 4 4 2 2 2" xfId="28908"/>
    <cellStyle name="백분율 6 4 4 4 2 2 3" xfId="28909"/>
    <cellStyle name="백분율 6 4 4 4 2 3" xfId="28910"/>
    <cellStyle name="백분율 6 4 4 4 2 4" xfId="28911"/>
    <cellStyle name="백분율 6 4 4 4 3" xfId="28912"/>
    <cellStyle name="백분율 6 4 4 4 3 2" xfId="28913"/>
    <cellStyle name="백분율 6 4 4 4 3 3" xfId="28914"/>
    <cellStyle name="백분율 6 4 4 4 4" xfId="28915"/>
    <cellStyle name="백분율 6 4 4 4 5" xfId="28916"/>
    <cellStyle name="백분율 6 4 4 5" xfId="28917"/>
    <cellStyle name="백분율 6 4 4 5 2" xfId="28918"/>
    <cellStyle name="백분율 6 4 4 5 2 2" xfId="28919"/>
    <cellStyle name="백분율 6 4 4 5 2 2 2" xfId="28920"/>
    <cellStyle name="백분율 6 4 4 5 2 2 3" xfId="28921"/>
    <cellStyle name="백분율 6 4 4 5 2 3" xfId="28922"/>
    <cellStyle name="백분율 6 4 4 5 2 4" xfId="28923"/>
    <cellStyle name="백분율 6 4 4 5 3" xfId="28924"/>
    <cellStyle name="백분율 6 4 4 5 3 2" xfId="28925"/>
    <cellStyle name="백분율 6 4 4 5 3 3" xfId="28926"/>
    <cellStyle name="백분율 6 4 4 5 4" xfId="28927"/>
    <cellStyle name="백분율 6 4 4 5 5" xfId="28928"/>
    <cellStyle name="백분율 6 4 4 6" xfId="28929"/>
    <cellStyle name="백분율 6 4 4 6 2" xfId="28930"/>
    <cellStyle name="백분율 6 4 4 6 2 2" xfId="28931"/>
    <cellStyle name="백분율 6 4 4 6 2 2 2" xfId="28932"/>
    <cellStyle name="백분율 6 4 4 6 2 2 3" xfId="28933"/>
    <cellStyle name="백분율 6 4 4 6 2 3" xfId="28934"/>
    <cellStyle name="백분율 6 4 4 6 2 4" xfId="28935"/>
    <cellStyle name="백분율 6 4 4 6 3" xfId="28936"/>
    <cellStyle name="백분율 6 4 4 6 3 2" xfId="28937"/>
    <cellStyle name="백분율 6 4 4 6 3 3" xfId="28938"/>
    <cellStyle name="백분율 6 4 4 6 4" xfId="28939"/>
    <cellStyle name="백분율 6 4 4 6 5" xfId="28940"/>
    <cellStyle name="백분율 6 4 4 7" xfId="28941"/>
    <cellStyle name="백분율 6 4 4 7 2" xfId="28942"/>
    <cellStyle name="백분율 6 4 4 7 2 2" xfId="28943"/>
    <cellStyle name="백분율 6 4 4 7 2 3" xfId="28944"/>
    <cellStyle name="백분율 6 4 4 7 3" xfId="28945"/>
    <cellStyle name="백분율 6 4 4 7 4" xfId="28946"/>
    <cellStyle name="백분율 6 4 4 8" xfId="28947"/>
    <cellStyle name="백분율 6 4 4 8 2" xfId="28948"/>
    <cellStyle name="백분율 6 4 4 8 3" xfId="28949"/>
    <cellStyle name="백분율 6 4 4 9" xfId="28950"/>
    <cellStyle name="백분율 6 4 5" xfId="28951"/>
    <cellStyle name="백분율 6 4 5 10" xfId="28952"/>
    <cellStyle name="백분율 6 4 5 2" xfId="28953"/>
    <cellStyle name="백분율 6 4 5 2 2" xfId="28954"/>
    <cellStyle name="백분율 6 4 5 2 2 2" xfId="28955"/>
    <cellStyle name="백분율 6 4 5 2 2 2 2" xfId="28956"/>
    <cellStyle name="백분율 6 4 5 2 2 2 2 2" xfId="28957"/>
    <cellStyle name="백분율 6 4 5 2 2 2 2 3" xfId="28958"/>
    <cellStyle name="백분율 6 4 5 2 2 2 3" xfId="28959"/>
    <cellStyle name="백분율 6 4 5 2 2 2 4" xfId="28960"/>
    <cellStyle name="백분율 6 4 5 2 2 3" xfId="28961"/>
    <cellStyle name="백분율 6 4 5 2 2 3 2" xfId="28962"/>
    <cellStyle name="백분율 6 4 5 2 2 3 3" xfId="28963"/>
    <cellStyle name="백분율 6 4 5 2 2 4" xfId="28964"/>
    <cellStyle name="백분율 6 4 5 2 2 5" xfId="28965"/>
    <cellStyle name="백분율 6 4 5 2 3" xfId="28966"/>
    <cellStyle name="백분율 6 4 5 2 3 2" xfId="28967"/>
    <cellStyle name="백분율 6 4 5 2 3 2 2" xfId="28968"/>
    <cellStyle name="백분율 6 4 5 2 3 2 2 2" xfId="28969"/>
    <cellStyle name="백분율 6 4 5 2 3 2 2 3" xfId="28970"/>
    <cellStyle name="백분율 6 4 5 2 3 2 3" xfId="28971"/>
    <cellStyle name="백분율 6 4 5 2 3 2 4" xfId="28972"/>
    <cellStyle name="백분율 6 4 5 2 3 3" xfId="28973"/>
    <cellStyle name="백분율 6 4 5 2 3 3 2" xfId="28974"/>
    <cellStyle name="백분율 6 4 5 2 3 3 3" xfId="28975"/>
    <cellStyle name="백분율 6 4 5 2 3 4" xfId="28976"/>
    <cellStyle name="백분율 6 4 5 2 3 5" xfId="28977"/>
    <cellStyle name="백분율 6 4 5 2 4" xfId="28978"/>
    <cellStyle name="백분율 6 4 5 2 4 2" xfId="28979"/>
    <cellStyle name="백분율 6 4 5 2 4 2 2" xfId="28980"/>
    <cellStyle name="백분율 6 4 5 2 4 2 3" xfId="28981"/>
    <cellStyle name="백분율 6 4 5 2 4 3" xfId="28982"/>
    <cellStyle name="백분율 6 4 5 2 4 4" xfId="28983"/>
    <cellStyle name="백분율 6 4 5 2 5" xfId="28984"/>
    <cellStyle name="백분율 6 4 5 2 5 2" xfId="28985"/>
    <cellStyle name="백분율 6 4 5 2 5 3" xfId="28986"/>
    <cellStyle name="백분율 6 4 5 2 6" xfId="28987"/>
    <cellStyle name="백분율 6 4 5 2 7" xfId="28988"/>
    <cellStyle name="백분율 6 4 5 3" xfId="28989"/>
    <cellStyle name="백분율 6 4 5 3 2" xfId="28990"/>
    <cellStyle name="백분율 6 4 5 3 2 2" xfId="28991"/>
    <cellStyle name="백분율 6 4 5 3 2 2 2" xfId="28992"/>
    <cellStyle name="백분율 6 4 5 3 2 2 2 2" xfId="28993"/>
    <cellStyle name="백분율 6 4 5 3 2 2 2 3" xfId="28994"/>
    <cellStyle name="백분율 6 4 5 3 2 2 3" xfId="28995"/>
    <cellStyle name="백분율 6 4 5 3 2 2 4" xfId="28996"/>
    <cellStyle name="백분율 6 4 5 3 2 3" xfId="28997"/>
    <cellStyle name="백분율 6 4 5 3 2 3 2" xfId="28998"/>
    <cellStyle name="백분율 6 4 5 3 2 3 3" xfId="28999"/>
    <cellStyle name="백분율 6 4 5 3 2 4" xfId="29000"/>
    <cellStyle name="백분율 6 4 5 3 2 5" xfId="29001"/>
    <cellStyle name="백분율 6 4 5 3 3" xfId="29002"/>
    <cellStyle name="백분율 6 4 5 3 3 2" xfId="29003"/>
    <cellStyle name="백분율 6 4 5 3 3 2 2" xfId="29004"/>
    <cellStyle name="백분율 6 4 5 3 3 2 2 2" xfId="29005"/>
    <cellStyle name="백분율 6 4 5 3 3 2 2 3" xfId="29006"/>
    <cellStyle name="백분율 6 4 5 3 3 2 3" xfId="29007"/>
    <cellStyle name="백분율 6 4 5 3 3 2 4" xfId="29008"/>
    <cellStyle name="백분율 6 4 5 3 3 3" xfId="29009"/>
    <cellStyle name="백분율 6 4 5 3 3 3 2" xfId="29010"/>
    <cellStyle name="백분율 6 4 5 3 3 3 3" xfId="29011"/>
    <cellStyle name="백분율 6 4 5 3 3 4" xfId="29012"/>
    <cellStyle name="백분율 6 4 5 3 3 5" xfId="29013"/>
    <cellStyle name="백분율 6 4 5 3 4" xfId="29014"/>
    <cellStyle name="백분율 6 4 5 3 4 2" xfId="29015"/>
    <cellStyle name="백분율 6 4 5 3 4 2 2" xfId="29016"/>
    <cellStyle name="백분율 6 4 5 3 4 2 3" xfId="29017"/>
    <cellStyle name="백분율 6 4 5 3 4 3" xfId="29018"/>
    <cellStyle name="백분율 6 4 5 3 4 4" xfId="29019"/>
    <cellStyle name="백분율 6 4 5 3 5" xfId="29020"/>
    <cellStyle name="백분율 6 4 5 3 5 2" xfId="29021"/>
    <cellStyle name="백분율 6 4 5 3 5 3" xfId="29022"/>
    <cellStyle name="백분율 6 4 5 3 6" xfId="29023"/>
    <cellStyle name="백분율 6 4 5 3 7" xfId="29024"/>
    <cellStyle name="백분율 6 4 5 4" xfId="29025"/>
    <cellStyle name="백분율 6 4 5 4 2" xfId="29026"/>
    <cellStyle name="백분율 6 4 5 4 2 2" xfId="29027"/>
    <cellStyle name="백분율 6 4 5 4 2 2 2" xfId="29028"/>
    <cellStyle name="백분율 6 4 5 4 2 2 3" xfId="29029"/>
    <cellStyle name="백분율 6 4 5 4 2 3" xfId="29030"/>
    <cellStyle name="백분율 6 4 5 4 2 4" xfId="29031"/>
    <cellStyle name="백분율 6 4 5 4 3" xfId="29032"/>
    <cellStyle name="백분율 6 4 5 4 3 2" xfId="29033"/>
    <cellStyle name="백분율 6 4 5 4 3 3" xfId="29034"/>
    <cellStyle name="백분율 6 4 5 4 4" xfId="29035"/>
    <cellStyle name="백분율 6 4 5 4 5" xfId="29036"/>
    <cellStyle name="백분율 6 4 5 5" xfId="29037"/>
    <cellStyle name="백분율 6 4 5 5 2" xfId="29038"/>
    <cellStyle name="백분율 6 4 5 5 2 2" xfId="29039"/>
    <cellStyle name="백분율 6 4 5 5 2 2 2" xfId="29040"/>
    <cellStyle name="백분율 6 4 5 5 2 2 3" xfId="29041"/>
    <cellStyle name="백분율 6 4 5 5 2 3" xfId="29042"/>
    <cellStyle name="백분율 6 4 5 5 2 4" xfId="29043"/>
    <cellStyle name="백분율 6 4 5 5 3" xfId="29044"/>
    <cellStyle name="백분율 6 4 5 5 3 2" xfId="29045"/>
    <cellStyle name="백분율 6 4 5 5 3 3" xfId="29046"/>
    <cellStyle name="백분율 6 4 5 5 4" xfId="29047"/>
    <cellStyle name="백분율 6 4 5 5 5" xfId="29048"/>
    <cellStyle name="백분율 6 4 5 6" xfId="29049"/>
    <cellStyle name="백분율 6 4 5 6 2" xfId="29050"/>
    <cellStyle name="백분율 6 4 5 6 2 2" xfId="29051"/>
    <cellStyle name="백분율 6 4 5 6 2 2 2" xfId="29052"/>
    <cellStyle name="백분율 6 4 5 6 2 2 3" xfId="29053"/>
    <cellStyle name="백분율 6 4 5 6 2 3" xfId="29054"/>
    <cellStyle name="백분율 6 4 5 6 2 4" xfId="29055"/>
    <cellStyle name="백분율 6 4 5 6 3" xfId="29056"/>
    <cellStyle name="백분율 6 4 5 6 3 2" xfId="29057"/>
    <cellStyle name="백분율 6 4 5 6 3 3" xfId="29058"/>
    <cellStyle name="백분율 6 4 5 6 4" xfId="29059"/>
    <cellStyle name="백분율 6 4 5 6 5" xfId="29060"/>
    <cellStyle name="백분율 6 4 5 7" xfId="29061"/>
    <cellStyle name="백분율 6 4 5 7 2" xfId="29062"/>
    <cellStyle name="백분율 6 4 5 7 2 2" xfId="29063"/>
    <cellStyle name="백분율 6 4 5 7 2 3" xfId="29064"/>
    <cellStyle name="백분율 6 4 5 7 3" xfId="29065"/>
    <cellStyle name="백분율 6 4 5 7 4" xfId="29066"/>
    <cellStyle name="백분율 6 4 5 8" xfId="29067"/>
    <cellStyle name="백분율 6 4 5 8 2" xfId="29068"/>
    <cellStyle name="백분율 6 4 5 8 3" xfId="29069"/>
    <cellStyle name="백분율 6 4 5 9" xfId="29070"/>
    <cellStyle name="백분율 6 4 6" xfId="29071"/>
    <cellStyle name="백분율 6 4 6 2" xfId="29072"/>
    <cellStyle name="백분율 6 4 6 2 2" xfId="29073"/>
    <cellStyle name="백분율 6 4 6 2 2 2" xfId="29074"/>
    <cellStyle name="백분율 6 4 6 2 2 2 2" xfId="29075"/>
    <cellStyle name="백분율 6 4 6 2 2 2 3" xfId="29076"/>
    <cellStyle name="백분율 6 4 6 2 2 3" xfId="29077"/>
    <cellStyle name="백분율 6 4 6 2 2 4" xfId="29078"/>
    <cellStyle name="백분율 6 4 6 2 3" xfId="29079"/>
    <cellStyle name="백분율 6 4 6 2 3 2" xfId="29080"/>
    <cellStyle name="백분율 6 4 6 2 3 3" xfId="29081"/>
    <cellStyle name="백분율 6 4 6 2 4" xfId="29082"/>
    <cellStyle name="백분율 6 4 6 2 5" xfId="29083"/>
    <cellStyle name="백분율 6 4 6 3" xfId="29084"/>
    <cellStyle name="백분율 6 4 6 3 2" xfId="29085"/>
    <cellStyle name="백분율 6 4 6 3 2 2" xfId="29086"/>
    <cellStyle name="백분율 6 4 6 3 2 2 2" xfId="29087"/>
    <cellStyle name="백분율 6 4 6 3 2 2 3" xfId="29088"/>
    <cellStyle name="백분율 6 4 6 3 2 3" xfId="29089"/>
    <cellStyle name="백분율 6 4 6 3 2 4" xfId="29090"/>
    <cellStyle name="백분율 6 4 6 3 3" xfId="29091"/>
    <cellStyle name="백분율 6 4 6 3 3 2" xfId="29092"/>
    <cellStyle name="백분율 6 4 6 3 3 3" xfId="29093"/>
    <cellStyle name="백분율 6 4 6 3 4" xfId="29094"/>
    <cellStyle name="백분율 6 4 6 3 5" xfId="29095"/>
    <cellStyle name="백분율 6 4 6 4" xfId="29096"/>
    <cellStyle name="백분율 6 4 6 4 2" xfId="29097"/>
    <cellStyle name="백분율 6 4 6 4 2 2" xfId="29098"/>
    <cellStyle name="백분율 6 4 6 4 2 3" xfId="29099"/>
    <cellStyle name="백분율 6 4 6 4 3" xfId="29100"/>
    <cellStyle name="백분율 6 4 6 4 4" xfId="29101"/>
    <cellStyle name="백분율 6 4 6 5" xfId="29102"/>
    <cellStyle name="백분율 6 4 6 5 2" xfId="29103"/>
    <cellStyle name="백분율 6 4 6 5 3" xfId="29104"/>
    <cellStyle name="백분율 6 4 6 6" xfId="29105"/>
    <cellStyle name="백분율 6 4 6 7" xfId="29106"/>
    <cellStyle name="백분율 6 4 7" xfId="29107"/>
    <cellStyle name="백분율 6 4 7 2" xfId="29108"/>
    <cellStyle name="백분율 6 4 7 2 2" xfId="29109"/>
    <cellStyle name="백분율 6 4 7 2 2 2" xfId="29110"/>
    <cellStyle name="백분율 6 4 7 2 2 2 2" xfId="29111"/>
    <cellStyle name="백분율 6 4 7 2 2 2 3" xfId="29112"/>
    <cellStyle name="백분율 6 4 7 2 2 3" xfId="29113"/>
    <cellStyle name="백분율 6 4 7 2 2 4" xfId="29114"/>
    <cellStyle name="백분율 6 4 7 2 3" xfId="29115"/>
    <cellStyle name="백분율 6 4 7 2 3 2" xfId="29116"/>
    <cellStyle name="백분율 6 4 7 2 3 3" xfId="29117"/>
    <cellStyle name="백분율 6 4 7 2 4" xfId="29118"/>
    <cellStyle name="백분율 6 4 7 2 5" xfId="29119"/>
    <cellStyle name="백분율 6 4 7 3" xfId="29120"/>
    <cellStyle name="백분율 6 4 7 3 2" xfId="29121"/>
    <cellStyle name="백분율 6 4 7 3 2 2" xfId="29122"/>
    <cellStyle name="백분율 6 4 7 3 2 2 2" xfId="29123"/>
    <cellStyle name="백분율 6 4 7 3 2 2 3" xfId="29124"/>
    <cellStyle name="백분율 6 4 7 3 2 3" xfId="29125"/>
    <cellStyle name="백분율 6 4 7 3 2 4" xfId="29126"/>
    <cellStyle name="백분율 6 4 7 3 3" xfId="29127"/>
    <cellStyle name="백분율 6 4 7 3 3 2" xfId="29128"/>
    <cellStyle name="백분율 6 4 7 3 3 3" xfId="29129"/>
    <cellStyle name="백분율 6 4 7 3 4" xfId="29130"/>
    <cellStyle name="백분율 6 4 7 3 5" xfId="29131"/>
    <cellStyle name="백분율 6 4 7 4" xfId="29132"/>
    <cellStyle name="백분율 6 4 7 4 2" xfId="29133"/>
    <cellStyle name="백분율 6 4 7 4 2 2" xfId="29134"/>
    <cellStyle name="백분율 6 4 7 4 2 3" xfId="29135"/>
    <cellStyle name="백분율 6 4 7 4 3" xfId="29136"/>
    <cellStyle name="백분율 6 4 7 4 4" xfId="29137"/>
    <cellStyle name="백분율 6 4 7 5" xfId="29138"/>
    <cellStyle name="백분율 6 4 7 5 2" xfId="29139"/>
    <cellStyle name="백분율 6 4 7 5 3" xfId="29140"/>
    <cellStyle name="백분율 6 4 7 6" xfId="29141"/>
    <cellStyle name="백분율 6 4 7 7" xfId="29142"/>
    <cellStyle name="백분율 6 4 8" xfId="29143"/>
    <cellStyle name="백분율 6 4 8 2" xfId="29144"/>
    <cellStyle name="백분율 6 4 8 2 2" xfId="29145"/>
    <cellStyle name="백분율 6 4 8 2 2 2" xfId="29146"/>
    <cellStyle name="백분율 6 4 8 2 2 3" xfId="29147"/>
    <cellStyle name="백분율 6 4 8 2 3" xfId="29148"/>
    <cellStyle name="백분율 6 4 8 2 4" xfId="29149"/>
    <cellStyle name="백분율 6 4 8 3" xfId="29150"/>
    <cellStyle name="백분율 6 4 8 3 2" xfId="29151"/>
    <cellStyle name="백분율 6 4 8 3 3" xfId="29152"/>
    <cellStyle name="백분율 6 4 8 4" xfId="29153"/>
    <cellStyle name="백분율 6 4 8 5" xfId="29154"/>
    <cellStyle name="백분율 6 4 9" xfId="29155"/>
    <cellStyle name="백분율 6 4 9 2" xfId="29156"/>
    <cellStyle name="백분율 6 4 9 2 2" xfId="29157"/>
    <cellStyle name="백분율 6 4 9 2 2 2" xfId="29158"/>
    <cellStyle name="백분율 6 4 9 2 2 3" xfId="29159"/>
    <cellStyle name="백분율 6 4 9 2 3" xfId="29160"/>
    <cellStyle name="백분율 6 4 9 2 4" xfId="29161"/>
    <cellStyle name="백분율 6 4 9 3" xfId="29162"/>
    <cellStyle name="백분율 6 4 9 3 2" xfId="29163"/>
    <cellStyle name="백분율 6 4 9 3 3" xfId="29164"/>
    <cellStyle name="백분율 6 4 9 4" xfId="29165"/>
    <cellStyle name="백분율 6 4 9 5" xfId="29166"/>
    <cellStyle name="백분율 6 5" xfId="29167"/>
    <cellStyle name="백분율 6 5 10" xfId="29168"/>
    <cellStyle name="백분율 6 5 10 2" xfId="29169"/>
    <cellStyle name="백분율 6 5 10 2 2" xfId="29170"/>
    <cellStyle name="백분율 6 5 10 2 3" xfId="29171"/>
    <cellStyle name="백분율 6 5 10 3" xfId="29172"/>
    <cellStyle name="백분율 6 5 10 4" xfId="29173"/>
    <cellStyle name="백분율 6 5 11" xfId="29174"/>
    <cellStyle name="백분율 6 5 11 2" xfId="29175"/>
    <cellStyle name="백분율 6 5 11 3" xfId="29176"/>
    <cellStyle name="백분율 6 5 12" xfId="29177"/>
    <cellStyle name="백분율 6 5 13" xfId="29178"/>
    <cellStyle name="백분율 6 5 2" xfId="29179"/>
    <cellStyle name="백분율 6 5 2 10" xfId="29180"/>
    <cellStyle name="백분율 6 5 2 2" xfId="29181"/>
    <cellStyle name="백분율 6 5 2 2 2" xfId="29182"/>
    <cellStyle name="백분율 6 5 2 2 2 2" xfId="29183"/>
    <cellStyle name="백분율 6 5 2 2 2 2 2" xfId="29184"/>
    <cellStyle name="백분율 6 5 2 2 2 2 2 2" xfId="29185"/>
    <cellStyle name="백분율 6 5 2 2 2 2 2 3" xfId="29186"/>
    <cellStyle name="백분율 6 5 2 2 2 2 3" xfId="29187"/>
    <cellStyle name="백분율 6 5 2 2 2 2 4" xfId="29188"/>
    <cellStyle name="백분율 6 5 2 2 2 3" xfId="29189"/>
    <cellStyle name="백분율 6 5 2 2 2 3 2" xfId="29190"/>
    <cellStyle name="백분율 6 5 2 2 2 3 3" xfId="29191"/>
    <cellStyle name="백분율 6 5 2 2 2 4" xfId="29192"/>
    <cellStyle name="백분율 6 5 2 2 2 5" xfId="29193"/>
    <cellStyle name="백분율 6 5 2 2 3" xfId="29194"/>
    <cellStyle name="백분율 6 5 2 2 3 2" xfId="29195"/>
    <cellStyle name="백분율 6 5 2 2 3 2 2" xfId="29196"/>
    <cellStyle name="백분율 6 5 2 2 3 2 2 2" xfId="29197"/>
    <cellStyle name="백분율 6 5 2 2 3 2 2 3" xfId="29198"/>
    <cellStyle name="백분율 6 5 2 2 3 2 3" xfId="29199"/>
    <cellStyle name="백분율 6 5 2 2 3 2 4" xfId="29200"/>
    <cellStyle name="백분율 6 5 2 2 3 3" xfId="29201"/>
    <cellStyle name="백분율 6 5 2 2 3 3 2" xfId="29202"/>
    <cellStyle name="백분율 6 5 2 2 3 3 3" xfId="29203"/>
    <cellStyle name="백분율 6 5 2 2 3 4" xfId="29204"/>
    <cellStyle name="백분율 6 5 2 2 3 5" xfId="29205"/>
    <cellStyle name="백분율 6 5 2 2 4" xfId="29206"/>
    <cellStyle name="백분율 6 5 2 2 4 2" xfId="29207"/>
    <cellStyle name="백분율 6 5 2 2 4 2 2" xfId="29208"/>
    <cellStyle name="백분율 6 5 2 2 4 2 3" xfId="29209"/>
    <cellStyle name="백분율 6 5 2 2 4 3" xfId="29210"/>
    <cellStyle name="백분율 6 5 2 2 4 4" xfId="29211"/>
    <cellStyle name="백분율 6 5 2 2 5" xfId="29212"/>
    <cellStyle name="백분율 6 5 2 2 5 2" xfId="29213"/>
    <cellStyle name="백분율 6 5 2 2 5 3" xfId="29214"/>
    <cellStyle name="백분율 6 5 2 2 6" xfId="29215"/>
    <cellStyle name="백분율 6 5 2 2 7" xfId="29216"/>
    <cellStyle name="백분율 6 5 2 3" xfId="29217"/>
    <cellStyle name="백분율 6 5 2 3 2" xfId="29218"/>
    <cellStyle name="백분율 6 5 2 3 2 2" xfId="29219"/>
    <cellStyle name="백분율 6 5 2 3 2 2 2" xfId="29220"/>
    <cellStyle name="백분율 6 5 2 3 2 2 2 2" xfId="29221"/>
    <cellStyle name="백분율 6 5 2 3 2 2 2 3" xfId="29222"/>
    <cellStyle name="백분율 6 5 2 3 2 2 3" xfId="29223"/>
    <cellStyle name="백분율 6 5 2 3 2 2 4" xfId="29224"/>
    <cellStyle name="백분율 6 5 2 3 2 3" xfId="29225"/>
    <cellStyle name="백분율 6 5 2 3 2 3 2" xfId="29226"/>
    <cellStyle name="백분율 6 5 2 3 2 3 3" xfId="29227"/>
    <cellStyle name="백분율 6 5 2 3 2 4" xfId="29228"/>
    <cellStyle name="백분율 6 5 2 3 2 5" xfId="29229"/>
    <cellStyle name="백분율 6 5 2 3 3" xfId="29230"/>
    <cellStyle name="백분율 6 5 2 3 3 2" xfId="29231"/>
    <cellStyle name="백분율 6 5 2 3 3 2 2" xfId="29232"/>
    <cellStyle name="백분율 6 5 2 3 3 2 2 2" xfId="29233"/>
    <cellStyle name="백분율 6 5 2 3 3 2 2 3" xfId="29234"/>
    <cellStyle name="백분율 6 5 2 3 3 2 3" xfId="29235"/>
    <cellStyle name="백분율 6 5 2 3 3 2 4" xfId="29236"/>
    <cellStyle name="백분율 6 5 2 3 3 3" xfId="29237"/>
    <cellStyle name="백분율 6 5 2 3 3 3 2" xfId="29238"/>
    <cellStyle name="백분율 6 5 2 3 3 3 3" xfId="29239"/>
    <cellStyle name="백분율 6 5 2 3 3 4" xfId="29240"/>
    <cellStyle name="백분율 6 5 2 3 3 5" xfId="29241"/>
    <cellStyle name="백분율 6 5 2 3 4" xfId="29242"/>
    <cellStyle name="백분율 6 5 2 3 4 2" xfId="29243"/>
    <cellStyle name="백분율 6 5 2 3 4 2 2" xfId="29244"/>
    <cellStyle name="백분율 6 5 2 3 4 2 3" xfId="29245"/>
    <cellStyle name="백분율 6 5 2 3 4 3" xfId="29246"/>
    <cellStyle name="백분율 6 5 2 3 4 4" xfId="29247"/>
    <cellStyle name="백분율 6 5 2 3 5" xfId="29248"/>
    <cellStyle name="백분율 6 5 2 3 5 2" xfId="29249"/>
    <cellStyle name="백분율 6 5 2 3 5 3" xfId="29250"/>
    <cellStyle name="백분율 6 5 2 3 6" xfId="29251"/>
    <cellStyle name="백분율 6 5 2 3 7" xfId="29252"/>
    <cellStyle name="백분율 6 5 2 4" xfId="29253"/>
    <cellStyle name="백분율 6 5 2 4 2" xfId="29254"/>
    <cellStyle name="백분율 6 5 2 4 2 2" xfId="29255"/>
    <cellStyle name="백분율 6 5 2 4 2 2 2" xfId="29256"/>
    <cellStyle name="백분율 6 5 2 4 2 2 3" xfId="29257"/>
    <cellStyle name="백분율 6 5 2 4 2 3" xfId="29258"/>
    <cellStyle name="백분율 6 5 2 4 2 4" xfId="29259"/>
    <cellStyle name="백분율 6 5 2 4 3" xfId="29260"/>
    <cellStyle name="백분율 6 5 2 4 3 2" xfId="29261"/>
    <cellStyle name="백분율 6 5 2 4 3 3" xfId="29262"/>
    <cellStyle name="백분율 6 5 2 4 4" xfId="29263"/>
    <cellStyle name="백분율 6 5 2 4 5" xfId="29264"/>
    <cellStyle name="백분율 6 5 2 5" xfId="29265"/>
    <cellStyle name="백분율 6 5 2 5 2" xfId="29266"/>
    <cellStyle name="백분율 6 5 2 5 2 2" xfId="29267"/>
    <cellStyle name="백분율 6 5 2 5 2 2 2" xfId="29268"/>
    <cellStyle name="백분율 6 5 2 5 2 2 3" xfId="29269"/>
    <cellStyle name="백분율 6 5 2 5 2 3" xfId="29270"/>
    <cellStyle name="백분율 6 5 2 5 2 4" xfId="29271"/>
    <cellStyle name="백분율 6 5 2 5 3" xfId="29272"/>
    <cellStyle name="백분율 6 5 2 5 3 2" xfId="29273"/>
    <cellStyle name="백분율 6 5 2 5 3 3" xfId="29274"/>
    <cellStyle name="백분율 6 5 2 5 4" xfId="29275"/>
    <cellStyle name="백분율 6 5 2 5 5" xfId="29276"/>
    <cellStyle name="백분율 6 5 2 6" xfId="29277"/>
    <cellStyle name="백분율 6 5 2 6 2" xfId="29278"/>
    <cellStyle name="백분율 6 5 2 6 2 2" xfId="29279"/>
    <cellStyle name="백분율 6 5 2 6 2 2 2" xfId="29280"/>
    <cellStyle name="백분율 6 5 2 6 2 2 3" xfId="29281"/>
    <cellStyle name="백분율 6 5 2 6 2 3" xfId="29282"/>
    <cellStyle name="백분율 6 5 2 6 2 4" xfId="29283"/>
    <cellStyle name="백분율 6 5 2 6 3" xfId="29284"/>
    <cellStyle name="백분율 6 5 2 6 3 2" xfId="29285"/>
    <cellStyle name="백분율 6 5 2 6 3 3" xfId="29286"/>
    <cellStyle name="백분율 6 5 2 6 4" xfId="29287"/>
    <cellStyle name="백분율 6 5 2 6 5" xfId="29288"/>
    <cellStyle name="백분율 6 5 2 7" xfId="29289"/>
    <cellStyle name="백분율 6 5 2 7 2" xfId="29290"/>
    <cellStyle name="백분율 6 5 2 7 2 2" xfId="29291"/>
    <cellStyle name="백분율 6 5 2 7 2 3" xfId="29292"/>
    <cellStyle name="백분율 6 5 2 7 3" xfId="29293"/>
    <cellStyle name="백분율 6 5 2 7 4" xfId="29294"/>
    <cellStyle name="백분율 6 5 2 8" xfId="29295"/>
    <cellStyle name="백분율 6 5 2 8 2" xfId="29296"/>
    <cellStyle name="백분율 6 5 2 8 3" xfId="29297"/>
    <cellStyle name="백분율 6 5 2 9" xfId="29298"/>
    <cellStyle name="백분율 6 5 3" xfId="29299"/>
    <cellStyle name="백분율 6 5 3 10" xfId="29300"/>
    <cellStyle name="백분율 6 5 3 2" xfId="29301"/>
    <cellStyle name="백분율 6 5 3 2 2" xfId="29302"/>
    <cellStyle name="백분율 6 5 3 2 2 2" xfId="29303"/>
    <cellStyle name="백분율 6 5 3 2 2 2 2" xfId="29304"/>
    <cellStyle name="백분율 6 5 3 2 2 2 2 2" xfId="29305"/>
    <cellStyle name="백분율 6 5 3 2 2 2 2 3" xfId="29306"/>
    <cellStyle name="백분율 6 5 3 2 2 2 3" xfId="29307"/>
    <cellStyle name="백분율 6 5 3 2 2 2 4" xfId="29308"/>
    <cellStyle name="백분율 6 5 3 2 2 3" xfId="29309"/>
    <cellStyle name="백분율 6 5 3 2 2 3 2" xfId="29310"/>
    <cellStyle name="백분율 6 5 3 2 2 3 3" xfId="29311"/>
    <cellStyle name="백분율 6 5 3 2 2 4" xfId="29312"/>
    <cellStyle name="백분율 6 5 3 2 2 5" xfId="29313"/>
    <cellStyle name="백분율 6 5 3 2 3" xfId="29314"/>
    <cellStyle name="백분율 6 5 3 2 3 2" xfId="29315"/>
    <cellStyle name="백분율 6 5 3 2 3 2 2" xfId="29316"/>
    <cellStyle name="백분율 6 5 3 2 3 2 2 2" xfId="29317"/>
    <cellStyle name="백분율 6 5 3 2 3 2 2 3" xfId="29318"/>
    <cellStyle name="백분율 6 5 3 2 3 2 3" xfId="29319"/>
    <cellStyle name="백분율 6 5 3 2 3 2 4" xfId="29320"/>
    <cellStyle name="백분율 6 5 3 2 3 3" xfId="29321"/>
    <cellStyle name="백분율 6 5 3 2 3 3 2" xfId="29322"/>
    <cellStyle name="백분율 6 5 3 2 3 3 3" xfId="29323"/>
    <cellStyle name="백분율 6 5 3 2 3 4" xfId="29324"/>
    <cellStyle name="백분율 6 5 3 2 3 5" xfId="29325"/>
    <cellStyle name="백분율 6 5 3 2 4" xfId="29326"/>
    <cellStyle name="백분율 6 5 3 2 4 2" xfId="29327"/>
    <cellStyle name="백분율 6 5 3 2 4 2 2" xfId="29328"/>
    <cellStyle name="백분율 6 5 3 2 4 2 3" xfId="29329"/>
    <cellStyle name="백분율 6 5 3 2 4 3" xfId="29330"/>
    <cellStyle name="백분율 6 5 3 2 4 4" xfId="29331"/>
    <cellStyle name="백분율 6 5 3 2 5" xfId="29332"/>
    <cellStyle name="백분율 6 5 3 2 5 2" xfId="29333"/>
    <cellStyle name="백분율 6 5 3 2 5 3" xfId="29334"/>
    <cellStyle name="백분율 6 5 3 2 6" xfId="29335"/>
    <cellStyle name="백분율 6 5 3 2 7" xfId="29336"/>
    <cellStyle name="백분율 6 5 3 3" xfId="29337"/>
    <cellStyle name="백분율 6 5 3 3 2" xfId="29338"/>
    <cellStyle name="백분율 6 5 3 3 2 2" xfId="29339"/>
    <cellStyle name="백분율 6 5 3 3 2 2 2" xfId="29340"/>
    <cellStyle name="백분율 6 5 3 3 2 2 2 2" xfId="29341"/>
    <cellStyle name="백분율 6 5 3 3 2 2 2 3" xfId="29342"/>
    <cellStyle name="백분율 6 5 3 3 2 2 3" xfId="29343"/>
    <cellStyle name="백분율 6 5 3 3 2 2 4" xfId="29344"/>
    <cellStyle name="백분율 6 5 3 3 2 3" xfId="29345"/>
    <cellStyle name="백분율 6 5 3 3 2 3 2" xfId="29346"/>
    <cellStyle name="백분율 6 5 3 3 2 3 3" xfId="29347"/>
    <cellStyle name="백분율 6 5 3 3 2 4" xfId="29348"/>
    <cellStyle name="백분율 6 5 3 3 2 5" xfId="29349"/>
    <cellStyle name="백분율 6 5 3 3 3" xfId="29350"/>
    <cellStyle name="백분율 6 5 3 3 3 2" xfId="29351"/>
    <cellStyle name="백분율 6 5 3 3 3 2 2" xfId="29352"/>
    <cellStyle name="백분율 6 5 3 3 3 2 2 2" xfId="29353"/>
    <cellStyle name="백분율 6 5 3 3 3 2 2 3" xfId="29354"/>
    <cellStyle name="백분율 6 5 3 3 3 2 3" xfId="29355"/>
    <cellStyle name="백분율 6 5 3 3 3 2 4" xfId="29356"/>
    <cellStyle name="백분율 6 5 3 3 3 3" xfId="29357"/>
    <cellStyle name="백분율 6 5 3 3 3 3 2" xfId="29358"/>
    <cellStyle name="백분율 6 5 3 3 3 3 3" xfId="29359"/>
    <cellStyle name="백분율 6 5 3 3 3 4" xfId="29360"/>
    <cellStyle name="백분율 6 5 3 3 3 5" xfId="29361"/>
    <cellStyle name="백분율 6 5 3 3 4" xfId="29362"/>
    <cellStyle name="백분율 6 5 3 3 4 2" xfId="29363"/>
    <cellStyle name="백분율 6 5 3 3 4 2 2" xfId="29364"/>
    <cellStyle name="백분율 6 5 3 3 4 2 3" xfId="29365"/>
    <cellStyle name="백분율 6 5 3 3 4 3" xfId="29366"/>
    <cellStyle name="백분율 6 5 3 3 4 4" xfId="29367"/>
    <cellStyle name="백분율 6 5 3 3 5" xfId="29368"/>
    <cellStyle name="백분율 6 5 3 3 5 2" xfId="29369"/>
    <cellStyle name="백분율 6 5 3 3 5 3" xfId="29370"/>
    <cellStyle name="백분율 6 5 3 3 6" xfId="29371"/>
    <cellStyle name="백분율 6 5 3 3 7" xfId="29372"/>
    <cellStyle name="백분율 6 5 3 4" xfId="29373"/>
    <cellStyle name="백분율 6 5 3 4 2" xfId="29374"/>
    <cellStyle name="백분율 6 5 3 4 2 2" xfId="29375"/>
    <cellStyle name="백분율 6 5 3 4 2 2 2" xfId="29376"/>
    <cellStyle name="백분율 6 5 3 4 2 2 3" xfId="29377"/>
    <cellStyle name="백분율 6 5 3 4 2 3" xfId="29378"/>
    <cellStyle name="백분율 6 5 3 4 2 4" xfId="29379"/>
    <cellStyle name="백분율 6 5 3 4 3" xfId="29380"/>
    <cellStyle name="백분율 6 5 3 4 3 2" xfId="29381"/>
    <cellStyle name="백분율 6 5 3 4 3 3" xfId="29382"/>
    <cellStyle name="백분율 6 5 3 4 4" xfId="29383"/>
    <cellStyle name="백분율 6 5 3 4 5" xfId="29384"/>
    <cellStyle name="백분율 6 5 3 5" xfId="29385"/>
    <cellStyle name="백분율 6 5 3 5 2" xfId="29386"/>
    <cellStyle name="백분율 6 5 3 5 2 2" xfId="29387"/>
    <cellStyle name="백분율 6 5 3 5 2 2 2" xfId="29388"/>
    <cellStyle name="백분율 6 5 3 5 2 2 3" xfId="29389"/>
    <cellStyle name="백분율 6 5 3 5 2 3" xfId="29390"/>
    <cellStyle name="백분율 6 5 3 5 2 4" xfId="29391"/>
    <cellStyle name="백분율 6 5 3 5 3" xfId="29392"/>
    <cellStyle name="백분율 6 5 3 5 3 2" xfId="29393"/>
    <cellStyle name="백분율 6 5 3 5 3 3" xfId="29394"/>
    <cellStyle name="백분율 6 5 3 5 4" xfId="29395"/>
    <cellStyle name="백분율 6 5 3 5 5" xfId="29396"/>
    <cellStyle name="백분율 6 5 3 6" xfId="29397"/>
    <cellStyle name="백분율 6 5 3 6 2" xfId="29398"/>
    <cellStyle name="백분율 6 5 3 6 2 2" xfId="29399"/>
    <cellStyle name="백분율 6 5 3 6 2 2 2" xfId="29400"/>
    <cellStyle name="백분율 6 5 3 6 2 2 3" xfId="29401"/>
    <cellStyle name="백분율 6 5 3 6 2 3" xfId="29402"/>
    <cellStyle name="백분율 6 5 3 6 2 4" xfId="29403"/>
    <cellStyle name="백분율 6 5 3 6 3" xfId="29404"/>
    <cellStyle name="백분율 6 5 3 6 3 2" xfId="29405"/>
    <cellStyle name="백분율 6 5 3 6 3 3" xfId="29406"/>
    <cellStyle name="백분율 6 5 3 6 4" xfId="29407"/>
    <cellStyle name="백분율 6 5 3 6 5" xfId="29408"/>
    <cellStyle name="백분율 6 5 3 7" xfId="29409"/>
    <cellStyle name="백분율 6 5 3 7 2" xfId="29410"/>
    <cellStyle name="백분율 6 5 3 7 2 2" xfId="29411"/>
    <cellStyle name="백분율 6 5 3 7 2 3" xfId="29412"/>
    <cellStyle name="백분율 6 5 3 7 3" xfId="29413"/>
    <cellStyle name="백분율 6 5 3 7 4" xfId="29414"/>
    <cellStyle name="백분율 6 5 3 8" xfId="29415"/>
    <cellStyle name="백분율 6 5 3 8 2" xfId="29416"/>
    <cellStyle name="백분율 6 5 3 8 3" xfId="29417"/>
    <cellStyle name="백분율 6 5 3 9" xfId="29418"/>
    <cellStyle name="백분율 6 5 4" xfId="29419"/>
    <cellStyle name="백분율 6 5 4 10" xfId="29420"/>
    <cellStyle name="백분율 6 5 4 2" xfId="29421"/>
    <cellStyle name="백분율 6 5 4 2 2" xfId="29422"/>
    <cellStyle name="백분율 6 5 4 2 2 2" xfId="29423"/>
    <cellStyle name="백분율 6 5 4 2 2 2 2" xfId="29424"/>
    <cellStyle name="백분율 6 5 4 2 2 2 2 2" xfId="29425"/>
    <cellStyle name="백분율 6 5 4 2 2 2 2 3" xfId="29426"/>
    <cellStyle name="백분율 6 5 4 2 2 2 3" xfId="29427"/>
    <cellStyle name="백분율 6 5 4 2 2 2 4" xfId="29428"/>
    <cellStyle name="백분율 6 5 4 2 2 3" xfId="29429"/>
    <cellStyle name="백분율 6 5 4 2 2 3 2" xfId="29430"/>
    <cellStyle name="백분율 6 5 4 2 2 3 3" xfId="29431"/>
    <cellStyle name="백분율 6 5 4 2 2 4" xfId="29432"/>
    <cellStyle name="백분율 6 5 4 2 2 5" xfId="29433"/>
    <cellStyle name="백분율 6 5 4 2 3" xfId="29434"/>
    <cellStyle name="백분율 6 5 4 2 3 2" xfId="29435"/>
    <cellStyle name="백분율 6 5 4 2 3 2 2" xfId="29436"/>
    <cellStyle name="백분율 6 5 4 2 3 2 2 2" xfId="29437"/>
    <cellStyle name="백분율 6 5 4 2 3 2 2 3" xfId="29438"/>
    <cellStyle name="백분율 6 5 4 2 3 2 3" xfId="29439"/>
    <cellStyle name="백분율 6 5 4 2 3 2 4" xfId="29440"/>
    <cellStyle name="백분율 6 5 4 2 3 3" xfId="29441"/>
    <cellStyle name="백분율 6 5 4 2 3 3 2" xfId="29442"/>
    <cellStyle name="백분율 6 5 4 2 3 3 3" xfId="29443"/>
    <cellStyle name="백분율 6 5 4 2 3 4" xfId="29444"/>
    <cellStyle name="백분율 6 5 4 2 3 5" xfId="29445"/>
    <cellStyle name="백분율 6 5 4 2 4" xfId="29446"/>
    <cellStyle name="백분율 6 5 4 2 4 2" xfId="29447"/>
    <cellStyle name="백분율 6 5 4 2 4 2 2" xfId="29448"/>
    <cellStyle name="백분율 6 5 4 2 4 2 3" xfId="29449"/>
    <cellStyle name="백분율 6 5 4 2 4 3" xfId="29450"/>
    <cellStyle name="백분율 6 5 4 2 4 4" xfId="29451"/>
    <cellStyle name="백분율 6 5 4 2 5" xfId="29452"/>
    <cellStyle name="백분율 6 5 4 2 5 2" xfId="29453"/>
    <cellStyle name="백분율 6 5 4 2 5 3" xfId="29454"/>
    <cellStyle name="백분율 6 5 4 2 6" xfId="29455"/>
    <cellStyle name="백분율 6 5 4 2 7" xfId="29456"/>
    <cellStyle name="백분율 6 5 4 3" xfId="29457"/>
    <cellStyle name="백분율 6 5 4 3 2" xfId="29458"/>
    <cellStyle name="백분율 6 5 4 3 2 2" xfId="29459"/>
    <cellStyle name="백분율 6 5 4 3 2 2 2" xfId="29460"/>
    <cellStyle name="백분율 6 5 4 3 2 2 2 2" xfId="29461"/>
    <cellStyle name="백분율 6 5 4 3 2 2 2 3" xfId="29462"/>
    <cellStyle name="백분율 6 5 4 3 2 2 3" xfId="29463"/>
    <cellStyle name="백분율 6 5 4 3 2 2 4" xfId="29464"/>
    <cellStyle name="백분율 6 5 4 3 2 3" xfId="29465"/>
    <cellStyle name="백분율 6 5 4 3 2 3 2" xfId="29466"/>
    <cellStyle name="백분율 6 5 4 3 2 3 3" xfId="29467"/>
    <cellStyle name="백분율 6 5 4 3 2 4" xfId="29468"/>
    <cellStyle name="백분율 6 5 4 3 2 5" xfId="29469"/>
    <cellStyle name="백분율 6 5 4 3 3" xfId="29470"/>
    <cellStyle name="백분율 6 5 4 3 3 2" xfId="29471"/>
    <cellStyle name="백분율 6 5 4 3 3 2 2" xfId="29472"/>
    <cellStyle name="백분율 6 5 4 3 3 2 2 2" xfId="29473"/>
    <cellStyle name="백분율 6 5 4 3 3 2 2 3" xfId="29474"/>
    <cellStyle name="백분율 6 5 4 3 3 2 3" xfId="29475"/>
    <cellStyle name="백분율 6 5 4 3 3 2 4" xfId="29476"/>
    <cellStyle name="백분율 6 5 4 3 3 3" xfId="29477"/>
    <cellStyle name="백분율 6 5 4 3 3 3 2" xfId="29478"/>
    <cellStyle name="백분율 6 5 4 3 3 3 3" xfId="29479"/>
    <cellStyle name="백분율 6 5 4 3 3 4" xfId="29480"/>
    <cellStyle name="백분율 6 5 4 3 3 5" xfId="29481"/>
    <cellStyle name="백분율 6 5 4 3 4" xfId="29482"/>
    <cellStyle name="백분율 6 5 4 3 4 2" xfId="29483"/>
    <cellStyle name="백분율 6 5 4 3 4 2 2" xfId="29484"/>
    <cellStyle name="백분율 6 5 4 3 4 2 3" xfId="29485"/>
    <cellStyle name="백분율 6 5 4 3 4 3" xfId="29486"/>
    <cellStyle name="백분율 6 5 4 3 4 4" xfId="29487"/>
    <cellStyle name="백분율 6 5 4 3 5" xfId="29488"/>
    <cellStyle name="백분율 6 5 4 3 5 2" xfId="29489"/>
    <cellStyle name="백분율 6 5 4 3 5 3" xfId="29490"/>
    <cellStyle name="백분율 6 5 4 3 6" xfId="29491"/>
    <cellStyle name="백분율 6 5 4 3 7" xfId="29492"/>
    <cellStyle name="백분율 6 5 4 4" xfId="29493"/>
    <cellStyle name="백분율 6 5 4 4 2" xfId="29494"/>
    <cellStyle name="백분율 6 5 4 4 2 2" xfId="29495"/>
    <cellStyle name="백분율 6 5 4 4 2 2 2" xfId="29496"/>
    <cellStyle name="백분율 6 5 4 4 2 2 3" xfId="29497"/>
    <cellStyle name="백분율 6 5 4 4 2 3" xfId="29498"/>
    <cellStyle name="백분율 6 5 4 4 2 4" xfId="29499"/>
    <cellStyle name="백분율 6 5 4 4 3" xfId="29500"/>
    <cellStyle name="백분율 6 5 4 4 3 2" xfId="29501"/>
    <cellStyle name="백분율 6 5 4 4 3 3" xfId="29502"/>
    <cellStyle name="백분율 6 5 4 4 4" xfId="29503"/>
    <cellStyle name="백분율 6 5 4 4 5" xfId="29504"/>
    <cellStyle name="백분율 6 5 4 5" xfId="29505"/>
    <cellStyle name="백분율 6 5 4 5 2" xfId="29506"/>
    <cellStyle name="백분율 6 5 4 5 2 2" xfId="29507"/>
    <cellStyle name="백분율 6 5 4 5 2 2 2" xfId="29508"/>
    <cellStyle name="백분율 6 5 4 5 2 2 3" xfId="29509"/>
    <cellStyle name="백분율 6 5 4 5 2 3" xfId="29510"/>
    <cellStyle name="백분율 6 5 4 5 2 4" xfId="29511"/>
    <cellStyle name="백분율 6 5 4 5 3" xfId="29512"/>
    <cellStyle name="백분율 6 5 4 5 3 2" xfId="29513"/>
    <cellStyle name="백분율 6 5 4 5 3 3" xfId="29514"/>
    <cellStyle name="백분율 6 5 4 5 4" xfId="29515"/>
    <cellStyle name="백분율 6 5 4 5 5" xfId="29516"/>
    <cellStyle name="백분율 6 5 4 6" xfId="29517"/>
    <cellStyle name="백분율 6 5 4 6 2" xfId="29518"/>
    <cellStyle name="백분율 6 5 4 6 2 2" xfId="29519"/>
    <cellStyle name="백분율 6 5 4 6 2 2 2" xfId="29520"/>
    <cellStyle name="백분율 6 5 4 6 2 2 3" xfId="29521"/>
    <cellStyle name="백분율 6 5 4 6 2 3" xfId="29522"/>
    <cellStyle name="백분율 6 5 4 6 2 4" xfId="29523"/>
    <cellStyle name="백분율 6 5 4 6 3" xfId="29524"/>
    <cellStyle name="백분율 6 5 4 6 3 2" xfId="29525"/>
    <cellStyle name="백분율 6 5 4 6 3 3" xfId="29526"/>
    <cellStyle name="백분율 6 5 4 6 4" xfId="29527"/>
    <cellStyle name="백분율 6 5 4 6 5" xfId="29528"/>
    <cellStyle name="백분율 6 5 4 7" xfId="29529"/>
    <cellStyle name="백분율 6 5 4 7 2" xfId="29530"/>
    <cellStyle name="백분율 6 5 4 7 2 2" xfId="29531"/>
    <cellStyle name="백분율 6 5 4 7 2 3" xfId="29532"/>
    <cellStyle name="백분율 6 5 4 7 3" xfId="29533"/>
    <cellStyle name="백분율 6 5 4 7 4" xfId="29534"/>
    <cellStyle name="백분율 6 5 4 8" xfId="29535"/>
    <cellStyle name="백분율 6 5 4 8 2" xfId="29536"/>
    <cellStyle name="백분율 6 5 4 8 3" xfId="29537"/>
    <cellStyle name="백분율 6 5 4 9" xfId="29538"/>
    <cellStyle name="백분율 6 5 5" xfId="29539"/>
    <cellStyle name="백분율 6 5 5 2" xfId="29540"/>
    <cellStyle name="백분율 6 5 5 2 2" xfId="29541"/>
    <cellStyle name="백분율 6 5 5 2 2 2" xfId="29542"/>
    <cellStyle name="백분율 6 5 5 2 2 2 2" xfId="29543"/>
    <cellStyle name="백분율 6 5 5 2 2 2 3" xfId="29544"/>
    <cellStyle name="백분율 6 5 5 2 2 3" xfId="29545"/>
    <cellStyle name="백분율 6 5 5 2 2 4" xfId="29546"/>
    <cellStyle name="백분율 6 5 5 2 3" xfId="29547"/>
    <cellStyle name="백분율 6 5 5 2 3 2" xfId="29548"/>
    <cellStyle name="백분율 6 5 5 2 3 3" xfId="29549"/>
    <cellStyle name="백분율 6 5 5 2 4" xfId="29550"/>
    <cellStyle name="백분율 6 5 5 2 5" xfId="29551"/>
    <cellStyle name="백분율 6 5 5 3" xfId="29552"/>
    <cellStyle name="백분율 6 5 5 3 2" xfId="29553"/>
    <cellStyle name="백분율 6 5 5 3 2 2" xfId="29554"/>
    <cellStyle name="백분율 6 5 5 3 2 2 2" xfId="29555"/>
    <cellStyle name="백분율 6 5 5 3 2 2 3" xfId="29556"/>
    <cellStyle name="백분율 6 5 5 3 2 3" xfId="29557"/>
    <cellStyle name="백분율 6 5 5 3 2 4" xfId="29558"/>
    <cellStyle name="백분율 6 5 5 3 3" xfId="29559"/>
    <cellStyle name="백분율 6 5 5 3 3 2" xfId="29560"/>
    <cellStyle name="백분율 6 5 5 3 3 3" xfId="29561"/>
    <cellStyle name="백분율 6 5 5 3 4" xfId="29562"/>
    <cellStyle name="백분율 6 5 5 3 5" xfId="29563"/>
    <cellStyle name="백분율 6 5 5 4" xfId="29564"/>
    <cellStyle name="백분율 6 5 5 4 2" xfId="29565"/>
    <cellStyle name="백분율 6 5 5 4 2 2" xfId="29566"/>
    <cellStyle name="백분율 6 5 5 4 2 3" xfId="29567"/>
    <cellStyle name="백분율 6 5 5 4 3" xfId="29568"/>
    <cellStyle name="백분율 6 5 5 4 4" xfId="29569"/>
    <cellStyle name="백분율 6 5 5 5" xfId="29570"/>
    <cellStyle name="백분율 6 5 5 5 2" xfId="29571"/>
    <cellStyle name="백분율 6 5 5 5 3" xfId="29572"/>
    <cellStyle name="백분율 6 5 5 6" xfId="29573"/>
    <cellStyle name="백분율 6 5 5 7" xfId="29574"/>
    <cellStyle name="백분율 6 5 6" xfId="29575"/>
    <cellStyle name="백분율 6 5 6 2" xfId="29576"/>
    <cellStyle name="백분율 6 5 6 2 2" xfId="29577"/>
    <cellStyle name="백분율 6 5 6 2 2 2" xfId="29578"/>
    <cellStyle name="백분율 6 5 6 2 2 2 2" xfId="29579"/>
    <cellStyle name="백분율 6 5 6 2 2 2 3" xfId="29580"/>
    <cellStyle name="백분율 6 5 6 2 2 3" xfId="29581"/>
    <cellStyle name="백분율 6 5 6 2 2 4" xfId="29582"/>
    <cellStyle name="백분율 6 5 6 2 3" xfId="29583"/>
    <cellStyle name="백분율 6 5 6 2 3 2" xfId="29584"/>
    <cellStyle name="백분율 6 5 6 2 3 3" xfId="29585"/>
    <cellStyle name="백분율 6 5 6 2 4" xfId="29586"/>
    <cellStyle name="백분율 6 5 6 2 5" xfId="29587"/>
    <cellStyle name="백분율 6 5 6 3" xfId="29588"/>
    <cellStyle name="백분율 6 5 6 3 2" xfId="29589"/>
    <cellStyle name="백분율 6 5 6 3 2 2" xfId="29590"/>
    <cellStyle name="백분율 6 5 6 3 2 2 2" xfId="29591"/>
    <cellStyle name="백분율 6 5 6 3 2 2 3" xfId="29592"/>
    <cellStyle name="백분율 6 5 6 3 2 3" xfId="29593"/>
    <cellStyle name="백분율 6 5 6 3 2 4" xfId="29594"/>
    <cellStyle name="백분율 6 5 6 3 3" xfId="29595"/>
    <cellStyle name="백분율 6 5 6 3 3 2" xfId="29596"/>
    <cellStyle name="백분율 6 5 6 3 3 3" xfId="29597"/>
    <cellStyle name="백분율 6 5 6 3 4" xfId="29598"/>
    <cellStyle name="백분율 6 5 6 3 5" xfId="29599"/>
    <cellStyle name="백분율 6 5 6 4" xfId="29600"/>
    <cellStyle name="백분율 6 5 6 4 2" xfId="29601"/>
    <cellStyle name="백분율 6 5 6 4 2 2" xfId="29602"/>
    <cellStyle name="백분율 6 5 6 4 2 3" xfId="29603"/>
    <cellStyle name="백분율 6 5 6 4 3" xfId="29604"/>
    <cellStyle name="백분율 6 5 6 4 4" xfId="29605"/>
    <cellStyle name="백분율 6 5 6 5" xfId="29606"/>
    <cellStyle name="백분율 6 5 6 5 2" xfId="29607"/>
    <cellStyle name="백분율 6 5 6 5 3" xfId="29608"/>
    <cellStyle name="백분율 6 5 6 6" xfId="29609"/>
    <cellStyle name="백분율 6 5 6 7" xfId="29610"/>
    <cellStyle name="백분율 6 5 7" xfId="29611"/>
    <cellStyle name="백분율 6 5 7 2" xfId="29612"/>
    <cellStyle name="백분율 6 5 7 2 2" xfId="29613"/>
    <cellStyle name="백분율 6 5 7 2 2 2" xfId="29614"/>
    <cellStyle name="백분율 6 5 7 2 2 3" xfId="29615"/>
    <cellStyle name="백분율 6 5 7 2 3" xfId="29616"/>
    <cellStyle name="백분율 6 5 7 2 4" xfId="29617"/>
    <cellStyle name="백분율 6 5 7 3" xfId="29618"/>
    <cellStyle name="백분율 6 5 7 3 2" xfId="29619"/>
    <cellStyle name="백분율 6 5 7 3 3" xfId="29620"/>
    <cellStyle name="백분율 6 5 7 4" xfId="29621"/>
    <cellStyle name="백분율 6 5 7 5" xfId="29622"/>
    <cellStyle name="백분율 6 5 8" xfId="29623"/>
    <cellStyle name="백분율 6 5 8 2" xfId="29624"/>
    <cellStyle name="백분율 6 5 8 2 2" xfId="29625"/>
    <cellStyle name="백분율 6 5 8 2 2 2" xfId="29626"/>
    <cellStyle name="백분율 6 5 8 2 2 3" xfId="29627"/>
    <cellStyle name="백분율 6 5 8 2 3" xfId="29628"/>
    <cellStyle name="백분율 6 5 8 2 4" xfId="29629"/>
    <cellStyle name="백분율 6 5 8 3" xfId="29630"/>
    <cellStyle name="백분율 6 5 8 3 2" xfId="29631"/>
    <cellStyle name="백분율 6 5 8 3 3" xfId="29632"/>
    <cellStyle name="백분율 6 5 8 4" xfId="29633"/>
    <cellStyle name="백분율 6 5 8 5" xfId="29634"/>
    <cellStyle name="백분율 6 5 9" xfId="29635"/>
    <cellStyle name="백분율 6 5 9 2" xfId="29636"/>
    <cellStyle name="백분율 6 5 9 2 2" xfId="29637"/>
    <cellStyle name="백분율 6 5 9 2 2 2" xfId="29638"/>
    <cellStyle name="백분율 6 5 9 2 2 3" xfId="29639"/>
    <cellStyle name="백분율 6 5 9 2 3" xfId="29640"/>
    <cellStyle name="백분율 6 5 9 2 4" xfId="29641"/>
    <cellStyle name="백분율 6 5 9 3" xfId="29642"/>
    <cellStyle name="백분율 6 5 9 3 2" xfId="29643"/>
    <cellStyle name="백분율 6 5 9 3 3" xfId="29644"/>
    <cellStyle name="백분율 6 5 9 4" xfId="29645"/>
    <cellStyle name="백분율 6 5 9 5" xfId="29646"/>
    <cellStyle name="백분율 6 6" xfId="29647"/>
    <cellStyle name="백분율 6 6 10" xfId="29648"/>
    <cellStyle name="백분율 6 6 2" xfId="29649"/>
    <cellStyle name="백분율 6 6 2 2" xfId="29650"/>
    <cellStyle name="백분율 6 6 2 2 2" xfId="29651"/>
    <cellStyle name="백분율 6 6 2 2 2 2" xfId="29652"/>
    <cellStyle name="백분율 6 6 2 2 2 2 2" xfId="29653"/>
    <cellStyle name="백분율 6 6 2 2 2 2 3" xfId="29654"/>
    <cellStyle name="백분율 6 6 2 2 2 3" xfId="29655"/>
    <cellStyle name="백분율 6 6 2 2 2 4" xfId="29656"/>
    <cellStyle name="백분율 6 6 2 2 3" xfId="29657"/>
    <cellStyle name="백분율 6 6 2 2 3 2" xfId="29658"/>
    <cellStyle name="백분율 6 6 2 2 3 3" xfId="29659"/>
    <cellStyle name="백분율 6 6 2 2 4" xfId="29660"/>
    <cellStyle name="백분율 6 6 2 2 5" xfId="29661"/>
    <cellStyle name="백분율 6 6 2 3" xfId="29662"/>
    <cellStyle name="백분율 6 6 2 3 2" xfId="29663"/>
    <cellStyle name="백분율 6 6 2 3 2 2" xfId="29664"/>
    <cellStyle name="백분율 6 6 2 3 2 2 2" xfId="29665"/>
    <cellStyle name="백분율 6 6 2 3 2 2 3" xfId="29666"/>
    <cellStyle name="백분율 6 6 2 3 2 3" xfId="29667"/>
    <cellStyle name="백분율 6 6 2 3 2 4" xfId="29668"/>
    <cellStyle name="백분율 6 6 2 3 3" xfId="29669"/>
    <cellStyle name="백분율 6 6 2 3 3 2" xfId="29670"/>
    <cellStyle name="백분율 6 6 2 3 3 3" xfId="29671"/>
    <cellStyle name="백분율 6 6 2 3 4" xfId="29672"/>
    <cellStyle name="백분율 6 6 2 3 5" xfId="29673"/>
    <cellStyle name="백분율 6 6 2 4" xfId="29674"/>
    <cellStyle name="백분율 6 6 2 4 2" xfId="29675"/>
    <cellStyle name="백분율 6 6 2 4 2 2" xfId="29676"/>
    <cellStyle name="백분율 6 6 2 4 2 3" xfId="29677"/>
    <cellStyle name="백분율 6 6 2 4 3" xfId="29678"/>
    <cellStyle name="백분율 6 6 2 4 4" xfId="29679"/>
    <cellStyle name="백분율 6 6 2 5" xfId="29680"/>
    <cellStyle name="백분율 6 6 2 5 2" xfId="29681"/>
    <cellStyle name="백분율 6 6 2 5 3" xfId="29682"/>
    <cellStyle name="백분율 6 6 2 6" xfId="29683"/>
    <cellStyle name="백분율 6 6 2 7" xfId="29684"/>
    <cellStyle name="백분율 6 6 3" xfId="29685"/>
    <cellStyle name="백분율 6 6 3 2" xfId="29686"/>
    <cellStyle name="백분율 6 6 3 2 2" xfId="29687"/>
    <cellStyle name="백분율 6 6 3 2 2 2" xfId="29688"/>
    <cellStyle name="백분율 6 6 3 2 2 2 2" xfId="29689"/>
    <cellStyle name="백분율 6 6 3 2 2 2 3" xfId="29690"/>
    <cellStyle name="백분율 6 6 3 2 2 3" xfId="29691"/>
    <cellStyle name="백분율 6 6 3 2 2 4" xfId="29692"/>
    <cellStyle name="백분율 6 6 3 2 3" xfId="29693"/>
    <cellStyle name="백분율 6 6 3 2 3 2" xfId="29694"/>
    <cellStyle name="백분율 6 6 3 2 3 3" xfId="29695"/>
    <cellStyle name="백분율 6 6 3 2 4" xfId="29696"/>
    <cellStyle name="백분율 6 6 3 2 5" xfId="29697"/>
    <cellStyle name="백분율 6 6 3 3" xfId="29698"/>
    <cellStyle name="백분율 6 6 3 3 2" xfId="29699"/>
    <cellStyle name="백분율 6 6 3 3 2 2" xfId="29700"/>
    <cellStyle name="백분율 6 6 3 3 2 2 2" xfId="29701"/>
    <cellStyle name="백분율 6 6 3 3 2 2 3" xfId="29702"/>
    <cellStyle name="백분율 6 6 3 3 2 3" xfId="29703"/>
    <cellStyle name="백분율 6 6 3 3 2 4" xfId="29704"/>
    <cellStyle name="백분율 6 6 3 3 3" xfId="29705"/>
    <cellStyle name="백분율 6 6 3 3 3 2" xfId="29706"/>
    <cellStyle name="백분율 6 6 3 3 3 3" xfId="29707"/>
    <cellStyle name="백분율 6 6 3 3 4" xfId="29708"/>
    <cellStyle name="백분율 6 6 3 3 5" xfId="29709"/>
    <cellStyle name="백분율 6 6 3 4" xfId="29710"/>
    <cellStyle name="백분율 6 6 3 4 2" xfId="29711"/>
    <cellStyle name="백분율 6 6 3 4 2 2" xfId="29712"/>
    <cellStyle name="백분율 6 6 3 4 2 3" xfId="29713"/>
    <cellStyle name="백분율 6 6 3 4 3" xfId="29714"/>
    <cellStyle name="백분율 6 6 3 4 4" xfId="29715"/>
    <cellStyle name="백분율 6 6 3 5" xfId="29716"/>
    <cellStyle name="백분율 6 6 3 5 2" xfId="29717"/>
    <cellStyle name="백분율 6 6 3 5 3" xfId="29718"/>
    <cellStyle name="백분율 6 6 3 6" xfId="29719"/>
    <cellStyle name="백분율 6 6 3 7" xfId="29720"/>
    <cellStyle name="백분율 6 6 4" xfId="29721"/>
    <cellStyle name="백분율 6 6 4 2" xfId="29722"/>
    <cellStyle name="백분율 6 6 4 2 2" xfId="29723"/>
    <cellStyle name="백분율 6 6 4 2 2 2" xfId="29724"/>
    <cellStyle name="백분율 6 6 4 2 2 3" xfId="29725"/>
    <cellStyle name="백분율 6 6 4 2 3" xfId="29726"/>
    <cellStyle name="백분율 6 6 4 2 4" xfId="29727"/>
    <cellStyle name="백분율 6 6 4 3" xfId="29728"/>
    <cellStyle name="백분율 6 6 4 3 2" xfId="29729"/>
    <cellStyle name="백분율 6 6 4 3 3" xfId="29730"/>
    <cellStyle name="백분율 6 6 4 4" xfId="29731"/>
    <cellStyle name="백분율 6 6 4 5" xfId="29732"/>
    <cellStyle name="백분율 6 6 5" xfId="29733"/>
    <cellStyle name="백분율 6 6 5 2" xfId="29734"/>
    <cellStyle name="백분율 6 6 5 2 2" xfId="29735"/>
    <cellStyle name="백분율 6 6 5 2 2 2" xfId="29736"/>
    <cellStyle name="백분율 6 6 5 2 2 3" xfId="29737"/>
    <cellStyle name="백분율 6 6 5 2 3" xfId="29738"/>
    <cellStyle name="백분율 6 6 5 2 4" xfId="29739"/>
    <cellStyle name="백분율 6 6 5 3" xfId="29740"/>
    <cellStyle name="백분율 6 6 5 3 2" xfId="29741"/>
    <cellStyle name="백분율 6 6 5 3 3" xfId="29742"/>
    <cellStyle name="백분율 6 6 5 4" xfId="29743"/>
    <cellStyle name="백분율 6 6 5 5" xfId="29744"/>
    <cellStyle name="백분율 6 6 6" xfId="29745"/>
    <cellStyle name="백분율 6 6 6 2" xfId="29746"/>
    <cellStyle name="백분율 6 6 6 2 2" xfId="29747"/>
    <cellStyle name="백분율 6 6 6 2 2 2" xfId="29748"/>
    <cellStyle name="백분율 6 6 6 2 2 3" xfId="29749"/>
    <cellStyle name="백분율 6 6 6 2 3" xfId="29750"/>
    <cellStyle name="백분율 6 6 6 2 4" xfId="29751"/>
    <cellStyle name="백분율 6 6 6 3" xfId="29752"/>
    <cellStyle name="백분율 6 6 6 3 2" xfId="29753"/>
    <cellStyle name="백분율 6 6 6 3 3" xfId="29754"/>
    <cellStyle name="백분율 6 6 6 4" xfId="29755"/>
    <cellStyle name="백분율 6 6 6 5" xfId="29756"/>
    <cellStyle name="백분율 6 6 7" xfId="29757"/>
    <cellStyle name="백분율 6 6 7 2" xfId="29758"/>
    <cellStyle name="백분율 6 6 7 2 2" xfId="29759"/>
    <cellStyle name="백분율 6 6 7 2 3" xfId="29760"/>
    <cellStyle name="백분율 6 6 7 3" xfId="29761"/>
    <cellStyle name="백분율 6 6 7 4" xfId="29762"/>
    <cellStyle name="백분율 6 6 8" xfId="29763"/>
    <cellStyle name="백분율 6 6 8 2" xfId="29764"/>
    <cellStyle name="백분율 6 6 8 3" xfId="29765"/>
    <cellStyle name="백분율 6 6 9" xfId="29766"/>
    <cellStyle name="백분율 6 7" xfId="29767"/>
    <cellStyle name="백분율 6 7 10" xfId="29768"/>
    <cellStyle name="백분율 6 7 2" xfId="29769"/>
    <cellStyle name="백분율 6 7 2 2" xfId="29770"/>
    <cellStyle name="백분율 6 7 2 2 2" xfId="29771"/>
    <cellStyle name="백분율 6 7 2 2 2 2" xfId="29772"/>
    <cellStyle name="백분율 6 7 2 2 2 2 2" xfId="29773"/>
    <cellStyle name="백분율 6 7 2 2 2 2 3" xfId="29774"/>
    <cellStyle name="백분율 6 7 2 2 2 3" xfId="29775"/>
    <cellStyle name="백분율 6 7 2 2 2 4" xfId="29776"/>
    <cellStyle name="백분율 6 7 2 2 3" xfId="29777"/>
    <cellStyle name="백분율 6 7 2 2 3 2" xfId="29778"/>
    <cellStyle name="백분율 6 7 2 2 3 3" xfId="29779"/>
    <cellStyle name="백분율 6 7 2 2 4" xfId="29780"/>
    <cellStyle name="백분율 6 7 2 2 5" xfId="29781"/>
    <cellStyle name="백분율 6 7 2 3" xfId="29782"/>
    <cellStyle name="백분율 6 7 2 3 2" xfId="29783"/>
    <cellStyle name="백분율 6 7 2 3 2 2" xfId="29784"/>
    <cellStyle name="백분율 6 7 2 3 2 2 2" xfId="29785"/>
    <cellStyle name="백분율 6 7 2 3 2 2 3" xfId="29786"/>
    <cellStyle name="백분율 6 7 2 3 2 3" xfId="29787"/>
    <cellStyle name="백분율 6 7 2 3 2 4" xfId="29788"/>
    <cellStyle name="백분율 6 7 2 3 3" xfId="29789"/>
    <cellStyle name="백분율 6 7 2 3 3 2" xfId="29790"/>
    <cellStyle name="백분율 6 7 2 3 3 3" xfId="29791"/>
    <cellStyle name="백분율 6 7 2 3 4" xfId="29792"/>
    <cellStyle name="백분율 6 7 2 3 5" xfId="29793"/>
    <cellStyle name="백분율 6 7 2 4" xfId="29794"/>
    <cellStyle name="백분율 6 7 2 4 2" xfId="29795"/>
    <cellStyle name="백분율 6 7 2 4 2 2" xfId="29796"/>
    <cellStyle name="백분율 6 7 2 4 2 3" xfId="29797"/>
    <cellStyle name="백분율 6 7 2 4 3" xfId="29798"/>
    <cellStyle name="백분율 6 7 2 4 4" xfId="29799"/>
    <cellStyle name="백분율 6 7 2 5" xfId="29800"/>
    <cellStyle name="백분율 6 7 2 5 2" xfId="29801"/>
    <cellStyle name="백분율 6 7 2 5 3" xfId="29802"/>
    <cellStyle name="백분율 6 7 2 6" xfId="29803"/>
    <cellStyle name="백분율 6 7 2 7" xfId="29804"/>
    <cellStyle name="백분율 6 7 3" xfId="29805"/>
    <cellStyle name="백분율 6 7 3 2" xfId="29806"/>
    <cellStyle name="백분율 6 7 3 2 2" xfId="29807"/>
    <cellStyle name="백분율 6 7 3 2 2 2" xfId="29808"/>
    <cellStyle name="백분율 6 7 3 2 2 2 2" xfId="29809"/>
    <cellStyle name="백분율 6 7 3 2 2 2 3" xfId="29810"/>
    <cellStyle name="백분율 6 7 3 2 2 3" xfId="29811"/>
    <cellStyle name="백분율 6 7 3 2 2 4" xfId="29812"/>
    <cellStyle name="백분율 6 7 3 2 3" xfId="29813"/>
    <cellStyle name="백분율 6 7 3 2 3 2" xfId="29814"/>
    <cellStyle name="백분율 6 7 3 2 3 3" xfId="29815"/>
    <cellStyle name="백분율 6 7 3 2 4" xfId="29816"/>
    <cellStyle name="백분율 6 7 3 2 5" xfId="29817"/>
    <cellStyle name="백분율 6 7 3 3" xfId="29818"/>
    <cellStyle name="백분율 6 7 3 3 2" xfId="29819"/>
    <cellStyle name="백분율 6 7 3 3 2 2" xfId="29820"/>
    <cellStyle name="백분율 6 7 3 3 2 2 2" xfId="29821"/>
    <cellStyle name="백분율 6 7 3 3 2 2 3" xfId="29822"/>
    <cellStyle name="백분율 6 7 3 3 2 3" xfId="29823"/>
    <cellStyle name="백분율 6 7 3 3 2 4" xfId="29824"/>
    <cellStyle name="백분율 6 7 3 3 3" xfId="29825"/>
    <cellStyle name="백분율 6 7 3 3 3 2" xfId="29826"/>
    <cellStyle name="백분율 6 7 3 3 3 3" xfId="29827"/>
    <cellStyle name="백분율 6 7 3 3 4" xfId="29828"/>
    <cellStyle name="백분율 6 7 3 3 5" xfId="29829"/>
    <cellStyle name="백분율 6 7 3 4" xfId="29830"/>
    <cellStyle name="백분율 6 7 3 4 2" xfId="29831"/>
    <cellStyle name="백분율 6 7 3 4 2 2" xfId="29832"/>
    <cellStyle name="백분율 6 7 3 4 2 3" xfId="29833"/>
    <cellStyle name="백분율 6 7 3 4 3" xfId="29834"/>
    <cellStyle name="백분율 6 7 3 4 4" xfId="29835"/>
    <cellStyle name="백분율 6 7 3 5" xfId="29836"/>
    <cellStyle name="백분율 6 7 3 5 2" xfId="29837"/>
    <cellStyle name="백분율 6 7 3 5 3" xfId="29838"/>
    <cellStyle name="백분율 6 7 3 6" xfId="29839"/>
    <cellStyle name="백분율 6 7 3 7" xfId="29840"/>
    <cellStyle name="백분율 6 7 4" xfId="29841"/>
    <cellStyle name="백분율 6 7 4 2" xfId="29842"/>
    <cellStyle name="백분율 6 7 4 2 2" xfId="29843"/>
    <cellStyle name="백분율 6 7 4 2 2 2" xfId="29844"/>
    <cellStyle name="백분율 6 7 4 2 2 3" xfId="29845"/>
    <cellStyle name="백분율 6 7 4 2 3" xfId="29846"/>
    <cellStyle name="백분율 6 7 4 2 4" xfId="29847"/>
    <cellStyle name="백분율 6 7 4 3" xfId="29848"/>
    <cellStyle name="백분율 6 7 4 3 2" xfId="29849"/>
    <cellStyle name="백분율 6 7 4 3 3" xfId="29850"/>
    <cellStyle name="백분율 6 7 4 4" xfId="29851"/>
    <cellStyle name="백분율 6 7 4 5" xfId="29852"/>
    <cellStyle name="백분율 6 7 5" xfId="29853"/>
    <cellStyle name="백분율 6 7 5 2" xfId="29854"/>
    <cellStyle name="백분율 6 7 5 2 2" xfId="29855"/>
    <cellStyle name="백분율 6 7 5 2 2 2" xfId="29856"/>
    <cellStyle name="백분율 6 7 5 2 2 3" xfId="29857"/>
    <cellStyle name="백분율 6 7 5 2 3" xfId="29858"/>
    <cellStyle name="백분율 6 7 5 2 4" xfId="29859"/>
    <cellStyle name="백분율 6 7 5 3" xfId="29860"/>
    <cellStyle name="백분율 6 7 5 3 2" xfId="29861"/>
    <cellStyle name="백분율 6 7 5 3 3" xfId="29862"/>
    <cellStyle name="백분율 6 7 5 4" xfId="29863"/>
    <cellStyle name="백분율 6 7 5 5" xfId="29864"/>
    <cellStyle name="백분율 6 7 6" xfId="29865"/>
    <cellStyle name="백분율 6 7 6 2" xfId="29866"/>
    <cellStyle name="백분율 6 7 6 2 2" xfId="29867"/>
    <cellStyle name="백분율 6 7 6 2 2 2" xfId="29868"/>
    <cellStyle name="백분율 6 7 6 2 2 3" xfId="29869"/>
    <cellStyle name="백분율 6 7 6 2 3" xfId="29870"/>
    <cellStyle name="백분율 6 7 6 2 4" xfId="29871"/>
    <cellStyle name="백분율 6 7 6 3" xfId="29872"/>
    <cellStyle name="백분율 6 7 6 3 2" xfId="29873"/>
    <cellStyle name="백분율 6 7 6 3 3" xfId="29874"/>
    <cellStyle name="백분율 6 7 6 4" xfId="29875"/>
    <cellStyle name="백분율 6 7 6 5" xfId="29876"/>
    <cellStyle name="백분율 6 7 7" xfId="29877"/>
    <cellStyle name="백분율 6 7 7 2" xfId="29878"/>
    <cellStyle name="백분율 6 7 7 2 2" xfId="29879"/>
    <cellStyle name="백분율 6 7 7 2 3" xfId="29880"/>
    <cellStyle name="백분율 6 7 7 3" xfId="29881"/>
    <cellStyle name="백분율 6 7 7 4" xfId="29882"/>
    <cellStyle name="백분율 6 7 8" xfId="29883"/>
    <cellStyle name="백분율 6 7 8 2" xfId="29884"/>
    <cellStyle name="백분율 6 7 8 3" xfId="29885"/>
    <cellStyle name="백분율 6 7 9" xfId="29886"/>
    <cellStyle name="백분율 6 8" xfId="29887"/>
    <cellStyle name="백분율 6 8 10" xfId="29888"/>
    <cellStyle name="백분율 6 8 2" xfId="29889"/>
    <cellStyle name="백분율 6 8 2 2" xfId="29890"/>
    <cellStyle name="백분율 6 8 2 2 2" xfId="29891"/>
    <cellStyle name="백분율 6 8 2 2 2 2" xfId="29892"/>
    <cellStyle name="백분율 6 8 2 2 2 2 2" xfId="29893"/>
    <cellStyle name="백분율 6 8 2 2 2 2 3" xfId="29894"/>
    <cellStyle name="백분율 6 8 2 2 2 3" xfId="29895"/>
    <cellStyle name="백분율 6 8 2 2 2 4" xfId="29896"/>
    <cellStyle name="백분율 6 8 2 2 3" xfId="29897"/>
    <cellStyle name="백분율 6 8 2 2 3 2" xfId="29898"/>
    <cellStyle name="백분율 6 8 2 2 3 3" xfId="29899"/>
    <cellStyle name="백분율 6 8 2 2 4" xfId="29900"/>
    <cellStyle name="백분율 6 8 2 2 5" xfId="29901"/>
    <cellStyle name="백분율 6 8 2 3" xfId="29902"/>
    <cellStyle name="백분율 6 8 2 3 2" xfId="29903"/>
    <cellStyle name="백분율 6 8 2 3 2 2" xfId="29904"/>
    <cellStyle name="백분율 6 8 2 3 2 2 2" xfId="29905"/>
    <cellStyle name="백분율 6 8 2 3 2 2 3" xfId="29906"/>
    <cellStyle name="백분율 6 8 2 3 2 3" xfId="29907"/>
    <cellStyle name="백분율 6 8 2 3 2 4" xfId="29908"/>
    <cellStyle name="백분율 6 8 2 3 3" xfId="29909"/>
    <cellStyle name="백분율 6 8 2 3 3 2" xfId="29910"/>
    <cellStyle name="백분율 6 8 2 3 3 3" xfId="29911"/>
    <cellStyle name="백분율 6 8 2 3 4" xfId="29912"/>
    <cellStyle name="백분율 6 8 2 3 5" xfId="29913"/>
    <cellStyle name="백분율 6 8 2 4" xfId="29914"/>
    <cellStyle name="백분율 6 8 2 4 2" xfId="29915"/>
    <cellStyle name="백분율 6 8 2 4 2 2" xfId="29916"/>
    <cellStyle name="백분율 6 8 2 4 2 3" xfId="29917"/>
    <cellStyle name="백분율 6 8 2 4 3" xfId="29918"/>
    <cellStyle name="백분율 6 8 2 4 4" xfId="29919"/>
    <cellStyle name="백분율 6 8 2 5" xfId="29920"/>
    <cellStyle name="백분율 6 8 2 5 2" xfId="29921"/>
    <cellStyle name="백분율 6 8 2 5 3" xfId="29922"/>
    <cellStyle name="백분율 6 8 2 6" xfId="29923"/>
    <cellStyle name="백분율 6 8 2 7" xfId="29924"/>
    <cellStyle name="백분율 6 8 3" xfId="29925"/>
    <cellStyle name="백분율 6 8 3 2" xfId="29926"/>
    <cellStyle name="백분율 6 8 3 2 2" xfId="29927"/>
    <cellStyle name="백분율 6 8 3 2 2 2" xfId="29928"/>
    <cellStyle name="백분율 6 8 3 2 2 2 2" xfId="29929"/>
    <cellStyle name="백분율 6 8 3 2 2 2 3" xfId="29930"/>
    <cellStyle name="백분율 6 8 3 2 2 3" xfId="29931"/>
    <cellStyle name="백분율 6 8 3 2 2 4" xfId="29932"/>
    <cellStyle name="백분율 6 8 3 2 3" xfId="29933"/>
    <cellStyle name="백분율 6 8 3 2 3 2" xfId="29934"/>
    <cellStyle name="백분율 6 8 3 2 3 3" xfId="29935"/>
    <cellStyle name="백분율 6 8 3 2 4" xfId="29936"/>
    <cellStyle name="백분율 6 8 3 2 5" xfId="29937"/>
    <cellStyle name="백분율 6 8 3 3" xfId="29938"/>
    <cellStyle name="백분율 6 8 3 3 2" xfId="29939"/>
    <cellStyle name="백분율 6 8 3 3 2 2" xfId="29940"/>
    <cellStyle name="백분율 6 8 3 3 2 2 2" xfId="29941"/>
    <cellStyle name="백분율 6 8 3 3 2 2 3" xfId="29942"/>
    <cellStyle name="백분율 6 8 3 3 2 3" xfId="29943"/>
    <cellStyle name="백분율 6 8 3 3 2 4" xfId="29944"/>
    <cellStyle name="백분율 6 8 3 3 3" xfId="29945"/>
    <cellStyle name="백분율 6 8 3 3 3 2" xfId="29946"/>
    <cellStyle name="백분율 6 8 3 3 3 3" xfId="29947"/>
    <cellStyle name="백분율 6 8 3 3 4" xfId="29948"/>
    <cellStyle name="백분율 6 8 3 3 5" xfId="29949"/>
    <cellStyle name="백분율 6 8 3 4" xfId="29950"/>
    <cellStyle name="백분율 6 8 3 4 2" xfId="29951"/>
    <cellStyle name="백분율 6 8 3 4 2 2" xfId="29952"/>
    <cellStyle name="백분율 6 8 3 4 2 3" xfId="29953"/>
    <cellStyle name="백분율 6 8 3 4 3" xfId="29954"/>
    <cellStyle name="백분율 6 8 3 4 4" xfId="29955"/>
    <cellStyle name="백분율 6 8 3 5" xfId="29956"/>
    <cellStyle name="백분율 6 8 3 5 2" xfId="29957"/>
    <cellStyle name="백분율 6 8 3 5 3" xfId="29958"/>
    <cellStyle name="백분율 6 8 3 6" xfId="29959"/>
    <cellStyle name="백분율 6 8 3 7" xfId="29960"/>
    <cellStyle name="백분율 6 8 4" xfId="29961"/>
    <cellStyle name="백분율 6 8 4 2" xfId="29962"/>
    <cellStyle name="백분율 6 8 4 2 2" xfId="29963"/>
    <cellStyle name="백분율 6 8 4 2 2 2" xfId="29964"/>
    <cellStyle name="백분율 6 8 4 2 2 3" xfId="29965"/>
    <cellStyle name="백분율 6 8 4 2 3" xfId="29966"/>
    <cellStyle name="백분율 6 8 4 2 4" xfId="29967"/>
    <cellStyle name="백분율 6 8 4 3" xfId="29968"/>
    <cellStyle name="백분율 6 8 4 3 2" xfId="29969"/>
    <cellStyle name="백분율 6 8 4 3 3" xfId="29970"/>
    <cellStyle name="백분율 6 8 4 4" xfId="29971"/>
    <cellStyle name="백분율 6 8 4 5" xfId="29972"/>
    <cellStyle name="백분율 6 8 5" xfId="29973"/>
    <cellStyle name="백분율 6 8 5 2" xfId="29974"/>
    <cellStyle name="백분율 6 8 5 2 2" xfId="29975"/>
    <cellStyle name="백분율 6 8 5 2 2 2" xfId="29976"/>
    <cellStyle name="백분율 6 8 5 2 2 3" xfId="29977"/>
    <cellStyle name="백분율 6 8 5 2 3" xfId="29978"/>
    <cellStyle name="백분율 6 8 5 2 4" xfId="29979"/>
    <cellStyle name="백분율 6 8 5 3" xfId="29980"/>
    <cellStyle name="백분율 6 8 5 3 2" xfId="29981"/>
    <cellStyle name="백분율 6 8 5 3 3" xfId="29982"/>
    <cellStyle name="백분율 6 8 5 4" xfId="29983"/>
    <cellStyle name="백분율 6 8 5 5" xfId="29984"/>
    <cellStyle name="백분율 6 8 6" xfId="29985"/>
    <cellStyle name="백분율 6 8 6 2" xfId="29986"/>
    <cellStyle name="백분율 6 8 6 2 2" xfId="29987"/>
    <cellStyle name="백분율 6 8 6 2 2 2" xfId="29988"/>
    <cellStyle name="백분율 6 8 6 2 2 3" xfId="29989"/>
    <cellStyle name="백분율 6 8 6 2 3" xfId="29990"/>
    <cellStyle name="백분율 6 8 6 2 4" xfId="29991"/>
    <cellStyle name="백분율 6 8 6 3" xfId="29992"/>
    <cellStyle name="백분율 6 8 6 3 2" xfId="29993"/>
    <cellStyle name="백분율 6 8 6 3 3" xfId="29994"/>
    <cellStyle name="백분율 6 8 6 4" xfId="29995"/>
    <cellStyle name="백분율 6 8 6 5" xfId="29996"/>
    <cellStyle name="백분율 6 8 7" xfId="29997"/>
    <cellStyle name="백분율 6 8 7 2" xfId="29998"/>
    <cellStyle name="백분율 6 8 7 2 2" xfId="29999"/>
    <cellStyle name="백분율 6 8 7 2 3" xfId="30000"/>
    <cellStyle name="백분율 6 8 7 3" xfId="30001"/>
    <cellStyle name="백분율 6 8 7 4" xfId="30002"/>
    <cellStyle name="백분율 6 8 8" xfId="30003"/>
    <cellStyle name="백분율 6 8 8 2" xfId="30004"/>
    <cellStyle name="백분율 6 8 8 3" xfId="30005"/>
    <cellStyle name="백분율 6 8 9" xfId="30006"/>
    <cellStyle name="백분율 6 9" xfId="30007"/>
    <cellStyle name="백분율 6 9 2" xfId="30008"/>
    <cellStyle name="백분율 6 9 2 2" xfId="30009"/>
    <cellStyle name="백분율 6 9 2 2 2" xfId="30010"/>
    <cellStyle name="백분율 6 9 2 2 2 2" xfId="30011"/>
    <cellStyle name="백분율 6 9 2 2 2 3" xfId="30012"/>
    <cellStyle name="백분율 6 9 2 2 3" xfId="30013"/>
    <cellStyle name="백분율 6 9 2 2 4" xfId="30014"/>
    <cellStyle name="백분율 6 9 2 3" xfId="30015"/>
    <cellStyle name="백분율 6 9 2 3 2" xfId="30016"/>
    <cellStyle name="백분율 6 9 2 3 3" xfId="30017"/>
    <cellStyle name="백분율 6 9 2 4" xfId="30018"/>
    <cellStyle name="백분율 6 9 2 5" xfId="30019"/>
    <cellStyle name="백분율 6 9 3" xfId="30020"/>
    <cellStyle name="백분율 6 9 3 2" xfId="30021"/>
    <cellStyle name="백분율 6 9 3 2 2" xfId="30022"/>
    <cellStyle name="백분율 6 9 3 2 2 2" xfId="30023"/>
    <cellStyle name="백분율 6 9 3 2 2 3" xfId="30024"/>
    <cellStyle name="백분율 6 9 3 2 3" xfId="30025"/>
    <cellStyle name="백분율 6 9 3 2 4" xfId="30026"/>
    <cellStyle name="백분율 6 9 3 3" xfId="30027"/>
    <cellStyle name="백분율 6 9 3 3 2" xfId="30028"/>
    <cellStyle name="백분율 6 9 3 3 3" xfId="30029"/>
    <cellStyle name="백분율 6 9 3 4" xfId="30030"/>
    <cellStyle name="백분율 6 9 3 5" xfId="30031"/>
    <cellStyle name="백분율 6 9 4" xfId="30032"/>
    <cellStyle name="백분율 6 9 4 2" xfId="30033"/>
    <cellStyle name="백분율 6 9 4 2 2" xfId="30034"/>
    <cellStyle name="백분율 6 9 4 2 3" xfId="30035"/>
    <cellStyle name="백분율 6 9 4 3" xfId="30036"/>
    <cellStyle name="백분율 6 9 4 4" xfId="30037"/>
    <cellStyle name="백분율 6 9 5" xfId="30038"/>
    <cellStyle name="백분율 6 9 5 2" xfId="30039"/>
    <cellStyle name="백분율 6 9 5 3" xfId="30040"/>
    <cellStyle name="백분율 6 9 6" xfId="30041"/>
    <cellStyle name="백분율 6 9 7" xfId="30042"/>
    <cellStyle name="백분율 7" xfId="30043"/>
    <cellStyle name="백분율 8" xfId="30044"/>
    <cellStyle name="백분율 9" xfId="30045"/>
    <cellStyle name="보통 10" xfId="30046"/>
    <cellStyle name="보통 11" xfId="30047"/>
    <cellStyle name="보통 12" xfId="30048"/>
    <cellStyle name="보통 13" xfId="30049"/>
    <cellStyle name="보통 14" xfId="30050"/>
    <cellStyle name="보통 15" xfId="30051"/>
    <cellStyle name="보통 2" xfId="30052"/>
    <cellStyle name="보통 2 2" xfId="30053"/>
    <cellStyle name="보통 2 2 2" xfId="30054"/>
    <cellStyle name="보통 2 3" xfId="30055"/>
    <cellStyle name="보통 3" xfId="30056"/>
    <cellStyle name="보통 3 2" xfId="30057"/>
    <cellStyle name="보통 3 3" xfId="30058"/>
    <cellStyle name="보통 4" xfId="30059"/>
    <cellStyle name="보통 4 2" xfId="30060"/>
    <cellStyle name="보통 5" xfId="30061"/>
    <cellStyle name="보통 6" xfId="30062"/>
    <cellStyle name="보통 7" xfId="30063"/>
    <cellStyle name="보통 8" xfId="30064"/>
    <cellStyle name="보통 9" xfId="30065"/>
    <cellStyle name="普通_封皮" xfId="30066"/>
    <cellStyle name="뷭?" xfId="30067"/>
    <cellStyle name="常规_GTHMSNZ" xfId="30068"/>
    <cellStyle name="새귑[0]_丹홈셕뺍,茄셥 " xfId="30069"/>
    <cellStyle name="새귑_丹홈셕뺍,茄셥 " xfId="30070"/>
    <cellStyle name="鱔 [0]_laroux" xfId="30071"/>
    <cellStyle name="鱔_laroux" xfId="30072"/>
    <cellStyle name="설명 텍스트 10" xfId="30073"/>
    <cellStyle name="설명 텍스트 11" xfId="30074"/>
    <cellStyle name="설명 텍스트 12" xfId="30075"/>
    <cellStyle name="설명 텍스트 13" xfId="30076"/>
    <cellStyle name="설명 텍스트 14" xfId="30077"/>
    <cellStyle name="설명 텍스트 15" xfId="30078"/>
    <cellStyle name="설명 텍스트 2" xfId="30079"/>
    <cellStyle name="설명 텍스트 2 2" xfId="30080"/>
    <cellStyle name="설명 텍스트 2 2 2" xfId="30081"/>
    <cellStyle name="설명 텍스트 2 3" xfId="30082"/>
    <cellStyle name="설명 텍스트 3" xfId="30083"/>
    <cellStyle name="설명 텍스트 3 2" xfId="30084"/>
    <cellStyle name="설명 텍스트 4" xfId="30085"/>
    <cellStyle name="설명 텍스트 4 2" xfId="30086"/>
    <cellStyle name="설명 텍스트 5" xfId="30087"/>
    <cellStyle name="설명 텍스트 6" xfId="30088"/>
    <cellStyle name="설명 텍스트 7" xfId="30089"/>
    <cellStyle name="설명 텍스트 8" xfId="30090"/>
    <cellStyle name="설명 텍스트 9" xfId="30091"/>
    <cellStyle name="셀 확인 10" xfId="30092"/>
    <cellStyle name="셀 확인 11" xfId="30093"/>
    <cellStyle name="셀 확인 12" xfId="30094"/>
    <cellStyle name="셀 확인 13" xfId="30095"/>
    <cellStyle name="셀 확인 14" xfId="30096"/>
    <cellStyle name="셀 확인 15" xfId="30097"/>
    <cellStyle name="셀 확인 2" xfId="30098"/>
    <cellStyle name="셀 확인 2 2" xfId="30099"/>
    <cellStyle name="셀 확인 2 2 2" xfId="30100"/>
    <cellStyle name="셀 확인 2 3" xfId="30101"/>
    <cellStyle name="셀 확인 3" xfId="30102"/>
    <cellStyle name="셀 확인 3 2" xfId="30103"/>
    <cellStyle name="셀 확인 3 3" xfId="30104"/>
    <cellStyle name="셀 확인 4" xfId="30105"/>
    <cellStyle name="셀 확인 4 2" xfId="30106"/>
    <cellStyle name="셀 확인 5" xfId="30107"/>
    <cellStyle name="셀 확인 6" xfId="30108"/>
    <cellStyle name="셀 확인 7" xfId="30109"/>
    <cellStyle name="셀 확인 8" xfId="30110"/>
    <cellStyle name="셀 확인 9" xfId="30111"/>
    <cellStyle name="셈迷?XLS!check_filesche|_x0005_" xfId="30112"/>
    <cellStyle name="숫자" xfId="30113"/>
    <cellStyle name="숫자 2" xfId="30114"/>
    <cellStyle name="숫자(R)" xfId="30115"/>
    <cellStyle name="숫자(R) 2" xfId="30116"/>
    <cellStyle name="쉼표 [0] 2" xfId="30117"/>
    <cellStyle name="쉼표 [0] 2 10" xfId="30118"/>
    <cellStyle name="쉼표 [0] 2 10 2" xfId="30119"/>
    <cellStyle name="쉼표 [0] 2 10 2 2" xfId="30120"/>
    <cellStyle name="쉼표 [0] 2 10 2 3" xfId="30121"/>
    <cellStyle name="쉼표 [0] 2 10 3" xfId="30122"/>
    <cellStyle name="쉼표 [0] 2 10 4" xfId="30123"/>
    <cellStyle name="쉼표 [0] 2 10 5" xfId="30124"/>
    <cellStyle name="쉼표 [0] 2 2" xfId="30125"/>
    <cellStyle name="쉼표 [0] 2 2 2" xfId="30126"/>
    <cellStyle name="쉼표 [0] 2 2 3" xfId="30127"/>
    <cellStyle name="쉼표 [0] 2 2 3 2" xfId="30128"/>
    <cellStyle name="쉼표 [0] 2 2 3 2 2" xfId="30129"/>
    <cellStyle name="쉼표 [0] 2 2 3 2 3" xfId="30130"/>
    <cellStyle name="쉼표 [0] 2 2 3 3" xfId="30131"/>
    <cellStyle name="쉼표 [0] 2 2 3 4" xfId="30132"/>
    <cellStyle name="쉼표 [0] 2 2 3 5" xfId="30133"/>
    <cellStyle name="쉼표 [0] 2 3" xfId="30134"/>
    <cellStyle name="쉼표 [0] 2 3 2" xfId="30135"/>
    <cellStyle name="쉼표 [0] 2 4" xfId="30136"/>
    <cellStyle name="쉼표 [0] 2 4 2" xfId="30137"/>
    <cellStyle name="쉼표 [0] 2 5" xfId="30138"/>
    <cellStyle name="쉼표 [0] 2 5 2" xfId="30139"/>
    <cellStyle name="쉼표 [0] 2 6" xfId="30140"/>
    <cellStyle name="쉼표 [0] 2 7" xfId="30141"/>
    <cellStyle name="쉼표 [0] 2 8" xfId="30142"/>
    <cellStyle name="쉼표 [0] 2 9" xfId="30143"/>
    <cellStyle name="쉼표 [0] 3" xfId="30144"/>
    <cellStyle name="쉼표 [0] 3 2" xfId="30145"/>
    <cellStyle name="쉼표 [0] 3 2 2" xfId="30146"/>
    <cellStyle name="쉼표 [0] 3 2 2 2" xfId="30147"/>
    <cellStyle name="쉼표 [0] 3 2 2 3" xfId="30148"/>
    <cellStyle name="쉼표 [0] 3 2 3" xfId="30149"/>
    <cellStyle name="쉼표 [0] 3 2 4" xfId="30150"/>
    <cellStyle name="쉼표 [0] 3 3" xfId="30151"/>
    <cellStyle name="쉼표 [0] 3 3 2" xfId="30152"/>
    <cellStyle name="쉼표 [0] 3 3 3" xfId="30153"/>
    <cellStyle name="쉼표 [0] 3 4" xfId="30154"/>
    <cellStyle name="쉼표 [0] 3 4 2" xfId="30155"/>
    <cellStyle name="쉼표 [0] 3 4 3" xfId="30156"/>
    <cellStyle name="쉼표 [0] 3 5" xfId="30157"/>
    <cellStyle name="쉼표 [0] 3 6" xfId="30158"/>
    <cellStyle name="쉼표 [0] 3 7" xfId="30159"/>
    <cellStyle name="쉼표 [0] 4" xfId="30160"/>
    <cellStyle name="쉼표 [0] 4 2" xfId="30161"/>
    <cellStyle name="쉼표 [0] 4 3" xfId="30162"/>
    <cellStyle name="쉼표 [0] 5" xfId="30163"/>
    <cellStyle name="쉼표 [0] 5 2" xfId="30164"/>
    <cellStyle name="쉼표 [0] 5 3" xfId="30165"/>
    <cellStyle name="쉼표 [0] 6" xfId="30166"/>
    <cellStyle name="스타일 1" xfId="30167"/>
    <cellStyle name="스타일 1 2" xfId="30168"/>
    <cellStyle name="스타일 1 2 2" xfId="30169"/>
    <cellStyle name="스타일 1 3" xfId="30170"/>
    <cellStyle name="스타일 1 3 2" xfId="30171"/>
    <cellStyle name="스타일 1 4" xfId="30172"/>
    <cellStyle name="스타일 10" xfId="30173"/>
    <cellStyle name="스타일 11" xfId="30174"/>
    <cellStyle name="스타일 12" xfId="30175"/>
    <cellStyle name="스타일 13" xfId="30176"/>
    <cellStyle name="스타일 14" xfId="30177"/>
    <cellStyle name="스타일 15" xfId="30178"/>
    <cellStyle name="스타일 16" xfId="30179"/>
    <cellStyle name="스타일 17" xfId="30180"/>
    <cellStyle name="스타일 18" xfId="30181"/>
    <cellStyle name="스타일 19" xfId="30182"/>
    <cellStyle name="스타일 2" xfId="30183"/>
    <cellStyle name="스타일 20" xfId="30184"/>
    <cellStyle name="스타일 21" xfId="30185"/>
    <cellStyle name="스타일 22" xfId="30186"/>
    <cellStyle name="스타일 23" xfId="30187"/>
    <cellStyle name="스타일 24" xfId="30188"/>
    <cellStyle name="스타일 25" xfId="30189"/>
    <cellStyle name="스타일 26" xfId="30190"/>
    <cellStyle name="스타일 27" xfId="30191"/>
    <cellStyle name="스타일 28" xfId="30192"/>
    <cellStyle name="스타일 29" xfId="30193"/>
    <cellStyle name="스타일 3" xfId="30194"/>
    <cellStyle name="스타일 30" xfId="30195"/>
    <cellStyle name="스타일 31" xfId="30196"/>
    <cellStyle name="스타일 32" xfId="30197"/>
    <cellStyle name="스타일 33" xfId="30198"/>
    <cellStyle name="스타일 34" xfId="30199"/>
    <cellStyle name="스타일 35" xfId="30200"/>
    <cellStyle name="스타일 36" xfId="30201"/>
    <cellStyle name="스타일 37" xfId="30202"/>
    <cellStyle name="스타일 38" xfId="30203"/>
    <cellStyle name="스타일 39" xfId="30204"/>
    <cellStyle name="스타일 4" xfId="30205"/>
    <cellStyle name="스타일 40" xfId="30206"/>
    <cellStyle name="스타일 41" xfId="30207"/>
    <cellStyle name="스타일 42" xfId="30208"/>
    <cellStyle name="스타일 43" xfId="30209"/>
    <cellStyle name="스타일 44" xfId="30210"/>
    <cellStyle name="스타일 45" xfId="30211"/>
    <cellStyle name="스타일 46" xfId="30212"/>
    <cellStyle name="스타일 47" xfId="30213"/>
    <cellStyle name="스타일 48" xfId="30214"/>
    <cellStyle name="스타일 49" xfId="30215"/>
    <cellStyle name="스타일 5" xfId="30216"/>
    <cellStyle name="스타일 50" xfId="30217"/>
    <cellStyle name="스타일 51" xfId="30218"/>
    <cellStyle name="스타일 52" xfId="30219"/>
    <cellStyle name="스타일 53" xfId="30220"/>
    <cellStyle name="스타일 54" xfId="30221"/>
    <cellStyle name="스타일 6" xfId="30222"/>
    <cellStyle name="스타일 7" xfId="30223"/>
    <cellStyle name="스타일 8" xfId="30224"/>
    <cellStyle name="스타일 9" xfId="30225"/>
    <cellStyle name="연결된 셀 10" xfId="30226"/>
    <cellStyle name="연결된 셀 11" xfId="30227"/>
    <cellStyle name="연결된 셀 12" xfId="30228"/>
    <cellStyle name="연결된 셀 13" xfId="30229"/>
    <cellStyle name="연결된 셀 14" xfId="30230"/>
    <cellStyle name="연결된 셀 15" xfId="30231"/>
    <cellStyle name="연결된 셀 2" xfId="30232"/>
    <cellStyle name="연결된 셀 2 2" xfId="30233"/>
    <cellStyle name="연결된 셀 2 2 2" xfId="30234"/>
    <cellStyle name="연결된 셀 2 3" xfId="30235"/>
    <cellStyle name="연결된 셀 3" xfId="30236"/>
    <cellStyle name="연결된 셀 3 2" xfId="30237"/>
    <cellStyle name="연결된 셀 3 3" xfId="30238"/>
    <cellStyle name="연결된 셀 4" xfId="30239"/>
    <cellStyle name="연결된 셀 4 2" xfId="30240"/>
    <cellStyle name="연결된 셀 5" xfId="30241"/>
    <cellStyle name="연결된 셀 6" xfId="30242"/>
    <cellStyle name="연결된 셀 7" xfId="30243"/>
    <cellStyle name="연결된 셀 8" xfId="30244"/>
    <cellStyle name="연결된 셀 9" xfId="30245"/>
    <cellStyle name="열어본 하이퍼링크" xfId="30246"/>
    <cellStyle name="열어본 하이퍼링크 2" xfId="30247"/>
    <cellStyle name="霓付 [0]_  ?  ?  " xfId="30248"/>
    <cellStyle name="霓付_  ?  ?  " xfId="30249"/>
    <cellStyle name="巍葆 [0]_laroux" xfId="30250"/>
    <cellStyle name="巍葆_laroux" xfId="30251"/>
    <cellStyle name="요약 10" xfId="30252"/>
    <cellStyle name="요약 11" xfId="30253"/>
    <cellStyle name="요약 12" xfId="30254"/>
    <cellStyle name="요약 13" xfId="30255"/>
    <cellStyle name="요약 14" xfId="30256"/>
    <cellStyle name="요약 15" xfId="30257"/>
    <cellStyle name="요약 2" xfId="30258"/>
    <cellStyle name="요약 2 2" xfId="30259"/>
    <cellStyle name="요약 2 2 10" xfId="30260"/>
    <cellStyle name="요약 2 2 10 2" xfId="30261"/>
    <cellStyle name="요약 2 2 10 3" xfId="30262"/>
    <cellStyle name="요약 2 2 11" xfId="30263"/>
    <cellStyle name="요약 2 2 11 2" xfId="30264"/>
    <cellStyle name="요약 2 2 11 3" xfId="30265"/>
    <cellStyle name="요약 2 2 12" xfId="30266"/>
    <cellStyle name="요약 2 2 13" xfId="30267"/>
    <cellStyle name="요약 2 2 14" xfId="30268"/>
    <cellStyle name="요약 2 2 2" xfId="30269"/>
    <cellStyle name="요약 2 2 2 2" xfId="30270"/>
    <cellStyle name="요약 2 2 3" xfId="30271"/>
    <cellStyle name="요약 2 2 3 2" xfId="30272"/>
    <cellStyle name="요약 2 2 4" xfId="30273"/>
    <cellStyle name="요약 2 2 4 2" xfId="30274"/>
    <cellStyle name="요약 2 2 5" xfId="30275"/>
    <cellStyle name="요약 2 2 5 2" xfId="30276"/>
    <cellStyle name="요약 2 2 6" xfId="30277"/>
    <cellStyle name="요약 2 2 6 2" xfId="30278"/>
    <cellStyle name="요약 2 2 7" xfId="30279"/>
    <cellStyle name="요약 2 2 7 2" xfId="30280"/>
    <cellStyle name="요약 2 2 8" xfId="30281"/>
    <cellStyle name="요약 2 2 8 2" xfId="30282"/>
    <cellStyle name="요약 2 2 8 3" xfId="30283"/>
    <cellStyle name="요약 2 2 9" xfId="30284"/>
    <cellStyle name="요약 2 2 9 2" xfId="30285"/>
    <cellStyle name="요약 2 2 9 3" xfId="30286"/>
    <cellStyle name="요약 2 3" xfId="30287"/>
    <cellStyle name="요약 2 4" xfId="30288"/>
    <cellStyle name="요약 3" xfId="30289"/>
    <cellStyle name="요약 3 2" xfId="30290"/>
    <cellStyle name="요약 3 2 10" xfId="30291"/>
    <cellStyle name="요약 3 2 10 2" xfId="30292"/>
    <cellStyle name="요약 3 2 10 3" xfId="30293"/>
    <cellStyle name="요약 3 2 11" xfId="30294"/>
    <cellStyle name="요약 3 2 11 2" xfId="30295"/>
    <cellStyle name="요약 3 2 11 3" xfId="30296"/>
    <cellStyle name="요약 3 2 12" xfId="30297"/>
    <cellStyle name="요약 3 2 13" xfId="30298"/>
    <cellStyle name="요약 3 2 2" xfId="30299"/>
    <cellStyle name="요약 3 2 2 2" xfId="30300"/>
    <cellStyle name="요약 3 2 3" xfId="30301"/>
    <cellStyle name="요약 3 2 3 2" xfId="30302"/>
    <cellStyle name="요약 3 2 4" xfId="30303"/>
    <cellStyle name="요약 3 2 4 2" xfId="30304"/>
    <cellStyle name="요약 3 2 5" xfId="30305"/>
    <cellStyle name="요약 3 2 5 2" xfId="30306"/>
    <cellStyle name="요약 3 2 6" xfId="30307"/>
    <cellStyle name="요약 3 2 6 2" xfId="30308"/>
    <cellStyle name="요약 3 2 7" xfId="30309"/>
    <cellStyle name="요약 3 2 7 2" xfId="30310"/>
    <cellStyle name="요약 3 2 8" xfId="30311"/>
    <cellStyle name="요약 3 2 8 2" xfId="30312"/>
    <cellStyle name="요약 3 2 8 3" xfId="30313"/>
    <cellStyle name="요약 3 2 9" xfId="30314"/>
    <cellStyle name="요약 3 2 9 2" xfId="30315"/>
    <cellStyle name="요약 3 2 9 3" xfId="30316"/>
    <cellStyle name="요약 3 3" xfId="30317"/>
    <cellStyle name="요약 4" xfId="30318"/>
    <cellStyle name="요약 4 2" xfId="30319"/>
    <cellStyle name="요약 5" xfId="30320"/>
    <cellStyle name="요약 6" xfId="30321"/>
    <cellStyle name="요약 7" xfId="30322"/>
    <cellStyle name="요약 8" xfId="30323"/>
    <cellStyle name="요약 9" xfId="30324"/>
    <cellStyle name="一般_laroux_LQFP12818x18DTAPIC" xfId="30325"/>
    <cellStyle name="입력 10" xfId="30326"/>
    <cellStyle name="입력 11" xfId="30327"/>
    <cellStyle name="입력 12" xfId="30328"/>
    <cellStyle name="입력 13" xfId="30329"/>
    <cellStyle name="입력 14" xfId="30330"/>
    <cellStyle name="입력 15" xfId="30331"/>
    <cellStyle name="입력 2" xfId="30332"/>
    <cellStyle name="입력 2 2" xfId="30333"/>
    <cellStyle name="입력 2 2 10" xfId="30334"/>
    <cellStyle name="입력 2 2 10 2" xfId="30335"/>
    <cellStyle name="입력 2 2 10 3" xfId="30336"/>
    <cellStyle name="입력 2 2 11" xfId="30337"/>
    <cellStyle name="입력 2 2 11 2" xfId="30338"/>
    <cellStyle name="입력 2 2 11 3" xfId="30339"/>
    <cellStyle name="입력 2 2 12" xfId="30340"/>
    <cellStyle name="입력 2 2 13" xfId="30341"/>
    <cellStyle name="입력 2 2 14" xfId="30342"/>
    <cellStyle name="입력 2 2 2" xfId="30343"/>
    <cellStyle name="입력 2 2 2 2" xfId="30344"/>
    <cellStyle name="입력 2 2 3" xfId="30345"/>
    <cellStyle name="입력 2 2 3 2" xfId="30346"/>
    <cellStyle name="입력 2 2 4" xfId="30347"/>
    <cellStyle name="입력 2 2 4 2" xfId="30348"/>
    <cellStyle name="입력 2 2 5" xfId="30349"/>
    <cellStyle name="입력 2 2 5 2" xfId="30350"/>
    <cellStyle name="입력 2 2 6" xfId="30351"/>
    <cellStyle name="입력 2 2 6 2" xfId="30352"/>
    <cellStyle name="입력 2 2 7" xfId="30353"/>
    <cellStyle name="입력 2 2 7 2" xfId="30354"/>
    <cellStyle name="입력 2 2 8" xfId="30355"/>
    <cellStyle name="입력 2 2 8 2" xfId="30356"/>
    <cellStyle name="입력 2 2 8 3" xfId="30357"/>
    <cellStyle name="입력 2 2 9" xfId="30358"/>
    <cellStyle name="입력 2 2 9 2" xfId="30359"/>
    <cellStyle name="입력 2 2 9 3" xfId="30360"/>
    <cellStyle name="입력 2 3" xfId="30361"/>
    <cellStyle name="입력 2 4" xfId="30362"/>
    <cellStyle name="입력 3" xfId="30363"/>
    <cellStyle name="입력 3 2" xfId="30364"/>
    <cellStyle name="입력 3 2 10" xfId="30365"/>
    <cellStyle name="입력 3 2 10 2" xfId="30366"/>
    <cellStyle name="입력 3 2 10 3" xfId="30367"/>
    <cellStyle name="입력 3 2 11" xfId="30368"/>
    <cellStyle name="입력 3 2 11 2" xfId="30369"/>
    <cellStyle name="입력 3 2 11 3" xfId="30370"/>
    <cellStyle name="입력 3 2 12" xfId="30371"/>
    <cellStyle name="입력 3 2 13" xfId="30372"/>
    <cellStyle name="입력 3 2 2" xfId="30373"/>
    <cellStyle name="입력 3 2 2 2" xfId="30374"/>
    <cellStyle name="입력 3 2 3" xfId="30375"/>
    <cellStyle name="입력 3 2 3 2" xfId="30376"/>
    <cellStyle name="입력 3 2 4" xfId="30377"/>
    <cellStyle name="입력 3 2 4 2" xfId="30378"/>
    <cellStyle name="입력 3 2 5" xfId="30379"/>
    <cellStyle name="입력 3 2 5 2" xfId="30380"/>
    <cellStyle name="입력 3 2 6" xfId="30381"/>
    <cellStyle name="입력 3 2 6 2" xfId="30382"/>
    <cellStyle name="입력 3 2 7" xfId="30383"/>
    <cellStyle name="입력 3 2 7 2" xfId="30384"/>
    <cellStyle name="입력 3 2 8" xfId="30385"/>
    <cellStyle name="입력 3 2 8 2" xfId="30386"/>
    <cellStyle name="입력 3 2 8 3" xfId="30387"/>
    <cellStyle name="입력 3 2 9" xfId="30388"/>
    <cellStyle name="입력 3 2 9 2" xfId="30389"/>
    <cellStyle name="입력 3 2 9 3" xfId="30390"/>
    <cellStyle name="입력 3 3" xfId="30391"/>
    <cellStyle name="입력 4" xfId="30392"/>
    <cellStyle name="입력 4 2" xfId="30393"/>
    <cellStyle name="입력 5" xfId="30394"/>
    <cellStyle name="입력 6" xfId="30395"/>
    <cellStyle name="입력 7" xfId="30396"/>
    <cellStyle name="입력 8" xfId="30397"/>
    <cellStyle name="입력 9" xfId="30398"/>
    <cellStyle name="자리수" xfId="30399"/>
    <cellStyle name="자리수 2" xfId="30400"/>
    <cellStyle name="자리수 2 2" xfId="30401"/>
    <cellStyle name="자리수0" xfId="30402"/>
    <cellStyle name="자리수0 2" xfId="30403"/>
    <cellStyle name="자리수0 2 2" xfId="30404"/>
    <cellStyle name="자리수0 3" xfId="30405"/>
    <cellStyle name="제목 1 10" xfId="30406"/>
    <cellStyle name="제목 1 11" xfId="30407"/>
    <cellStyle name="제목 1 12" xfId="30408"/>
    <cellStyle name="제목 1 13" xfId="30409"/>
    <cellStyle name="제목 1 14" xfId="30410"/>
    <cellStyle name="제목 1 15" xfId="30411"/>
    <cellStyle name="제목 1 2" xfId="30412"/>
    <cellStyle name="제목 1 2 2" xfId="30413"/>
    <cellStyle name="제목 1 2 2 2" xfId="30414"/>
    <cellStyle name="제목 1 2 3" xfId="30415"/>
    <cellStyle name="제목 1 3" xfId="30416"/>
    <cellStyle name="제목 1 3 2" xfId="30417"/>
    <cellStyle name="제목 1 3 3" xfId="30418"/>
    <cellStyle name="제목 1 4" xfId="30419"/>
    <cellStyle name="제목 1 4 2" xfId="30420"/>
    <cellStyle name="제목 1 5" xfId="30421"/>
    <cellStyle name="제목 1 6" xfId="30422"/>
    <cellStyle name="제목 1 7" xfId="30423"/>
    <cellStyle name="제목 1 8" xfId="30424"/>
    <cellStyle name="제목 1 9" xfId="30425"/>
    <cellStyle name="제목 10" xfId="30426"/>
    <cellStyle name="제목 11" xfId="30427"/>
    <cellStyle name="제목 12" xfId="30428"/>
    <cellStyle name="제목 13" xfId="30429"/>
    <cellStyle name="제목 14" xfId="30430"/>
    <cellStyle name="제목 15" xfId="30431"/>
    <cellStyle name="제목 16" xfId="30432"/>
    <cellStyle name="제목 17" xfId="30433"/>
    <cellStyle name="제목 18" xfId="30434"/>
    <cellStyle name="제목 2 10" xfId="30435"/>
    <cellStyle name="제목 2 11" xfId="30436"/>
    <cellStyle name="제목 2 12" xfId="30437"/>
    <cellStyle name="제목 2 13" xfId="30438"/>
    <cellStyle name="제목 2 14" xfId="30439"/>
    <cellStyle name="제목 2 15" xfId="30440"/>
    <cellStyle name="제목 2 2" xfId="30441"/>
    <cellStyle name="제목 2 2 2" xfId="30442"/>
    <cellStyle name="제목 2 2 2 2" xfId="30443"/>
    <cellStyle name="제목 2 2 3" xfId="30444"/>
    <cellStyle name="제목 2 3" xfId="30445"/>
    <cellStyle name="제목 2 3 2" xfId="30446"/>
    <cellStyle name="제목 2 3 3" xfId="30447"/>
    <cellStyle name="제목 2 4" xfId="30448"/>
    <cellStyle name="제목 2 4 2" xfId="30449"/>
    <cellStyle name="제목 2 5" xfId="30450"/>
    <cellStyle name="제목 2 6" xfId="30451"/>
    <cellStyle name="제목 2 7" xfId="30452"/>
    <cellStyle name="제목 2 8" xfId="30453"/>
    <cellStyle name="제목 2 9" xfId="30454"/>
    <cellStyle name="제목 3 10" xfId="30455"/>
    <cellStyle name="제목 3 11" xfId="30456"/>
    <cellStyle name="제목 3 12" xfId="30457"/>
    <cellStyle name="제목 3 13" xfId="30458"/>
    <cellStyle name="제목 3 14" xfId="30459"/>
    <cellStyle name="제목 3 15" xfId="30460"/>
    <cellStyle name="제목 3 2" xfId="30461"/>
    <cellStyle name="제목 3 2 2" xfId="30462"/>
    <cellStyle name="제목 3 2 2 10" xfId="30463"/>
    <cellStyle name="제목 3 2 2 2" xfId="30464"/>
    <cellStyle name="제목 3 2 2 2 2" xfId="30465"/>
    <cellStyle name="제목 3 2 2 3" xfId="30466"/>
    <cellStyle name="제목 3 2 2 3 2" xfId="30467"/>
    <cellStyle name="제목 3 2 2 4" xfId="30468"/>
    <cellStyle name="제목 3 2 2 4 2" xfId="30469"/>
    <cellStyle name="제목 3 2 2 5" xfId="30470"/>
    <cellStyle name="제목 3 2 2 5 2" xfId="30471"/>
    <cellStyle name="제목 3 2 2 6" xfId="30472"/>
    <cellStyle name="제목 3 2 2 6 2" xfId="30473"/>
    <cellStyle name="제목 3 2 2 7" xfId="30474"/>
    <cellStyle name="제목 3 2 2 7 2" xfId="30475"/>
    <cellStyle name="제목 3 2 2 8" xfId="30476"/>
    <cellStyle name="제목 3 2 2 8 2" xfId="30477"/>
    <cellStyle name="제목 3 2 2 9" xfId="30478"/>
    <cellStyle name="제목 3 2 2 9 2" xfId="30479"/>
    <cellStyle name="제목 3 2 3" xfId="30480"/>
    <cellStyle name="제목 3 3" xfId="30481"/>
    <cellStyle name="제목 3 3 2" xfId="30482"/>
    <cellStyle name="제목 3 3 2 2" xfId="30483"/>
    <cellStyle name="제목 3 3 2 2 2" xfId="30484"/>
    <cellStyle name="제목 3 3 2 3" xfId="30485"/>
    <cellStyle name="제목 3 3 2 3 2" xfId="30486"/>
    <cellStyle name="제목 3 3 2 4" xfId="30487"/>
    <cellStyle name="제목 3 3 2 4 2" xfId="30488"/>
    <cellStyle name="제목 3 3 2 5" xfId="30489"/>
    <cellStyle name="제목 3 3 2 5 2" xfId="30490"/>
    <cellStyle name="제목 3 3 2 6" xfId="30491"/>
    <cellStyle name="제목 3 3 2 6 2" xfId="30492"/>
    <cellStyle name="제목 3 3 2 7" xfId="30493"/>
    <cellStyle name="제목 3 3 2 7 2" xfId="30494"/>
    <cellStyle name="제목 3 3 2 8" xfId="30495"/>
    <cellStyle name="제목 3 3 2 8 2" xfId="30496"/>
    <cellStyle name="제목 3 3 2 9" xfId="30497"/>
    <cellStyle name="제목 3 3 2 9 2" xfId="30498"/>
    <cellStyle name="제목 3 3 3" xfId="30499"/>
    <cellStyle name="제목 3 4" xfId="30500"/>
    <cellStyle name="제목 3 4 2" xfId="30501"/>
    <cellStyle name="제목 3 5" xfId="30502"/>
    <cellStyle name="제목 3 6" xfId="30503"/>
    <cellStyle name="제목 3 7" xfId="30504"/>
    <cellStyle name="제목 3 8" xfId="30505"/>
    <cellStyle name="제목 3 9" xfId="30506"/>
    <cellStyle name="제목 4 10" xfId="30507"/>
    <cellStyle name="제목 4 11" xfId="30508"/>
    <cellStyle name="제목 4 12" xfId="30509"/>
    <cellStyle name="제목 4 13" xfId="30510"/>
    <cellStyle name="제목 4 14" xfId="30511"/>
    <cellStyle name="제목 4 15" xfId="30512"/>
    <cellStyle name="제목 4 2" xfId="30513"/>
    <cellStyle name="제목 4 2 2" xfId="30514"/>
    <cellStyle name="제목 4 2 2 2" xfId="30515"/>
    <cellStyle name="제목 4 2 3" xfId="30516"/>
    <cellStyle name="제목 4 3" xfId="30517"/>
    <cellStyle name="제목 4 3 2" xfId="30518"/>
    <cellStyle name="제목 4 3 3" xfId="30519"/>
    <cellStyle name="제목 4 4" xfId="30520"/>
    <cellStyle name="제목 4 4 2" xfId="30521"/>
    <cellStyle name="제목 4 5" xfId="30522"/>
    <cellStyle name="제목 4 6" xfId="30523"/>
    <cellStyle name="제목 4 7" xfId="30524"/>
    <cellStyle name="제목 4 8" xfId="30525"/>
    <cellStyle name="제목 4 9" xfId="30526"/>
    <cellStyle name="제목 5" xfId="30527"/>
    <cellStyle name="제목 5 2" xfId="30528"/>
    <cellStyle name="제목 5 2 2" xfId="30529"/>
    <cellStyle name="제목 5 3" xfId="30530"/>
    <cellStyle name="제목 6" xfId="30531"/>
    <cellStyle name="제목 6 2" xfId="30532"/>
    <cellStyle name="제목 6 3" xfId="30533"/>
    <cellStyle name="제목 7" xfId="30534"/>
    <cellStyle name="제목 7 2" xfId="30535"/>
    <cellStyle name="제목 8" xfId="30536"/>
    <cellStyle name="제목 9" xfId="30537"/>
    <cellStyle name="第俊 ?? ??欺傅?" xfId="30538"/>
    <cellStyle name="좋음 10" xfId="30539"/>
    <cellStyle name="좋음 11" xfId="30540"/>
    <cellStyle name="좋음 12" xfId="30541"/>
    <cellStyle name="좋음 13" xfId="30542"/>
    <cellStyle name="좋음 14" xfId="30543"/>
    <cellStyle name="좋음 15" xfId="30544"/>
    <cellStyle name="좋음 16" xfId="30545"/>
    <cellStyle name="좋음 17" xfId="30546"/>
    <cellStyle name="좋음 2" xfId="30547"/>
    <cellStyle name="좋음 2 2" xfId="30548"/>
    <cellStyle name="좋음 2 2 2" xfId="30549"/>
    <cellStyle name="좋음 2 3" xfId="30550"/>
    <cellStyle name="좋음 3" xfId="30551"/>
    <cellStyle name="좋음 3 2" xfId="30552"/>
    <cellStyle name="좋음 3 2 2" xfId="30553"/>
    <cellStyle name="좋음 3 3" xfId="30554"/>
    <cellStyle name="좋음 4" xfId="30555"/>
    <cellStyle name="좋음 4 2" xfId="30556"/>
    <cellStyle name="좋음 5" xfId="30557"/>
    <cellStyle name="좋음 6" xfId="30558"/>
    <cellStyle name="좋음 7" xfId="30559"/>
    <cellStyle name="좋음 8" xfId="30560"/>
    <cellStyle name="좋음 9" xfId="30561"/>
    <cellStyle name="지정되지 않음" xfId="30562"/>
    <cellStyle name="钎霖_   " xfId="30563"/>
    <cellStyle name="千分位[0]_H4DPG7RfezGCKgvTcNxjaUm2G" xfId="30564"/>
    <cellStyle name="千分位_H4DPG7RfezGCKgvTcNxjaUm2G" xfId="30565"/>
    <cellStyle name="千位分隔[0]_GTHMSNZ" xfId="30566"/>
    <cellStyle name="千位分隔_GTHMSNZ" xfId="30567"/>
    <cellStyle name="출력 10" xfId="30568"/>
    <cellStyle name="출력 11" xfId="30569"/>
    <cellStyle name="출력 12" xfId="30570"/>
    <cellStyle name="출력 13" xfId="30571"/>
    <cellStyle name="출력 14" xfId="30572"/>
    <cellStyle name="출력 15" xfId="30573"/>
    <cellStyle name="출력 2" xfId="30574"/>
    <cellStyle name="출력 2 2" xfId="30575"/>
    <cellStyle name="출력 2 2 10" xfId="30576"/>
    <cellStyle name="출력 2 2 10 2" xfId="30577"/>
    <cellStyle name="출력 2 2 10 3" xfId="30578"/>
    <cellStyle name="출력 2 2 11" xfId="30579"/>
    <cellStyle name="출력 2 2 11 2" xfId="30580"/>
    <cellStyle name="출력 2 2 11 3" xfId="30581"/>
    <cellStyle name="출력 2 2 12" xfId="30582"/>
    <cellStyle name="출력 2 2 13" xfId="30583"/>
    <cellStyle name="출력 2 2 14" xfId="30584"/>
    <cellStyle name="출력 2 2 2" xfId="30585"/>
    <cellStyle name="출력 2 2 2 2" xfId="30586"/>
    <cellStyle name="출력 2 2 3" xfId="30587"/>
    <cellStyle name="출력 2 2 3 2" xfId="30588"/>
    <cellStyle name="출력 2 2 4" xfId="30589"/>
    <cellStyle name="출력 2 2 4 2" xfId="30590"/>
    <cellStyle name="출력 2 2 5" xfId="30591"/>
    <cellStyle name="출력 2 2 5 2" xfId="30592"/>
    <cellStyle name="출력 2 2 6" xfId="30593"/>
    <cellStyle name="출력 2 2 6 2" xfId="30594"/>
    <cellStyle name="출력 2 2 7" xfId="30595"/>
    <cellStyle name="출력 2 2 7 2" xfId="30596"/>
    <cellStyle name="출력 2 2 8" xfId="30597"/>
    <cellStyle name="출력 2 2 8 2" xfId="30598"/>
    <cellStyle name="출력 2 2 8 3" xfId="30599"/>
    <cellStyle name="출력 2 2 9" xfId="30600"/>
    <cellStyle name="출력 2 2 9 2" xfId="30601"/>
    <cellStyle name="출력 2 2 9 3" xfId="30602"/>
    <cellStyle name="출력 2 3" xfId="30603"/>
    <cellStyle name="출력 2 4" xfId="30604"/>
    <cellStyle name="출력 3" xfId="30605"/>
    <cellStyle name="출력 3 2" xfId="30606"/>
    <cellStyle name="출력 3 2 10" xfId="30607"/>
    <cellStyle name="출력 3 2 10 2" xfId="30608"/>
    <cellStyle name="출력 3 2 10 3" xfId="30609"/>
    <cellStyle name="출력 3 2 11" xfId="30610"/>
    <cellStyle name="출력 3 2 11 2" xfId="30611"/>
    <cellStyle name="출력 3 2 11 3" xfId="30612"/>
    <cellStyle name="출력 3 2 12" xfId="30613"/>
    <cellStyle name="출력 3 2 13" xfId="30614"/>
    <cellStyle name="출력 3 2 2" xfId="30615"/>
    <cellStyle name="출력 3 2 2 2" xfId="30616"/>
    <cellStyle name="출력 3 2 3" xfId="30617"/>
    <cellStyle name="출력 3 2 3 2" xfId="30618"/>
    <cellStyle name="출력 3 2 4" xfId="30619"/>
    <cellStyle name="출력 3 2 4 2" xfId="30620"/>
    <cellStyle name="출력 3 2 5" xfId="30621"/>
    <cellStyle name="출력 3 2 5 2" xfId="30622"/>
    <cellStyle name="출력 3 2 6" xfId="30623"/>
    <cellStyle name="출력 3 2 6 2" xfId="30624"/>
    <cellStyle name="출력 3 2 7" xfId="30625"/>
    <cellStyle name="출력 3 2 7 2" xfId="30626"/>
    <cellStyle name="출력 3 2 8" xfId="30627"/>
    <cellStyle name="출력 3 2 8 2" xfId="30628"/>
    <cellStyle name="출력 3 2 8 3" xfId="30629"/>
    <cellStyle name="출력 3 2 9" xfId="30630"/>
    <cellStyle name="출력 3 2 9 2" xfId="30631"/>
    <cellStyle name="출력 3 2 9 3" xfId="30632"/>
    <cellStyle name="출력 3 3" xfId="30633"/>
    <cellStyle name="출력 4" xfId="30634"/>
    <cellStyle name="출력 4 2" xfId="30635"/>
    <cellStyle name="출력 5" xfId="30636"/>
    <cellStyle name="출력 6" xfId="30637"/>
    <cellStyle name="출력 7" xfId="30638"/>
    <cellStyle name="출력 8" xfId="30639"/>
    <cellStyle name="출력 9" xfId="30640"/>
    <cellStyle name="콤" xfId="30641"/>
    <cellStyle name="콤_ROTATION 유동" xfId="30642"/>
    <cellStyle name="콤_ROTATION 유동_도금 열처리 주단조 평가품의(040329)" xfId="30643"/>
    <cellStyle name="콤_ROTATION 유동_도금 열처리 주단조 평가품의(040329)_도금 열처리 주단조 평가품의(040329)" xfId="30644"/>
    <cellStyle name="콤_ROTATION 유동_도금 열처리 주단조 평가품의(040329)업체" xfId="30645"/>
    <cellStyle name="콤_ROTATION 유동_열처리결과품의(031017)개발" xfId="30646"/>
    <cellStyle name="콤_ROTATION 유동_열처리결과품의(031017)개발_도금 열처리 주단조 평가품의(040329)" xfId="30647"/>
    <cellStyle name="콤_ROTATION 유동_용접업종 평가결과품의(040510)" xfId="30648"/>
    <cellStyle name="콤_ROTATION 유동_용접업종 평가결과품의(040510)_용접업종 평가결과품의(040510)" xfId="30649"/>
    <cellStyle name="콤_ROTATION 유동_용접업종 평가결과품의(040510)_용접업종 평가결과품의(040510)(1)" xfId="30650"/>
    <cellStyle name="콤_ROTATION 유동_용접업종 평가결과품의(040510)_주단조용접업종 평가결과품의(040510)(1)" xfId="30651"/>
    <cellStyle name="콤_ROTATION 유동_주단조 업종 평가결과품의(040407)" xfId="30652"/>
    <cellStyle name="콤_ROTATION 유동_주단조 업종 평가결과품의(040407)_용접업종 평가결과품의(040510)" xfId="30653"/>
    <cellStyle name="콤_ROTATION 유동_주단조 업종 평가결과품의(040407)_용접업종 평가결과품의(040510)(1)" xfId="30654"/>
    <cellStyle name="콤_ROTATION 유동_주단조 업종 평가결과품의(040407)_주단조용접업종 평가결과품의(040510)(1)" xfId="30655"/>
    <cellStyle name="콤_ROTATION 유동_주단조 업종 평가결과품의(040416)(1)" xfId="30656"/>
    <cellStyle name="콤_ROTATION 유동_주단조 업종 평가결과품의(040416)(1)_용접업종 평가결과품의(040510)" xfId="30657"/>
    <cellStyle name="콤_ROTATION 유동_주단조 업종 평가결과품의(040416)(1)_용접업종 평가결과품의(040510)(1)" xfId="30658"/>
    <cellStyle name="콤_ROTATION 유동_주단조 업종 평가결과품의(040416)(1)_주단조용접업종 평가결과품의(040510)(1)" xfId="30659"/>
    <cellStyle name="콤_ROTATION 유동_최신-SQ인증업체현황1343사(03년평가완료031229수정)" xfId="30660"/>
    <cellStyle name="콤_ROTATION 유동_최신-SQ인증업체현황1343사(03년평가완료031229수정)_용접업종 평가결과품의(040510)" xfId="30661"/>
    <cellStyle name="콤_ROTATION 유동_최신-SQ인증업체현황1343사(03년평가완료031229수정)_용접업종 평가결과품의(040510)(1)" xfId="30662"/>
    <cellStyle name="콤_ROTATION 유동_최신-SQ인증업체현황1343사(03년평가완료031229수정)_주단조용접업종 평가결과품의(040510)(1)" xfId="30663"/>
    <cellStyle name="콤_SLIDE 폭" xfId="30664"/>
    <cellStyle name="콤_SLIDE 폭_도금 열처리 주단조 평가품의(040329)" xfId="30665"/>
    <cellStyle name="콤_SLIDE 폭_도금 열처리 주단조 평가품의(040329)_도금 열처리 주단조 평가품의(040329)" xfId="30666"/>
    <cellStyle name="콤_SLIDE 폭_도금 열처리 주단조 평가품의(040329)업체" xfId="30667"/>
    <cellStyle name="콤_SLIDE 폭_열처리결과품의(031017)개발" xfId="30668"/>
    <cellStyle name="콤_SLIDE 폭_열처리결과품의(031017)개발_도금 열처리 주단조 평가품의(040329)" xfId="30669"/>
    <cellStyle name="콤_SLIDE 폭_용접업종 평가결과품의(040510)" xfId="30670"/>
    <cellStyle name="콤_SLIDE 폭_용접업종 평가결과품의(040510)_용접업종 평가결과품의(040510)" xfId="30671"/>
    <cellStyle name="콤_SLIDE 폭_용접업종 평가결과품의(040510)_용접업종 평가결과품의(040510)(1)" xfId="30672"/>
    <cellStyle name="콤_SLIDE 폭_용접업종 평가결과품의(040510)_주단조용접업종 평가결과품의(040510)(1)" xfId="30673"/>
    <cellStyle name="콤_SLIDE 폭_주단조 업종 평가결과품의(040407)" xfId="30674"/>
    <cellStyle name="콤_SLIDE 폭_주단조 업종 평가결과품의(040407)_용접업종 평가결과품의(040510)" xfId="30675"/>
    <cellStyle name="콤_SLIDE 폭_주단조 업종 평가결과품의(040407)_용접업종 평가결과품의(040510)(1)" xfId="30676"/>
    <cellStyle name="콤_SLIDE 폭_주단조 업종 평가결과품의(040407)_주단조용접업종 평가결과품의(040510)(1)" xfId="30677"/>
    <cellStyle name="콤_SLIDE 폭_주단조 업종 평가결과품의(040416)(1)" xfId="30678"/>
    <cellStyle name="콤_SLIDE 폭_주단조 업종 평가결과품의(040416)(1)_용접업종 평가결과품의(040510)" xfId="30679"/>
    <cellStyle name="콤_SLIDE 폭_주단조 업종 평가결과품의(040416)(1)_용접업종 평가결과품의(040510)(1)" xfId="30680"/>
    <cellStyle name="콤_SLIDE 폭_주단조 업종 평가결과품의(040416)(1)_주단조용접업종 평가결과품의(040510)(1)" xfId="30681"/>
    <cellStyle name="콤_SLIDE 폭_최신-SQ인증업체현황1343사(03년평가완료031229수정)" xfId="30682"/>
    <cellStyle name="콤_SLIDE 폭_최신-SQ인증업체현황1343사(03년평가완료031229수정)_용접업종 평가결과품의(040510)" xfId="30683"/>
    <cellStyle name="콤_SLIDE 폭_최신-SQ인증업체현황1343사(03년평가완료031229수정)_용접업종 평가결과품의(040510)(1)" xfId="30684"/>
    <cellStyle name="콤_SLIDE 폭_최신-SQ인증업체현황1343사(03년평가완료031229수정)_주단조용접업종 평가결과품의(040510)(1)" xfId="30685"/>
    <cellStyle name="콤_도금 열처리 주단조 평가품의(040329)" xfId="30686"/>
    <cellStyle name="콤_도금 열처리 주단조 평가품의(040329)_도금 열처리 주단조 평가품의(040329)" xfId="30687"/>
    <cellStyle name="콤_도금 열처리 주단조 평가품의(040329)업체" xfId="30688"/>
    <cellStyle name="콤_사전회의(1208)" xfId="30689"/>
    <cellStyle name="콤_사전회의(1208)_ROTATION 유동" xfId="30690"/>
    <cellStyle name="콤_사전회의(1208)_ROTATION 유동_도금 열처리 주단조 평가품의(040329)" xfId="30691"/>
    <cellStyle name="콤_사전회의(1208)_ROTATION 유동_도금 열처리 주단조 평가품의(040329)_도금 열처리 주단조 평가품의(040329)" xfId="30692"/>
    <cellStyle name="콤_사전회의(1208)_ROTATION 유동_도금 열처리 주단조 평가품의(040329)업체" xfId="30693"/>
    <cellStyle name="콤_사전회의(1208)_ROTATION 유동_열처리결과품의(031017)개발" xfId="30694"/>
    <cellStyle name="콤_사전회의(1208)_ROTATION 유동_열처리결과품의(031017)개발_도금 열처리 주단조 평가품의(040329)" xfId="30695"/>
    <cellStyle name="콤_사전회의(1208)_ROTATION 유동_용접업종 평가결과품의(040510)" xfId="30696"/>
    <cellStyle name="콤_사전회의(1208)_ROTATION 유동_용접업종 평가결과품의(040510)_용접업종 평가결과품의(040510)" xfId="30697"/>
    <cellStyle name="콤_사전회의(1208)_ROTATION 유동_용접업종 평가결과품의(040510)_용접업종 평가결과품의(040510)(1)" xfId="30698"/>
    <cellStyle name="콤_사전회의(1208)_ROTATION 유동_용접업종 평가결과품의(040510)_주단조용접업종 평가결과품의(040510)(1)" xfId="30699"/>
    <cellStyle name="콤_사전회의(1208)_ROTATION 유동_주단조 업종 평가결과품의(040407)" xfId="30700"/>
    <cellStyle name="콤_사전회의(1208)_ROTATION 유동_주단조 업종 평가결과품의(040407)_용접업종 평가결과품의(040510)" xfId="30701"/>
    <cellStyle name="콤_사전회의(1208)_ROTATION 유동_주단조 업종 평가결과품의(040407)_용접업종 평가결과품의(040510)(1)" xfId="30702"/>
    <cellStyle name="콤_사전회의(1208)_ROTATION 유동_주단조 업종 평가결과품의(040407)_주단조용접업종 평가결과품의(040510)(1)" xfId="30703"/>
    <cellStyle name="콤_사전회의(1208)_ROTATION 유동_주단조 업종 평가결과품의(040416)(1)" xfId="30704"/>
    <cellStyle name="콤_사전회의(1208)_ROTATION 유동_주단조 업종 평가결과품의(040416)(1)_용접업종 평가결과품의(040510)" xfId="30705"/>
    <cellStyle name="콤_사전회의(1208)_ROTATION 유동_주단조 업종 평가결과품의(040416)(1)_용접업종 평가결과품의(040510)(1)" xfId="30706"/>
    <cellStyle name="콤_사전회의(1208)_ROTATION 유동_주단조 업종 평가결과품의(040416)(1)_주단조용접업종 평가결과품의(040510)(1)" xfId="30707"/>
    <cellStyle name="콤_사전회의(1208)_ROTATION 유동_최신-SQ인증업체현황1343사(03년평가완료031229수정)" xfId="30708"/>
    <cellStyle name="콤_사전회의(1208)_ROTATION 유동_최신-SQ인증업체현황1343사(03년평가완료031229수정)_용접업종 평가결과품의(040510)" xfId="30709"/>
    <cellStyle name="콤_사전회의(1208)_ROTATION 유동_최신-SQ인증업체현황1343사(03년평가완료031229수정)_용접업종 평가결과품의(040510)(1)" xfId="30710"/>
    <cellStyle name="콤_사전회의(1208)_ROTATION 유동_최신-SQ인증업체현황1343사(03년평가완료031229수정)_주단조용접업종 평가결과품의(040510)(1)" xfId="30711"/>
    <cellStyle name="콤_사전회의(1208)_SLIDE 폭" xfId="30712"/>
    <cellStyle name="콤_사전회의(1208)_SLIDE 폭_도금 열처리 주단조 평가품의(040329)" xfId="30713"/>
    <cellStyle name="콤_사전회의(1208)_SLIDE 폭_도금 열처리 주단조 평가품의(040329)_도금 열처리 주단조 평가품의(040329)" xfId="30714"/>
    <cellStyle name="콤_사전회의(1208)_SLIDE 폭_도금 열처리 주단조 평가품의(040329)업체" xfId="30715"/>
    <cellStyle name="콤_사전회의(1208)_SLIDE 폭_열처리결과품의(031017)개발" xfId="30716"/>
    <cellStyle name="콤_사전회의(1208)_SLIDE 폭_열처리결과품의(031017)개발_도금 열처리 주단조 평가품의(040329)" xfId="30717"/>
    <cellStyle name="콤_사전회의(1208)_SLIDE 폭_용접업종 평가결과품의(040510)" xfId="30718"/>
    <cellStyle name="콤_사전회의(1208)_SLIDE 폭_용접업종 평가결과품의(040510)_용접업종 평가결과품의(040510)" xfId="30719"/>
    <cellStyle name="콤_사전회의(1208)_SLIDE 폭_용접업종 평가결과품의(040510)_용접업종 평가결과품의(040510)(1)" xfId="30720"/>
    <cellStyle name="콤_사전회의(1208)_SLIDE 폭_용접업종 평가결과품의(040510)_주단조용접업종 평가결과품의(040510)(1)" xfId="30721"/>
    <cellStyle name="콤_사전회의(1208)_SLIDE 폭_주단조 업종 평가결과품의(040407)" xfId="30722"/>
    <cellStyle name="콤_사전회의(1208)_SLIDE 폭_주단조 업종 평가결과품의(040407)_용접업종 평가결과품의(040510)" xfId="30723"/>
    <cellStyle name="콤_사전회의(1208)_SLIDE 폭_주단조 업종 평가결과품의(040407)_용접업종 평가결과품의(040510)(1)" xfId="30724"/>
    <cellStyle name="콤_사전회의(1208)_SLIDE 폭_주단조 업종 평가결과품의(040407)_주단조용접업종 평가결과품의(040510)(1)" xfId="30725"/>
    <cellStyle name="콤_사전회의(1208)_SLIDE 폭_주단조 업종 평가결과품의(040416)(1)" xfId="30726"/>
    <cellStyle name="콤_사전회의(1208)_SLIDE 폭_주단조 업종 평가결과품의(040416)(1)_용접업종 평가결과품의(040510)" xfId="30727"/>
    <cellStyle name="콤_사전회의(1208)_SLIDE 폭_주단조 업종 평가결과품의(040416)(1)_용접업종 평가결과품의(040510)(1)" xfId="30728"/>
    <cellStyle name="콤_사전회의(1208)_SLIDE 폭_주단조 업종 평가결과품의(040416)(1)_주단조용접업종 평가결과품의(040510)(1)" xfId="30729"/>
    <cellStyle name="콤_사전회의(1208)_SLIDE 폭_최신-SQ인증업체현황1343사(03년평가완료031229수정)" xfId="30730"/>
    <cellStyle name="콤_사전회의(1208)_SLIDE 폭_최신-SQ인증업체현황1343사(03년평가완료031229수정)_용접업종 평가결과품의(040510)" xfId="30731"/>
    <cellStyle name="콤_사전회의(1208)_SLIDE 폭_최신-SQ인증업체현황1343사(03년평가완료031229수정)_용접업종 평가결과품의(040510)(1)" xfId="30732"/>
    <cellStyle name="콤_사전회의(1208)_SLIDE 폭_최신-SQ인증업체현황1343사(03년평가완료031229수정)_주단조용접업종 평가결과품의(040510)(1)" xfId="30733"/>
    <cellStyle name="콤_사전회의(1208)_도금 열처리 주단조 평가품의(040329)" xfId="30734"/>
    <cellStyle name="콤_사전회의(1208)_도금 열처리 주단조 평가품의(040329)_도금 열처리 주단조 평가품의(040329)" xfId="30735"/>
    <cellStyle name="콤_사전회의(1208)_도금 열처리 주단조 평가품의(040329)업체" xfId="30736"/>
    <cellStyle name="콤_사전회의(1208)_새벽시장1" xfId="30737"/>
    <cellStyle name="콤_사전회의(1208)_새벽시장1_도금 열처리 주단조 평가품의(040329)" xfId="30738"/>
    <cellStyle name="콤_사전회의(1208)_새벽시장1_도금 열처리 주단조 평가품의(040329)_도금 열처리 주단조 평가품의(040329)" xfId="30739"/>
    <cellStyle name="콤_사전회의(1208)_새벽시장1_도금 열처리 주단조 평가품의(040329)업체" xfId="30740"/>
    <cellStyle name="콤_사전회의(1208)_새벽시장1_열처리결과품의(031017)개발" xfId="30741"/>
    <cellStyle name="콤_사전회의(1208)_새벽시장1_열처리결과품의(031017)개발_도금 열처리 주단조 평가품의(040329)" xfId="30742"/>
    <cellStyle name="콤_사전회의(1208)_새벽시장1_용접업종 평가결과품의(040510)" xfId="30743"/>
    <cellStyle name="콤_사전회의(1208)_새벽시장1_용접업종 평가결과품의(040510)_용접업종 평가결과품의(040510)" xfId="30744"/>
    <cellStyle name="콤_사전회의(1208)_새벽시장1_용접업종 평가결과품의(040510)_용접업종 평가결과품의(040510)(1)" xfId="30745"/>
    <cellStyle name="콤_사전회의(1208)_새벽시장1_용접업종 평가결과품의(040510)_주단조용접업종 평가결과품의(040510)(1)" xfId="30746"/>
    <cellStyle name="콤_사전회의(1208)_새벽시장1_주단조 업종 평가결과품의(040407)" xfId="30747"/>
    <cellStyle name="콤_사전회의(1208)_새벽시장1_주단조 업종 평가결과품의(040407)_용접업종 평가결과품의(040510)" xfId="30748"/>
    <cellStyle name="콤_사전회의(1208)_새벽시장1_주단조 업종 평가결과품의(040407)_용접업종 평가결과품의(040510)(1)" xfId="30749"/>
    <cellStyle name="콤_사전회의(1208)_새벽시장1_주단조 업종 평가결과품의(040407)_주단조용접업종 평가결과품의(040510)(1)" xfId="30750"/>
    <cellStyle name="콤_사전회의(1208)_새벽시장1_주단조 업종 평가결과품의(040416)(1)" xfId="30751"/>
    <cellStyle name="콤_사전회의(1208)_새벽시장1_주단조 업종 평가결과품의(040416)(1)_용접업종 평가결과품의(040510)" xfId="30752"/>
    <cellStyle name="콤_사전회의(1208)_새벽시장1_주단조 업종 평가결과품의(040416)(1)_용접업종 평가결과품의(040510)(1)" xfId="30753"/>
    <cellStyle name="콤_사전회의(1208)_새벽시장1_주단조 업종 평가결과품의(040416)(1)_주단조용접업종 평가결과품의(040510)(1)" xfId="30754"/>
    <cellStyle name="콤_사전회의(1208)_새벽시장1_최신-SQ인증업체현황1343사(03년평가완료031229수정)" xfId="30755"/>
    <cellStyle name="콤_사전회의(1208)_새벽시장1_최신-SQ인증업체현황1343사(03년평가완료031229수정)_용접업종 평가결과품의(040510)" xfId="30756"/>
    <cellStyle name="콤_사전회의(1208)_새벽시장1_최신-SQ인증업체현황1343사(03년평가완료031229수정)_용접업종 평가결과품의(040510)(1)" xfId="30757"/>
    <cellStyle name="콤_사전회의(1208)_새벽시장1_최신-SQ인증업체현황1343사(03년평가완료031229수정)_주단조용접업종 평가결과품의(040510)(1)" xfId="30758"/>
    <cellStyle name="콤_사전회의(1208)_새벽시장3" xfId="30759"/>
    <cellStyle name="콤_사전회의(1208)_새벽시장3_도금 열처리 주단조 평가품의(040329)" xfId="30760"/>
    <cellStyle name="콤_사전회의(1208)_새벽시장3_도금 열처리 주단조 평가품의(040329)_도금 열처리 주단조 평가품의(040329)" xfId="30761"/>
    <cellStyle name="콤_사전회의(1208)_새벽시장3_도금 열처리 주단조 평가품의(040329)업체" xfId="30762"/>
    <cellStyle name="콤_사전회의(1208)_새벽시장3_열처리결과품의(031017)개발" xfId="30763"/>
    <cellStyle name="콤_사전회의(1208)_새벽시장3_열처리결과품의(031017)개발_도금 열처리 주단조 평가품의(040329)" xfId="30764"/>
    <cellStyle name="콤_사전회의(1208)_새벽시장3_용접업종 평가결과품의(040510)" xfId="30765"/>
    <cellStyle name="콤_사전회의(1208)_새벽시장3_용접업종 평가결과품의(040510)_용접업종 평가결과품의(040510)" xfId="30766"/>
    <cellStyle name="콤_사전회의(1208)_새벽시장3_용접업종 평가결과품의(040510)_용접업종 평가결과품의(040510)(1)" xfId="30767"/>
    <cellStyle name="콤_사전회의(1208)_새벽시장3_용접업종 평가결과품의(040510)_주단조용접업종 평가결과품의(040510)(1)" xfId="30768"/>
    <cellStyle name="콤_사전회의(1208)_새벽시장3_주단조 업종 평가결과품의(040407)" xfId="30769"/>
    <cellStyle name="콤_사전회의(1208)_새벽시장3_주단조 업종 평가결과품의(040407)_용접업종 평가결과품의(040510)" xfId="30770"/>
    <cellStyle name="콤_사전회의(1208)_새벽시장3_주단조 업종 평가결과품의(040407)_용접업종 평가결과품의(040510)(1)" xfId="30771"/>
    <cellStyle name="콤_사전회의(1208)_새벽시장3_주단조 업종 평가결과품의(040407)_주단조용접업종 평가결과품의(040510)(1)" xfId="30772"/>
    <cellStyle name="콤_사전회의(1208)_새벽시장3_주단조 업종 평가결과품의(040416)(1)" xfId="30773"/>
    <cellStyle name="콤_사전회의(1208)_새벽시장3_주단조 업종 평가결과품의(040416)(1)_용접업종 평가결과품의(040510)" xfId="30774"/>
    <cellStyle name="콤_사전회의(1208)_새벽시장3_주단조 업종 평가결과품의(040416)(1)_용접업종 평가결과품의(040510)(1)" xfId="30775"/>
    <cellStyle name="콤_사전회의(1208)_새벽시장3_주단조 업종 평가결과품의(040416)(1)_주단조용접업종 평가결과품의(040510)(1)" xfId="30776"/>
    <cellStyle name="콤_사전회의(1208)_새벽시장3_최신-SQ인증업체현황1343사(03년평가완료031229수정)" xfId="30777"/>
    <cellStyle name="콤_사전회의(1208)_새벽시장3_최신-SQ인증업체현황1343사(03년평가완료031229수정)_용접업종 평가결과품의(040510)" xfId="30778"/>
    <cellStyle name="콤_사전회의(1208)_새벽시장3_최신-SQ인증업체현황1343사(03년평가완료031229수정)_용접업종 평가결과품의(040510)(1)" xfId="30779"/>
    <cellStyle name="콤_사전회의(1208)_새벽시장3_최신-SQ인증업체현황1343사(03년평가완료031229수정)_주단조용접업종 평가결과품의(040510)(1)" xfId="30780"/>
    <cellStyle name="콤_사전회의(1208)_새벽시장5" xfId="30781"/>
    <cellStyle name="콤_사전회의(1208)_새벽시장5_도금 열처리 주단조 평가품의(040329)" xfId="30782"/>
    <cellStyle name="콤_사전회의(1208)_새벽시장5_도금 열처리 주단조 평가품의(040329)_도금 열처리 주단조 평가품의(040329)" xfId="30783"/>
    <cellStyle name="콤_사전회의(1208)_새벽시장5_도금 열처리 주단조 평가품의(040329)업체" xfId="30784"/>
    <cellStyle name="콤_사전회의(1208)_새벽시장5_열처리결과품의(031017)개발" xfId="30785"/>
    <cellStyle name="콤_사전회의(1208)_새벽시장5_열처리결과품의(031017)개발_도금 열처리 주단조 평가품의(040329)" xfId="30786"/>
    <cellStyle name="콤_사전회의(1208)_새벽시장5_용접업종 평가결과품의(040510)" xfId="30787"/>
    <cellStyle name="콤_사전회의(1208)_새벽시장5_용접업종 평가결과품의(040510)_용접업종 평가결과품의(040510)" xfId="30788"/>
    <cellStyle name="콤_사전회의(1208)_새벽시장5_용접업종 평가결과품의(040510)_용접업종 평가결과품의(040510)(1)" xfId="30789"/>
    <cellStyle name="콤_사전회의(1208)_새벽시장5_용접업종 평가결과품의(040510)_주단조용접업종 평가결과품의(040510)(1)" xfId="30790"/>
    <cellStyle name="콤_사전회의(1208)_새벽시장5_주단조 업종 평가결과품의(040407)" xfId="30791"/>
    <cellStyle name="콤_사전회의(1208)_새벽시장5_주단조 업종 평가결과품의(040407)_용접업종 평가결과품의(040510)" xfId="30792"/>
    <cellStyle name="콤_사전회의(1208)_새벽시장5_주단조 업종 평가결과품의(040407)_용접업종 평가결과품의(040510)(1)" xfId="30793"/>
    <cellStyle name="콤_사전회의(1208)_새벽시장5_주단조 업종 평가결과품의(040407)_주단조용접업종 평가결과품의(040510)(1)" xfId="30794"/>
    <cellStyle name="콤_사전회의(1208)_새벽시장5_주단조 업종 평가결과품의(040416)(1)" xfId="30795"/>
    <cellStyle name="콤_사전회의(1208)_새벽시장5_주단조 업종 평가결과품의(040416)(1)_용접업종 평가결과품의(040510)" xfId="30796"/>
    <cellStyle name="콤_사전회의(1208)_새벽시장5_주단조 업종 평가결과품의(040416)(1)_용접업종 평가결과품의(040510)(1)" xfId="30797"/>
    <cellStyle name="콤_사전회의(1208)_새벽시장5_주단조 업종 평가결과품의(040416)(1)_주단조용접업종 평가결과품의(040510)(1)" xfId="30798"/>
    <cellStyle name="콤_사전회의(1208)_새벽시장5_최신-SQ인증업체현황1343사(03년평가완료031229수정)" xfId="30799"/>
    <cellStyle name="콤_사전회의(1208)_새벽시장5_최신-SQ인증업체현황1343사(03년평가완료031229수정)_용접업종 평가결과품의(040510)" xfId="30800"/>
    <cellStyle name="콤_사전회의(1208)_새벽시장5_최신-SQ인증업체현황1343사(03년평가완료031229수정)_용접업종 평가결과품의(040510)(1)" xfId="30801"/>
    <cellStyle name="콤_사전회의(1208)_새벽시장5_최신-SQ인증업체현황1343사(03년평가완료031229수정)_주단조용접업종 평가결과품의(040510)(1)" xfId="30802"/>
    <cellStyle name="콤_사전회의(1208)_새벽시장7" xfId="30803"/>
    <cellStyle name="콤_사전회의(1208)_새벽시장7_도금 열처리 주단조 평가품의(040329)" xfId="30804"/>
    <cellStyle name="콤_사전회의(1208)_새벽시장7_도금 열처리 주단조 평가품의(040329)_도금 열처리 주단조 평가품의(040329)" xfId="30805"/>
    <cellStyle name="콤_사전회의(1208)_새벽시장7_도금 열처리 주단조 평가품의(040329)업체" xfId="30806"/>
    <cellStyle name="콤_사전회의(1208)_새벽시장7_열처리결과품의(031017)개발" xfId="30807"/>
    <cellStyle name="콤_사전회의(1208)_새벽시장7_열처리결과품의(031017)개발_도금 열처리 주단조 평가품의(040329)" xfId="30808"/>
    <cellStyle name="콤_사전회의(1208)_새벽시장7_용접업종 평가결과품의(040510)" xfId="30809"/>
    <cellStyle name="콤_사전회의(1208)_새벽시장7_용접업종 평가결과품의(040510)_용접업종 평가결과품의(040510)" xfId="30810"/>
    <cellStyle name="콤_사전회의(1208)_새벽시장7_용접업종 평가결과품의(040510)_용접업종 평가결과품의(040510)(1)" xfId="30811"/>
    <cellStyle name="콤_사전회의(1208)_새벽시장7_용접업종 평가결과품의(040510)_주단조용접업종 평가결과품의(040510)(1)" xfId="30812"/>
    <cellStyle name="콤_사전회의(1208)_새벽시장7_주단조 업종 평가결과품의(040407)" xfId="30813"/>
    <cellStyle name="콤_사전회의(1208)_새벽시장7_주단조 업종 평가결과품의(040407)_용접업종 평가결과품의(040510)" xfId="30814"/>
    <cellStyle name="콤_사전회의(1208)_새벽시장7_주단조 업종 평가결과품의(040407)_용접업종 평가결과품의(040510)(1)" xfId="30815"/>
    <cellStyle name="콤_사전회의(1208)_새벽시장7_주단조 업종 평가결과품의(040407)_주단조용접업종 평가결과품의(040510)(1)" xfId="30816"/>
    <cellStyle name="콤_사전회의(1208)_새벽시장7_주단조 업종 평가결과품의(040416)(1)" xfId="30817"/>
    <cellStyle name="콤_사전회의(1208)_새벽시장7_주단조 업종 평가결과품의(040416)(1)_용접업종 평가결과품의(040510)" xfId="30818"/>
    <cellStyle name="콤_사전회의(1208)_새벽시장7_주단조 업종 평가결과품의(040416)(1)_용접업종 평가결과품의(040510)(1)" xfId="30819"/>
    <cellStyle name="콤_사전회의(1208)_새벽시장7_주단조 업종 평가결과품의(040416)(1)_주단조용접업종 평가결과품의(040510)(1)" xfId="30820"/>
    <cellStyle name="콤_사전회의(1208)_새벽시장7_최신-SQ인증업체현황1343사(03년평가완료031229수정)" xfId="30821"/>
    <cellStyle name="콤_사전회의(1208)_새벽시장7_최신-SQ인증업체현황1343사(03년평가완료031229수정)_용접업종 평가결과품의(040510)" xfId="30822"/>
    <cellStyle name="콤_사전회의(1208)_새벽시장7_최신-SQ인증업체현황1343사(03년평가완료031229수정)_용접업종 평가결과품의(040510)(1)" xfId="30823"/>
    <cellStyle name="콤_사전회의(1208)_새벽시장7_최신-SQ인증업체현황1343사(03년평가완료031229수정)_주단조용접업종 평가결과품의(040510)(1)" xfId="30824"/>
    <cellStyle name="콤_사전회의(1208)_새벽시장8.10xls" xfId="30825"/>
    <cellStyle name="콤_사전회의(1208)_새벽시장8.10xls_도금 열처리 주단조 평가품의(040329)" xfId="30826"/>
    <cellStyle name="콤_사전회의(1208)_새벽시장8.10xls_도금 열처리 주단조 평가품의(040329)_도금 열처리 주단조 평가품의(040329)" xfId="30827"/>
    <cellStyle name="콤_사전회의(1208)_새벽시장8.10xls_도금 열처리 주단조 평가품의(040329)업체" xfId="30828"/>
    <cellStyle name="콤_사전회의(1208)_새벽시장8.10xls_열처리결과품의(031017)개발" xfId="30829"/>
    <cellStyle name="콤_사전회의(1208)_새벽시장8.10xls_열처리결과품의(031017)개발_도금 열처리 주단조 평가품의(040329)" xfId="30830"/>
    <cellStyle name="콤_사전회의(1208)_새벽시장8.10xls_용접업종 평가결과품의(040510)" xfId="30831"/>
    <cellStyle name="콤_사전회의(1208)_새벽시장8.10xls_용접업종 평가결과품의(040510)_용접업종 평가결과품의(040510)" xfId="30832"/>
    <cellStyle name="콤_사전회의(1208)_새벽시장8.10xls_용접업종 평가결과품의(040510)_용접업종 평가결과품의(040510)(1)" xfId="30833"/>
    <cellStyle name="콤_사전회의(1208)_새벽시장8.10xls_용접업종 평가결과품의(040510)_주단조용접업종 평가결과품의(040510)(1)" xfId="30834"/>
    <cellStyle name="콤_사전회의(1208)_새벽시장8.10xls_주단조 업종 평가결과품의(040407)" xfId="30835"/>
    <cellStyle name="콤_사전회의(1208)_새벽시장8.10xls_주단조 업종 평가결과품의(040407)_용접업종 평가결과품의(040510)" xfId="30836"/>
    <cellStyle name="콤_사전회의(1208)_새벽시장8.10xls_주단조 업종 평가결과품의(040407)_용접업종 평가결과품의(040510)(1)" xfId="30837"/>
    <cellStyle name="콤_사전회의(1208)_새벽시장8.10xls_주단조 업종 평가결과품의(040407)_주단조용접업종 평가결과품의(040510)(1)" xfId="30838"/>
    <cellStyle name="콤_사전회의(1208)_새벽시장8.10xls_주단조 업종 평가결과품의(040416)(1)" xfId="30839"/>
    <cellStyle name="콤_사전회의(1208)_새벽시장8.10xls_주단조 업종 평가결과품의(040416)(1)_용접업종 평가결과품의(040510)" xfId="30840"/>
    <cellStyle name="콤_사전회의(1208)_새벽시장8.10xls_주단조 업종 평가결과품의(040416)(1)_용접업종 평가결과품의(040510)(1)" xfId="30841"/>
    <cellStyle name="콤_사전회의(1208)_새벽시장8.10xls_주단조 업종 평가결과품의(040416)(1)_주단조용접업종 평가결과품의(040510)(1)" xfId="30842"/>
    <cellStyle name="콤_사전회의(1208)_새벽시장8.10xls_최신-SQ인증업체현황1343사(03년평가완료031229수정)" xfId="30843"/>
    <cellStyle name="콤_사전회의(1208)_새벽시장8.10xls_최신-SQ인증업체현황1343사(03년평가완료031229수정)_용접업종 평가결과품의(040510)" xfId="30844"/>
    <cellStyle name="콤_사전회의(1208)_새벽시장8.10xls_최신-SQ인증업체현황1343사(03년평가완료031229수정)_용접업종 평가결과품의(040510)(1)" xfId="30845"/>
    <cellStyle name="콤_사전회의(1208)_새벽시장8.10xls_최신-SQ인증업체현황1343사(03년평가완료031229수정)_주단조용접업종 평가결과품의(040510)(1)" xfId="30846"/>
    <cellStyle name="콤_사전회의(1208)_새벽시장8.26xls" xfId="30847"/>
    <cellStyle name="콤_사전회의(1208)_새벽시장8.26xls_도금 열처리 주단조 평가품의(040329)" xfId="30848"/>
    <cellStyle name="콤_사전회의(1208)_새벽시장8.26xls_도금 열처리 주단조 평가품의(040329)_도금 열처리 주단조 평가품의(040329)" xfId="30849"/>
    <cellStyle name="콤_사전회의(1208)_새벽시장8.26xls_도금 열처리 주단조 평가품의(040329)업체" xfId="30850"/>
    <cellStyle name="콤_사전회의(1208)_새벽시장8.26xls_열처리결과품의(031017)개발" xfId="30851"/>
    <cellStyle name="콤_사전회의(1208)_새벽시장8.26xls_열처리결과품의(031017)개발_도금 열처리 주단조 평가품의(040329)" xfId="30852"/>
    <cellStyle name="콤_사전회의(1208)_새벽시장8.26xls_용접업종 평가결과품의(040510)" xfId="30853"/>
    <cellStyle name="콤_사전회의(1208)_새벽시장8.26xls_용접업종 평가결과품의(040510)_용접업종 평가결과품의(040510)" xfId="30854"/>
    <cellStyle name="콤_사전회의(1208)_새벽시장8.26xls_용접업종 평가결과품의(040510)_용접업종 평가결과품의(040510)(1)" xfId="30855"/>
    <cellStyle name="콤_사전회의(1208)_새벽시장8.26xls_용접업종 평가결과품의(040510)_주단조용접업종 평가결과품의(040510)(1)" xfId="30856"/>
    <cellStyle name="콤_사전회의(1208)_새벽시장8.26xls_주단조 업종 평가결과품의(040407)" xfId="30857"/>
    <cellStyle name="콤_사전회의(1208)_새벽시장8.26xls_주단조 업종 평가결과품의(040407)_용접업종 평가결과품의(040510)" xfId="30858"/>
    <cellStyle name="콤_사전회의(1208)_새벽시장8.26xls_주단조 업종 평가결과품의(040407)_용접업종 평가결과품의(040510)(1)" xfId="30859"/>
    <cellStyle name="콤_사전회의(1208)_새벽시장8.26xls_주단조 업종 평가결과품의(040407)_주단조용접업종 평가결과품의(040510)(1)" xfId="30860"/>
    <cellStyle name="콤_사전회의(1208)_새벽시장8.26xls_주단조 업종 평가결과품의(040416)(1)" xfId="30861"/>
    <cellStyle name="콤_사전회의(1208)_새벽시장8.26xls_주단조 업종 평가결과품의(040416)(1)_용접업종 평가결과품의(040510)" xfId="30862"/>
    <cellStyle name="콤_사전회의(1208)_새벽시장8.26xls_주단조 업종 평가결과품의(040416)(1)_용접업종 평가결과품의(040510)(1)" xfId="30863"/>
    <cellStyle name="콤_사전회의(1208)_새벽시장8.26xls_주단조 업종 평가결과품의(040416)(1)_주단조용접업종 평가결과품의(040510)(1)" xfId="30864"/>
    <cellStyle name="콤_사전회의(1208)_새벽시장8.26xls_최신-SQ인증업체현황1343사(03년평가완료031229수정)" xfId="30865"/>
    <cellStyle name="콤_사전회의(1208)_새벽시장8.26xls_최신-SQ인증업체현황1343사(03년평가완료031229수정)_용접업종 평가결과품의(040510)" xfId="30866"/>
    <cellStyle name="콤_사전회의(1208)_새벽시장8.26xls_최신-SQ인증업체현황1343사(03년평가완료031229수정)_용접업종 평가결과품의(040510)(1)" xfId="30867"/>
    <cellStyle name="콤_사전회의(1208)_새벽시장8.26xls_최신-SQ인증업체현황1343사(03년평가완료031229수정)_주단조용접업종 평가결과품의(040510)(1)" xfId="30868"/>
    <cellStyle name="콤_사전회의(1208)_새벽시장9.16" xfId="30869"/>
    <cellStyle name="콤_사전회의(1208)_새벽시장9.16_도금 열처리 주단조 평가품의(040329)" xfId="30870"/>
    <cellStyle name="콤_사전회의(1208)_새벽시장9.16_도금 열처리 주단조 평가품의(040329)_도금 열처리 주단조 평가품의(040329)" xfId="30871"/>
    <cellStyle name="콤_사전회의(1208)_새벽시장9.16_도금 열처리 주단조 평가품의(040329)업체" xfId="30872"/>
    <cellStyle name="콤_사전회의(1208)_새벽시장9.16_열처리결과품의(031017)개발" xfId="30873"/>
    <cellStyle name="콤_사전회의(1208)_새벽시장9.16_열처리결과품의(031017)개발_도금 열처리 주단조 평가품의(040329)" xfId="30874"/>
    <cellStyle name="콤_사전회의(1208)_새벽시장9.16_용접업종 평가결과품의(040510)" xfId="30875"/>
    <cellStyle name="콤_사전회의(1208)_새벽시장9.16_용접업종 평가결과품의(040510)_용접업종 평가결과품의(040510)" xfId="30876"/>
    <cellStyle name="콤_사전회의(1208)_새벽시장9.16_용접업종 평가결과품의(040510)_용접업종 평가결과품의(040510)(1)" xfId="30877"/>
    <cellStyle name="콤_사전회의(1208)_새벽시장9.16_용접업종 평가결과품의(040510)_주단조용접업종 평가결과품의(040510)(1)" xfId="30878"/>
    <cellStyle name="콤_사전회의(1208)_새벽시장9.16_주단조 업종 평가결과품의(040407)" xfId="30879"/>
    <cellStyle name="콤_사전회의(1208)_새벽시장9.16_주단조 업종 평가결과품의(040407)_용접업종 평가결과품의(040510)" xfId="30880"/>
    <cellStyle name="콤_사전회의(1208)_새벽시장9.16_주단조 업종 평가결과품의(040407)_용접업종 평가결과품의(040510)(1)" xfId="30881"/>
    <cellStyle name="콤_사전회의(1208)_새벽시장9.16_주단조 업종 평가결과품의(040407)_주단조용접업종 평가결과품의(040510)(1)" xfId="30882"/>
    <cellStyle name="콤_사전회의(1208)_새벽시장9.16_주단조 업종 평가결과품의(040416)(1)" xfId="30883"/>
    <cellStyle name="콤_사전회의(1208)_새벽시장9.16_주단조 업종 평가결과품의(040416)(1)_용접업종 평가결과품의(040510)" xfId="30884"/>
    <cellStyle name="콤_사전회의(1208)_새벽시장9.16_주단조 업종 평가결과품의(040416)(1)_용접업종 평가결과품의(040510)(1)" xfId="30885"/>
    <cellStyle name="콤_사전회의(1208)_새벽시장9.16_주단조 업종 평가결과품의(040416)(1)_주단조용접업종 평가결과품의(040510)(1)" xfId="30886"/>
    <cellStyle name="콤_사전회의(1208)_새벽시장9.16_최신-SQ인증업체현황1343사(03년평가완료031229수정)" xfId="30887"/>
    <cellStyle name="콤_사전회의(1208)_새벽시장9.16_최신-SQ인증업체현황1343사(03년평가완료031229수정)_용접업종 평가결과품의(040510)" xfId="30888"/>
    <cellStyle name="콤_사전회의(1208)_새벽시장9.16_최신-SQ인증업체현황1343사(03년평가완료031229수정)_용접업종 평가결과품의(040510)(1)" xfId="30889"/>
    <cellStyle name="콤_사전회의(1208)_새벽시장9.16_최신-SQ인증업체현황1343사(03년평가완료031229수정)_주단조용접업종 평가결과품의(040510)(1)" xfId="30890"/>
    <cellStyle name="콤_사전회의(1208)_열처리결과품의(031017)개발" xfId="30891"/>
    <cellStyle name="콤_사전회의(1208)_열처리결과품의(031017)개발_도금 열처리 주단조 평가품의(040329)" xfId="30892"/>
    <cellStyle name="콤_사전회의(1208)_용접업종 평가결과품의(040510)" xfId="30893"/>
    <cellStyle name="콤_사전회의(1208)_용접업종 평가결과품의(040510)_용접업종 평가결과품의(040510)" xfId="30894"/>
    <cellStyle name="콤_사전회의(1208)_용접업종 평가결과품의(040510)_용접업종 평가결과품의(040510)(1)" xfId="30895"/>
    <cellStyle name="콤_사전회의(1208)_용접업종 평가결과품의(040510)_주단조용접업종 평가결과품의(040510)(1)" xfId="30896"/>
    <cellStyle name="콤_사전회의(1208)_주단조 업종 평가결과품의(040407)" xfId="30897"/>
    <cellStyle name="콤_사전회의(1208)_주단조 업종 평가결과품의(040407)_용접업종 평가결과품의(040510)" xfId="30898"/>
    <cellStyle name="콤_사전회의(1208)_주단조 업종 평가결과품의(040407)_용접업종 평가결과품의(040510)(1)" xfId="30899"/>
    <cellStyle name="콤_사전회의(1208)_주단조 업종 평가결과품의(040407)_주단조용접업종 평가결과품의(040510)(1)" xfId="30900"/>
    <cellStyle name="콤_사전회의(1208)_주단조 업종 평가결과품의(040416)(1)" xfId="30901"/>
    <cellStyle name="콤_사전회의(1208)_주단조 업종 평가결과품의(040416)(1)_용접업종 평가결과품의(040510)" xfId="30902"/>
    <cellStyle name="콤_사전회의(1208)_주단조 업종 평가결과품의(040416)(1)_용접업종 평가결과품의(040510)(1)" xfId="30903"/>
    <cellStyle name="콤_사전회의(1208)_주단조 업종 평가결과품의(040416)(1)_주단조용접업종 평가결과품의(040510)(1)" xfId="30904"/>
    <cellStyle name="콤_사전회의(1208)_최신-SQ인증업체현황1343사(03년평가완료031229수정)" xfId="30905"/>
    <cellStyle name="콤_사전회의(1208)_최신-SQ인증업체현황1343사(03년평가완료031229수정)_용접업종 평가결과품의(040510)" xfId="30906"/>
    <cellStyle name="콤_사전회의(1208)_최신-SQ인증업체현황1343사(03년평가완료031229수정)_용접업종 평가결과품의(040510)(1)" xfId="30907"/>
    <cellStyle name="콤_사전회의(1208)_최신-SQ인증업체현황1343사(03년평가완료031229수정)_주단조용접업종 평가결과품의(040510)(1)" xfId="30908"/>
    <cellStyle name="콤_새벽시장1" xfId="30909"/>
    <cellStyle name="콤_새벽시장1_도금 열처리 주단조 평가품의(040329)" xfId="30910"/>
    <cellStyle name="콤_새벽시장1_도금 열처리 주단조 평가품의(040329)_도금 열처리 주단조 평가품의(040329)" xfId="30911"/>
    <cellStyle name="콤_새벽시장1_도금 열처리 주단조 평가품의(040329)업체" xfId="30912"/>
    <cellStyle name="콤_새벽시장1_열처리결과품의(031017)개발" xfId="30913"/>
    <cellStyle name="콤_새벽시장1_열처리결과품의(031017)개발_도금 열처리 주단조 평가품의(040329)" xfId="30914"/>
    <cellStyle name="콤_새벽시장1_용접업종 평가결과품의(040510)" xfId="30915"/>
    <cellStyle name="콤_새벽시장1_용접업종 평가결과품의(040510)_용접업종 평가결과품의(040510)" xfId="30916"/>
    <cellStyle name="콤_새벽시장1_용접업종 평가결과품의(040510)_용접업종 평가결과품의(040510)(1)" xfId="30917"/>
    <cellStyle name="콤_새벽시장1_용접업종 평가결과품의(040510)_주단조용접업종 평가결과품의(040510)(1)" xfId="30918"/>
    <cellStyle name="콤_새벽시장1_주단조 업종 평가결과품의(040407)" xfId="30919"/>
    <cellStyle name="콤_새벽시장1_주단조 업종 평가결과품의(040407)_용접업종 평가결과품의(040510)" xfId="30920"/>
    <cellStyle name="콤_새벽시장1_주단조 업종 평가결과품의(040407)_용접업종 평가결과품의(040510)(1)" xfId="30921"/>
    <cellStyle name="콤_새벽시장1_주단조 업종 평가결과품의(040407)_주단조용접업종 평가결과품의(040510)(1)" xfId="30922"/>
    <cellStyle name="콤_새벽시장1_주단조 업종 평가결과품의(040416)(1)" xfId="30923"/>
    <cellStyle name="콤_새벽시장1_주단조 업종 평가결과품의(040416)(1)_용접업종 평가결과품의(040510)" xfId="30924"/>
    <cellStyle name="콤_새벽시장1_주단조 업종 평가결과품의(040416)(1)_용접업종 평가결과품의(040510)(1)" xfId="30925"/>
    <cellStyle name="콤_새벽시장1_주단조 업종 평가결과품의(040416)(1)_주단조용접업종 평가결과품의(040510)(1)" xfId="30926"/>
    <cellStyle name="콤_새벽시장1_최신-SQ인증업체현황1343사(03년평가완료031229수정)" xfId="30927"/>
    <cellStyle name="콤_새벽시장1_최신-SQ인증업체현황1343사(03년평가완료031229수정)_용접업종 평가결과품의(040510)" xfId="30928"/>
    <cellStyle name="콤_새벽시장1_최신-SQ인증업체현황1343사(03년평가완료031229수정)_용접업종 평가결과품의(040510)(1)" xfId="30929"/>
    <cellStyle name="콤_새벽시장1_최신-SQ인증업체현황1343사(03년평가완료031229수정)_주단조용접업종 평가결과품의(040510)(1)" xfId="30930"/>
    <cellStyle name="콤_새벽시장3" xfId="30931"/>
    <cellStyle name="콤_새벽시장3_도금 열처리 주단조 평가품의(040329)" xfId="30932"/>
    <cellStyle name="콤_새벽시장3_도금 열처리 주단조 평가품의(040329)_도금 열처리 주단조 평가품의(040329)" xfId="30933"/>
    <cellStyle name="콤_새벽시장3_도금 열처리 주단조 평가품의(040329)업체" xfId="30934"/>
    <cellStyle name="콤_새벽시장3_열처리결과품의(031017)개발" xfId="30935"/>
    <cellStyle name="콤_새벽시장3_열처리결과품의(031017)개발_도금 열처리 주단조 평가품의(040329)" xfId="30936"/>
    <cellStyle name="콤_새벽시장3_용접업종 평가결과품의(040510)" xfId="30937"/>
    <cellStyle name="콤_새벽시장3_용접업종 평가결과품의(040510)_용접업종 평가결과품의(040510)" xfId="30938"/>
    <cellStyle name="콤_새벽시장3_용접업종 평가결과품의(040510)_용접업종 평가결과품의(040510)(1)" xfId="30939"/>
    <cellStyle name="콤_새벽시장3_용접업종 평가결과품의(040510)_주단조용접업종 평가결과품의(040510)(1)" xfId="30940"/>
    <cellStyle name="콤_새벽시장3_주단조 업종 평가결과품의(040407)" xfId="30941"/>
    <cellStyle name="콤_새벽시장3_주단조 업종 평가결과품의(040407)_용접업종 평가결과품의(040510)" xfId="30942"/>
    <cellStyle name="콤_새벽시장3_주단조 업종 평가결과품의(040407)_용접업종 평가결과품의(040510)(1)" xfId="30943"/>
    <cellStyle name="콤_새벽시장3_주단조 업종 평가결과품의(040407)_주단조용접업종 평가결과품의(040510)(1)" xfId="30944"/>
    <cellStyle name="콤_새벽시장3_주단조 업종 평가결과품의(040416)(1)" xfId="30945"/>
    <cellStyle name="콤_새벽시장3_주단조 업종 평가결과품의(040416)(1)_용접업종 평가결과품의(040510)" xfId="30946"/>
    <cellStyle name="콤_새벽시장3_주단조 업종 평가결과품의(040416)(1)_용접업종 평가결과품의(040510)(1)" xfId="30947"/>
    <cellStyle name="콤_새벽시장3_주단조 업종 평가결과품의(040416)(1)_주단조용접업종 평가결과품의(040510)(1)" xfId="30948"/>
    <cellStyle name="콤_새벽시장3_최신-SQ인증업체현황1343사(03년평가완료031229수정)" xfId="30949"/>
    <cellStyle name="콤_새벽시장3_최신-SQ인증업체현황1343사(03년평가완료031229수정)_용접업종 평가결과품의(040510)" xfId="30950"/>
    <cellStyle name="콤_새벽시장3_최신-SQ인증업체현황1343사(03년평가완료031229수정)_용접업종 평가결과품의(040510)(1)" xfId="30951"/>
    <cellStyle name="콤_새벽시장3_최신-SQ인증업체현황1343사(03년평가완료031229수정)_주단조용접업종 평가결과품의(040510)(1)" xfId="30952"/>
    <cellStyle name="콤_새벽시장5" xfId="30953"/>
    <cellStyle name="콤_새벽시장5_도금 열처리 주단조 평가품의(040329)" xfId="30954"/>
    <cellStyle name="콤_새벽시장5_도금 열처리 주단조 평가품의(040329)_도금 열처리 주단조 평가품의(040329)" xfId="30955"/>
    <cellStyle name="콤_새벽시장5_도금 열처리 주단조 평가품의(040329)업체" xfId="30956"/>
    <cellStyle name="콤_새벽시장5_열처리결과품의(031017)개발" xfId="30957"/>
    <cellStyle name="콤_새벽시장5_열처리결과품의(031017)개발_도금 열처리 주단조 평가품의(040329)" xfId="30958"/>
    <cellStyle name="콤_새벽시장5_용접업종 평가결과품의(040510)" xfId="30959"/>
    <cellStyle name="콤_새벽시장5_용접업종 평가결과품의(040510)_용접업종 평가결과품의(040510)" xfId="30960"/>
    <cellStyle name="콤_새벽시장5_용접업종 평가결과품의(040510)_용접업종 평가결과품의(040510)(1)" xfId="30961"/>
    <cellStyle name="콤_새벽시장5_용접업종 평가결과품의(040510)_주단조용접업종 평가결과품의(040510)(1)" xfId="30962"/>
    <cellStyle name="콤_새벽시장5_주단조 업종 평가결과품의(040407)" xfId="30963"/>
    <cellStyle name="콤_새벽시장5_주단조 업종 평가결과품의(040407)_용접업종 평가결과품의(040510)" xfId="30964"/>
    <cellStyle name="콤_새벽시장5_주단조 업종 평가결과품의(040407)_용접업종 평가결과품의(040510)(1)" xfId="30965"/>
    <cellStyle name="콤_새벽시장5_주단조 업종 평가결과품의(040407)_주단조용접업종 평가결과품의(040510)(1)" xfId="30966"/>
    <cellStyle name="콤_새벽시장5_주단조 업종 평가결과품의(040416)(1)" xfId="30967"/>
    <cellStyle name="콤_새벽시장5_주단조 업종 평가결과품의(040416)(1)_용접업종 평가결과품의(040510)" xfId="30968"/>
    <cellStyle name="콤_새벽시장5_주단조 업종 평가결과품의(040416)(1)_용접업종 평가결과품의(040510)(1)" xfId="30969"/>
    <cellStyle name="콤_새벽시장5_주단조 업종 평가결과품의(040416)(1)_주단조용접업종 평가결과품의(040510)(1)" xfId="30970"/>
    <cellStyle name="콤_새벽시장5_최신-SQ인증업체현황1343사(03년평가완료031229수정)" xfId="30971"/>
    <cellStyle name="콤_새벽시장5_최신-SQ인증업체현황1343사(03년평가완료031229수정)_용접업종 평가결과품의(040510)" xfId="30972"/>
    <cellStyle name="콤_새벽시장5_최신-SQ인증업체현황1343사(03년평가완료031229수정)_용접업종 평가결과품의(040510)(1)" xfId="30973"/>
    <cellStyle name="콤_새벽시장5_최신-SQ인증업체현황1343사(03년평가완료031229수정)_주단조용접업종 평가결과품의(040510)(1)" xfId="30974"/>
    <cellStyle name="콤_새벽시장7" xfId="30975"/>
    <cellStyle name="콤_새벽시장7_도금 열처리 주단조 평가품의(040329)" xfId="30976"/>
    <cellStyle name="콤_새벽시장7_도금 열처리 주단조 평가품의(040329)_도금 열처리 주단조 평가품의(040329)" xfId="30977"/>
    <cellStyle name="콤_새벽시장7_도금 열처리 주단조 평가품의(040329)업체" xfId="30978"/>
    <cellStyle name="콤_새벽시장7_열처리결과품의(031017)개발" xfId="30979"/>
    <cellStyle name="콤_새벽시장7_열처리결과품의(031017)개발_도금 열처리 주단조 평가품의(040329)" xfId="30980"/>
    <cellStyle name="콤_새벽시장7_용접업종 평가결과품의(040510)" xfId="30981"/>
    <cellStyle name="콤_새벽시장7_용접업종 평가결과품의(040510)_용접업종 평가결과품의(040510)" xfId="30982"/>
    <cellStyle name="콤_새벽시장7_용접업종 평가결과품의(040510)_용접업종 평가결과품의(040510)(1)" xfId="30983"/>
    <cellStyle name="콤_새벽시장7_용접업종 평가결과품의(040510)_주단조용접업종 평가결과품의(040510)(1)" xfId="30984"/>
    <cellStyle name="콤_새벽시장7_주단조 업종 평가결과품의(040407)" xfId="30985"/>
    <cellStyle name="콤_새벽시장7_주단조 업종 평가결과품의(040407)_용접업종 평가결과품의(040510)" xfId="30986"/>
    <cellStyle name="콤_새벽시장7_주단조 업종 평가결과품의(040407)_용접업종 평가결과품의(040510)(1)" xfId="30987"/>
    <cellStyle name="콤_새벽시장7_주단조 업종 평가결과품의(040407)_주단조용접업종 평가결과품의(040510)(1)" xfId="30988"/>
    <cellStyle name="콤_새벽시장7_주단조 업종 평가결과품의(040416)(1)" xfId="30989"/>
    <cellStyle name="콤_새벽시장7_주단조 업종 평가결과품의(040416)(1)_용접업종 평가결과품의(040510)" xfId="30990"/>
    <cellStyle name="콤_새벽시장7_주단조 업종 평가결과품의(040416)(1)_용접업종 평가결과품의(040510)(1)" xfId="30991"/>
    <cellStyle name="콤_새벽시장7_주단조 업종 평가결과품의(040416)(1)_주단조용접업종 평가결과품의(040510)(1)" xfId="30992"/>
    <cellStyle name="콤_새벽시장7_최신-SQ인증업체현황1343사(03년평가완료031229수정)" xfId="30993"/>
    <cellStyle name="콤_새벽시장7_최신-SQ인증업체현황1343사(03년평가완료031229수정)_용접업종 평가결과품의(040510)" xfId="30994"/>
    <cellStyle name="콤_새벽시장7_최신-SQ인증업체현황1343사(03년평가완료031229수정)_용접업종 평가결과품의(040510)(1)" xfId="30995"/>
    <cellStyle name="콤_새벽시장7_최신-SQ인증업체현황1343사(03년평가완료031229수정)_주단조용접업종 평가결과품의(040510)(1)" xfId="30996"/>
    <cellStyle name="콤_새벽시장8.10xls" xfId="30997"/>
    <cellStyle name="콤_새벽시장8.10xls_도금 열처리 주단조 평가품의(040329)" xfId="30998"/>
    <cellStyle name="콤_새벽시장8.10xls_도금 열처리 주단조 평가품의(040329)_도금 열처리 주단조 평가품의(040329)" xfId="30999"/>
    <cellStyle name="콤_새벽시장8.10xls_도금 열처리 주단조 평가품의(040329)업체" xfId="31000"/>
    <cellStyle name="콤_새벽시장8.10xls_열처리결과품의(031017)개발" xfId="31001"/>
    <cellStyle name="콤_새벽시장8.10xls_열처리결과품의(031017)개발_도금 열처리 주단조 평가품의(040329)" xfId="31002"/>
    <cellStyle name="콤_새벽시장8.10xls_용접업종 평가결과품의(040510)" xfId="31003"/>
    <cellStyle name="콤_새벽시장8.10xls_용접업종 평가결과품의(040510)_용접업종 평가결과품의(040510)" xfId="31004"/>
    <cellStyle name="콤_새벽시장8.10xls_용접업종 평가결과품의(040510)_용접업종 평가결과품의(040510)(1)" xfId="31005"/>
    <cellStyle name="콤_새벽시장8.10xls_용접업종 평가결과품의(040510)_주단조용접업종 평가결과품의(040510)(1)" xfId="31006"/>
    <cellStyle name="콤_새벽시장8.10xls_주단조 업종 평가결과품의(040407)" xfId="31007"/>
    <cellStyle name="콤_새벽시장8.10xls_주단조 업종 평가결과품의(040407)_용접업종 평가결과품의(040510)" xfId="31008"/>
    <cellStyle name="콤_새벽시장8.10xls_주단조 업종 평가결과품의(040407)_용접업종 평가결과품의(040510)(1)" xfId="31009"/>
    <cellStyle name="콤_새벽시장8.10xls_주단조 업종 평가결과품의(040407)_주단조용접업종 평가결과품의(040510)(1)" xfId="31010"/>
    <cellStyle name="콤_새벽시장8.10xls_주단조 업종 평가결과품의(040416)(1)" xfId="31011"/>
    <cellStyle name="콤_새벽시장8.10xls_주단조 업종 평가결과품의(040416)(1)_용접업종 평가결과품의(040510)" xfId="31012"/>
    <cellStyle name="콤_새벽시장8.10xls_주단조 업종 평가결과품의(040416)(1)_용접업종 평가결과품의(040510)(1)" xfId="31013"/>
    <cellStyle name="콤_새벽시장8.10xls_주단조 업종 평가결과품의(040416)(1)_주단조용접업종 평가결과품의(040510)(1)" xfId="31014"/>
    <cellStyle name="콤_새벽시장8.10xls_최신-SQ인증업체현황1343사(03년평가완료031229수정)" xfId="31015"/>
    <cellStyle name="콤_새벽시장8.10xls_최신-SQ인증업체현황1343사(03년평가완료031229수정)_용접업종 평가결과품의(040510)" xfId="31016"/>
    <cellStyle name="콤_새벽시장8.10xls_최신-SQ인증업체현황1343사(03년평가완료031229수정)_용접업종 평가결과품의(040510)(1)" xfId="31017"/>
    <cellStyle name="콤_새벽시장8.10xls_최신-SQ인증업체현황1343사(03년평가완료031229수정)_주단조용접업종 평가결과품의(040510)(1)" xfId="31018"/>
    <cellStyle name="콤_새벽시장8.26xls" xfId="31019"/>
    <cellStyle name="콤_새벽시장8.26xls_도금 열처리 주단조 평가품의(040329)" xfId="31020"/>
    <cellStyle name="콤_새벽시장8.26xls_도금 열처리 주단조 평가품의(040329)_도금 열처리 주단조 평가품의(040329)" xfId="31021"/>
    <cellStyle name="콤_새벽시장8.26xls_도금 열처리 주단조 평가품의(040329)업체" xfId="31022"/>
    <cellStyle name="콤_새벽시장8.26xls_열처리결과품의(031017)개발" xfId="31023"/>
    <cellStyle name="콤_새벽시장8.26xls_열처리결과품의(031017)개발_도금 열처리 주단조 평가품의(040329)" xfId="31024"/>
    <cellStyle name="콤_새벽시장8.26xls_용접업종 평가결과품의(040510)" xfId="31025"/>
    <cellStyle name="콤_새벽시장8.26xls_용접업종 평가결과품의(040510)_용접업종 평가결과품의(040510)" xfId="31026"/>
    <cellStyle name="콤_새벽시장8.26xls_용접업종 평가결과품의(040510)_용접업종 평가결과품의(040510)(1)" xfId="31027"/>
    <cellStyle name="콤_새벽시장8.26xls_용접업종 평가결과품의(040510)_주단조용접업종 평가결과품의(040510)(1)" xfId="31028"/>
    <cellStyle name="콤_새벽시장8.26xls_주단조 업종 평가결과품의(040407)" xfId="31029"/>
    <cellStyle name="콤_새벽시장8.26xls_주단조 업종 평가결과품의(040407)_용접업종 평가결과품의(040510)" xfId="31030"/>
    <cellStyle name="콤_새벽시장8.26xls_주단조 업종 평가결과품의(040407)_용접업종 평가결과품의(040510)(1)" xfId="31031"/>
    <cellStyle name="콤_새벽시장8.26xls_주단조 업종 평가결과품의(040407)_주단조용접업종 평가결과품의(040510)(1)" xfId="31032"/>
    <cellStyle name="콤_새벽시장8.26xls_주단조 업종 평가결과품의(040416)(1)" xfId="31033"/>
    <cellStyle name="콤_새벽시장8.26xls_주단조 업종 평가결과품의(040416)(1)_용접업종 평가결과품의(040510)" xfId="31034"/>
    <cellStyle name="콤_새벽시장8.26xls_주단조 업종 평가결과품의(040416)(1)_용접업종 평가결과품의(040510)(1)" xfId="31035"/>
    <cellStyle name="콤_새벽시장8.26xls_주단조 업종 평가결과품의(040416)(1)_주단조용접업종 평가결과품의(040510)(1)" xfId="31036"/>
    <cellStyle name="콤_새벽시장8.26xls_최신-SQ인증업체현황1343사(03년평가완료031229수정)" xfId="31037"/>
    <cellStyle name="콤_새벽시장8.26xls_최신-SQ인증업체현황1343사(03년평가완료031229수정)_용접업종 평가결과품의(040510)" xfId="31038"/>
    <cellStyle name="콤_새벽시장8.26xls_최신-SQ인증업체현황1343사(03년평가완료031229수정)_용접업종 평가결과품의(040510)(1)" xfId="31039"/>
    <cellStyle name="콤_새벽시장8.26xls_최신-SQ인증업체현황1343사(03년평가완료031229수정)_주단조용접업종 평가결과품의(040510)(1)" xfId="31040"/>
    <cellStyle name="콤_새벽시장9.16" xfId="31041"/>
    <cellStyle name="콤_새벽시장9.16_도금 열처리 주단조 평가품의(040329)" xfId="31042"/>
    <cellStyle name="콤_새벽시장9.16_도금 열처리 주단조 평가품의(040329)_도금 열처리 주단조 평가품의(040329)" xfId="31043"/>
    <cellStyle name="콤_새벽시장9.16_도금 열처리 주단조 평가품의(040329)업체" xfId="31044"/>
    <cellStyle name="콤_새벽시장9.16_열처리결과품의(031017)개발" xfId="31045"/>
    <cellStyle name="콤_새벽시장9.16_열처리결과품의(031017)개발_도금 열처리 주단조 평가품의(040329)" xfId="31046"/>
    <cellStyle name="콤_새벽시장9.16_용접업종 평가결과품의(040510)" xfId="31047"/>
    <cellStyle name="콤_새벽시장9.16_용접업종 평가결과품의(040510)_용접업종 평가결과품의(040510)" xfId="31048"/>
    <cellStyle name="콤_새벽시장9.16_용접업종 평가결과품의(040510)_용접업종 평가결과품의(040510)(1)" xfId="31049"/>
    <cellStyle name="콤_새벽시장9.16_용접업종 평가결과품의(040510)_주단조용접업종 평가결과품의(040510)(1)" xfId="31050"/>
    <cellStyle name="콤_새벽시장9.16_주단조 업종 평가결과품의(040407)" xfId="31051"/>
    <cellStyle name="콤_새벽시장9.16_주단조 업종 평가결과품의(040407)_용접업종 평가결과품의(040510)" xfId="31052"/>
    <cellStyle name="콤_새벽시장9.16_주단조 업종 평가결과품의(040407)_용접업종 평가결과품의(040510)(1)" xfId="31053"/>
    <cellStyle name="콤_새벽시장9.16_주단조 업종 평가결과품의(040407)_주단조용접업종 평가결과품의(040510)(1)" xfId="31054"/>
    <cellStyle name="콤_새벽시장9.16_주단조 업종 평가결과품의(040416)(1)" xfId="31055"/>
    <cellStyle name="콤_새벽시장9.16_주단조 업종 평가결과품의(040416)(1)_용접업종 평가결과품의(040510)" xfId="31056"/>
    <cellStyle name="콤_새벽시장9.16_주단조 업종 평가결과품의(040416)(1)_용접업종 평가결과품의(040510)(1)" xfId="31057"/>
    <cellStyle name="콤_새벽시장9.16_주단조 업종 평가결과품의(040416)(1)_주단조용접업종 평가결과품의(040510)(1)" xfId="31058"/>
    <cellStyle name="콤_새벽시장9.16_최신-SQ인증업체현황1343사(03년평가완료031229수정)" xfId="31059"/>
    <cellStyle name="콤_새벽시장9.16_최신-SQ인증업체현황1343사(03년평가완료031229수정)_용접업종 평가결과품의(040510)" xfId="31060"/>
    <cellStyle name="콤_새벽시장9.16_최신-SQ인증업체현황1343사(03년평가완료031229수정)_용접업종 평가결과품의(040510)(1)" xfId="31061"/>
    <cellStyle name="콤_새벽시장9.16_최신-SQ인증업체현황1343사(03년평가완료031229수정)_주단조용접업종 평가결과품의(040510)(1)" xfId="31062"/>
    <cellStyle name="콤_열처리결과품의(031017)개발" xfId="31063"/>
    <cellStyle name="콤_열처리결과품의(031017)개발_도금 열처리 주단조 평가품의(040329)" xfId="31064"/>
    <cellStyle name="콤_용접업종 평가결과품의(040510)" xfId="31065"/>
    <cellStyle name="콤_용접업종 평가결과품의(040510)_용접업종 평가결과품의(040510)" xfId="31066"/>
    <cellStyle name="콤_용접업종 평가결과품의(040510)_용접업종 평가결과품의(040510)(1)" xfId="31067"/>
    <cellStyle name="콤_용접업종 평가결과품의(040510)_주단조용접업종 평가결과품의(040510)(1)" xfId="31068"/>
    <cellStyle name="콤_주단조 업종 평가결과품의(040407)" xfId="31069"/>
    <cellStyle name="콤_주단조 업종 평가결과품의(040407)_용접업종 평가결과품의(040510)" xfId="31070"/>
    <cellStyle name="콤_주단조 업종 평가결과품의(040407)_용접업종 평가결과품의(040510)(1)" xfId="31071"/>
    <cellStyle name="콤_주단조 업종 평가결과품의(040407)_주단조용접업종 평가결과품의(040510)(1)" xfId="31072"/>
    <cellStyle name="콤_주단조 업종 평가결과품의(040416)(1)" xfId="31073"/>
    <cellStyle name="콤_주단조 업종 평가결과품의(040416)(1)_용접업종 평가결과품의(040510)" xfId="31074"/>
    <cellStyle name="콤_주단조 업종 평가결과품의(040416)(1)_용접업종 평가결과품의(040510)(1)" xfId="31075"/>
    <cellStyle name="콤_주단조 업종 평가결과품의(040416)(1)_주단조용접업종 평가결과품의(040510)(1)" xfId="31076"/>
    <cellStyle name="콤_최신-SQ인증업체현황1343사(03년평가완료031229수정)" xfId="31077"/>
    <cellStyle name="콤_최신-SQ인증업체현황1343사(03년평가완료031229수정)_용접업종 평가결과품의(040510)" xfId="31078"/>
    <cellStyle name="콤_최신-SQ인증업체현황1343사(03년평가완료031229수정)_용접업종 평가결과품의(040510)(1)" xfId="31079"/>
    <cellStyle name="콤_최신-SQ인증업체현황1343사(03년평가완료031229수정)_주단조용접업종 평가결과품의(040510)(1)" xfId="31080"/>
    <cellStyle name="콤_출장계획서" xfId="31081"/>
    <cellStyle name="콤_출장계획서_ROTATION 유동" xfId="31082"/>
    <cellStyle name="콤_출장계획서_ROTATION 유동_도금 열처리 주단조 평가품의(040329)" xfId="31083"/>
    <cellStyle name="콤_출장계획서_ROTATION 유동_도금 열처리 주단조 평가품의(040329)_도금 열처리 주단조 평가품의(040329)" xfId="31084"/>
    <cellStyle name="콤_출장계획서_ROTATION 유동_도금 열처리 주단조 평가품의(040329)업체" xfId="31085"/>
    <cellStyle name="콤_출장계획서_ROTATION 유동_열처리결과품의(031017)개발" xfId="31086"/>
    <cellStyle name="콤_출장계획서_ROTATION 유동_열처리결과품의(031017)개발_도금 열처리 주단조 평가품의(040329)" xfId="31087"/>
    <cellStyle name="콤_출장계획서_ROTATION 유동_용접업종 평가결과품의(040510)" xfId="31088"/>
    <cellStyle name="콤_출장계획서_ROTATION 유동_용접업종 평가결과품의(040510)_용접업종 평가결과품의(040510)" xfId="31089"/>
    <cellStyle name="콤_출장계획서_ROTATION 유동_용접업종 평가결과품의(040510)_용접업종 평가결과품의(040510)(1)" xfId="31090"/>
    <cellStyle name="콤_출장계획서_ROTATION 유동_용접업종 평가결과품의(040510)_주단조용접업종 평가결과품의(040510)(1)" xfId="31091"/>
    <cellStyle name="콤_출장계획서_ROTATION 유동_주단조 업종 평가결과품의(040407)" xfId="31092"/>
    <cellStyle name="콤_출장계획서_ROTATION 유동_주단조 업종 평가결과품의(040407)_용접업종 평가결과품의(040510)" xfId="31093"/>
    <cellStyle name="콤_출장계획서_ROTATION 유동_주단조 업종 평가결과품의(040407)_용접업종 평가결과품의(040510)(1)" xfId="31094"/>
    <cellStyle name="콤_출장계획서_ROTATION 유동_주단조 업종 평가결과품의(040407)_주단조용접업종 평가결과품의(040510)(1)" xfId="31095"/>
    <cellStyle name="콤_출장계획서_ROTATION 유동_주단조 업종 평가결과품의(040416)(1)" xfId="31096"/>
    <cellStyle name="콤_출장계획서_ROTATION 유동_주단조 업종 평가결과품의(040416)(1)_용접업종 평가결과품의(040510)" xfId="31097"/>
    <cellStyle name="콤_출장계획서_ROTATION 유동_주단조 업종 평가결과품의(040416)(1)_용접업종 평가결과품의(040510)(1)" xfId="31098"/>
    <cellStyle name="콤_출장계획서_ROTATION 유동_주단조 업종 평가결과품의(040416)(1)_주단조용접업종 평가결과품의(040510)(1)" xfId="31099"/>
    <cellStyle name="콤_출장계획서_ROTATION 유동_최신-SQ인증업체현황1343사(03년평가완료031229수정)" xfId="31100"/>
    <cellStyle name="콤_출장계획서_ROTATION 유동_최신-SQ인증업체현황1343사(03년평가완료031229수정)_용접업종 평가결과품의(040510)" xfId="31101"/>
    <cellStyle name="콤_출장계획서_ROTATION 유동_최신-SQ인증업체현황1343사(03년평가완료031229수정)_용접업종 평가결과품의(040510)(1)" xfId="31102"/>
    <cellStyle name="콤_출장계획서_ROTATION 유동_최신-SQ인증업체현황1343사(03년평가완료031229수정)_주단조용접업종 평가결과품의(040510)(1)" xfId="31103"/>
    <cellStyle name="콤_출장계획서_SLIDE 폭" xfId="31104"/>
    <cellStyle name="콤_출장계획서_SLIDE 폭_도금 열처리 주단조 평가품의(040329)" xfId="31105"/>
    <cellStyle name="콤_출장계획서_SLIDE 폭_도금 열처리 주단조 평가품의(040329)_도금 열처리 주단조 평가품의(040329)" xfId="31106"/>
    <cellStyle name="콤_출장계획서_SLIDE 폭_도금 열처리 주단조 평가품의(040329)업체" xfId="31107"/>
    <cellStyle name="콤_출장계획서_SLIDE 폭_열처리결과품의(031017)개발" xfId="31108"/>
    <cellStyle name="콤_출장계획서_SLIDE 폭_열처리결과품의(031017)개발_도금 열처리 주단조 평가품의(040329)" xfId="31109"/>
    <cellStyle name="콤_출장계획서_SLIDE 폭_용접업종 평가결과품의(040510)" xfId="31110"/>
    <cellStyle name="콤_출장계획서_SLIDE 폭_용접업종 평가결과품의(040510)_용접업종 평가결과품의(040510)" xfId="31111"/>
    <cellStyle name="콤_출장계획서_SLIDE 폭_용접업종 평가결과품의(040510)_용접업종 평가결과품의(040510)(1)" xfId="31112"/>
    <cellStyle name="콤_출장계획서_SLIDE 폭_용접업종 평가결과품의(040510)_주단조용접업종 평가결과품의(040510)(1)" xfId="31113"/>
    <cellStyle name="콤_출장계획서_SLIDE 폭_주단조 업종 평가결과품의(040407)" xfId="31114"/>
    <cellStyle name="콤_출장계획서_SLIDE 폭_주단조 업종 평가결과품의(040407)_용접업종 평가결과품의(040510)" xfId="31115"/>
    <cellStyle name="콤_출장계획서_SLIDE 폭_주단조 업종 평가결과품의(040407)_용접업종 평가결과품의(040510)(1)" xfId="31116"/>
    <cellStyle name="콤_출장계획서_SLIDE 폭_주단조 업종 평가결과품의(040407)_주단조용접업종 평가결과품의(040510)(1)" xfId="31117"/>
    <cellStyle name="콤_출장계획서_SLIDE 폭_주단조 업종 평가결과품의(040416)(1)" xfId="31118"/>
    <cellStyle name="콤_출장계획서_SLIDE 폭_주단조 업종 평가결과품의(040416)(1)_용접업종 평가결과품의(040510)" xfId="31119"/>
    <cellStyle name="콤_출장계획서_SLIDE 폭_주단조 업종 평가결과품의(040416)(1)_용접업종 평가결과품의(040510)(1)" xfId="31120"/>
    <cellStyle name="콤_출장계획서_SLIDE 폭_주단조 업종 평가결과품의(040416)(1)_주단조용접업종 평가결과품의(040510)(1)" xfId="31121"/>
    <cellStyle name="콤_출장계획서_SLIDE 폭_최신-SQ인증업체현황1343사(03년평가완료031229수정)" xfId="31122"/>
    <cellStyle name="콤_출장계획서_SLIDE 폭_최신-SQ인증업체현황1343사(03년평가완료031229수정)_용접업종 평가결과품의(040510)" xfId="31123"/>
    <cellStyle name="콤_출장계획서_SLIDE 폭_최신-SQ인증업체현황1343사(03년평가완료031229수정)_용접업종 평가결과품의(040510)(1)" xfId="31124"/>
    <cellStyle name="콤_출장계획서_SLIDE 폭_최신-SQ인증업체현황1343사(03년평가완료031229수정)_주단조용접업종 평가결과품의(040510)(1)" xfId="31125"/>
    <cellStyle name="콤_출장계획서_도금 열처리 주단조 평가품의(040329)" xfId="31126"/>
    <cellStyle name="콤_출장계획서_도금 열처리 주단조 평가품의(040329)_도금 열처리 주단조 평가품의(040329)" xfId="31127"/>
    <cellStyle name="콤_출장계획서_도금 열처리 주단조 평가품의(040329)업체" xfId="31128"/>
    <cellStyle name="콤_출장계획서_새벽시장1" xfId="31129"/>
    <cellStyle name="콤_출장계획서_새벽시장1_도금 열처리 주단조 평가품의(040329)" xfId="31130"/>
    <cellStyle name="콤_출장계획서_새벽시장1_도금 열처리 주단조 평가품의(040329)_도금 열처리 주단조 평가품의(040329)" xfId="31131"/>
    <cellStyle name="콤_출장계획서_새벽시장1_도금 열처리 주단조 평가품의(040329)업체" xfId="31132"/>
    <cellStyle name="콤_출장계획서_새벽시장1_열처리결과품의(031017)개발" xfId="31133"/>
    <cellStyle name="콤_출장계획서_새벽시장1_열처리결과품의(031017)개발_도금 열처리 주단조 평가품의(040329)" xfId="31134"/>
    <cellStyle name="콤_출장계획서_새벽시장1_용접업종 평가결과품의(040510)" xfId="31135"/>
    <cellStyle name="콤_출장계획서_새벽시장1_용접업종 평가결과품의(040510)_용접업종 평가결과품의(040510)" xfId="31136"/>
    <cellStyle name="콤_출장계획서_새벽시장1_용접업종 평가결과품의(040510)_용접업종 평가결과품의(040510)(1)" xfId="31137"/>
    <cellStyle name="콤_출장계획서_새벽시장1_용접업종 평가결과품의(040510)_주단조용접업종 평가결과품의(040510)(1)" xfId="31138"/>
    <cellStyle name="콤_출장계획서_새벽시장1_주단조 업종 평가결과품의(040407)" xfId="31139"/>
    <cellStyle name="콤_출장계획서_새벽시장1_주단조 업종 평가결과품의(040407)_용접업종 평가결과품의(040510)" xfId="31140"/>
    <cellStyle name="콤_출장계획서_새벽시장1_주단조 업종 평가결과품의(040407)_용접업종 평가결과품의(040510)(1)" xfId="31141"/>
    <cellStyle name="콤_출장계획서_새벽시장1_주단조 업종 평가결과품의(040407)_주단조용접업종 평가결과품의(040510)(1)" xfId="31142"/>
    <cellStyle name="콤_출장계획서_새벽시장1_주단조 업종 평가결과품의(040416)(1)" xfId="31143"/>
    <cellStyle name="콤_출장계획서_새벽시장1_주단조 업종 평가결과품의(040416)(1)_용접업종 평가결과품의(040510)" xfId="31144"/>
    <cellStyle name="콤_출장계획서_새벽시장1_주단조 업종 평가결과품의(040416)(1)_용접업종 평가결과품의(040510)(1)" xfId="31145"/>
    <cellStyle name="콤_출장계획서_새벽시장1_주단조 업종 평가결과품의(040416)(1)_주단조용접업종 평가결과품의(040510)(1)" xfId="31146"/>
    <cellStyle name="콤_출장계획서_새벽시장1_최신-SQ인증업체현황1343사(03년평가완료031229수정)" xfId="31147"/>
    <cellStyle name="콤_출장계획서_새벽시장1_최신-SQ인증업체현황1343사(03년평가완료031229수정)_용접업종 평가결과품의(040510)" xfId="31148"/>
    <cellStyle name="콤_출장계획서_새벽시장1_최신-SQ인증업체현황1343사(03년평가완료031229수정)_용접업종 평가결과품의(040510)(1)" xfId="31149"/>
    <cellStyle name="콤_출장계획서_새벽시장1_최신-SQ인증업체현황1343사(03년평가완료031229수정)_주단조용접업종 평가결과품의(040510)(1)" xfId="31150"/>
    <cellStyle name="콤_출장계획서_새벽시장3" xfId="31151"/>
    <cellStyle name="콤_출장계획서_새벽시장3_도금 열처리 주단조 평가품의(040329)" xfId="31152"/>
    <cellStyle name="콤_출장계획서_새벽시장3_도금 열처리 주단조 평가품의(040329)_도금 열처리 주단조 평가품의(040329)" xfId="31153"/>
    <cellStyle name="콤_출장계획서_새벽시장3_도금 열처리 주단조 평가품의(040329)업체" xfId="31154"/>
    <cellStyle name="콤_출장계획서_새벽시장3_열처리결과품의(031017)개발" xfId="31155"/>
    <cellStyle name="콤_출장계획서_새벽시장3_열처리결과품의(031017)개발_도금 열처리 주단조 평가품의(040329)" xfId="31156"/>
    <cellStyle name="콤_출장계획서_새벽시장3_용접업종 평가결과품의(040510)" xfId="31157"/>
    <cellStyle name="콤_출장계획서_새벽시장3_용접업종 평가결과품의(040510)_용접업종 평가결과품의(040510)" xfId="31158"/>
    <cellStyle name="콤_출장계획서_새벽시장3_용접업종 평가결과품의(040510)_용접업종 평가결과품의(040510)(1)" xfId="31159"/>
    <cellStyle name="콤_출장계획서_새벽시장3_용접업종 평가결과품의(040510)_주단조용접업종 평가결과품의(040510)(1)" xfId="31160"/>
    <cellStyle name="콤_출장계획서_새벽시장3_주단조 업종 평가결과품의(040407)" xfId="31161"/>
    <cellStyle name="콤_출장계획서_새벽시장3_주단조 업종 평가결과품의(040407)_용접업종 평가결과품의(040510)" xfId="31162"/>
    <cellStyle name="콤_출장계획서_새벽시장3_주단조 업종 평가결과품의(040407)_용접업종 평가결과품의(040510)(1)" xfId="31163"/>
    <cellStyle name="콤_출장계획서_새벽시장3_주단조 업종 평가결과품의(040407)_주단조용접업종 평가결과품의(040510)(1)" xfId="31164"/>
    <cellStyle name="콤_출장계획서_새벽시장3_주단조 업종 평가결과품의(040416)(1)" xfId="31165"/>
    <cellStyle name="콤_출장계획서_새벽시장3_주단조 업종 평가결과품의(040416)(1)_용접업종 평가결과품의(040510)" xfId="31166"/>
    <cellStyle name="콤_출장계획서_새벽시장3_주단조 업종 평가결과품의(040416)(1)_용접업종 평가결과품의(040510)(1)" xfId="31167"/>
    <cellStyle name="콤_출장계획서_새벽시장3_주단조 업종 평가결과품의(040416)(1)_주단조용접업종 평가결과품의(040510)(1)" xfId="31168"/>
    <cellStyle name="콤_출장계획서_새벽시장3_최신-SQ인증업체현황1343사(03년평가완료031229수정)" xfId="31169"/>
    <cellStyle name="콤_출장계획서_새벽시장3_최신-SQ인증업체현황1343사(03년평가완료031229수정)_용접업종 평가결과품의(040510)" xfId="31170"/>
    <cellStyle name="콤_출장계획서_새벽시장3_최신-SQ인증업체현황1343사(03년평가완료031229수정)_용접업종 평가결과품의(040510)(1)" xfId="31171"/>
    <cellStyle name="콤_출장계획서_새벽시장3_최신-SQ인증업체현황1343사(03년평가완료031229수정)_주단조용접업종 평가결과품의(040510)(1)" xfId="31172"/>
    <cellStyle name="콤_출장계획서_새벽시장5" xfId="31173"/>
    <cellStyle name="콤_출장계획서_새벽시장5_도금 열처리 주단조 평가품의(040329)" xfId="31174"/>
    <cellStyle name="콤_출장계획서_새벽시장5_도금 열처리 주단조 평가품의(040329)_도금 열처리 주단조 평가품의(040329)" xfId="31175"/>
    <cellStyle name="콤_출장계획서_새벽시장5_도금 열처리 주단조 평가품의(040329)업체" xfId="31176"/>
    <cellStyle name="콤_출장계획서_새벽시장5_열처리결과품의(031017)개발" xfId="31177"/>
    <cellStyle name="콤_출장계획서_새벽시장5_열처리결과품의(031017)개발_도금 열처리 주단조 평가품의(040329)" xfId="31178"/>
    <cellStyle name="콤_출장계획서_새벽시장5_용접업종 평가결과품의(040510)" xfId="31179"/>
    <cellStyle name="콤_출장계획서_새벽시장5_용접업종 평가결과품의(040510)_용접업종 평가결과품의(040510)" xfId="31180"/>
    <cellStyle name="콤_출장계획서_새벽시장5_용접업종 평가결과품의(040510)_용접업종 평가결과품의(040510)(1)" xfId="31181"/>
    <cellStyle name="콤_출장계획서_새벽시장5_용접업종 평가결과품의(040510)_주단조용접업종 평가결과품의(040510)(1)" xfId="31182"/>
    <cellStyle name="콤_출장계획서_새벽시장5_주단조 업종 평가결과품의(040407)" xfId="31183"/>
    <cellStyle name="콤_출장계획서_새벽시장5_주단조 업종 평가결과품의(040407)_용접업종 평가결과품의(040510)" xfId="31184"/>
    <cellStyle name="콤_출장계획서_새벽시장5_주단조 업종 평가결과품의(040407)_용접업종 평가결과품의(040510)(1)" xfId="31185"/>
    <cellStyle name="콤_출장계획서_새벽시장5_주단조 업종 평가결과품의(040407)_주단조용접업종 평가결과품의(040510)(1)" xfId="31186"/>
    <cellStyle name="콤_출장계획서_새벽시장5_주단조 업종 평가결과품의(040416)(1)" xfId="31187"/>
    <cellStyle name="콤_출장계획서_새벽시장5_주단조 업종 평가결과품의(040416)(1)_용접업종 평가결과품의(040510)" xfId="31188"/>
    <cellStyle name="콤_출장계획서_새벽시장5_주단조 업종 평가결과품의(040416)(1)_용접업종 평가결과품의(040510)(1)" xfId="31189"/>
    <cellStyle name="콤_출장계획서_새벽시장5_주단조 업종 평가결과품의(040416)(1)_주단조용접업종 평가결과품의(040510)(1)" xfId="31190"/>
    <cellStyle name="콤_출장계획서_새벽시장5_최신-SQ인증업체현황1343사(03년평가완료031229수정)" xfId="31191"/>
    <cellStyle name="콤_출장계획서_새벽시장5_최신-SQ인증업체현황1343사(03년평가완료031229수정)_용접업종 평가결과품의(040510)" xfId="31192"/>
    <cellStyle name="콤_출장계획서_새벽시장5_최신-SQ인증업체현황1343사(03년평가완료031229수정)_용접업종 평가결과품의(040510)(1)" xfId="31193"/>
    <cellStyle name="콤_출장계획서_새벽시장5_최신-SQ인증업체현황1343사(03년평가완료031229수정)_주단조용접업종 평가결과품의(040510)(1)" xfId="31194"/>
    <cellStyle name="콤_출장계획서_새벽시장7" xfId="31195"/>
    <cellStyle name="콤_출장계획서_새벽시장7_도금 열처리 주단조 평가품의(040329)" xfId="31196"/>
    <cellStyle name="콤_출장계획서_새벽시장7_도금 열처리 주단조 평가품의(040329)_도금 열처리 주단조 평가품의(040329)" xfId="31197"/>
    <cellStyle name="콤_출장계획서_새벽시장7_도금 열처리 주단조 평가품의(040329)업체" xfId="31198"/>
    <cellStyle name="콤_출장계획서_새벽시장7_열처리결과품의(031017)개발" xfId="31199"/>
    <cellStyle name="콤_출장계획서_새벽시장7_열처리결과품의(031017)개발_도금 열처리 주단조 평가품의(040329)" xfId="31200"/>
    <cellStyle name="콤_출장계획서_새벽시장7_용접업종 평가결과품의(040510)" xfId="31201"/>
    <cellStyle name="콤_출장계획서_새벽시장7_용접업종 평가결과품의(040510)_용접업종 평가결과품의(040510)" xfId="31202"/>
    <cellStyle name="콤_출장계획서_새벽시장7_용접업종 평가결과품의(040510)_용접업종 평가결과품의(040510)(1)" xfId="31203"/>
    <cellStyle name="콤_출장계획서_새벽시장7_용접업종 평가결과품의(040510)_주단조용접업종 평가결과품의(040510)(1)" xfId="31204"/>
    <cellStyle name="콤_출장계획서_새벽시장7_주단조 업종 평가결과품의(040407)" xfId="31205"/>
    <cellStyle name="콤_출장계획서_새벽시장7_주단조 업종 평가결과품의(040407)_용접업종 평가결과품의(040510)" xfId="31206"/>
    <cellStyle name="콤_출장계획서_새벽시장7_주단조 업종 평가결과품의(040407)_용접업종 평가결과품의(040510)(1)" xfId="31207"/>
    <cellStyle name="콤_출장계획서_새벽시장7_주단조 업종 평가결과품의(040407)_주단조용접업종 평가결과품의(040510)(1)" xfId="31208"/>
    <cellStyle name="콤_출장계획서_새벽시장7_주단조 업종 평가결과품의(040416)(1)" xfId="31209"/>
    <cellStyle name="콤_출장계획서_새벽시장7_주단조 업종 평가결과품의(040416)(1)_용접업종 평가결과품의(040510)" xfId="31210"/>
    <cellStyle name="콤_출장계획서_새벽시장7_주단조 업종 평가결과품의(040416)(1)_용접업종 평가결과품의(040510)(1)" xfId="31211"/>
    <cellStyle name="콤_출장계획서_새벽시장7_주단조 업종 평가결과품의(040416)(1)_주단조용접업종 평가결과품의(040510)(1)" xfId="31212"/>
    <cellStyle name="콤_출장계획서_새벽시장7_최신-SQ인증업체현황1343사(03년평가완료031229수정)" xfId="31213"/>
    <cellStyle name="콤_출장계획서_새벽시장7_최신-SQ인증업체현황1343사(03년평가완료031229수정)_용접업종 평가결과품의(040510)" xfId="31214"/>
    <cellStyle name="콤_출장계획서_새벽시장7_최신-SQ인증업체현황1343사(03년평가완료031229수정)_용접업종 평가결과품의(040510)(1)" xfId="31215"/>
    <cellStyle name="콤_출장계획서_새벽시장7_최신-SQ인증업체현황1343사(03년평가완료031229수정)_주단조용접업종 평가결과품의(040510)(1)" xfId="31216"/>
    <cellStyle name="콤_출장계획서_새벽시장8.10xls" xfId="31217"/>
    <cellStyle name="콤_출장계획서_새벽시장8.10xls_도금 열처리 주단조 평가품의(040329)" xfId="31218"/>
    <cellStyle name="콤_출장계획서_새벽시장8.10xls_도금 열처리 주단조 평가품의(040329)_도금 열처리 주단조 평가품의(040329)" xfId="31219"/>
    <cellStyle name="콤_출장계획서_새벽시장8.10xls_도금 열처리 주단조 평가품의(040329)업체" xfId="31220"/>
    <cellStyle name="콤_출장계획서_새벽시장8.10xls_열처리결과품의(031017)개발" xfId="31221"/>
    <cellStyle name="콤_출장계획서_새벽시장8.10xls_열처리결과품의(031017)개발_도금 열처리 주단조 평가품의(040329)" xfId="31222"/>
    <cellStyle name="콤_출장계획서_새벽시장8.10xls_용접업종 평가결과품의(040510)" xfId="31223"/>
    <cellStyle name="콤_출장계획서_새벽시장8.10xls_용접업종 평가결과품의(040510)_용접업종 평가결과품의(040510)" xfId="31224"/>
    <cellStyle name="콤_출장계획서_새벽시장8.10xls_용접업종 평가결과품의(040510)_용접업종 평가결과품의(040510)(1)" xfId="31225"/>
    <cellStyle name="콤_출장계획서_새벽시장8.10xls_용접업종 평가결과품의(040510)_주단조용접업종 평가결과품의(040510)(1)" xfId="31226"/>
    <cellStyle name="콤_출장계획서_새벽시장8.10xls_주단조 업종 평가결과품의(040407)" xfId="31227"/>
    <cellStyle name="콤_출장계획서_새벽시장8.10xls_주단조 업종 평가결과품의(040407)_용접업종 평가결과품의(040510)" xfId="31228"/>
    <cellStyle name="콤_출장계획서_새벽시장8.10xls_주단조 업종 평가결과품의(040407)_용접업종 평가결과품의(040510)(1)" xfId="31229"/>
    <cellStyle name="콤_출장계획서_새벽시장8.10xls_주단조 업종 평가결과품의(040407)_주단조용접업종 평가결과품의(040510)(1)" xfId="31230"/>
    <cellStyle name="콤_출장계획서_새벽시장8.10xls_주단조 업종 평가결과품의(040416)(1)" xfId="31231"/>
    <cellStyle name="콤_출장계획서_새벽시장8.10xls_주단조 업종 평가결과품의(040416)(1)_용접업종 평가결과품의(040510)" xfId="31232"/>
    <cellStyle name="콤_출장계획서_새벽시장8.10xls_주단조 업종 평가결과품의(040416)(1)_용접업종 평가결과품의(040510)(1)" xfId="31233"/>
    <cellStyle name="콤_출장계획서_새벽시장8.10xls_주단조 업종 평가결과품의(040416)(1)_주단조용접업종 평가결과품의(040510)(1)" xfId="31234"/>
    <cellStyle name="콤_출장계획서_새벽시장8.10xls_최신-SQ인증업체현황1343사(03년평가완료031229수정)" xfId="31235"/>
    <cellStyle name="콤_출장계획서_새벽시장8.10xls_최신-SQ인증업체현황1343사(03년평가완료031229수정)_용접업종 평가결과품의(040510)" xfId="31236"/>
    <cellStyle name="콤_출장계획서_새벽시장8.10xls_최신-SQ인증업체현황1343사(03년평가완료031229수정)_용접업종 평가결과품의(040510)(1)" xfId="31237"/>
    <cellStyle name="콤_출장계획서_새벽시장8.10xls_최신-SQ인증업체현황1343사(03년평가완료031229수정)_주단조용접업종 평가결과품의(040510)(1)" xfId="31238"/>
    <cellStyle name="콤_출장계획서_새벽시장8.26xls" xfId="31239"/>
    <cellStyle name="콤_출장계획서_새벽시장8.26xls_도금 열처리 주단조 평가품의(040329)" xfId="31240"/>
    <cellStyle name="콤_출장계획서_새벽시장8.26xls_도금 열처리 주단조 평가품의(040329)_도금 열처리 주단조 평가품의(040329)" xfId="31241"/>
    <cellStyle name="콤_출장계획서_새벽시장8.26xls_도금 열처리 주단조 평가품의(040329)업체" xfId="31242"/>
    <cellStyle name="콤_출장계획서_새벽시장8.26xls_열처리결과품의(031017)개발" xfId="31243"/>
    <cellStyle name="콤_출장계획서_새벽시장8.26xls_열처리결과품의(031017)개발_도금 열처리 주단조 평가품의(040329)" xfId="31244"/>
    <cellStyle name="콤_출장계획서_새벽시장8.26xls_용접업종 평가결과품의(040510)" xfId="31245"/>
    <cellStyle name="콤_출장계획서_새벽시장8.26xls_용접업종 평가결과품의(040510)_용접업종 평가결과품의(040510)" xfId="31246"/>
    <cellStyle name="콤_출장계획서_새벽시장8.26xls_용접업종 평가결과품의(040510)_용접업종 평가결과품의(040510)(1)" xfId="31247"/>
    <cellStyle name="콤_출장계획서_새벽시장8.26xls_용접업종 평가결과품의(040510)_주단조용접업종 평가결과품의(040510)(1)" xfId="31248"/>
    <cellStyle name="콤_출장계획서_새벽시장8.26xls_주단조 업종 평가결과품의(040407)" xfId="31249"/>
    <cellStyle name="콤_출장계획서_새벽시장8.26xls_주단조 업종 평가결과품의(040407)_용접업종 평가결과품의(040510)" xfId="31250"/>
    <cellStyle name="콤_출장계획서_새벽시장8.26xls_주단조 업종 평가결과품의(040407)_용접업종 평가결과품의(040510)(1)" xfId="31251"/>
    <cellStyle name="콤_출장계획서_새벽시장8.26xls_주단조 업종 평가결과품의(040407)_주단조용접업종 평가결과품의(040510)(1)" xfId="31252"/>
    <cellStyle name="콤_출장계획서_새벽시장8.26xls_주단조 업종 평가결과품의(040416)(1)" xfId="31253"/>
    <cellStyle name="콤_출장계획서_새벽시장8.26xls_주단조 업종 평가결과품의(040416)(1)_용접업종 평가결과품의(040510)" xfId="31254"/>
    <cellStyle name="콤_출장계획서_새벽시장8.26xls_주단조 업종 평가결과품의(040416)(1)_용접업종 평가결과품의(040510)(1)" xfId="31255"/>
    <cellStyle name="콤_출장계획서_새벽시장8.26xls_주단조 업종 평가결과품의(040416)(1)_주단조용접업종 평가결과품의(040510)(1)" xfId="31256"/>
    <cellStyle name="콤_출장계획서_새벽시장8.26xls_최신-SQ인증업체현황1343사(03년평가완료031229수정)" xfId="31257"/>
    <cellStyle name="콤_출장계획서_새벽시장8.26xls_최신-SQ인증업체현황1343사(03년평가완료031229수정)_용접업종 평가결과품의(040510)" xfId="31258"/>
    <cellStyle name="콤_출장계획서_새벽시장8.26xls_최신-SQ인증업체현황1343사(03년평가완료031229수정)_용접업종 평가결과품의(040510)(1)" xfId="31259"/>
    <cellStyle name="콤_출장계획서_새벽시장8.26xls_최신-SQ인증업체현황1343사(03년평가완료031229수정)_주단조용접업종 평가결과품의(040510)(1)" xfId="31260"/>
    <cellStyle name="콤_출장계획서_새벽시장9.16" xfId="31261"/>
    <cellStyle name="콤_출장계획서_새벽시장9.16_도금 열처리 주단조 평가품의(040329)" xfId="31262"/>
    <cellStyle name="콤_출장계획서_새벽시장9.16_도금 열처리 주단조 평가품의(040329)_도금 열처리 주단조 평가품의(040329)" xfId="31263"/>
    <cellStyle name="콤_출장계획서_새벽시장9.16_도금 열처리 주단조 평가품의(040329)업체" xfId="31264"/>
    <cellStyle name="콤_출장계획서_새벽시장9.16_열처리결과품의(031017)개발" xfId="31265"/>
    <cellStyle name="콤_출장계획서_새벽시장9.16_열처리결과품의(031017)개발_도금 열처리 주단조 평가품의(040329)" xfId="31266"/>
    <cellStyle name="콤_출장계획서_새벽시장9.16_용접업종 평가결과품의(040510)" xfId="31267"/>
    <cellStyle name="콤_출장계획서_새벽시장9.16_용접업종 평가결과품의(040510)_용접업종 평가결과품의(040510)" xfId="31268"/>
    <cellStyle name="콤_출장계획서_새벽시장9.16_용접업종 평가결과품의(040510)_용접업종 평가결과품의(040510)(1)" xfId="31269"/>
    <cellStyle name="콤_출장계획서_새벽시장9.16_용접업종 평가결과품의(040510)_주단조용접업종 평가결과품의(040510)(1)" xfId="31270"/>
    <cellStyle name="콤_출장계획서_새벽시장9.16_주단조 업종 평가결과품의(040407)" xfId="31271"/>
    <cellStyle name="콤_출장계획서_새벽시장9.16_주단조 업종 평가결과품의(040407)_용접업종 평가결과품의(040510)" xfId="31272"/>
    <cellStyle name="콤_출장계획서_새벽시장9.16_주단조 업종 평가결과품의(040407)_용접업종 평가결과품의(040510)(1)" xfId="31273"/>
    <cellStyle name="콤_출장계획서_새벽시장9.16_주단조 업종 평가결과품의(040407)_주단조용접업종 평가결과품의(040510)(1)" xfId="31274"/>
    <cellStyle name="콤_출장계획서_새벽시장9.16_주단조 업종 평가결과품의(040416)(1)" xfId="31275"/>
    <cellStyle name="콤_출장계획서_새벽시장9.16_주단조 업종 평가결과품의(040416)(1)_용접업종 평가결과품의(040510)" xfId="31276"/>
    <cellStyle name="콤_출장계획서_새벽시장9.16_주단조 업종 평가결과품의(040416)(1)_용접업종 평가결과품의(040510)(1)" xfId="31277"/>
    <cellStyle name="콤_출장계획서_새벽시장9.16_주단조 업종 평가결과품의(040416)(1)_주단조용접업종 평가결과품의(040510)(1)" xfId="31278"/>
    <cellStyle name="콤_출장계획서_새벽시장9.16_최신-SQ인증업체현황1343사(03년평가완료031229수정)" xfId="31279"/>
    <cellStyle name="콤_출장계획서_새벽시장9.16_최신-SQ인증업체현황1343사(03년평가완료031229수정)_용접업종 평가결과품의(040510)" xfId="31280"/>
    <cellStyle name="콤_출장계획서_새벽시장9.16_최신-SQ인증업체현황1343사(03년평가완료031229수정)_용접업종 평가결과품의(040510)(1)" xfId="31281"/>
    <cellStyle name="콤_출장계획서_새벽시장9.16_최신-SQ인증업체현황1343사(03년평가완료031229수정)_주단조용접업종 평가결과품의(040510)(1)" xfId="31282"/>
    <cellStyle name="콤_출장계획서_열처리결과품의(031017)개발" xfId="31283"/>
    <cellStyle name="콤_출장계획서_열처리결과품의(031017)개발_도금 열처리 주단조 평가품의(040329)" xfId="31284"/>
    <cellStyle name="콤_출장계획서_용접업종 평가결과품의(040510)" xfId="31285"/>
    <cellStyle name="콤_출장계획서_용접업종 평가결과품의(040510)_용접업종 평가결과품의(040510)" xfId="31286"/>
    <cellStyle name="콤_출장계획서_용접업종 평가결과품의(040510)_용접업종 평가결과품의(040510)(1)" xfId="31287"/>
    <cellStyle name="콤_출장계획서_용접업종 평가결과품의(040510)_주단조용접업종 평가결과품의(040510)(1)" xfId="31288"/>
    <cellStyle name="콤_출장계획서_주단조 업종 평가결과품의(040407)" xfId="31289"/>
    <cellStyle name="콤_출장계획서_주단조 업종 평가결과품의(040407)_용접업종 평가결과품의(040510)" xfId="31290"/>
    <cellStyle name="콤_출장계획서_주단조 업종 평가결과품의(040407)_용접업종 평가결과품의(040510)(1)" xfId="31291"/>
    <cellStyle name="콤_출장계획서_주단조 업종 평가결과품의(040407)_주단조용접업종 평가결과품의(040510)(1)" xfId="31292"/>
    <cellStyle name="콤_출장계획서_주단조 업종 평가결과품의(040416)(1)" xfId="31293"/>
    <cellStyle name="콤_출장계획서_주단조 업종 평가결과품의(040416)(1)_용접업종 평가결과품의(040510)" xfId="31294"/>
    <cellStyle name="콤_출장계획서_주단조 업종 평가결과품의(040416)(1)_용접업종 평가결과품의(040510)(1)" xfId="31295"/>
    <cellStyle name="콤_출장계획서_주단조 업종 평가결과품의(040416)(1)_주단조용접업종 평가결과품의(040510)(1)" xfId="31296"/>
    <cellStyle name="콤_출장계획서_최신-SQ인증업체현황1343사(03년평가완료031229수정)" xfId="31297"/>
    <cellStyle name="콤_출장계획서_최신-SQ인증업체현황1343사(03년평가완료031229수정)_용접업종 평가결과품의(040510)" xfId="31298"/>
    <cellStyle name="콤_출장계획서_최신-SQ인증업체현황1343사(03년평가완료031229수정)_용접업종 평가결과품의(040510)(1)" xfId="31299"/>
    <cellStyle name="콤_출장계획서_최신-SQ인증업체현황1343사(03년평가완료031229수정)_주단조용접업종 평가결과품의(040510)(1)" xfId="31300"/>
    <cellStyle name="콤마 [" xfId="31301"/>
    <cellStyle name="콤마 [0]_ " xfId="31302"/>
    <cellStyle name="콤마,_x0005__x0014_" xfId="31303"/>
    <cellStyle name="콤마,_x0005__x0014_ 2" xfId="31304"/>
    <cellStyle name="콤마_ " xfId="31305"/>
    <cellStyle name="통" xfId="31306"/>
    <cellStyle name="통_ROTATION 유동" xfId="31307"/>
    <cellStyle name="통_ROTATION 유동_도금 열처리 주단조 평가품의(040329)" xfId="31308"/>
    <cellStyle name="통_ROTATION 유동_도금 열처리 주단조 평가품의(040329)_도금 열처리 주단조 평가품의(040329)" xfId="31309"/>
    <cellStyle name="통_ROTATION 유동_도금 열처리 주단조 평가품의(040329)업체" xfId="31310"/>
    <cellStyle name="통_ROTATION 유동_열처리결과품의(031017)개발" xfId="31311"/>
    <cellStyle name="통_ROTATION 유동_열처리결과품의(031017)개발_도금 열처리 주단조 평가품의(040329)" xfId="31312"/>
    <cellStyle name="통_ROTATION 유동_용접업종 평가결과품의(040510)" xfId="31313"/>
    <cellStyle name="통_ROTATION 유동_용접업종 평가결과품의(040510)_용접업종 평가결과품의(040510)" xfId="31314"/>
    <cellStyle name="통_ROTATION 유동_용접업종 평가결과품의(040510)_용접업종 평가결과품의(040510)(1)" xfId="31315"/>
    <cellStyle name="통_ROTATION 유동_용접업종 평가결과품의(040510)_주단조용접업종 평가결과품의(040510)(1)" xfId="31316"/>
    <cellStyle name="통_ROTATION 유동_주단조 업종 평가결과품의(040407)" xfId="31317"/>
    <cellStyle name="통_ROTATION 유동_주단조 업종 평가결과품의(040407)_용접업종 평가결과품의(040510)" xfId="31318"/>
    <cellStyle name="통_ROTATION 유동_주단조 업종 평가결과품의(040407)_용접업종 평가결과품의(040510)(1)" xfId="31319"/>
    <cellStyle name="통_ROTATION 유동_주단조 업종 평가결과품의(040407)_주단조용접업종 평가결과품의(040510)(1)" xfId="31320"/>
    <cellStyle name="통_ROTATION 유동_주단조 업종 평가결과품의(040416)(1)" xfId="31321"/>
    <cellStyle name="통_ROTATION 유동_주단조 업종 평가결과품의(040416)(1)_용접업종 평가결과품의(040510)" xfId="31322"/>
    <cellStyle name="통_ROTATION 유동_주단조 업종 평가결과품의(040416)(1)_용접업종 평가결과품의(040510)(1)" xfId="31323"/>
    <cellStyle name="통_ROTATION 유동_주단조 업종 평가결과품의(040416)(1)_주단조용접업종 평가결과품의(040510)(1)" xfId="31324"/>
    <cellStyle name="통_ROTATION 유동_최신-SQ인증업체현황1343사(03년평가완료031229수정)" xfId="31325"/>
    <cellStyle name="통_ROTATION 유동_최신-SQ인증업체현황1343사(03년평가완료031229수정)_용접업종 평가결과품의(040510)" xfId="31326"/>
    <cellStyle name="통_ROTATION 유동_최신-SQ인증업체현황1343사(03년평가완료031229수정)_용접업종 평가결과품의(040510)(1)" xfId="31327"/>
    <cellStyle name="통_ROTATION 유동_최신-SQ인증업체현황1343사(03년평가완료031229수정)_주단조용접업종 평가결과품의(040510)(1)" xfId="31328"/>
    <cellStyle name="통_SLIDE 폭" xfId="31329"/>
    <cellStyle name="통_SLIDE 폭_도금 열처리 주단조 평가품의(040329)" xfId="31330"/>
    <cellStyle name="통_SLIDE 폭_도금 열처리 주단조 평가품의(040329)_도금 열처리 주단조 평가품의(040329)" xfId="31331"/>
    <cellStyle name="통_SLIDE 폭_도금 열처리 주단조 평가품의(040329)업체" xfId="31332"/>
    <cellStyle name="통_SLIDE 폭_열처리결과품의(031017)개발" xfId="31333"/>
    <cellStyle name="통_SLIDE 폭_열처리결과품의(031017)개발_도금 열처리 주단조 평가품의(040329)" xfId="31334"/>
    <cellStyle name="통_SLIDE 폭_용접업종 평가결과품의(040510)" xfId="31335"/>
    <cellStyle name="통_SLIDE 폭_용접업종 평가결과품의(040510)_용접업종 평가결과품의(040510)" xfId="31336"/>
    <cellStyle name="통_SLIDE 폭_용접업종 평가결과품의(040510)_용접업종 평가결과품의(040510)(1)" xfId="31337"/>
    <cellStyle name="통_SLIDE 폭_용접업종 평가결과품의(040510)_주단조용접업종 평가결과품의(040510)(1)" xfId="31338"/>
    <cellStyle name="통_SLIDE 폭_주단조 업종 평가결과품의(040407)" xfId="31339"/>
    <cellStyle name="통_SLIDE 폭_주단조 업종 평가결과품의(040407)_용접업종 평가결과품의(040510)" xfId="31340"/>
    <cellStyle name="통_SLIDE 폭_주단조 업종 평가결과품의(040407)_용접업종 평가결과품의(040510)(1)" xfId="31341"/>
    <cellStyle name="통_SLIDE 폭_주단조 업종 평가결과품의(040407)_주단조용접업종 평가결과품의(040510)(1)" xfId="31342"/>
    <cellStyle name="통_SLIDE 폭_주단조 업종 평가결과품의(040416)(1)" xfId="31343"/>
    <cellStyle name="통_SLIDE 폭_주단조 업종 평가결과품의(040416)(1)_용접업종 평가결과품의(040510)" xfId="31344"/>
    <cellStyle name="통_SLIDE 폭_주단조 업종 평가결과품의(040416)(1)_용접업종 평가결과품의(040510)(1)" xfId="31345"/>
    <cellStyle name="통_SLIDE 폭_주단조 업종 평가결과품의(040416)(1)_주단조용접업종 평가결과품의(040510)(1)" xfId="31346"/>
    <cellStyle name="통_SLIDE 폭_최신-SQ인증업체현황1343사(03년평가완료031229수정)" xfId="31347"/>
    <cellStyle name="통_SLIDE 폭_최신-SQ인증업체현황1343사(03년평가완료031229수정)_용접업종 평가결과품의(040510)" xfId="31348"/>
    <cellStyle name="통_SLIDE 폭_최신-SQ인증업체현황1343사(03년평가완료031229수정)_용접업종 평가결과품의(040510)(1)" xfId="31349"/>
    <cellStyle name="통_SLIDE 폭_최신-SQ인증업체현황1343사(03년평가완료031229수정)_주단조용접업종 평가결과품의(040510)(1)" xfId="31350"/>
    <cellStyle name="통_도금 열처리 주단조 평가품의(040329)" xfId="31351"/>
    <cellStyle name="통_도금 열처리 주단조 평가품의(040329)_도금 열처리 주단조 평가품의(040329)" xfId="31352"/>
    <cellStyle name="통_도금 열처리 주단조 평가품의(040329)업체" xfId="31353"/>
    <cellStyle name="통_사전회의(1208)" xfId="31354"/>
    <cellStyle name="통_사전회의(1208)_ROTATION 유동" xfId="31355"/>
    <cellStyle name="통_사전회의(1208)_ROTATION 유동_도금 열처리 주단조 평가품의(040329)" xfId="31356"/>
    <cellStyle name="통_사전회의(1208)_ROTATION 유동_도금 열처리 주단조 평가품의(040329)_도금 열처리 주단조 평가품의(040329)" xfId="31357"/>
    <cellStyle name="통_사전회의(1208)_ROTATION 유동_도금 열처리 주단조 평가품의(040329)업체" xfId="31358"/>
    <cellStyle name="통_사전회의(1208)_ROTATION 유동_열처리결과품의(031017)개발" xfId="31359"/>
    <cellStyle name="통_사전회의(1208)_ROTATION 유동_열처리결과품의(031017)개발_도금 열처리 주단조 평가품의(040329)" xfId="31360"/>
    <cellStyle name="통_사전회의(1208)_ROTATION 유동_용접업종 평가결과품의(040510)" xfId="31361"/>
    <cellStyle name="통_사전회의(1208)_ROTATION 유동_용접업종 평가결과품의(040510)_용접업종 평가결과품의(040510)" xfId="31362"/>
    <cellStyle name="통_사전회의(1208)_ROTATION 유동_용접업종 평가결과품의(040510)_용접업종 평가결과품의(040510)(1)" xfId="31363"/>
    <cellStyle name="통_사전회의(1208)_ROTATION 유동_용접업종 평가결과품의(040510)_주단조용접업종 평가결과품의(040510)(1)" xfId="31364"/>
    <cellStyle name="통_사전회의(1208)_ROTATION 유동_주단조 업종 평가결과품의(040407)" xfId="31365"/>
    <cellStyle name="통_사전회의(1208)_ROTATION 유동_주단조 업종 평가결과품의(040407)_용접업종 평가결과품의(040510)" xfId="31366"/>
    <cellStyle name="통_사전회의(1208)_ROTATION 유동_주단조 업종 평가결과품의(040407)_용접업종 평가결과품의(040510)(1)" xfId="31367"/>
    <cellStyle name="통_사전회의(1208)_ROTATION 유동_주단조 업종 평가결과품의(040407)_주단조용접업종 평가결과품의(040510)(1)" xfId="31368"/>
    <cellStyle name="통_사전회의(1208)_ROTATION 유동_주단조 업종 평가결과품의(040416)(1)" xfId="31369"/>
    <cellStyle name="통_사전회의(1208)_ROTATION 유동_주단조 업종 평가결과품의(040416)(1)_용접업종 평가결과품의(040510)" xfId="31370"/>
    <cellStyle name="통_사전회의(1208)_ROTATION 유동_주단조 업종 평가결과품의(040416)(1)_용접업종 평가결과품의(040510)(1)" xfId="31371"/>
    <cellStyle name="통_사전회의(1208)_ROTATION 유동_주단조 업종 평가결과품의(040416)(1)_주단조용접업종 평가결과품의(040510)(1)" xfId="31372"/>
    <cellStyle name="통_사전회의(1208)_ROTATION 유동_최신-SQ인증업체현황1343사(03년평가완료031229수정)" xfId="31373"/>
    <cellStyle name="통_사전회의(1208)_ROTATION 유동_최신-SQ인증업체현황1343사(03년평가완료031229수정)_용접업종 평가결과품의(040510)" xfId="31374"/>
    <cellStyle name="통_사전회의(1208)_ROTATION 유동_최신-SQ인증업체현황1343사(03년평가완료031229수정)_용접업종 평가결과품의(040510)(1)" xfId="31375"/>
    <cellStyle name="통_사전회의(1208)_ROTATION 유동_최신-SQ인증업체현황1343사(03년평가완료031229수정)_주단조용접업종 평가결과품의(040510)(1)" xfId="31376"/>
    <cellStyle name="통_사전회의(1208)_SLIDE 폭" xfId="31377"/>
    <cellStyle name="통_사전회의(1208)_SLIDE 폭_도금 열처리 주단조 평가품의(040329)" xfId="31378"/>
    <cellStyle name="통_사전회의(1208)_SLIDE 폭_도금 열처리 주단조 평가품의(040329)_도금 열처리 주단조 평가품의(040329)" xfId="31379"/>
    <cellStyle name="통_사전회의(1208)_SLIDE 폭_도금 열처리 주단조 평가품의(040329)업체" xfId="31380"/>
    <cellStyle name="통_사전회의(1208)_SLIDE 폭_열처리결과품의(031017)개발" xfId="31381"/>
    <cellStyle name="통_사전회의(1208)_SLIDE 폭_열처리결과품의(031017)개발_도금 열처리 주단조 평가품의(040329)" xfId="31382"/>
    <cellStyle name="통_사전회의(1208)_SLIDE 폭_용접업종 평가결과품의(040510)" xfId="31383"/>
    <cellStyle name="통_사전회의(1208)_SLIDE 폭_용접업종 평가결과품의(040510)_용접업종 평가결과품의(040510)" xfId="31384"/>
    <cellStyle name="통_사전회의(1208)_SLIDE 폭_용접업종 평가결과품의(040510)_용접업종 평가결과품의(040510)(1)" xfId="31385"/>
    <cellStyle name="통_사전회의(1208)_SLIDE 폭_용접업종 평가결과품의(040510)_주단조용접업종 평가결과품의(040510)(1)" xfId="31386"/>
    <cellStyle name="통_사전회의(1208)_SLIDE 폭_주단조 업종 평가결과품의(040407)" xfId="31387"/>
    <cellStyle name="통_사전회의(1208)_SLIDE 폭_주단조 업종 평가결과품의(040407)_용접업종 평가결과품의(040510)" xfId="31388"/>
    <cellStyle name="통_사전회의(1208)_SLIDE 폭_주단조 업종 평가결과품의(040407)_용접업종 평가결과품의(040510)(1)" xfId="31389"/>
    <cellStyle name="통_사전회의(1208)_SLIDE 폭_주단조 업종 평가결과품의(040407)_주단조용접업종 평가결과품의(040510)(1)" xfId="31390"/>
    <cellStyle name="통_사전회의(1208)_SLIDE 폭_주단조 업종 평가결과품의(040416)(1)" xfId="31391"/>
    <cellStyle name="통_사전회의(1208)_SLIDE 폭_주단조 업종 평가결과품의(040416)(1)_용접업종 평가결과품의(040510)" xfId="31392"/>
    <cellStyle name="통_사전회의(1208)_SLIDE 폭_주단조 업종 평가결과품의(040416)(1)_용접업종 평가결과품의(040510)(1)" xfId="31393"/>
    <cellStyle name="통_사전회의(1208)_SLIDE 폭_주단조 업종 평가결과품의(040416)(1)_주단조용접업종 평가결과품의(040510)(1)" xfId="31394"/>
    <cellStyle name="통_사전회의(1208)_SLIDE 폭_최신-SQ인증업체현황1343사(03년평가완료031229수정)" xfId="31395"/>
    <cellStyle name="통_사전회의(1208)_SLIDE 폭_최신-SQ인증업체현황1343사(03년평가완료031229수정)_용접업종 평가결과품의(040510)" xfId="31396"/>
    <cellStyle name="통_사전회의(1208)_SLIDE 폭_최신-SQ인증업체현황1343사(03년평가완료031229수정)_용접업종 평가결과품의(040510)(1)" xfId="31397"/>
    <cellStyle name="통_사전회의(1208)_SLIDE 폭_최신-SQ인증업체현황1343사(03년평가완료031229수정)_주단조용접업종 평가결과품의(040510)(1)" xfId="31398"/>
    <cellStyle name="통_사전회의(1208)_도금 열처리 주단조 평가품의(040329)" xfId="31399"/>
    <cellStyle name="통_사전회의(1208)_도금 열처리 주단조 평가품의(040329)_도금 열처리 주단조 평가품의(040329)" xfId="31400"/>
    <cellStyle name="통_사전회의(1208)_도금 열처리 주단조 평가품의(040329)업체" xfId="31401"/>
    <cellStyle name="통_사전회의(1208)_새벽시장1" xfId="31402"/>
    <cellStyle name="통_사전회의(1208)_새벽시장1_도금 열처리 주단조 평가품의(040329)" xfId="31403"/>
    <cellStyle name="통_사전회의(1208)_새벽시장1_도금 열처리 주단조 평가품의(040329)_도금 열처리 주단조 평가품의(040329)" xfId="31404"/>
    <cellStyle name="통_사전회의(1208)_새벽시장1_도금 열처리 주단조 평가품의(040329)업체" xfId="31405"/>
    <cellStyle name="통_사전회의(1208)_새벽시장1_열처리결과품의(031017)개발" xfId="31406"/>
    <cellStyle name="통_사전회의(1208)_새벽시장1_열처리결과품의(031017)개발_도금 열처리 주단조 평가품의(040329)" xfId="31407"/>
    <cellStyle name="통_사전회의(1208)_새벽시장1_용접업종 평가결과품의(040510)" xfId="31408"/>
    <cellStyle name="통_사전회의(1208)_새벽시장1_용접업종 평가결과품의(040510)_용접업종 평가결과품의(040510)" xfId="31409"/>
    <cellStyle name="통_사전회의(1208)_새벽시장1_용접업종 평가결과품의(040510)_용접업종 평가결과품의(040510)(1)" xfId="31410"/>
    <cellStyle name="통_사전회의(1208)_새벽시장1_용접업종 평가결과품의(040510)_주단조용접업종 평가결과품의(040510)(1)" xfId="31411"/>
    <cellStyle name="통_사전회의(1208)_새벽시장1_주단조 업종 평가결과품의(040407)" xfId="31412"/>
    <cellStyle name="통_사전회의(1208)_새벽시장1_주단조 업종 평가결과품의(040407)_용접업종 평가결과품의(040510)" xfId="31413"/>
    <cellStyle name="통_사전회의(1208)_새벽시장1_주단조 업종 평가결과품의(040407)_용접업종 평가결과품의(040510)(1)" xfId="31414"/>
    <cellStyle name="통_사전회의(1208)_새벽시장1_주단조 업종 평가결과품의(040407)_주단조용접업종 평가결과품의(040510)(1)" xfId="31415"/>
    <cellStyle name="통_사전회의(1208)_새벽시장1_주단조 업종 평가결과품의(040416)(1)" xfId="31416"/>
    <cellStyle name="통_사전회의(1208)_새벽시장1_주단조 업종 평가결과품의(040416)(1)_용접업종 평가결과품의(040510)" xfId="31417"/>
    <cellStyle name="통_사전회의(1208)_새벽시장1_주단조 업종 평가결과품의(040416)(1)_용접업종 평가결과품의(040510)(1)" xfId="31418"/>
    <cellStyle name="통_사전회의(1208)_새벽시장1_주단조 업종 평가결과품의(040416)(1)_주단조용접업종 평가결과품의(040510)(1)" xfId="31419"/>
    <cellStyle name="통_사전회의(1208)_새벽시장1_최신-SQ인증업체현황1343사(03년평가완료031229수정)" xfId="31420"/>
    <cellStyle name="통_사전회의(1208)_새벽시장1_최신-SQ인증업체현황1343사(03년평가완료031229수정)_용접업종 평가결과품의(040510)" xfId="31421"/>
    <cellStyle name="통_사전회의(1208)_새벽시장1_최신-SQ인증업체현황1343사(03년평가완료031229수정)_용접업종 평가결과품의(040510)(1)" xfId="31422"/>
    <cellStyle name="통_사전회의(1208)_새벽시장1_최신-SQ인증업체현황1343사(03년평가완료031229수정)_주단조용접업종 평가결과품의(040510)(1)" xfId="31423"/>
    <cellStyle name="통_사전회의(1208)_새벽시장3" xfId="31424"/>
    <cellStyle name="통_사전회의(1208)_새벽시장3_도금 열처리 주단조 평가품의(040329)" xfId="31425"/>
    <cellStyle name="통_사전회의(1208)_새벽시장3_도금 열처리 주단조 평가품의(040329)_도금 열처리 주단조 평가품의(040329)" xfId="31426"/>
    <cellStyle name="통_사전회의(1208)_새벽시장3_도금 열처리 주단조 평가품의(040329)업체" xfId="31427"/>
    <cellStyle name="통_사전회의(1208)_새벽시장3_열처리결과품의(031017)개발" xfId="31428"/>
    <cellStyle name="통_사전회의(1208)_새벽시장3_열처리결과품의(031017)개발_도금 열처리 주단조 평가품의(040329)" xfId="31429"/>
    <cellStyle name="통_사전회의(1208)_새벽시장3_용접업종 평가결과품의(040510)" xfId="31430"/>
    <cellStyle name="통_사전회의(1208)_새벽시장3_용접업종 평가결과품의(040510)_용접업종 평가결과품의(040510)" xfId="31431"/>
    <cellStyle name="통_사전회의(1208)_새벽시장3_용접업종 평가결과품의(040510)_용접업종 평가결과품의(040510)(1)" xfId="31432"/>
    <cellStyle name="통_사전회의(1208)_새벽시장3_용접업종 평가결과품의(040510)_주단조용접업종 평가결과품의(040510)(1)" xfId="31433"/>
    <cellStyle name="통_사전회의(1208)_새벽시장3_주단조 업종 평가결과품의(040407)" xfId="31434"/>
    <cellStyle name="통_사전회의(1208)_새벽시장3_주단조 업종 평가결과품의(040407)_용접업종 평가결과품의(040510)" xfId="31435"/>
    <cellStyle name="통_사전회의(1208)_새벽시장3_주단조 업종 평가결과품의(040407)_용접업종 평가결과품의(040510)(1)" xfId="31436"/>
    <cellStyle name="통_사전회의(1208)_새벽시장3_주단조 업종 평가결과품의(040407)_주단조용접업종 평가결과품의(040510)(1)" xfId="31437"/>
    <cellStyle name="통_사전회의(1208)_새벽시장3_주단조 업종 평가결과품의(040416)(1)" xfId="31438"/>
    <cellStyle name="통_사전회의(1208)_새벽시장3_주단조 업종 평가결과품의(040416)(1)_용접업종 평가결과품의(040510)" xfId="31439"/>
    <cellStyle name="통_사전회의(1208)_새벽시장3_주단조 업종 평가결과품의(040416)(1)_용접업종 평가결과품의(040510)(1)" xfId="31440"/>
    <cellStyle name="통_사전회의(1208)_새벽시장3_주단조 업종 평가결과품의(040416)(1)_주단조용접업종 평가결과품의(040510)(1)" xfId="31441"/>
    <cellStyle name="통_사전회의(1208)_새벽시장3_최신-SQ인증업체현황1343사(03년평가완료031229수정)" xfId="31442"/>
    <cellStyle name="통_사전회의(1208)_새벽시장3_최신-SQ인증업체현황1343사(03년평가완료031229수정)_용접업종 평가결과품의(040510)" xfId="31443"/>
    <cellStyle name="통_사전회의(1208)_새벽시장3_최신-SQ인증업체현황1343사(03년평가완료031229수정)_용접업종 평가결과품의(040510)(1)" xfId="31444"/>
    <cellStyle name="통_사전회의(1208)_새벽시장3_최신-SQ인증업체현황1343사(03년평가완료031229수정)_주단조용접업종 평가결과품의(040510)(1)" xfId="31445"/>
    <cellStyle name="통_사전회의(1208)_새벽시장5" xfId="31446"/>
    <cellStyle name="통_사전회의(1208)_새벽시장5_도금 열처리 주단조 평가품의(040329)" xfId="31447"/>
    <cellStyle name="통_사전회의(1208)_새벽시장5_도금 열처리 주단조 평가품의(040329)_도금 열처리 주단조 평가품의(040329)" xfId="31448"/>
    <cellStyle name="통_사전회의(1208)_새벽시장5_도금 열처리 주단조 평가품의(040329)업체" xfId="31449"/>
    <cellStyle name="통_사전회의(1208)_새벽시장5_열처리결과품의(031017)개발" xfId="31450"/>
    <cellStyle name="통_사전회의(1208)_새벽시장5_열처리결과품의(031017)개발_도금 열처리 주단조 평가품의(040329)" xfId="31451"/>
    <cellStyle name="통_사전회의(1208)_새벽시장5_용접업종 평가결과품의(040510)" xfId="31452"/>
    <cellStyle name="통_사전회의(1208)_새벽시장5_용접업종 평가결과품의(040510)_용접업종 평가결과품의(040510)" xfId="31453"/>
    <cellStyle name="통_사전회의(1208)_새벽시장5_용접업종 평가결과품의(040510)_용접업종 평가결과품의(040510)(1)" xfId="31454"/>
    <cellStyle name="통_사전회의(1208)_새벽시장5_용접업종 평가결과품의(040510)_주단조용접업종 평가결과품의(040510)(1)" xfId="31455"/>
    <cellStyle name="통_사전회의(1208)_새벽시장5_주단조 업종 평가결과품의(040407)" xfId="31456"/>
    <cellStyle name="통_사전회의(1208)_새벽시장5_주단조 업종 평가결과품의(040407)_용접업종 평가결과품의(040510)" xfId="31457"/>
    <cellStyle name="통_사전회의(1208)_새벽시장5_주단조 업종 평가결과품의(040407)_용접업종 평가결과품의(040510)(1)" xfId="31458"/>
    <cellStyle name="통_사전회의(1208)_새벽시장5_주단조 업종 평가결과품의(040407)_주단조용접업종 평가결과품의(040510)(1)" xfId="31459"/>
    <cellStyle name="통_사전회의(1208)_새벽시장5_주단조 업종 평가결과품의(040416)(1)" xfId="31460"/>
    <cellStyle name="통_사전회의(1208)_새벽시장5_주단조 업종 평가결과품의(040416)(1)_용접업종 평가결과품의(040510)" xfId="31461"/>
    <cellStyle name="통_사전회의(1208)_새벽시장5_주단조 업종 평가결과품의(040416)(1)_용접업종 평가결과품의(040510)(1)" xfId="31462"/>
    <cellStyle name="통_사전회의(1208)_새벽시장5_주단조 업종 평가결과품의(040416)(1)_주단조용접업종 평가결과품의(040510)(1)" xfId="31463"/>
    <cellStyle name="통_사전회의(1208)_새벽시장5_최신-SQ인증업체현황1343사(03년평가완료031229수정)" xfId="31464"/>
    <cellStyle name="통_사전회의(1208)_새벽시장5_최신-SQ인증업체현황1343사(03년평가완료031229수정)_용접업종 평가결과품의(040510)" xfId="31465"/>
    <cellStyle name="통_사전회의(1208)_새벽시장5_최신-SQ인증업체현황1343사(03년평가완료031229수정)_용접업종 평가결과품의(040510)(1)" xfId="31466"/>
    <cellStyle name="통_사전회의(1208)_새벽시장5_최신-SQ인증업체현황1343사(03년평가완료031229수정)_주단조용접업종 평가결과품의(040510)(1)" xfId="31467"/>
    <cellStyle name="통_사전회의(1208)_새벽시장7" xfId="31468"/>
    <cellStyle name="통_사전회의(1208)_새벽시장7_도금 열처리 주단조 평가품의(040329)" xfId="31469"/>
    <cellStyle name="통_사전회의(1208)_새벽시장7_도금 열처리 주단조 평가품의(040329)_도금 열처리 주단조 평가품의(040329)" xfId="31470"/>
    <cellStyle name="통_사전회의(1208)_새벽시장7_도금 열처리 주단조 평가품의(040329)업체" xfId="31471"/>
    <cellStyle name="통_사전회의(1208)_새벽시장7_열처리결과품의(031017)개발" xfId="31472"/>
    <cellStyle name="통_사전회의(1208)_새벽시장7_열처리결과품의(031017)개발_도금 열처리 주단조 평가품의(040329)" xfId="31473"/>
    <cellStyle name="통_사전회의(1208)_새벽시장7_용접업종 평가결과품의(040510)" xfId="31474"/>
    <cellStyle name="통_사전회의(1208)_새벽시장7_용접업종 평가결과품의(040510)_용접업종 평가결과품의(040510)" xfId="31475"/>
    <cellStyle name="통_사전회의(1208)_새벽시장7_용접업종 평가결과품의(040510)_용접업종 평가결과품의(040510)(1)" xfId="31476"/>
    <cellStyle name="통_사전회의(1208)_새벽시장7_용접업종 평가결과품의(040510)_주단조용접업종 평가결과품의(040510)(1)" xfId="31477"/>
    <cellStyle name="통_사전회의(1208)_새벽시장7_주단조 업종 평가결과품의(040407)" xfId="31478"/>
    <cellStyle name="통_사전회의(1208)_새벽시장7_주단조 업종 평가결과품의(040407)_용접업종 평가결과품의(040510)" xfId="31479"/>
    <cellStyle name="통_사전회의(1208)_새벽시장7_주단조 업종 평가결과품의(040407)_용접업종 평가결과품의(040510)(1)" xfId="31480"/>
    <cellStyle name="통_사전회의(1208)_새벽시장7_주단조 업종 평가결과품의(040407)_주단조용접업종 평가결과품의(040510)(1)" xfId="31481"/>
    <cellStyle name="통_사전회의(1208)_새벽시장7_주단조 업종 평가결과품의(040416)(1)" xfId="31482"/>
    <cellStyle name="통_사전회의(1208)_새벽시장7_주단조 업종 평가결과품의(040416)(1)_용접업종 평가결과품의(040510)" xfId="31483"/>
    <cellStyle name="통_사전회의(1208)_새벽시장7_주단조 업종 평가결과품의(040416)(1)_용접업종 평가결과품의(040510)(1)" xfId="31484"/>
    <cellStyle name="통_사전회의(1208)_새벽시장7_주단조 업종 평가결과품의(040416)(1)_주단조용접업종 평가결과품의(040510)(1)" xfId="31485"/>
    <cellStyle name="통_사전회의(1208)_새벽시장7_최신-SQ인증업체현황1343사(03년평가완료031229수정)" xfId="31486"/>
    <cellStyle name="통_사전회의(1208)_새벽시장7_최신-SQ인증업체현황1343사(03년평가완료031229수정)_용접업종 평가결과품의(040510)" xfId="31487"/>
    <cellStyle name="통_사전회의(1208)_새벽시장7_최신-SQ인증업체현황1343사(03년평가완료031229수정)_용접업종 평가결과품의(040510)(1)" xfId="31488"/>
    <cellStyle name="통_사전회의(1208)_새벽시장7_최신-SQ인증업체현황1343사(03년평가완료031229수정)_주단조용접업종 평가결과품의(040510)(1)" xfId="31489"/>
    <cellStyle name="통_사전회의(1208)_새벽시장8.10xls" xfId="31490"/>
    <cellStyle name="통_사전회의(1208)_새벽시장8.10xls_도금 열처리 주단조 평가품의(040329)" xfId="31491"/>
    <cellStyle name="통_사전회의(1208)_새벽시장8.10xls_도금 열처리 주단조 평가품의(040329)_도금 열처리 주단조 평가품의(040329)" xfId="31492"/>
    <cellStyle name="통_사전회의(1208)_새벽시장8.10xls_도금 열처리 주단조 평가품의(040329)업체" xfId="31493"/>
    <cellStyle name="통_사전회의(1208)_새벽시장8.10xls_열처리결과품의(031017)개발" xfId="31494"/>
    <cellStyle name="통_사전회의(1208)_새벽시장8.10xls_열처리결과품의(031017)개발_도금 열처리 주단조 평가품의(040329)" xfId="31495"/>
    <cellStyle name="통_사전회의(1208)_새벽시장8.10xls_용접업종 평가결과품의(040510)" xfId="31496"/>
    <cellStyle name="통_사전회의(1208)_새벽시장8.10xls_용접업종 평가결과품의(040510)_용접업종 평가결과품의(040510)" xfId="31497"/>
    <cellStyle name="통_사전회의(1208)_새벽시장8.10xls_용접업종 평가결과품의(040510)_용접업종 평가결과품의(040510)(1)" xfId="31498"/>
    <cellStyle name="통_사전회의(1208)_새벽시장8.10xls_용접업종 평가결과품의(040510)_주단조용접업종 평가결과품의(040510)(1)" xfId="31499"/>
    <cellStyle name="통_사전회의(1208)_새벽시장8.10xls_주단조 업종 평가결과품의(040407)" xfId="31500"/>
    <cellStyle name="통_사전회의(1208)_새벽시장8.10xls_주단조 업종 평가결과품의(040407)_용접업종 평가결과품의(040510)" xfId="31501"/>
    <cellStyle name="통_사전회의(1208)_새벽시장8.10xls_주단조 업종 평가결과품의(040407)_용접업종 평가결과품의(040510)(1)" xfId="31502"/>
    <cellStyle name="통_사전회의(1208)_새벽시장8.10xls_주단조 업종 평가결과품의(040407)_주단조용접업종 평가결과품의(040510)(1)" xfId="31503"/>
    <cellStyle name="통_사전회의(1208)_새벽시장8.10xls_주단조 업종 평가결과품의(040416)(1)" xfId="31504"/>
    <cellStyle name="통_사전회의(1208)_새벽시장8.10xls_주단조 업종 평가결과품의(040416)(1)_용접업종 평가결과품의(040510)" xfId="31505"/>
    <cellStyle name="통_사전회의(1208)_새벽시장8.10xls_주단조 업종 평가결과품의(040416)(1)_용접업종 평가결과품의(040510)(1)" xfId="31506"/>
    <cellStyle name="통_사전회의(1208)_새벽시장8.10xls_주단조 업종 평가결과품의(040416)(1)_주단조용접업종 평가결과품의(040510)(1)" xfId="31507"/>
    <cellStyle name="통_사전회의(1208)_새벽시장8.10xls_최신-SQ인증업체현황1343사(03년평가완료031229수정)" xfId="31508"/>
    <cellStyle name="통_사전회의(1208)_새벽시장8.10xls_최신-SQ인증업체현황1343사(03년평가완료031229수정)_용접업종 평가결과품의(040510)" xfId="31509"/>
    <cellStyle name="통_사전회의(1208)_새벽시장8.10xls_최신-SQ인증업체현황1343사(03년평가완료031229수정)_용접업종 평가결과품의(040510)(1)" xfId="31510"/>
    <cellStyle name="통_사전회의(1208)_새벽시장8.10xls_최신-SQ인증업체현황1343사(03년평가완료031229수정)_주단조용접업종 평가결과품의(040510)(1)" xfId="31511"/>
    <cellStyle name="통_사전회의(1208)_새벽시장8.26xls" xfId="31512"/>
    <cellStyle name="통_사전회의(1208)_새벽시장8.26xls_도금 열처리 주단조 평가품의(040329)" xfId="31513"/>
    <cellStyle name="통_사전회의(1208)_새벽시장8.26xls_도금 열처리 주단조 평가품의(040329)_도금 열처리 주단조 평가품의(040329)" xfId="31514"/>
    <cellStyle name="통_사전회의(1208)_새벽시장8.26xls_도금 열처리 주단조 평가품의(040329)업체" xfId="31515"/>
    <cellStyle name="통_사전회의(1208)_새벽시장8.26xls_열처리결과품의(031017)개발" xfId="31516"/>
    <cellStyle name="통_사전회의(1208)_새벽시장8.26xls_열처리결과품의(031017)개발_도금 열처리 주단조 평가품의(040329)" xfId="31517"/>
    <cellStyle name="통_사전회의(1208)_새벽시장8.26xls_용접업종 평가결과품의(040510)" xfId="31518"/>
    <cellStyle name="통_사전회의(1208)_새벽시장8.26xls_용접업종 평가결과품의(040510)_용접업종 평가결과품의(040510)" xfId="31519"/>
    <cellStyle name="통_사전회의(1208)_새벽시장8.26xls_용접업종 평가결과품의(040510)_용접업종 평가결과품의(040510)(1)" xfId="31520"/>
    <cellStyle name="통_사전회의(1208)_새벽시장8.26xls_용접업종 평가결과품의(040510)_주단조용접업종 평가결과품의(040510)(1)" xfId="31521"/>
    <cellStyle name="통_사전회의(1208)_새벽시장8.26xls_주단조 업종 평가결과품의(040407)" xfId="31522"/>
    <cellStyle name="통_사전회의(1208)_새벽시장8.26xls_주단조 업종 평가결과품의(040407)_용접업종 평가결과품의(040510)" xfId="31523"/>
    <cellStyle name="통_사전회의(1208)_새벽시장8.26xls_주단조 업종 평가결과품의(040407)_용접업종 평가결과품의(040510)(1)" xfId="31524"/>
    <cellStyle name="통_사전회의(1208)_새벽시장8.26xls_주단조 업종 평가결과품의(040407)_주단조용접업종 평가결과품의(040510)(1)" xfId="31525"/>
    <cellStyle name="통_사전회의(1208)_새벽시장8.26xls_주단조 업종 평가결과품의(040416)(1)" xfId="31526"/>
    <cellStyle name="통_사전회의(1208)_새벽시장8.26xls_주단조 업종 평가결과품의(040416)(1)_용접업종 평가결과품의(040510)" xfId="31527"/>
    <cellStyle name="통_사전회의(1208)_새벽시장8.26xls_주단조 업종 평가결과품의(040416)(1)_용접업종 평가결과품의(040510)(1)" xfId="31528"/>
    <cellStyle name="통_사전회의(1208)_새벽시장8.26xls_주단조 업종 평가결과품의(040416)(1)_주단조용접업종 평가결과품의(040510)(1)" xfId="31529"/>
    <cellStyle name="통_사전회의(1208)_새벽시장8.26xls_최신-SQ인증업체현황1343사(03년평가완료031229수정)" xfId="31530"/>
    <cellStyle name="통_사전회의(1208)_새벽시장8.26xls_최신-SQ인증업체현황1343사(03년평가완료031229수정)_용접업종 평가결과품의(040510)" xfId="31531"/>
    <cellStyle name="통_사전회의(1208)_새벽시장8.26xls_최신-SQ인증업체현황1343사(03년평가완료031229수정)_용접업종 평가결과품의(040510)(1)" xfId="31532"/>
    <cellStyle name="통_사전회의(1208)_새벽시장8.26xls_최신-SQ인증업체현황1343사(03년평가완료031229수정)_주단조용접업종 평가결과품의(040510)(1)" xfId="31533"/>
    <cellStyle name="통_사전회의(1208)_새벽시장9.16" xfId="31534"/>
    <cellStyle name="통_사전회의(1208)_새벽시장9.16_도금 열처리 주단조 평가품의(040329)" xfId="31535"/>
    <cellStyle name="통_사전회의(1208)_새벽시장9.16_도금 열처리 주단조 평가품의(040329)_도금 열처리 주단조 평가품의(040329)" xfId="31536"/>
    <cellStyle name="통_사전회의(1208)_새벽시장9.16_도금 열처리 주단조 평가품의(040329)업체" xfId="31537"/>
    <cellStyle name="통_사전회의(1208)_새벽시장9.16_열처리결과품의(031017)개발" xfId="31538"/>
    <cellStyle name="통_사전회의(1208)_새벽시장9.16_열처리결과품의(031017)개발_도금 열처리 주단조 평가품의(040329)" xfId="31539"/>
    <cellStyle name="통_사전회의(1208)_새벽시장9.16_용접업종 평가결과품의(040510)" xfId="31540"/>
    <cellStyle name="통_사전회의(1208)_새벽시장9.16_용접업종 평가결과품의(040510)_용접업종 평가결과품의(040510)" xfId="31541"/>
    <cellStyle name="통_사전회의(1208)_새벽시장9.16_용접업종 평가결과품의(040510)_용접업종 평가결과품의(040510)(1)" xfId="31542"/>
    <cellStyle name="통_사전회의(1208)_새벽시장9.16_용접업종 평가결과품의(040510)_주단조용접업종 평가결과품의(040510)(1)" xfId="31543"/>
    <cellStyle name="통_사전회의(1208)_새벽시장9.16_주단조 업종 평가결과품의(040407)" xfId="31544"/>
    <cellStyle name="통_사전회의(1208)_새벽시장9.16_주단조 업종 평가결과품의(040407)_용접업종 평가결과품의(040510)" xfId="31545"/>
    <cellStyle name="통_사전회의(1208)_새벽시장9.16_주단조 업종 평가결과품의(040407)_용접업종 평가결과품의(040510)(1)" xfId="31546"/>
    <cellStyle name="통_사전회의(1208)_새벽시장9.16_주단조 업종 평가결과품의(040407)_주단조용접업종 평가결과품의(040510)(1)" xfId="31547"/>
    <cellStyle name="통_사전회의(1208)_새벽시장9.16_주단조 업종 평가결과품의(040416)(1)" xfId="31548"/>
    <cellStyle name="통_사전회의(1208)_새벽시장9.16_주단조 업종 평가결과품의(040416)(1)_용접업종 평가결과품의(040510)" xfId="31549"/>
    <cellStyle name="통_사전회의(1208)_새벽시장9.16_주단조 업종 평가결과품의(040416)(1)_용접업종 평가결과품의(040510)(1)" xfId="31550"/>
    <cellStyle name="통_사전회의(1208)_새벽시장9.16_주단조 업종 평가결과품의(040416)(1)_주단조용접업종 평가결과품의(040510)(1)" xfId="31551"/>
    <cellStyle name="통_사전회의(1208)_새벽시장9.16_최신-SQ인증업체현황1343사(03년평가완료031229수정)" xfId="31552"/>
    <cellStyle name="통_사전회의(1208)_새벽시장9.16_최신-SQ인증업체현황1343사(03년평가완료031229수정)_용접업종 평가결과품의(040510)" xfId="31553"/>
    <cellStyle name="통_사전회의(1208)_새벽시장9.16_최신-SQ인증업체현황1343사(03년평가완료031229수정)_용접업종 평가결과품의(040510)(1)" xfId="31554"/>
    <cellStyle name="통_사전회의(1208)_새벽시장9.16_최신-SQ인증업체현황1343사(03년평가완료031229수정)_주단조용접업종 평가결과품의(040510)(1)" xfId="31555"/>
    <cellStyle name="통_사전회의(1208)_열처리결과품의(031017)개발" xfId="31556"/>
    <cellStyle name="통_사전회의(1208)_열처리결과품의(031017)개발_도금 열처리 주단조 평가품의(040329)" xfId="31557"/>
    <cellStyle name="통_사전회의(1208)_용접업종 평가결과품의(040510)" xfId="31558"/>
    <cellStyle name="통_사전회의(1208)_용접업종 평가결과품의(040510)_용접업종 평가결과품의(040510)" xfId="31559"/>
    <cellStyle name="통_사전회의(1208)_용접업종 평가결과품의(040510)_용접업종 평가결과품의(040510)(1)" xfId="31560"/>
    <cellStyle name="통_사전회의(1208)_용접업종 평가결과품의(040510)_주단조용접업종 평가결과품의(040510)(1)" xfId="31561"/>
    <cellStyle name="통_사전회의(1208)_주단조 업종 평가결과품의(040407)" xfId="31562"/>
    <cellStyle name="통_사전회의(1208)_주단조 업종 평가결과품의(040407)_용접업종 평가결과품의(040510)" xfId="31563"/>
    <cellStyle name="통_사전회의(1208)_주단조 업종 평가결과품의(040407)_용접업종 평가결과품의(040510)(1)" xfId="31564"/>
    <cellStyle name="통_사전회의(1208)_주단조 업종 평가결과품의(040407)_주단조용접업종 평가결과품의(040510)(1)" xfId="31565"/>
    <cellStyle name="통_사전회의(1208)_주단조 업종 평가결과품의(040416)(1)" xfId="31566"/>
    <cellStyle name="통_사전회의(1208)_주단조 업종 평가결과품의(040416)(1)_용접업종 평가결과품의(040510)" xfId="31567"/>
    <cellStyle name="통_사전회의(1208)_주단조 업종 평가결과품의(040416)(1)_용접업종 평가결과품의(040510)(1)" xfId="31568"/>
    <cellStyle name="통_사전회의(1208)_주단조 업종 평가결과품의(040416)(1)_주단조용접업종 평가결과품의(040510)(1)" xfId="31569"/>
    <cellStyle name="통_사전회의(1208)_최신-SQ인증업체현황1343사(03년평가완료031229수정)" xfId="31570"/>
    <cellStyle name="통_사전회의(1208)_최신-SQ인증업체현황1343사(03년평가완료031229수정)_용접업종 평가결과품의(040510)" xfId="31571"/>
    <cellStyle name="통_사전회의(1208)_최신-SQ인증업체현황1343사(03년평가완료031229수정)_용접업종 평가결과품의(040510)(1)" xfId="31572"/>
    <cellStyle name="통_사전회의(1208)_최신-SQ인증업체현황1343사(03년평가완료031229수정)_주단조용접업종 평가결과품의(040510)(1)" xfId="31573"/>
    <cellStyle name="통_새벽시장1" xfId="31574"/>
    <cellStyle name="통_새벽시장1_도금 열처리 주단조 평가품의(040329)" xfId="31575"/>
    <cellStyle name="통_새벽시장1_도금 열처리 주단조 평가품의(040329)_도금 열처리 주단조 평가품의(040329)" xfId="31576"/>
    <cellStyle name="통_새벽시장1_도금 열처리 주단조 평가품의(040329)업체" xfId="31577"/>
    <cellStyle name="통_새벽시장1_열처리결과품의(031017)개발" xfId="31578"/>
    <cellStyle name="통_새벽시장1_열처리결과품의(031017)개발_도금 열처리 주단조 평가품의(040329)" xfId="31579"/>
    <cellStyle name="통_새벽시장1_용접업종 평가결과품의(040510)" xfId="31580"/>
    <cellStyle name="통_새벽시장1_용접업종 평가결과품의(040510)_용접업종 평가결과품의(040510)" xfId="31581"/>
    <cellStyle name="통_새벽시장1_용접업종 평가결과품의(040510)_용접업종 평가결과품의(040510)(1)" xfId="31582"/>
    <cellStyle name="통_새벽시장1_용접업종 평가결과품의(040510)_주단조용접업종 평가결과품의(040510)(1)" xfId="31583"/>
    <cellStyle name="통_새벽시장1_주단조 업종 평가결과품의(040407)" xfId="31584"/>
    <cellStyle name="통_새벽시장1_주단조 업종 평가결과품의(040407)_용접업종 평가결과품의(040510)" xfId="31585"/>
    <cellStyle name="통_새벽시장1_주단조 업종 평가결과품의(040407)_용접업종 평가결과품의(040510)(1)" xfId="31586"/>
    <cellStyle name="통_새벽시장1_주단조 업종 평가결과품의(040407)_주단조용접업종 평가결과품의(040510)(1)" xfId="31587"/>
    <cellStyle name="통_새벽시장1_주단조 업종 평가결과품의(040416)(1)" xfId="31588"/>
    <cellStyle name="통_새벽시장1_주단조 업종 평가결과품의(040416)(1)_용접업종 평가결과품의(040510)" xfId="31589"/>
    <cellStyle name="통_새벽시장1_주단조 업종 평가결과품의(040416)(1)_용접업종 평가결과품의(040510)(1)" xfId="31590"/>
    <cellStyle name="통_새벽시장1_주단조 업종 평가결과품의(040416)(1)_주단조용접업종 평가결과품의(040510)(1)" xfId="31591"/>
    <cellStyle name="통_새벽시장1_최신-SQ인증업체현황1343사(03년평가완료031229수정)" xfId="31592"/>
    <cellStyle name="통_새벽시장1_최신-SQ인증업체현황1343사(03년평가완료031229수정)_용접업종 평가결과품의(040510)" xfId="31593"/>
    <cellStyle name="통_새벽시장1_최신-SQ인증업체현황1343사(03년평가완료031229수정)_용접업종 평가결과품의(040510)(1)" xfId="31594"/>
    <cellStyle name="통_새벽시장1_최신-SQ인증업체현황1343사(03년평가완료031229수정)_주단조용접업종 평가결과품의(040510)(1)" xfId="31595"/>
    <cellStyle name="통_새벽시장3" xfId="31596"/>
    <cellStyle name="통_새벽시장3_도금 열처리 주단조 평가품의(040329)" xfId="31597"/>
    <cellStyle name="통_새벽시장3_도금 열처리 주단조 평가품의(040329)_도금 열처리 주단조 평가품의(040329)" xfId="31598"/>
    <cellStyle name="통_새벽시장3_도금 열처리 주단조 평가품의(040329)업체" xfId="31599"/>
    <cellStyle name="통_새벽시장3_열처리결과품의(031017)개발" xfId="31600"/>
    <cellStyle name="통_새벽시장3_열처리결과품의(031017)개발_도금 열처리 주단조 평가품의(040329)" xfId="31601"/>
    <cellStyle name="통_새벽시장3_용접업종 평가결과품의(040510)" xfId="31602"/>
    <cellStyle name="통_새벽시장3_용접업종 평가결과품의(040510)_용접업종 평가결과품의(040510)" xfId="31603"/>
    <cellStyle name="통_새벽시장3_용접업종 평가결과품의(040510)_용접업종 평가결과품의(040510)(1)" xfId="31604"/>
    <cellStyle name="통_새벽시장3_용접업종 평가결과품의(040510)_주단조용접업종 평가결과품의(040510)(1)" xfId="31605"/>
    <cellStyle name="통_새벽시장3_주단조 업종 평가결과품의(040407)" xfId="31606"/>
    <cellStyle name="통_새벽시장3_주단조 업종 평가결과품의(040407)_용접업종 평가결과품의(040510)" xfId="31607"/>
    <cellStyle name="통_새벽시장3_주단조 업종 평가결과품의(040407)_용접업종 평가결과품의(040510)(1)" xfId="31608"/>
    <cellStyle name="통_새벽시장3_주단조 업종 평가결과품의(040407)_주단조용접업종 평가결과품의(040510)(1)" xfId="31609"/>
    <cellStyle name="통_새벽시장3_주단조 업종 평가결과품의(040416)(1)" xfId="31610"/>
    <cellStyle name="통_새벽시장3_주단조 업종 평가결과품의(040416)(1)_용접업종 평가결과품의(040510)" xfId="31611"/>
    <cellStyle name="통_새벽시장3_주단조 업종 평가결과품의(040416)(1)_용접업종 평가결과품의(040510)(1)" xfId="31612"/>
    <cellStyle name="통_새벽시장3_주단조 업종 평가결과품의(040416)(1)_주단조용접업종 평가결과품의(040510)(1)" xfId="31613"/>
    <cellStyle name="통_새벽시장3_최신-SQ인증업체현황1343사(03년평가완료031229수정)" xfId="31614"/>
    <cellStyle name="통_새벽시장3_최신-SQ인증업체현황1343사(03년평가완료031229수정)_용접업종 평가결과품의(040510)" xfId="31615"/>
    <cellStyle name="통_새벽시장3_최신-SQ인증업체현황1343사(03년평가완료031229수정)_용접업종 평가결과품의(040510)(1)" xfId="31616"/>
    <cellStyle name="통_새벽시장3_최신-SQ인증업체현황1343사(03년평가완료031229수정)_주단조용접업종 평가결과품의(040510)(1)" xfId="31617"/>
    <cellStyle name="통_새벽시장5" xfId="31618"/>
    <cellStyle name="통_새벽시장5_도금 열처리 주단조 평가품의(040329)" xfId="31619"/>
    <cellStyle name="통_새벽시장5_도금 열처리 주단조 평가품의(040329)_도금 열처리 주단조 평가품의(040329)" xfId="31620"/>
    <cellStyle name="통_새벽시장5_도금 열처리 주단조 평가품의(040329)업체" xfId="31621"/>
    <cellStyle name="통_새벽시장5_열처리결과품의(031017)개발" xfId="31622"/>
    <cellStyle name="통_새벽시장5_열처리결과품의(031017)개발_도금 열처리 주단조 평가품의(040329)" xfId="31623"/>
    <cellStyle name="통_새벽시장5_용접업종 평가결과품의(040510)" xfId="31624"/>
    <cellStyle name="통_새벽시장5_용접업종 평가결과품의(040510)_용접업종 평가결과품의(040510)" xfId="31625"/>
    <cellStyle name="통_새벽시장5_용접업종 평가결과품의(040510)_용접업종 평가결과품의(040510)(1)" xfId="31626"/>
    <cellStyle name="통_새벽시장5_용접업종 평가결과품의(040510)_주단조용접업종 평가결과품의(040510)(1)" xfId="31627"/>
    <cellStyle name="통_새벽시장5_주단조 업종 평가결과품의(040407)" xfId="31628"/>
    <cellStyle name="통_새벽시장5_주단조 업종 평가결과품의(040407)_용접업종 평가결과품의(040510)" xfId="31629"/>
    <cellStyle name="통_새벽시장5_주단조 업종 평가결과품의(040407)_용접업종 평가결과품의(040510)(1)" xfId="31630"/>
    <cellStyle name="통_새벽시장5_주단조 업종 평가결과품의(040407)_주단조용접업종 평가결과품의(040510)(1)" xfId="31631"/>
    <cellStyle name="통_새벽시장5_주단조 업종 평가결과품의(040416)(1)" xfId="31632"/>
    <cellStyle name="통_새벽시장5_주단조 업종 평가결과품의(040416)(1)_용접업종 평가결과품의(040510)" xfId="31633"/>
    <cellStyle name="통_새벽시장5_주단조 업종 평가결과품의(040416)(1)_용접업종 평가결과품의(040510)(1)" xfId="31634"/>
    <cellStyle name="통_새벽시장5_주단조 업종 평가결과품의(040416)(1)_주단조용접업종 평가결과품의(040510)(1)" xfId="31635"/>
    <cellStyle name="통_새벽시장5_최신-SQ인증업체현황1343사(03년평가완료031229수정)" xfId="31636"/>
    <cellStyle name="통_새벽시장5_최신-SQ인증업체현황1343사(03년평가완료031229수정)_용접업종 평가결과품의(040510)" xfId="31637"/>
    <cellStyle name="통_새벽시장5_최신-SQ인증업체현황1343사(03년평가완료031229수정)_용접업종 평가결과품의(040510)(1)" xfId="31638"/>
    <cellStyle name="통_새벽시장5_최신-SQ인증업체현황1343사(03년평가완료031229수정)_주단조용접업종 평가결과품의(040510)(1)" xfId="31639"/>
    <cellStyle name="통_새벽시장7" xfId="31640"/>
    <cellStyle name="통_새벽시장7_도금 열처리 주단조 평가품의(040329)" xfId="31641"/>
    <cellStyle name="통_새벽시장7_도금 열처리 주단조 평가품의(040329)_도금 열처리 주단조 평가품의(040329)" xfId="31642"/>
    <cellStyle name="통_새벽시장7_도금 열처리 주단조 평가품의(040329)업체" xfId="31643"/>
    <cellStyle name="통_새벽시장7_열처리결과품의(031017)개발" xfId="31644"/>
    <cellStyle name="통_새벽시장7_열처리결과품의(031017)개발_도금 열처리 주단조 평가품의(040329)" xfId="31645"/>
    <cellStyle name="통_새벽시장7_용접업종 평가결과품의(040510)" xfId="31646"/>
    <cellStyle name="통_새벽시장7_용접업종 평가결과품의(040510)_용접업종 평가결과품의(040510)" xfId="31647"/>
    <cellStyle name="통_새벽시장7_용접업종 평가결과품의(040510)_용접업종 평가결과품의(040510)(1)" xfId="31648"/>
    <cellStyle name="통_새벽시장7_용접업종 평가결과품의(040510)_주단조용접업종 평가결과품의(040510)(1)" xfId="31649"/>
    <cellStyle name="통_새벽시장7_주단조 업종 평가결과품의(040407)" xfId="31650"/>
    <cellStyle name="통_새벽시장7_주단조 업종 평가결과품의(040407)_용접업종 평가결과품의(040510)" xfId="31651"/>
    <cellStyle name="통_새벽시장7_주단조 업종 평가결과품의(040407)_용접업종 평가결과품의(040510)(1)" xfId="31652"/>
    <cellStyle name="통_새벽시장7_주단조 업종 평가결과품의(040407)_주단조용접업종 평가결과품의(040510)(1)" xfId="31653"/>
    <cellStyle name="통_새벽시장7_주단조 업종 평가결과품의(040416)(1)" xfId="31654"/>
    <cellStyle name="통_새벽시장7_주단조 업종 평가결과품의(040416)(1)_용접업종 평가결과품의(040510)" xfId="31655"/>
    <cellStyle name="통_새벽시장7_주단조 업종 평가결과품의(040416)(1)_용접업종 평가결과품의(040510)(1)" xfId="31656"/>
    <cellStyle name="통_새벽시장7_주단조 업종 평가결과품의(040416)(1)_주단조용접업종 평가결과품의(040510)(1)" xfId="31657"/>
    <cellStyle name="통_새벽시장7_최신-SQ인증업체현황1343사(03년평가완료031229수정)" xfId="31658"/>
    <cellStyle name="통_새벽시장7_최신-SQ인증업체현황1343사(03년평가완료031229수정)_용접업종 평가결과품의(040510)" xfId="31659"/>
    <cellStyle name="통_새벽시장7_최신-SQ인증업체현황1343사(03년평가완료031229수정)_용접업종 평가결과품의(040510)(1)" xfId="31660"/>
    <cellStyle name="통_새벽시장7_최신-SQ인증업체현황1343사(03년평가완료031229수정)_주단조용접업종 평가결과품의(040510)(1)" xfId="31661"/>
    <cellStyle name="통_새벽시장8.10xls" xfId="31662"/>
    <cellStyle name="통_새벽시장8.10xls_도금 열처리 주단조 평가품의(040329)" xfId="31663"/>
    <cellStyle name="통_새벽시장8.10xls_도금 열처리 주단조 평가품의(040329)_도금 열처리 주단조 평가품의(040329)" xfId="31664"/>
    <cellStyle name="통_새벽시장8.10xls_도금 열처리 주단조 평가품의(040329)업체" xfId="31665"/>
    <cellStyle name="통_새벽시장8.10xls_열처리결과품의(031017)개발" xfId="31666"/>
    <cellStyle name="통_새벽시장8.10xls_열처리결과품의(031017)개발_도금 열처리 주단조 평가품의(040329)" xfId="31667"/>
    <cellStyle name="통_새벽시장8.10xls_용접업종 평가결과품의(040510)" xfId="31668"/>
    <cellStyle name="통_새벽시장8.10xls_용접업종 평가결과품의(040510)_용접업종 평가결과품의(040510)" xfId="31669"/>
    <cellStyle name="통_새벽시장8.10xls_용접업종 평가결과품의(040510)_용접업종 평가결과품의(040510)(1)" xfId="31670"/>
    <cellStyle name="통_새벽시장8.10xls_용접업종 평가결과품의(040510)_주단조용접업종 평가결과품의(040510)(1)" xfId="31671"/>
    <cellStyle name="통_새벽시장8.10xls_주단조 업종 평가결과품의(040407)" xfId="31672"/>
    <cellStyle name="통_새벽시장8.10xls_주단조 업종 평가결과품의(040407)_용접업종 평가결과품의(040510)" xfId="31673"/>
    <cellStyle name="통_새벽시장8.10xls_주단조 업종 평가결과품의(040407)_용접업종 평가결과품의(040510)(1)" xfId="31674"/>
    <cellStyle name="통_새벽시장8.10xls_주단조 업종 평가결과품의(040407)_주단조용접업종 평가결과품의(040510)(1)" xfId="31675"/>
    <cellStyle name="통_새벽시장8.10xls_주단조 업종 평가결과품의(040416)(1)" xfId="31676"/>
    <cellStyle name="통_새벽시장8.10xls_주단조 업종 평가결과품의(040416)(1)_용접업종 평가결과품의(040510)" xfId="31677"/>
    <cellStyle name="통_새벽시장8.10xls_주단조 업종 평가결과품의(040416)(1)_용접업종 평가결과품의(040510)(1)" xfId="31678"/>
    <cellStyle name="통_새벽시장8.10xls_주단조 업종 평가결과품의(040416)(1)_주단조용접업종 평가결과품의(040510)(1)" xfId="31679"/>
    <cellStyle name="통_새벽시장8.10xls_최신-SQ인증업체현황1343사(03년평가완료031229수정)" xfId="31680"/>
    <cellStyle name="통_새벽시장8.10xls_최신-SQ인증업체현황1343사(03년평가완료031229수정)_용접업종 평가결과품의(040510)" xfId="31681"/>
    <cellStyle name="통_새벽시장8.10xls_최신-SQ인증업체현황1343사(03년평가완료031229수정)_용접업종 평가결과품의(040510)(1)" xfId="31682"/>
    <cellStyle name="통_새벽시장8.10xls_최신-SQ인증업체현황1343사(03년평가완료031229수정)_주단조용접업종 평가결과품의(040510)(1)" xfId="31683"/>
    <cellStyle name="통_새벽시장8.26xls" xfId="31684"/>
    <cellStyle name="통_새벽시장8.26xls_도금 열처리 주단조 평가품의(040329)" xfId="31685"/>
    <cellStyle name="통_새벽시장8.26xls_도금 열처리 주단조 평가품의(040329)_도금 열처리 주단조 평가품의(040329)" xfId="31686"/>
    <cellStyle name="통_새벽시장8.26xls_도금 열처리 주단조 평가품의(040329)업체" xfId="31687"/>
    <cellStyle name="통_새벽시장8.26xls_열처리결과품의(031017)개발" xfId="31688"/>
    <cellStyle name="통_새벽시장8.26xls_열처리결과품의(031017)개발_도금 열처리 주단조 평가품의(040329)" xfId="31689"/>
    <cellStyle name="통_새벽시장8.26xls_용접업종 평가결과품의(040510)" xfId="31690"/>
    <cellStyle name="통_새벽시장8.26xls_용접업종 평가결과품의(040510)_용접업종 평가결과품의(040510)" xfId="31691"/>
    <cellStyle name="통_새벽시장8.26xls_용접업종 평가결과품의(040510)_용접업종 평가결과품의(040510)(1)" xfId="31692"/>
    <cellStyle name="통_새벽시장8.26xls_용접업종 평가결과품의(040510)_주단조용접업종 평가결과품의(040510)(1)" xfId="31693"/>
    <cellStyle name="통_새벽시장8.26xls_주단조 업종 평가결과품의(040407)" xfId="31694"/>
    <cellStyle name="통_새벽시장8.26xls_주단조 업종 평가결과품의(040407)_용접업종 평가결과품의(040510)" xfId="31695"/>
    <cellStyle name="통_새벽시장8.26xls_주단조 업종 평가결과품의(040407)_용접업종 평가결과품의(040510)(1)" xfId="31696"/>
    <cellStyle name="통_새벽시장8.26xls_주단조 업종 평가결과품의(040407)_주단조용접업종 평가결과품의(040510)(1)" xfId="31697"/>
    <cellStyle name="통_새벽시장8.26xls_주단조 업종 평가결과품의(040416)(1)" xfId="31698"/>
    <cellStyle name="통_새벽시장8.26xls_주단조 업종 평가결과품의(040416)(1)_용접업종 평가결과품의(040510)" xfId="31699"/>
    <cellStyle name="통_새벽시장8.26xls_주단조 업종 평가결과품의(040416)(1)_용접업종 평가결과품의(040510)(1)" xfId="31700"/>
    <cellStyle name="통_새벽시장8.26xls_주단조 업종 평가결과품의(040416)(1)_주단조용접업종 평가결과품의(040510)(1)" xfId="31701"/>
    <cellStyle name="통_새벽시장8.26xls_최신-SQ인증업체현황1343사(03년평가완료031229수정)" xfId="31702"/>
    <cellStyle name="통_새벽시장8.26xls_최신-SQ인증업체현황1343사(03년평가완료031229수정)_용접업종 평가결과품의(040510)" xfId="31703"/>
    <cellStyle name="통_새벽시장8.26xls_최신-SQ인증업체현황1343사(03년평가완료031229수정)_용접업종 평가결과품의(040510)(1)" xfId="31704"/>
    <cellStyle name="통_새벽시장8.26xls_최신-SQ인증업체현황1343사(03년평가완료031229수정)_주단조용접업종 평가결과품의(040510)(1)" xfId="31705"/>
    <cellStyle name="통_새벽시장9.16" xfId="31706"/>
    <cellStyle name="통_새벽시장9.16_도금 열처리 주단조 평가품의(040329)" xfId="31707"/>
    <cellStyle name="통_새벽시장9.16_도금 열처리 주단조 평가품의(040329)_도금 열처리 주단조 평가품의(040329)" xfId="31708"/>
    <cellStyle name="통_새벽시장9.16_도금 열처리 주단조 평가품의(040329)업체" xfId="31709"/>
    <cellStyle name="통_새벽시장9.16_열처리결과품의(031017)개발" xfId="31710"/>
    <cellStyle name="통_새벽시장9.16_열처리결과품의(031017)개발_도금 열처리 주단조 평가품의(040329)" xfId="31711"/>
    <cellStyle name="통_새벽시장9.16_용접업종 평가결과품의(040510)" xfId="31712"/>
    <cellStyle name="통_새벽시장9.16_용접업종 평가결과품의(040510)_용접업종 평가결과품의(040510)" xfId="31713"/>
    <cellStyle name="통_새벽시장9.16_용접업종 평가결과품의(040510)_용접업종 평가결과품의(040510)(1)" xfId="31714"/>
    <cellStyle name="통_새벽시장9.16_용접업종 평가결과품의(040510)_주단조용접업종 평가결과품의(040510)(1)" xfId="31715"/>
    <cellStyle name="통_새벽시장9.16_주단조 업종 평가결과품의(040407)" xfId="31716"/>
    <cellStyle name="통_새벽시장9.16_주단조 업종 평가결과품의(040407)_용접업종 평가결과품의(040510)" xfId="31717"/>
    <cellStyle name="통_새벽시장9.16_주단조 업종 평가결과품의(040407)_용접업종 평가결과품의(040510)(1)" xfId="31718"/>
    <cellStyle name="통_새벽시장9.16_주단조 업종 평가결과품의(040407)_주단조용접업종 평가결과품의(040510)(1)" xfId="31719"/>
    <cellStyle name="통_새벽시장9.16_주단조 업종 평가결과품의(040416)(1)" xfId="31720"/>
    <cellStyle name="통_새벽시장9.16_주단조 업종 평가결과품의(040416)(1)_용접업종 평가결과품의(040510)" xfId="31721"/>
    <cellStyle name="통_새벽시장9.16_주단조 업종 평가결과품의(040416)(1)_용접업종 평가결과품의(040510)(1)" xfId="31722"/>
    <cellStyle name="통_새벽시장9.16_주단조 업종 평가결과품의(040416)(1)_주단조용접업종 평가결과품의(040510)(1)" xfId="31723"/>
    <cellStyle name="통_새벽시장9.16_최신-SQ인증업체현황1343사(03년평가완료031229수정)" xfId="31724"/>
    <cellStyle name="통_새벽시장9.16_최신-SQ인증업체현황1343사(03년평가완료031229수정)_용접업종 평가결과품의(040510)" xfId="31725"/>
    <cellStyle name="통_새벽시장9.16_최신-SQ인증업체현황1343사(03년평가완료031229수정)_용접업종 평가결과품의(040510)(1)" xfId="31726"/>
    <cellStyle name="통_새벽시장9.16_최신-SQ인증업체현황1343사(03년평가완료031229수정)_주단조용접업종 평가결과품의(040510)(1)" xfId="31727"/>
    <cellStyle name="통_열처리결과품의(031017)개발" xfId="31728"/>
    <cellStyle name="통_열처리결과품의(031017)개발_도금 열처리 주단조 평가품의(040329)" xfId="31729"/>
    <cellStyle name="통_용접업종 평가결과품의(040510)" xfId="31730"/>
    <cellStyle name="통_용접업종 평가결과품의(040510)_용접업종 평가결과품의(040510)" xfId="31731"/>
    <cellStyle name="통_용접업종 평가결과품의(040510)_용접업종 평가결과품의(040510)(1)" xfId="31732"/>
    <cellStyle name="통_용접업종 평가결과품의(040510)_주단조용접업종 평가결과품의(040510)(1)" xfId="31733"/>
    <cellStyle name="통_주단조 업종 평가결과품의(040407)" xfId="31734"/>
    <cellStyle name="통_주단조 업종 평가결과품의(040407)_용접업종 평가결과품의(040510)" xfId="31735"/>
    <cellStyle name="통_주단조 업종 평가결과품의(040407)_용접업종 평가결과품의(040510)(1)" xfId="31736"/>
    <cellStyle name="통_주단조 업종 평가결과품의(040407)_주단조용접업종 평가결과품의(040510)(1)" xfId="31737"/>
    <cellStyle name="통_주단조 업종 평가결과품의(040416)(1)" xfId="31738"/>
    <cellStyle name="통_주단조 업종 평가결과품의(040416)(1)_용접업종 평가결과품의(040510)" xfId="31739"/>
    <cellStyle name="통_주단조 업종 평가결과품의(040416)(1)_용접업종 평가결과품의(040510)(1)" xfId="31740"/>
    <cellStyle name="통_주단조 업종 평가결과품의(040416)(1)_주단조용접업종 평가결과품의(040510)(1)" xfId="31741"/>
    <cellStyle name="통_최신-SQ인증업체현황1343사(03년평가완료031229수정)" xfId="31742"/>
    <cellStyle name="통_최신-SQ인증업체현황1343사(03년평가완료031229수정)_용접업종 평가결과품의(040510)" xfId="31743"/>
    <cellStyle name="통_최신-SQ인증업체현황1343사(03년평가완료031229수정)_용접업종 평가결과품의(040510)(1)" xfId="31744"/>
    <cellStyle name="통_최신-SQ인증업체현황1343사(03년평가완료031229수정)_주단조용접업종 평가결과품의(040510)(1)" xfId="31745"/>
    <cellStyle name="통_출장계획서" xfId="31746"/>
    <cellStyle name="통_출장계획서_ROTATION 유동" xfId="31747"/>
    <cellStyle name="통_출장계획서_ROTATION 유동_도금 열처리 주단조 평가품의(040329)" xfId="31748"/>
    <cellStyle name="통_출장계획서_ROTATION 유동_도금 열처리 주단조 평가품의(040329)_도금 열처리 주단조 평가품의(040329)" xfId="31749"/>
    <cellStyle name="통_출장계획서_ROTATION 유동_도금 열처리 주단조 평가품의(040329)업체" xfId="31750"/>
    <cellStyle name="통_출장계획서_ROTATION 유동_열처리결과품의(031017)개발" xfId="31751"/>
    <cellStyle name="통_출장계획서_ROTATION 유동_열처리결과품의(031017)개발_도금 열처리 주단조 평가품의(040329)" xfId="31752"/>
    <cellStyle name="통_출장계획서_ROTATION 유동_용접업종 평가결과품의(040510)" xfId="31753"/>
    <cellStyle name="통_출장계획서_ROTATION 유동_용접업종 평가결과품의(040510)_용접업종 평가결과품의(040510)" xfId="31754"/>
    <cellStyle name="통_출장계획서_ROTATION 유동_용접업종 평가결과품의(040510)_용접업종 평가결과품의(040510)(1)" xfId="31755"/>
    <cellStyle name="통_출장계획서_ROTATION 유동_용접업종 평가결과품의(040510)_주단조용접업종 평가결과품의(040510)(1)" xfId="31756"/>
    <cellStyle name="통_출장계획서_ROTATION 유동_주단조 업종 평가결과품의(040407)" xfId="31757"/>
    <cellStyle name="통_출장계획서_ROTATION 유동_주단조 업종 평가결과품의(040407)_용접업종 평가결과품의(040510)" xfId="31758"/>
    <cellStyle name="통_출장계획서_ROTATION 유동_주단조 업종 평가결과품의(040407)_용접업종 평가결과품의(040510)(1)" xfId="31759"/>
    <cellStyle name="통_출장계획서_ROTATION 유동_주단조 업종 평가결과품의(040407)_주단조용접업종 평가결과품의(040510)(1)" xfId="31760"/>
    <cellStyle name="통_출장계획서_ROTATION 유동_주단조 업종 평가결과품의(040416)(1)" xfId="31761"/>
    <cellStyle name="통_출장계획서_ROTATION 유동_주단조 업종 평가결과품의(040416)(1)_용접업종 평가결과품의(040510)" xfId="31762"/>
    <cellStyle name="통_출장계획서_ROTATION 유동_주단조 업종 평가결과품의(040416)(1)_용접업종 평가결과품의(040510)(1)" xfId="31763"/>
    <cellStyle name="통_출장계획서_ROTATION 유동_주단조 업종 평가결과품의(040416)(1)_주단조용접업종 평가결과품의(040510)(1)" xfId="31764"/>
    <cellStyle name="통_출장계획서_ROTATION 유동_최신-SQ인증업체현황1343사(03년평가완료031229수정)" xfId="31765"/>
    <cellStyle name="통_출장계획서_ROTATION 유동_최신-SQ인증업체현황1343사(03년평가완료031229수정)_용접업종 평가결과품의(040510)" xfId="31766"/>
    <cellStyle name="통_출장계획서_ROTATION 유동_최신-SQ인증업체현황1343사(03년평가완료031229수정)_용접업종 평가결과품의(040510)(1)" xfId="31767"/>
    <cellStyle name="통_출장계획서_ROTATION 유동_최신-SQ인증업체현황1343사(03년평가완료031229수정)_주단조용접업종 평가결과품의(040510)(1)" xfId="31768"/>
    <cellStyle name="통_출장계획서_SLIDE 폭" xfId="31769"/>
    <cellStyle name="통_출장계획서_SLIDE 폭_도금 열처리 주단조 평가품의(040329)" xfId="31770"/>
    <cellStyle name="통_출장계획서_SLIDE 폭_도금 열처리 주단조 평가품의(040329)_도금 열처리 주단조 평가품의(040329)" xfId="31771"/>
    <cellStyle name="통_출장계획서_SLIDE 폭_도금 열처리 주단조 평가품의(040329)업체" xfId="31772"/>
    <cellStyle name="통_출장계획서_SLIDE 폭_열처리결과품의(031017)개발" xfId="31773"/>
    <cellStyle name="통_출장계획서_SLIDE 폭_열처리결과품의(031017)개발_도금 열처리 주단조 평가품의(040329)" xfId="31774"/>
    <cellStyle name="통_출장계획서_SLIDE 폭_용접업종 평가결과품의(040510)" xfId="31775"/>
    <cellStyle name="통_출장계획서_SLIDE 폭_용접업종 평가결과품의(040510)_용접업종 평가결과품의(040510)" xfId="31776"/>
    <cellStyle name="통_출장계획서_SLIDE 폭_용접업종 평가결과품의(040510)_용접업종 평가결과품의(040510)(1)" xfId="31777"/>
    <cellStyle name="통_출장계획서_SLIDE 폭_용접업종 평가결과품의(040510)_주단조용접업종 평가결과품의(040510)(1)" xfId="31778"/>
    <cellStyle name="통_출장계획서_SLIDE 폭_주단조 업종 평가결과품의(040407)" xfId="31779"/>
    <cellStyle name="통_출장계획서_SLIDE 폭_주단조 업종 평가결과품의(040407)_용접업종 평가결과품의(040510)" xfId="31780"/>
    <cellStyle name="통_출장계획서_SLIDE 폭_주단조 업종 평가결과품의(040407)_용접업종 평가결과품의(040510)(1)" xfId="31781"/>
    <cellStyle name="통_출장계획서_SLIDE 폭_주단조 업종 평가결과품의(040407)_주단조용접업종 평가결과품의(040510)(1)" xfId="31782"/>
    <cellStyle name="통_출장계획서_SLIDE 폭_주단조 업종 평가결과품의(040416)(1)" xfId="31783"/>
    <cellStyle name="통_출장계획서_SLIDE 폭_주단조 업종 평가결과품의(040416)(1)_용접업종 평가결과품의(040510)" xfId="31784"/>
    <cellStyle name="통_출장계획서_SLIDE 폭_주단조 업종 평가결과품의(040416)(1)_용접업종 평가결과품의(040510)(1)" xfId="31785"/>
    <cellStyle name="통_출장계획서_SLIDE 폭_주단조 업종 평가결과품의(040416)(1)_주단조용접업종 평가결과품의(040510)(1)" xfId="31786"/>
    <cellStyle name="통_출장계획서_SLIDE 폭_최신-SQ인증업체현황1343사(03년평가완료031229수정)" xfId="31787"/>
    <cellStyle name="통_출장계획서_SLIDE 폭_최신-SQ인증업체현황1343사(03년평가완료031229수정)_용접업종 평가결과품의(040510)" xfId="31788"/>
    <cellStyle name="통_출장계획서_SLIDE 폭_최신-SQ인증업체현황1343사(03년평가완료031229수정)_용접업종 평가결과품의(040510)(1)" xfId="31789"/>
    <cellStyle name="통_출장계획서_SLIDE 폭_최신-SQ인증업체현황1343사(03년평가완료031229수정)_주단조용접업종 평가결과품의(040510)(1)" xfId="31790"/>
    <cellStyle name="통_출장계획서_도금 열처리 주단조 평가품의(040329)" xfId="31791"/>
    <cellStyle name="통_출장계획서_도금 열처리 주단조 평가품의(040329)_도금 열처리 주단조 평가품의(040329)" xfId="31792"/>
    <cellStyle name="통_출장계획서_도금 열처리 주단조 평가품의(040329)업체" xfId="31793"/>
    <cellStyle name="통_출장계획서_새벽시장1" xfId="31794"/>
    <cellStyle name="통_출장계획서_새벽시장1_도금 열처리 주단조 평가품의(040329)" xfId="31795"/>
    <cellStyle name="통_출장계획서_새벽시장1_도금 열처리 주단조 평가품의(040329)_도금 열처리 주단조 평가품의(040329)" xfId="31796"/>
    <cellStyle name="통_출장계획서_새벽시장1_도금 열처리 주단조 평가품의(040329)업체" xfId="31797"/>
    <cellStyle name="통_출장계획서_새벽시장1_열처리결과품의(031017)개발" xfId="31798"/>
    <cellStyle name="통_출장계획서_새벽시장1_열처리결과품의(031017)개발_도금 열처리 주단조 평가품의(040329)" xfId="31799"/>
    <cellStyle name="통_출장계획서_새벽시장1_용접업종 평가결과품의(040510)" xfId="31800"/>
    <cellStyle name="통_출장계획서_새벽시장1_용접업종 평가결과품의(040510)_용접업종 평가결과품의(040510)" xfId="31801"/>
    <cellStyle name="통_출장계획서_새벽시장1_용접업종 평가결과품의(040510)_용접업종 평가결과품의(040510)(1)" xfId="31802"/>
    <cellStyle name="통_출장계획서_새벽시장1_용접업종 평가결과품의(040510)_주단조용접업종 평가결과품의(040510)(1)" xfId="31803"/>
    <cellStyle name="통_출장계획서_새벽시장1_주단조 업종 평가결과품의(040407)" xfId="31804"/>
    <cellStyle name="통_출장계획서_새벽시장1_주단조 업종 평가결과품의(040407)_용접업종 평가결과품의(040510)" xfId="31805"/>
    <cellStyle name="통_출장계획서_새벽시장1_주단조 업종 평가결과품의(040407)_용접업종 평가결과품의(040510)(1)" xfId="31806"/>
    <cellStyle name="통_출장계획서_새벽시장1_주단조 업종 평가결과품의(040407)_주단조용접업종 평가결과품의(040510)(1)" xfId="31807"/>
    <cellStyle name="통_출장계획서_새벽시장1_주단조 업종 평가결과품의(040416)(1)" xfId="31808"/>
    <cellStyle name="통_출장계획서_새벽시장1_주단조 업종 평가결과품의(040416)(1)_용접업종 평가결과품의(040510)" xfId="31809"/>
    <cellStyle name="통_출장계획서_새벽시장1_주단조 업종 평가결과품의(040416)(1)_용접업종 평가결과품의(040510)(1)" xfId="31810"/>
    <cellStyle name="통_출장계획서_새벽시장1_주단조 업종 평가결과품의(040416)(1)_주단조용접업종 평가결과품의(040510)(1)" xfId="31811"/>
    <cellStyle name="통_출장계획서_새벽시장1_최신-SQ인증업체현황1343사(03년평가완료031229수정)" xfId="31812"/>
    <cellStyle name="통_출장계획서_새벽시장1_최신-SQ인증업체현황1343사(03년평가완료031229수정)_용접업종 평가결과품의(040510)" xfId="31813"/>
    <cellStyle name="통_출장계획서_새벽시장1_최신-SQ인증업체현황1343사(03년평가완료031229수정)_용접업종 평가결과품의(040510)(1)" xfId="31814"/>
    <cellStyle name="통_출장계획서_새벽시장1_최신-SQ인증업체현황1343사(03년평가완료031229수정)_주단조용접업종 평가결과품의(040510)(1)" xfId="31815"/>
    <cellStyle name="통_출장계획서_새벽시장3" xfId="31816"/>
    <cellStyle name="통_출장계획서_새벽시장3_도금 열처리 주단조 평가품의(040329)" xfId="31817"/>
    <cellStyle name="통_출장계획서_새벽시장3_도금 열처리 주단조 평가품의(040329)_도금 열처리 주단조 평가품의(040329)" xfId="31818"/>
    <cellStyle name="통_출장계획서_새벽시장3_도금 열처리 주단조 평가품의(040329)업체" xfId="31819"/>
    <cellStyle name="통_출장계획서_새벽시장3_열처리결과품의(031017)개발" xfId="31820"/>
    <cellStyle name="통_출장계획서_새벽시장3_열처리결과품의(031017)개발_도금 열처리 주단조 평가품의(040329)" xfId="31821"/>
    <cellStyle name="통_출장계획서_새벽시장3_용접업종 평가결과품의(040510)" xfId="31822"/>
    <cellStyle name="통_출장계획서_새벽시장3_용접업종 평가결과품의(040510)_용접업종 평가결과품의(040510)" xfId="31823"/>
    <cellStyle name="통_출장계획서_새벽시장3_용접업종 평가결과품의(040510)_용접업종 평가결과품의(040510)(1)" xfId="31824"/>
    <cellStyle name="통_출장계획서_새벽시장3_용접업종 평가결과품의(040510)_주단조용접업종 평가결과품의(040510)(1)" xfId="31825"/>
    <cellStyle name="통_출장계획서_새벽시장3_주단조 업종 평가결과품의(040407)" xfId="31826"/>
    <cellStyle name="통_출장계획서_새벽시장3_주단조 업종 평가결과품의(040407)_용접업종 평가결과품의(040510)" xfId="31827"/>
    <cellStyle name="통_출장계획서_새벽시장3_주단조 업종 평가결과품의(040407)_용접업종 평가결과품의(040510)(1)" xfId="31828"/>
    <cellStyle name="통_출장계획서_새벽시장3_주단조 업종 평가결과품의(040407)_주단조용접업종 평가결과품의(040510)(1)" xfId="31829"/>
    <cellStyle name="통_출장계획서_새벽시장3_주단조 업종 평가결과품의(040416)(1)" xfId="31830"/>
    <cellStyle name="통_출장계획서_새벽시장3_주단조 업종 평가결과품의(040416)(1)_용접업종 평가결과품의(040510)" xfId="31831"/>
    <cellStyle name="통_출장계획서_새벽시장3_주단조 업종 평가결과품의(040416)(1)_용접업종 평가결과품의(040510)(1)" xfId="31832"/>
    <cellStyle name="통_출장계획서_새벽시장3_주단조 업종 평가결과품의(040416)(1)_주단조용접업종 평가결과품의(040510)(1)" xfId="31833"/>
    <cellStyle name="통_출장계획서_새벽시장3_최신-SQ인증업체현황1343사(03년평가완료031229수정)" xfId="31834"/>
    <cellStyle name="통_출장계획서_새벽시장3_최신-SQ인증업체현황1343사(03년평가완료031229수정)_용접업종 평가결과품의(040510)" xfId="31835"/>
    <cellStyle name="통_출장계획서_새벽시장3_최신-SQ인증업체현황1343사(03년평가완료031229수정)_용접업종 평가결과품의(040510)(1)" xfId="31836"/>
    <cellStyle name="통_출장계획서_새벽시장3_최신-SQ인증업체현황1343사(03년평가완료031229수정)_주단조용접업종 평가결과품의(040510)(1)" xfId="31837"/>
    <cellStyle name="통_출장계획서_새벽시장5" xfId="31838"/>
    <cellStyle name="통_출장계획서_새벽시장5_도금 열처리 주단조 평가품의(040329)" xfId="31839"/>
    <cellStyle name="통_출장계획서_새벽시장5_도금 열처리 주단조 평가품의(040329)_도금 열처리 주단조 평가품의(040329)" xfId="31840"/>
    <cellStyle name="통_출장계획서_새벽시장5_도금 열처리 주단조 평가품의(040329)업체" xfId="31841"/>
    <cellStyle name="통_출장계획서_새벽시장5_열처리결과품의(031017)개발" xfId="31842"/>
    <cellStyle name="통_출장계획서_새벽시장5_열처리결과품의(031017)개발_도금 열처리 주단조 평가품의(040329)" xfId="31843"/>
    <cellStyle name="통_출장계획서_새벽시장5_용접업종 평가결과품의(040510)" xfId="31844"/>
    <cellStyle name="통_출장계획서_새벽시장5_용접업종 평가결과품의(040510)_용접업종 평가결과품의(040510)" xfId="31845"/>
    <cellStyle name="통_출장계획서_새벽시장5_용접업종 평가결과품의(040510)_용접업종 평가결과품의(040510)(1)" xfId="31846"/>
    <cellStyle name="통_출장계획서_새벽시장5_용접업종 평가결과품의(040510)_주단조용접업종 평가결과품의(040510)(1)" xfId="31847"/>
    <cellStyle name="통_출장계획서_새벽시장5_주단조 업종 평가결과품의(040407)" xfId="31848"/>
    <cellStyle name="통_출장계획서_새벽시장5_주단조 업종 평가결과품의(040407)_용접업종 평가결과품의(040510)" xfId="31849"/>
    <cellStyle name="통_출장계획서_새벽시장5_주단조 업종 평가결과품의(040407)_용접업종 평가결과품의(040510)(1)" xfId="31850"/>
    <cellStyle name="통_출장계획서_새벽시장5_주단조 업종 평가결과품의(040407)_주단조용접업종 평가결과품의(040510)(1)" xfId="31851"/>
    <cellStyle name="통_출장계획서_새벽시장5_주단조 업종 평가결과품의(040416)(1)" xfId="31852"/>
    <cellStyle name="통_출장계획서_새벽시장5_주단조 업종 평가결과품의(040416)(1)_용접업종 평가결과품의(040510)" xfId="31853"/>
    <cellStyle name="통_출장계획서_새벽시장5_주단조 업종 평가결과품의(040416)(1)_용접업종 평가결과품의(040510)(1)" xfId="31854"/>
    <cellStyle name="통_출장계획서_새벽시장5_주단조 업종 평가결과품의(040416)(1)_주단조용접업종 평가결과품의(040510)(1)" xfId="31855"/>
    <cellStyle name="통_출장계획서_새벽시장5_최신-SQ인증업체현황1343사(03년평가완료031229수정)" xfId="31856"/>
    <cellStyle name="통_출장계획서_새벽시장5_최신-SQ인증업체현황1343사(03년평가완료031229수정)_용접업종 평가결과품의(040510)" xfId="31857"/>
    <cellStyle name="통_출장계획서_새벽시장5_최신-SQ인증업체현황1343사(03년평가완료031229수정)_용접업종 평가결과품의(040510)(1)" xfId="31858"/>
    <cellStyle name="통_출장계획서_새벽시장5_최신-SQ인증업체현황1343사(03년평가완료031229수정)_주단조용접업종 평가결과품의(040510)(1)" xfId="31859"/>
    <cellStyle name="통_출장계획서_새벽시장7" xfId="31860"/>
    <cellStyle name="통_출장계획서_새벽시장7_도금 열처리 주단조 평가품의(040329)" xfId="31861"/>
    <cellStyle name="통_출장계획서_새벽시장7_도금 열처리 주단조 평가품의(040329)_도금 열처리 주단조 평가품의(040329)" xfId="31862"/>
    <cellStyle name="통_출장계획서_새벽시장7_도금 열처리 주단조 평가품의(040329)업체" xfId="31863"/>
    <cellStyle name="통_출장계획서_새벽시장7_열처리결과품의(031017)개발" xfId="31864"/>
    <cellStyle name="통_출장계획서_새벽시장7_열처리결과품의(031017)개발_도금 열처리 주단조 평가품의(040329)" xfId="31865"/>
    <cellStyle name="통_출장계획서_새벽시장7_용접업종 평가결과품의(040510)" xfId="31866"/>
    <cellStyle name="통_출장계획서_새벽시장7_용접업종 평가결과품의(040510)_용접업종 평가결과품의(040510)" xfId="31867"/>
    <cellStyle name="통_출장계획서_새벽시장7_용접업종 평가결과품의(040510)_용접업종 평가결과품의(040510)(1)" xfId="31868"/>
    <cellStyle name="통_출장계획서_새벽시장7_용접업종 평가결과품의(040510)_주단조용접업종 평가결과품의(040510)(1)" xfId="31869"/>
    <cellStyle name="통_출장계획서_새벽시장7_주단조 업종 평가결과품의(040407)" xfId="31870"/>
    <cellStyle name="통_출장계획서_새벽시장7_주단조 업종 평가결과품의(040407)_용접업종 평가결과품의(040510)" xfId="31871"/>
    <cellStyle name="통_출장계획서_새벽시장7_주단조 업종 평가결과품의(040407)_용접업종 평가결과품의(040510)(1)" xfId="31872"/>
    <cellStyle name="통_출장계획서_새벽시장7_주단조 업종 평가결과품의(040407)_주단조용접업종 평가결과품의(040510)(1)" xfId="31873"/>
    <cellStyle name="통_출장계획서_새벽시장7_주단조 업종 평가결과품의(040416)(1)" xfId="31874"/>
    <cellStyle name="통_출장계획서_새벽시장7_주단조 업종 평가결과품의(040416)(1)_용접업종 평가결과품의(040510)" xfId="31875"/>
    <cellStyle name="통_출장계획서_새벽시장7_주단조 업종 평가결과품의(040416)(1)_용접업종 평가결과품의(040510)(1)" xfId="31876"/>
    <cellStyle name="통_출장계획서_새벽시장7_주단조 업종 평가결과품의(040416)(1)_주단조용접업종 평가결과품의(040510)(1)" xfId="31877"/>
    <cellStyle name="통_출장계획서_새벽시장7_최신-SQ인증업체현황1343사(03년평가완료031229수정)" xfId="31878"/>
    <cellStyle name="통_출장계획서_새벽시장7_최신-SQ인증업체현황1343사(03년평가완료031229수정)_용접업종 평가결과품의(040510)" xfId="31879"/>
    <cellStyle name="통_출장계획서_새벽시장7_최신-SQ인증업체현황1343사(03년평가완료031229수정)_용접업종 평가결과품의(040510)(1)" xfId="31880"/>
    <cellStyle name="통_출장계획서_새벽시장7_최신-SQ인증업체현황1343사(03년평가완료031229수정)_주단조용접업종 평가결과품의(040510)(1)" xfId="31881"/>
    <cellStyle name="통_출장계획서_새벽시장8.10xls" xfId="31882"/>
    <cellStyle name="통_출장계획서_새벽시장8.10xls_도금 열처리 주단조 평가품의(040329)" xfId="31883"/>
    <cellStyle name="통_출장계획서_새벽시장8.10xls_도금 열처리 주단조 평가품의(040329)_도금 열처리 주단조 평가품의(040329)" xfId="31884"/>
    <cellStyle name="통_출장계획서_새벽시장8.10xls_도금 열처리 주단조 평가품의(040329)업체" xfId="31885"/>
    <cellStyle name="통_출장계획서_새벽시장8.10xls_열처리결과품의(031017)개발" xfId="31886"/>
    <cellStyle name="통_출장계획서_새벽시장8.10xls_열처리결과품의(031017)개발_도금 열처리 주단조 평가품의(040329)" xfId="31887"/>
    <cellStyle name="통_출장계획서_새벽시장8.10xls_용접업종 평가결과품의(040510)" xfId="31888"/>
    <cellStyle name="통_출장계획서_새벽시장8.10xls_용접업종 평가결과품의(040510)_용접업종 평가결과품의(040510)" xfId="31889"/>
    <cellStyle name="통_출장계획서_새벽시장8.10xls_용접업종 평가결과품의(040510)_용접업종 평가결과품의(040510)(1)" xfId="31890"/>
    <cellStyle name="통_출장계획서_새벽시장8.10xls_용접업종 평가결과품의(040510)_주단조용접업종 평가결과품의(040510)(1)" xfId="31891"/>
    <cellStyle name="통_출장계획서_새벽시장8.10xls_주단조 업종 평가결과품의(040407)" xfId="31892"/>
    <cellStyle name="통_출장계획서_새벽시장8.10xls_주단조 업종 평가결과품의(040407)_용접업종 평가결과품의(040510)" xfId="31893"/>
    <cellStyle name="통_출장계획서_새벽시장8.10xls_주단조 업종 평가결과품의(040407)_용접업종 평가결과품의(040510)(1)" xfId="31894"/>
    <cellStyle name="통_출장계획서_새벽시장8.10xls_주단조 업종 평가결과품의(040407)_주단조용접업종 평가결과품의(040510)(1)" xfId="31895"/>
    <cellStyle name="통_출장계획서_새벽시장8.10xls_주단조 업종 평가결과품의(040416)(1)" xfId="31896"/>
    <cellStyle name="통_출장계획서_새벽시장8.10xls_주단조 업종 평가결과품의(040416)(1)_용접업종 평가결과품의(040510)" xfId="31897"/>
    <cellStyle name="통_출장계획서_새벽시장8.10xls_주단조 업종 평가결과품의(040416)(1)_용접업종 평가결과품의(040510)(1)" xfId="31898"/>
    <cellStyle name="통_출장계획서_새벽시장8.10xls_주단조 업종 평가결과품의(040416)(1)_주단조용접업종 평가결과품의(040510)(1)" xfId="31899"/>
    <cellStyle name="통_출장계획서_새벽시장8.10xls_최신-SQ인증업체현황1343사(03년평가완료031229수정)" xfId="31900"/>
    <cellStyle name="통_출장계획서_새벽시장8.10xls_최신-SQ인증업체현황1343사(03년평가완료031229수정)_용접업종 평가결과품의(040510)" xfId="31901"/>
    <cellStyle name="통_출장계획서_새벽시장8.10xls_최신-SQ인증업체현황1343사(03년평가완료031229수정)_용접업종 평가결과품의(040510)(1)" xfId="31902"/>
    <cellStyle name="통_출장계획서_새벽시장8.10xls_최신-SQ인증업체현황1343사(03년평가완료031229수정)_주단조용접업종 평가결과품의(040510)(1)" xfId="31903"/>
    <cellStyle name="통_출장계획서_새벽시장8.26xls" xfId="31904"/>
    <cellStyle name="통_출장계획서_새벽시장8.26xls_도금 열처리 주단조 평가품의(040329)" xfId="31905"/>
    <cellStyle name="통_출장계획서_새벽시장8.26xls_도금 열처리 주단조 평가품의(040329)_도금 열처리 주단조 평가품의(040329)" xfId="31906"/>
    <cellStyle name="통_출장계획서_새벽시장8.26xls_도금 열처리 주단조 평가품의(040329)업체" xfId="31907"/>
    <cellStyle name="통_출장계획서_새벽시장8.26xls_열처리결과품의(031017)개발" xfId="31908"/>
    <cellStyle name="통_출장계획서_새벽시장8.26xls_열처리결과품의(031017)개발_도금 열처리 주단조 평가품의(040329)" xfId="31909"/>
    <cellStyle name="통_출장계획서_새벽시장8.26xls_용접업종 평가결과품의(040510)" xfId="31910"/>
    <cellStyle name="통_출장계획서_새벽시장8.26xls_용접업종 평가결과품의(040510)_용접업종 평가결과품의(040510)" xfId="31911"/>
    <cellStyle name="통_출장계획서_새벽시장8.26xls_용접업종 평가결과품의(040510)_용접업종 평가결과품의(040510)(1)" xfId="31912"/>
    <cellStyle name="통_출장계획서_새벽시장8.26xls_용접업종 평가결과품의(040510)_주단조용접업종 평가결과품의(040510)(1)" xfId="31913"/>
    <cellStyle name="통_출장계획서_새벽시장8.26xls_주단조 업종 평가결과품의(040407)" xfId="31914"/>
    <cellStyle name="통_출장계획서_새벽시장8.26xls_주단조 업종 평가결과품의(040407)_용접업종 평가결과품의(040510)" xfId="31915"/>
    <cellStyle name="통_출장계획서_새벽시장8.26xls_주단조 업종 평가결과품의(040407)_용접업종 평가결과품의(040510)(1)" xfId="31916"/>
    <cellStyle name="통_출장계획서_새벽시장8.26xls_주단조 업종 평가결과품의(040407)_주단조용접업종 평가결과품의(040510)(1)" xfId="31917"/>
    <cellStyle name="통_출장계획서_새벽시장8.26xls_주단조 업종 평가결과품의(040416)(1)" xfId="31918"/>
    <cellStyle name="통_출장계획서_새벽시장8.26xls_주단조 업종 평가결과품의(040416)(1)_용접업종 평가결과품의(040510)" xfId="31919"/>
    <cellStyle name="통_출장계획서_새벽시장8.26xls_주단조 업종 평가결과품의(040416)(1)_용접업종 평가결과품의(040510)(1)" xfId="31920"/>
    <cellStyle name="통_출장계획서_새벽시장8.26xls_주단조 업종 평가결과품의(040416)(1)_주단조용접업종 평가결과품의(040510)(1)" xfId="31921"/>
    <cellStyle name="통_출장계획서_새벽시장8.26xls_최신-SQ인증업체현황1343사(03년평가완료031229수정)" xfId="31922"/>
    <cellStyle name="통_출장계획서_새벽시장8.26xls_최신-SQ인증업체현황1343사(03년평가완료031229수정)_용접업종 평가결과품의(040510)" xfId="31923"/>
    <cellStyle name="통_출장계획서_새벽시장8.26xls_최신-SQ인증업체현황1343사(03년평가완료031229수정)_용접업종 평가결과품의(040510)(1)" xfId="31924"/>
    <cellStyle name="통_출장계획서_새벽시장8.26xls_최신-SQ인증업체현황1343사(03년평가완료031229수정)_주단조용접업종 평가결과품의(040510)(1)" xfId="31925"/>
    <cellStyle name="통_출장계획서_새벽시장9.16" xfId="31926"/>
    <cellStyle name="통_출장계획서_새벽시장9.16_도금 열처리 주단조 평가품의(040329)" xfId="31927"/>
    <cellStyle name="통_출장계획서_새벽시장9.16_도금 열처리 주단조 평가품의(040329)_도금 열처리 주단조 평가품의(040329)" xfId="31928"/>
    <cellStyle name="통_출장계획서_새벽시장9.16_도금 열처리 주단조 평가품의(040329)업체" xfId="31929"/>
    <cellStyle name="통_출장계획서_새벽시장9.16_열처리결과품의(031017)개발" xfId="31930"/>
    <cellStyle name="통_출장계획서_새벽시장9.16_열처리결과품의(031017)개발_도금 열처리 주단조 평가품의(040329)" xfId="31931"/>
    <cellStyle name="통_출장계획서_새벽시장9.16_용접업종 평가결과품의(040510)" xfId="31932"/>
    <cellStyle name="통_출장계획서_새벽시장9.16_용접업종 평가결과품의(040510)_용접업종 평가결과품의(040510)" xfId="31933"/>
    <cellStyle name="통_출장계획서_새벽시장9.16_용접업종 평가결과품의(040510)_용접업종 평가결과품의(040510)(1)" xfId="31934"/>
    <cellStyle name="통_출장계획서_새벽시장9.16_용접업종 평가결과품의(040510)_주단조용접업종 평가결과품의(040510)(1)" xfId="31935"/>
    <cellStyle name="통_출장계획서_새벽시장9.16_주단조 업종 평가결과품의(040407)" xfId="31936"/>
    <cellStyle name="통_출장계획서_새벽시장9.16_주단조 업종 평가결과품의(040407)_용접업종 평가결과품의(040510)" xfId="31937"/>
    <cellStyle name="통_출장계획서_새벽시장9.16_주단조 업종 평가결과품의(040407)_용접업종 평가결과품의(040510)(1)" xfId="31938"/>
    <cellStyle name="통_출장계획서_새벽시장9.16_주단조 업종 평가결과품의(040407)_주단조용접업종 평가결과품의(040510)(1)" xfId="31939"/>
    <cellStyle name="통_출장계획서_새벽시장9.16_주단조 업종 평가결과품의(040416)(1)" xfId="31940"/>
    <cellStyle name="통_출장계획서_새벽시장9.16_주단조 업종 평가결과품의(040416)(1)_용접업종 평가결과품의(040510)" xfId="31941"/>
    <cellStyle name="통_출장계획서_새벽시장9.16_주단조 업종 평가결과품의(040416)(1)_용접업종 평가결과품의(040510)(1)" xfId="31942"/>
    <cellStyle name="통_출장계획서_새벽시장9.16_주단조 업종 평가결과품의(040416)(1)_주단조용접업종 평가결과품의(040510)(1)" xfId="31943"/>
    <cellStyle name="통_출장계획서_새벽시장9.16_최신-SQ인증업체현황1343사(03년평가완료031229수정)" xfId="31944"/>
    <cellStyle name="통_출장계획서_새벽시장9.16_최신-SQ인증업체현황1343사(03년평가완료031229수정)_용접업종 평가결과품의(040510)" xfId="31945"/>
    <cellStyle name="통_출장계획서_새벽시장9.16_최신-SQ인증업체현황1343사(03년평가완료031229수정)_용접업종 평가결과품의(040510)(1)" xfId="31946"/>
    <cellStyle name="통_출장계획서_새벽시장9.16_최신-SQ인증업체현황1343사(03년평가완료031229수정)_주단조용접업종 평가결과품의(040510)(1)" xfId="31947"/>
    <cellStyle name="통_출장계획서_열처리결과품의(031017)개발" xfId="31948"/>
    <cellStyle name="통_출장계획서_열처리결과품의(031017)개발_도금 열처리 주단조 평가품의(040329)" xfId="31949"/>
    <cellStyle name="통_출장계획서_용접업종 평가결과품의(040510)" xfId="31950"/>
    <cellStyle name="통_출장계획서_용접업종 평가결과품의(040510)_용접업종 평가결과품의(040510)" xfId="31951"/>
    <cellStyle name="통_출장계획서_용접업종 평가결과품의(040510)_용접업종 평가결과품의(040510)(1)" xfId="31952"/>
    <cellStyle name="통_출장계획서_용접업종 평가결과품의(040510)_주단조용접업종 평가결과품의(040510)(1)" xfId="31953"/>
    <cellStyle name="통_출장계획서_주단조 업종 평가결과품의(040407)" xfId="31954"/>
    <cellStyle name="통_출장계획서_주단조 업종 평가결과품의(040407)_용접업종 평가결과품의(040510)" xfId="31955"/>
    <cellStyle name="통_출장계획서_주단조 업종 평가결과품의(040407)_용접업종 평가결과품의(040510)(1)" xfId="31956"/>
    <cellStyle name="통_출장계획서_주단조 업종 평가결과품의(040407)_주단조용접업종 평가결과품의(040510)(1)" xfId="31957"/>
    <cellStyle name="통_출장계획서_주단조 업종 평가결과품의(040416)(1)" xfId="31958"/>
    <cellStyle name="통_출장계획서_주단조 업종 평가결과품의(040416)(1)_용접업종 평가결과품의(040510)" xfId="31959"/>
    <cellStyle name="통_출장계획서_주단조 업종 평가결과품의(040416)(1)_용접업종 평가결과품의(040510)(1)" xfId="31960"/>
    <cellStyle name="통_출장계획서_주단조 업종 평가결과품의(040416)(1)_주단조용접업종 평가결과품의(040510)(1)" xfId="31961"/>
    <cellStyle name="통_출장계획서_최신-SQ인증업체현황1343사(03년평가완료031229수정)" xfId="31962"/>
    <cellStyle name="통_출장계획서_최신-SQ인증업체현황1343사(03년평가완료031229수정)_용접업종 평가결과품의(040510)" xfId="31963"/>
    <cellStyle name="통_출장계획서_최신-SQ인증업체현황1343사(03년평가완료031229수정)_용접업종 평가결과품의(040510)(1)" xfId="31964"/>
    <cellStyle name="통_출장계획서_최신-SQ인증업체현황1343사(03년평가완료031229수정)_주단조용접업종 평가결과품의(040510)(1)" xfId="31965"/>
    <cellStyle name="통화 [" xfId="31966"/>
    <cellStyle name="通貨 [0.00]_Book1" xfId="31967"/>
    <cellStyle name="통화 [0] 2" xfId="31968"/>
    <cellStyle name="통화 [0] 2 2" xfId="31969"/>
    <cellStyle name="通貨_Book1" xfId="31970"/>
    <cellStyle name="팒" xfId="31971"/>
    <cellStyle name="팒 2" xfId="31972"/>
    <cellStyle name="팹繫_1-3墩 " xfId="31973"/>
    <cellStyle name="烹拳 [0]_  ?  ?  " xfId="31974"/>
    <cellStyle name="烹拳_  ?  ?  " xfId="31975"/>
    <cellStyle name="퍼센트" xfId="31976"/>
    <cellStyle name="퍼센트 2" xfId="31977"/>
    <cellStyle name="퍼센트 2 2" xfId="31978"/>
    <cellStyle name="퍼센트 3" xfId="31979"/>
    <cellStyle name="표" xfId="31980"/>
    <cellStyle name="표_ROTATION 유동" xfId="31981"/>
    <cellStyle name="표_ROTATION 유동_도금 열처리 주단조 평가품의(040329)" xfId="31982"/>
    <cellStyle name="표_ROTATION 유동_도금 열처리 주단조 평가품의(040329)_도금 열처리 주단조 평가품의(040329)" xfId="31983"/>
    <cellStyle name="표_ROTATION 유동_도금 열처리 주단조 평가품의(040329)업체" xfId="31984"/>
    <cellStyle name="표_ROTATION 유동_열처리결과품의(031017)개발" xfId="31985"/>
    <cellStyle name="표_ROTATION 유동_열처리결과품의(031017)개발_도금 열처리 주단조 평가품의(040329)" xfId="31986"/>
    <cellStyle name="표_ROTATION 유동_용접업종 평가결과품의(040510)" xfId="31987"/>
    <cellStyle name="표_ROTATION 유동_용접업종 평가결과품의(040510)_용접업종 평가결과품의(040510)" xfId="31988"/>
    <cellStyle name="표_ROTATION 유동_용접업종 평가결과품의(040510)_용접업종 평가결과품의(040510)(1)" xfId="31989"/>
    <cellStyle name="표_ROTATION 유동_용접업종 평가결과품의(040510)_주단조용접업종 평가결과품의(040510)(1)" xfId="31990"/>
    <cellStyle name="표_ROTATION 유동_주단조 업종 평가결과품의(040407)" xfId="31991"/>
    <cellStyle name="표_ROTATION 유동_주단조 업종 평가결과품의(040407)_용접업종 평가결과품의(040510)" xfId="31992"/>
    <cellStyle name="표_ROTATION 유동_주단조 업종 평가결과품의(040407)_용접업종 평가결과품의(040510)(1)" xfId="31993"/>
    <cellStyle name="표_ROTATION 유동_주단조 업종 평가결과품의(040407)_주단조용접업종 평가결과품의(040510)(1)" xfId="31994"/>
    <cellStyle name="표_ROTATION 유동_주단조 업종 평가결과품의(040416)(1)" xfId="31995"/>
    <cellStyle name="표_ROTATION 유동_주단조 업종 평가결과품의(040416)(1)_용접업종 평가결과품의(040510)" xfId="31996"/>
    <cellStyle name="표_ROTATION 유동_주단조 업종 평가결과품의(040416)(1)_용접업종 평가결과품의(040510)(1)" xfId="31997"/>
    <cellStyle name="표_ROTATION 유동_주단조 업종 평가결과품의(040416)(1)_주단조용접업종 평가결과품의(040510)(1)" xfId="31998"/>
    <cellStyle name="표_ROTATION 유동_최신-SQ인증업체현황1343사(03년평가완료031229수정)" xfId="31999"/>
    <cellStyle name="표_ROTATION 유동_최신-SQ인증업체현황1343사(03년평가완료031229수정)_용접업종 평가결과품의(040510)" xfId="32000"/>
    <cellStyle name="표_ROTATION 유동_최신-SQ인증업체현황1343사(03년평가완료031229수정)_용접업종 평가결과품의(040510)(1)" xfId="32001"/>
    <cellStyle name="표_ROTATION 유동_최신-SQ인증업체현황1343사(03년평가완료031229수정)_주단조용접업종 평가결과품의(040510)(1)" xfId="32002"/>
    <cellStyle name="표_SLIDE 폭" xfId="32003"/>
    <cellStyle name="표_SLIDE 폭_도금 열처리 주단조 평가품의(040329)" xfId="32004"/>
    <cellStyle name="표_SLIDE 폭_도금 열처리 주단조 평가품의(040329)_도금 열처리 주단조 평가품의(040329)" xfId="32005"/>
    <cellStyle name="표_SLIDE 폭_도금 열처리 주단조 평가품의(040329)업체" xfId="32006"/>
    <cellStyle name="표_SLIDE 폭_열처리결과품의(031017)개발" xfId="32007"/>
    <cellStyle name="표_SLIDE 폭_열처리결과품의(031017)개발_도금 열처리 주단조 평가품의(040329)" xfId="32008"/>
    <cellStyle name="표_SLIDE 폭_용접업종 평가결과품의(040510)" xfId="32009"/>
    <cellStyle name="표_SLIDE 폭_용접업종 평가결과품의(040510)_용접업종 평가결과품의(040510)" xfId="32010"/>
    <cellStyle name="표_SLIDE 폭_용접업종 평가결과품의(040510)_용접업종 평가결과품의(040510)(1)" xfId="32011"/>
    <cellStyle name="표_SLIDE 폭_용접업종 평가결과품의(040510)_주단조용접업종 평가결과품의(040510)(1)" xfId="32012"/>
    <cellStyle name="표_SLIDE 폭_주단조 업종 평가결과품의(040407)" xfId="32013"/>
    <cellStyle name="표_SLIDE 폭_주단조 업종 평가결과품의(040407)_용접업종 평가결과품의(040510)" xfId="32014"/>
    <cellStyle name="표_SLIDE 폭_주단조 업종 평가결과품의(040407)_용접업종 평가결과품의(040510)(1)" xfId="32015"/>
    <cellStyle name="표_SLIDE 폭_주단조 업종 평가결과품의(040407)_주단조용접업종 평가결과품의(040510)(1)" xfId="32016"/>
    <cellStyle name="표_SLIDE 폭_주단조 업종 평가결과품의(040416)(1)" xfId="32017"/>
    <cellStyle name="표_SLIDE 폭_주단조 업종 평가결과품의(040416)(1)_용접업종 평가결과품의(040510)" xfId="32018"/>
    <cellStyle name="표_SLIDE 폭_주단조 업종 평가결과품의(040416)(1)_용접업종 평가결과품의(040510)(1)" xfId="32019"/>
    <cellStyle name="표_SLIDE 폭_주단조 업종 평가결과품의(040416)(1)_주단조용접업종 평가결과품의(040510)(1)" xfId="32020"/>
    <cellStyle name="표_SLIDE 폭_최신-SQ인증업체현황1343사(03년평가완료031229수정)" xfId="32021"/>
    <cellStyle name="표_SLIDE 폭_최신-SQ인증업체현황1343사(03년평가완료031229수정)_용접업종 평가결과품의(040510)" xfId="32022"/>
    <cellStyle name="표_SLIDE 폭_최신-SQ인증업체현황1343사(03년평가완료031229수정)_용접업종 평가결과품의(040510)(1)" xfId="32023"/>
    <cellStyle name="표_SLIDE 폭_최신-SQ인증업체현황1343사(03년평가완료031229수정)_주단조용접업종 평가결과품의(040510)(1)" xfId="32024"/>
    <cellStyle name="표_도금 열처리 주단조 평가품의(040329)" xfId="32025"/>
    <cellStyle name="표_도금 열처리 주단조 평가품의(040329)_도금 열처리 주단조 평가품의(040329)" xfId="32026"/>
    <cellStyle name="표_도금 열처리 주단조 평가품의(040329)업체" xfId="32027"/>
    <cellStyle name="표_사전회의(1208)" xfId="32028"/>
    <cellStyle name="표_사전회의(1208)_ROTATION 유동" xfId="32029"/>
    <cellStyle name="표_사전회의(1208)_ROTATION 유동_도금 열처리 주단조 평가품의(040329)" xfId="32030"/>
    <cellStyle name="표_사전회의(1208)_ROTATION 유동_도금 열처리 주단조 평가품의(040329)_도금 열처리 주단조 평가품의(040329)" xfId="32031"/>
    <cellStyle name="표_사전회의(1208)_ROTATION 유동_도금 열처리 주단조 평가품의(040329)업체" xfId="32032"/>
    <cellStyle name="표_사전회의(1208)_ROTATION 유동_열처리결과품의(031017)개발" xfId="32033"/>
    <cellStyle name="표_사전회의(1208)_ROTATION 유동_열처리결과품의(031017)개발_도금 열처리 주단조 평가품의(040329)" xfId="32034"/>
    <cellStyle name="표_사전회의(1208)_ROTATION 유동_용접업종 평가결과품의(040510)" xfId="32035"/>
    <cellStyle name="표_사전회의(1208)_ROTATION 유동_용접업종 평가결과품의(040510)_용접업종 평가결과품의(040510)" xfId="32036"/>
    <cellStyle name="표_사전회의(1208)_ROTATION 유동_용접업종 평가결과품의(040510)_용접업종 평가결과품의(040510)(1)" xfId="32037"/>
    <cellStyle name="표_사전회의(1208)_ROTATION 유동_용접업종 평가결과품의(040510)_주단조용접업종 평가결과품의(040510)(1)" xfId="32038"/>
    <cellStyle name="표_사전회의(1208)_ROTATION 유동_주단조 업종 평가결과품의(040407)" xfId="32039"/>
    <cellStyle name="표_사전회의(1208)_ROTATION 유동_주단조 업종 평가결과품의(040407)_용접업종 평가결과품의(040510)" xfId="32040"/>
    <cellStyle name="표_사전회의(1208)_ROTATION 유동_주단조 업종 평가결과품의(040407)_용접업종 평가결과품의(040510)(1)" xfId="32041"/>
    <cellStyle name="표_사전회의(1208)_ROTATION 유동_주단조 업종 평가결과품의(040407)_주단조용접업종 평가결과품의(040510)(1)" xfId="32042"/>
    <cellStyle name="표_사전회의(1208)_ROTATION 유동_주단조 업종 평가결과품의(040416)(1)" xfId="32043"/>
    <cellStyle name="표_사전회의(1208)_ROTATION 유동_주단조 업종 평가결과품의(040416)(1)_용접업종 평가결과품의(040510)" xfId="32044"/>
    <cellStyle name="표_사전회의(1208)_ROTATION 유동_주단조 업종 평가결과품의(040416)(1)_용접업종 평가결과품의(040510)(1)" xfId="32045"/>
    <cellStyle name="표_사전회의(1208)_ROTATION 유동_주단조 업종 평가결과품의(040416)(1)_주단조용접업종 평가결과품의(040510)(1)" xfId="32046"/>
    <cellStyle name="표_사전회의(1208)_ROTATION 유동_최신-SQ인증업체현황1343사(03년평가완료031229수정)" xfId="32047"/>
    <cellStyle name="표_사전회의(1208)_ROTATION 유동_최신-SQ인증업체현황1343사(03년평가완료031229수정)_용접업종 평가결과품의(040510)" xfId="32048"/>
    <cellStyle name="표_사전회의(1208)_ROTATION 유동_최신-SQ인증업체현황1343사(03년평가완료031229수정)_용접업종 평가결과품의(040510)(1)" xfId="32049"/>
    <cellStyle name="표_사전회의(1208)_ROTATION 유동_최신-SQ인증업체현황1343사(03년평가완료031229수정)_주단조용접업종 평가결과품의(040510)(1)" xfId="32050"/>
    <cellStyle name="표_사전회의(1208)_SLIDE 폭" xfId="32051"/>
    <cellStyle name="표_사전회의(1208)_SLIDE 폭_도금 열처리 주단조 평가품의(040329)" xfId="32052"/>
    <cellStyle name="표_사전회의(1208)_SLIDE 폭_도금 열처리 주단조 평가품의(040329)_도금 열처리 주단조 평가품의(040329)" xfId="32053"/>
    <cellStyle name="표_사전회의(1208)_SLIDE 폭_도금 열처리 주단조 평가품의(040329)업체" xfId="32054"/>
    <cellStyle name="표_사전회의(1208)_SLIDE 폭_열처리결과품의(031017)개발" xfId="32055"/>
    <cellStyle name="표_사전회의(1208)_SLIDE 폭_열처리결과품의(031017)개발_도금 열처리 주단조 평가품의(040329)" xfId="32056"/>
    <cellStyle name="표_사전회의(1208)_SLIDE 폭_용접업종 평가결과품의(040510)" xfId="32057"/>
    <cellStyle name="표_사전회의(1208)_SLIDE 폭_용접업종 평가결과품의(040510)_용접업종 평가결과품의(040510)" xfId="32058"/>
    <cellStyle name="표_사전회의(1208)_SLIDE 폭_용접업종 평가결과품의(040510)_용접업종 평가결과품의(040510)(1)" xfId="32059"/>
    <cellStyle name="표_사전회의(1208)_SLIDE 폭_용접업종 평가결과품의(040510)_주단조용접업종 평가결과품의(040510)(1)" xfId="32060"/>
    <cellStyle name="표_사전회의(1208)_SLIDE 폭_주단조 업종 평가결과품의(040407)" xfId="32061"/>
    <cellStyle name="표_사전회의(1208)_SLIDE 폭_주단조 업종 평가결과품의(040407)_용접업종 평가결과품의(040510)" xfId="32062"/>
    <cellStyle name="표_사전회의(1208)_SLIDE 폭_주단조 업종 평가결과품의(040407)_용접업종 평가결과품의(040510)(1)" xfId="32063"/>
    <cellStyle name="표_사전회의(1208)_SLIDE 폭_주단조 업종 평가결과품의(040407)_주단조용접업종 평가결과품의(040510)(1)" xfId="32064"/>
    <cellStyle name="표_사전회의(1208)_SLIDE 폭_주단조 업종 평가결과품의(040416)(1)" xfId="32065"/>
    <cellStyle name="표_사전회의(1208)_SLIDE 폭_주단조 업종 평가결과품의(040416)(1)_용접업종 평가결과품의(040510)" xfId="32066"/>
    <cellStyle name="표_사전회의(1208)_SLIDE 폭_주단조 업종 평가결과품의(040416)(1)_용접업종 평가결과품의(040510)(1)" xfId="32067"/>
    <cellStyle name="표_사전회의(1208)_SLIDE 폭_주단조 업종 평가결과품의(040416)(1)_주단조용접업종 평가결과품의(040510)(1)" xfId="32068"/>
    <cellStyle name="표_사전회의(1208)_SLIDE 폭_최신-SQ인증업체현황1343사(03년평가완료031229수정)" xfId="32069"/>
    <cellStyle name="표_사전회의(1208)_SLIDE 폭_최신-SQ인증업체현황1343사(03년평가완료031229수정)_용접업종 평가결과품의(040510)" xfId="32070"/>
    <cellStyle name="표_사전회의(1208)_SLIDE 폭_최신-SQ인증업체현황1343사(03년평가완료031229수정)_용접업종 평가결과품의(040510)(1)" xfId="32071"/>
    <cellStyle name="표_사전회의(1208)_SLIDE 폭_최신-SQ인증업체현황1343사(03년평가완료031229수정)_주단조용접업종 평가결과품의(040510)(1)" xfId="32072"/>
    <cellStyle name="표_사전회의(1208)_도금 열처리 주단조 평가품의(040329)" xfId="32073"/>
    <cellStyle name="표_사전회의(1208)_도금 열처리 주단조 평가품의(040329)_도금 열처리 주단조 평가품의(040329)" xfId="32074"/>
    <cellStyle name="표_사전회의(1208)_도금 열처리 주단조 평가품의(040329)업체" xfId="32075"/>
    <cellStyle name="표_사전회의(1208)_새벽시장1" xfId="32076"/>
    <cellStyle name="표_사전회의(1208)_새벽시장1_도금 열처리 주단조 평가품의(040329)" xfId="32077"/>
    <cellStyle name="표_사전회의(1208)_새벽시장1_도금 열처리 주단조 평가품의(040329)_도금 열처리 주단조 평가품의(040329)" xfId="32078"/>
    <cellStyle name="표_사전회의(1208)_새벽시장1_도금 열처리 주단조 평가품의(040329)업체" xfId="32079"/>
    <cellStyle name="표_사전회의(1208)_새벽시장1_열처리결과품의(031017)개발" xfId="32080"/>
    <cellStyle name="표_사전회의(1208)_새벽시장1_열처리결과품의(031017)개발_도금 열처리 주단조 평가품의(040329)" xfId="32081"/>
    <cellStyle name="표_사전회의(1208)_새벽시장1_용접업종 평가결과품의(040510)" xfId="32082"/>
    <cellStyle name="표_사전회의(1208)_새벽시장1_용접업종 평가결과품의(040510)_용접업종 평가결과품의(040510)" xfId="32083"/>
    <cellStyle name="표_사전회의(1208)_새벽시장1_용접업종 평가결과품의(040510)_용접업종 평가결과품의(040510)(1)" xfId="32084"/>
    <cellStyle name="표_사전회의(1208)_새벽시장1_용접업종 평가결과품의(040510)_주단조용접업종 평가결과품의(040510)(1)" xfId="32085"/>
    <cellStyle name="표_사전회의(1208)_새벽시장1_주단조 업종 평가결과품의(040407)" xfId="32086"/>
    <cellStyle name="표_사전회의(1208)_새벽시장1_주단조 업종 평가결과품의(040407)_용접업종 평가결과품의(040510)" xfId="32087"/>
    <cellStyle name="표_사전회의(1208)_새벽시장1_주단조 업종 평가결과품의(040407)_용접업종 평가결과품의(040510)(1)" xfId="32088"/>
    <cellStyle name="표_사전회의(1208)_새벽시장1_주단조 업종 평가결과품의(040407)_주단조용접업종 평가결과품의(040510)(1)" xfId="32089"/>
    <cellStyle name="표_사전회의(1208)_새벽시장1_주단조 업종 평가결과품의(040416)(1)" xfId="32090"/>
    <cellStyle name="표_사전회의(1208)_새벽시장1_주단조 업종 평가결과품의(040416)(1)_용접업종 평가결과품의(040510)" xfId="32091"/>
    <cellStyle name="표_사전회의(1208)_새벽시장1_주단조 업종 평가결과품의(040416)(1)_용접업종 평가결과품의(040510)(1)" xfId="32092"/>
    <cellStyle name="표_사전회의(1208)_새벽시장1_주단조 업종 평가결과품의(040416)(1)_주단조용접업종 평가결과품의(040510)(1)" xfId="32093"/>
    <cellStyle name="표_사전회의(1208)_새벽시장1_최신-SQ인증업체현황1343사(03년평가완료031229수정)" xfId="32094"/>
    <cellStyle name="표_사전회의(1208)_새벽시장1_최신-SQ인증업체현황1343사(03년평가완료031229수정)_용접업종 평가결과품의(040510)" xfId="32095"/>
    <cellStyle name="표_사전회의(1208)_새벽시장1_최신-SQ인증업체현황1343사(03년평가완료031229수정)_용접업종 평가결과품의(040510)(1)" xfId="32096"/>
    <cellStyle name="표_사전회의(1208)_새벽시장1_최신-SQ인증업체현황1343사(03년평가완료031229수정)_주단조용접업종 평가결과품의(040510)(1)" xfId="32097"/>
    <cellStyle name="표_사전회의(1208)_새벽시장3" xfId="32098"/>
    <cellStyle name="표_사전회의(1208)_새벽시장3_도금 열처리 주단조 평가품의(040329)" xfId="32099"/>
    <cellStyle name="표_사전회의(1208)_새벽시장3_도금 열처리 주단조 평가품의(040329)_도금 열처리 주단조 평가품의(040329)" xfId="32100"/>
    <cellStyle name="표_사전회의(1208)_새벽시장3_도금 열처리 주단조 평가품의(040329)업체" xfId="32101"/>
    <cellStyle name="표_사전회의(1208)_새벽시장3_열처리결과품의(031017)개발" xfId="32102"/>
    <cellStyle name="표_사전회의(1208)_새벽시장3_열처리결과품의(031017)개발_도금 열처리 주단조 평가품의(040329)" xfId="32103"/>
    <cellStyle name="표_사전회의(1208)_새벽시장3_용접업종 평가결과품의(040510)" xfId="32104"/>
    <cellStyle name="표_사전회의(1208)_새벽시장3_용접업종 평가결과품의(040510)_용접업종 평가결과품의(040510)" xfId="32105"/>
    <cellStyle name="표_사전회의(1208)_새벽시장3_용접업종 평가결과품의(040510)_용접업종 평가결과품의(040510)(1)" xfId="32106"/>
    <cellStyle name="표_사전회의(1208)_새벽시장3_용접업종 평가결과품의(040510)_주단조용접업종 평가결과품의(040510)(1)" xfId="32107"/>
    <cellStyle name="표_사전회의(1208)_새벽시장3_주단조 업종 평가결과품의(040407)" xfId="32108"/>
    <cellStyle name="표_사전회의(1208)_새벽시장3_주단조 업종 평가결과품의(040407)_용접업종 평가결과품의(040510)" xfId="32109"/>
    <cellStyle name="표_사전회의(1208)_새벽시장3_주단조 업종 평가결과품의(040407)_용접업종 평가결과품의(040510)(1)" xfId="32110"/>
    <cellStyle name="표_사전회의(1208)_새벽시장3_주단조 업종 평가결과품의(040407)_주단조용접업종 평가결과품의(040510)(1)" xfId="32111"/>
    <cellStyle name="표_사전회의(1208)_새벽시장3_주단조 업종 평가결과품의(040416)(1)" xfId="32112"/>
    <cellStyle name="표_사전회의(1208)_새벽시장3_주단조 업종 평가결과품의(040416)(1)_용접업종 평가결과품의(040510)" xfId="32113"/>
    <cellStyle name="표_사전회의(1208)_새벽시장3_주단조 업종 평가결과품의(040416)(1)_용접업종 평가결과품의(040510)(1)" xfId="32114"/>
    <cellStyle name="표_사전회의(1208)_새벽시장3_주단조 업종 평가결과품의(040416)(1)_주단조용접업종 평가결과품의(040510)(1)" xfId="32115"/>
    <cellStyle name="표_사전회의(1208)_새벽시장3_최신-SQ인증업체현황1343사(03년평가완료031229수정)" xfId="32116"/>
    <cellStyle name="표_사전회의(1208)_새벽시장3_최신-SQ인증업체현황1343사(03년평가완료031229수정)_용접업종 평가결과품의(040510)" xfId="32117"/>
    <cellStyle name="표_사전회의(1208)_새벽시장3_최신-SQ인증업체현황1343사(03년평가완료031229수정)_용접업종 평가결과품의(040510)(1)" xfId="32118"/>
    <cellStyle name="표_사전회의(1208)_새벽시장3_최신-SQ인증업체현황1343사(03년평가완료031229수정)_주단조용접업종 평가결과품의(040510)(1)" xfId="32119"/>
    <cellStyle name="표_사전회의(1208)_새벽시장5" xfId="32120"/>
    <cellStyle name="표_사전회의(1208)_새벽시장5_도금 열처리 주단조 평가품의(040329)" xfId="32121"/>
    <cellStyle name="표_사전회의(1208)_새벽시장5_도금 열처리 주단조 평가품의(040329)_도금 열처리 주단조 평가품의(040329)" xfId="32122"/>
    <cellStyle name="표_사전회의(1208)_새벽시장5_도금 열처리 주단조 평가품의(040329)업체" xfId="32123"/>
    <cellStyle name="표_사전회의(1208)_새벽시장5_열처리결과품의(031017)개발" xfId="32124"/>
    <cellStyle name="표_사전회의(1208)_새벽시장5_열처리결과품의(031017)개발_도금 열처리 주단조 평가품의(040329)" xfId="32125"/>
    <cellStyle name="표_사전회의(1208)_새벽시장5_용접업종 평가결과품의(040510)" xfId="32126"/>
    <cellStyle name="표_사전회의(1208)_새벽시장5_용접업종 평가결과품의(040510)_용접업종 평가결과품의(040510)" xfId="32127"/>
    <cellStyle name="표_사전회의(1208)_새벽시장5_용접업종 평가결과품의(040510)_용접업종 평가결과품의(040510)(1)" xfId="32128"/>
    <cellStyle name="표_사전회의(1208)_새벽시장5_용접업종 평가결과품의(040510)_주단조용접업종 평가결과품의(040510)(1)" xfId="32129"/>
    <cellStyle name="표_사전회의(1208)_새벽시장5_주단조 업종 평가결과품의(040407)" xfId="32130"/>
    <cellStyle name="표_사전회의(1208)_새벽시장5_주단조 업종 평가결과품의(040407)_용접업종 평가결과품의(040510)" xfId="32131"/>
    <cellStyle name="표_사전회의(1208)_새벽시장5_주단조 업종 평가결과품의(040407)_용접업종 평가결과품의(040510)(1)" xfId="32132"/>
    <cellStyle name="표_사전회의(1208)_새벽시장5_주단조 업종 평가결과품의(040407)_주단조용접업종 평가결과품의(040510)(1)" xfId="32133"/>
    <cellStyle name="표_사전회의(1208)_새벽시장5_주단조 업종 평가결과품의(040416)(1)" xfId="32134"/>
    <cellStyle name="표_사전회의(1208)_새벽시장5_주단조 업종 평가결과품의(040416)(1)_용접업종 평가결과품의(040510)" xfId="32135"/>
    <cellStyle name="표_사전회의(1208)_새벽시장5_주단조 업종 평가결과품의(040416)(1)_용접업종 평가결과품의(040510)(1)" xfId="32136"/>
    <cellStyle name="표_사전회의(1208)_새벽시장5_주단조 업종 평가결과품의(040416)(1)_주단조용접업종 평가결과품의(040510)(1)" xfId="32137"/>
    <cellStyle name="표_사전회의(1208)_새벽시장5_최신-SQ인증업체현황1343사(03년평가완료031229수정)" xfId="32138"/>
    <cellStyle name="표_사전회의(1208)_새벽시장5_최신-SQ인증업체현황1343사(03년평가완료031229수정)_용접업종 평가결과품의(040510)" xfId="32139"/>
    <cellStyle name="표_사전회의(1208)_새벽시장5_최신-SQ인증업체현황1343사(03년평가완료031229수정)_용접업종 평가결과품의(040510)(1)" xfId="32140"/>
    <cellStyle name="표_사전회의(1208)_새벽시장5_최신-SQ인증업체현황1343사(03년평가완료031229수정)_주단조용접업종 평가결과품의(040510)(1)" xfId="32141"/>
    <cellStyle name="표_사전회의(1208)_새벽시장7" xfId="32142"/>
    <cellStyle name="표_사전회의(1208)_새벽시장7_도금 열처리 주단조 평가품의(040329)" xfId="32143"/>
    <cellStyle name="표_사전회의(1208)_새벽시장7_도금 열처리 주단조 평가품의(040329)_도금 열처리 주단조 평가품의(040329)" xfId="32144"/>
    <cellStyle name="표_사전회의(1208)_새벽시장7_도금 열처리 주단조 평가품의(040329)업체" xfId="32145"/>
    <cellStyle name="표_사전회의(1208)_새벽시장7_열처리결과품의(031017)개발" xfId="32146"/>
    <cellStyle name="표_사전회의(1208)_새벽시장7_열처리결과품의(031017)개발_도금 열처리 주단조 평가품의(040329)" xfId="32147"/>
    <cellStyle name="표_사전회의(1208)_새벽시장7_용접업종 평가결과품의(040510)" xfId="32148"/>
    <cellStyle name="표_사전회의(1208)_새벽시장7_용접업종 평가결과품의(040510)_용접업종 평가결과품의(040510)" xfId="32149"/>
    <cellStyle name="표_사전회의(1208)_새벽시장7_용접업종 평가결과품의(040510)_용접업종 평가결과품의(040510)(1)" xfId="32150"/>
    <cellStyle name="표_사전회의(1208)_새벽시장7_용접업종 평가결과품의(040510)_주단조용접업종 평가결과품의(040510)(1)" xfId="32151"/>
    <cellStyle name="표_사전회의(1208)_새벽시장7_주단조 업종 평가결과품의(040407)" xfId="32152"/>
    <cellStyle name="표_사전회의(1208)_새벽시장7_주단조 업종 평가결과품의(040407)_용접업종 평가결과품의(040510)" xfId="32153"/>
    <cellStyle name="표_사전회의(1208)_새벽시장7_주단조 업종 평가결과품의(040407)_용접업종 평가결과품의(040510)(1)" xfId="32154"/>
    <cellStyle name="표_사전회의(1208)_새벽시장7_주단조 업종 평가결과품의(040407)_주단조용접업종 평가결과품의(040510)(1)" xfId="32155"/>
    <cellStyle name="표_사전회의(1208)_새벽시장7_주단조 업종 평가결과품의(040416)(1)" xfId="32156"/>
    <cellStyle name="표_사전회의(1208)_새벽시장7_주단조 업종 평가결과품의(040416)(1)_용접업종 평가결과품의(040510)" xfId="32157"/>
    <cellStyle name="표_사전회의(1208)_새벽시장7_주단조 업종 평가결과품의(040416)(1)_용접업종 평가결과품의(040510)(1)" xfId="32158"/>
    <cellStyle name="표_사전회의(1208)_새벽시장7_주단조 업종 평가결과품의(040416)(1)_주단조용접업종 평가결과품의(040510)(1)" xfId="32159"/>
    <cellStyle name="표_사전회의(1208)_새벽시장7_최신-SQ인증업체현황1343사(03년평가완료031229수정)" xfId="32160"/>
    <cellStyle name="표_사전회의(1208)_새벽시장7_최신-SQ인증업체현황1343사(03년평가완료031229수정)_용접업종 평가결과품의(040510)" xfId="32161"/>
    <cellStyle name="표_사전회의(1208)_새벽시장7_최신-SQ인증업체현황1343사(03년평가완료031229수정)_용접업종 평가결과품의(040510)(1)" xfId="32162"/>
    <cellStyle name="표_사전회의(1208)_새벽시장7_최신-SQ인증업체현황1343사(03년평가완료031229수정)_주단조용접업종 평가결과품의(040510)(1)" xfId="32163"/>
    <cellStyle name="표_사전회의(1208)_새벽시장8.10xls" xfId="32164"/>
    <cellStyle name="표_사전회의(1208)_새벽시장8.10xls_도금 열처리 주단조 평가품의(040329)" xfId="32165"/>
    <cellStyle name="표_사전회의(1208)_새벽시장8.10xls_도금 열처리 주단조 평가품의(040329)_도금 열처리 주단조 평가품의(040329)" xfId="32166"/>
    <cellStyle name="표_사전회의(1208)_새벽시장8.10xls_도금 열처리 주단조 평가품의(040329)업체" xfId="32167"/>
    <cellStyle name="표_사전회의(1208)_새벽시장8.10xls_열처리결과품의(031017)개발" xfId="32168"/>
    <cellStyle name="표_사전회의(1208)_새벽시장8.10xls_열처리결과품의(031017)개발_도금 열처리 주단조 평가품의(040329)" xfId="32169"/>
    <cellStyle name="표_사전회의(1208)_새벽시장8.10xls_용접업종 평가결과품의(040510)" xfId="32170"/>
    <cellStyle name="표_사전회의(1208)_새벽시장8.10xls_용접업종 평가결과품의(040510)_용접업종 평가결과품의(040510)" xfId="32171"/>
    <cellStyle name="표_사전회의(1208)_새벽시장8.10xls_용접업종 평가결과품의(040510)_용접업종 평가결과품의(040510)(1)" xfId="32172"/>
    <cellStyle name="표_사전회의(1208)_새벽시장8.10xls_용접업종 평가결과품의(040510)_주단조용접업종 평가결과품의(040510)(1)" xfId="32173"/>
    <cellStyle name="표_사전회의(1208)_새벽시장8.10xls_주단조 업종 평가결과품의(040407)" xfId="32174"/>
    <cellStyle name="표_사전회의(1208)_새벽시장8.10xls_주단조 업종 평가결과품의(040407)_용접업종 평가결과품의(040510)" xfId="32175"/>
    <cellStyle name="표_사전회의(1208)_새벽시장8.10xls_주단조 업종 평가결과품의(040407)_용접업종 평가결과품의(040510)(1)" xfId="32176"/>
    <cellStyle name="표_사전회의(1208)_새벽시장8.10xls_주단조 업종 평가결과품의(040407)_주단조용접업종 평가결과품의(040510)(1)" xfId="32177"/>
    <cellStyle name="표_사전회의(1208)_새벽시장8.10xls_주단조 업종 평가결과품의(040416)(1)" xfId="32178"/>
    <cellStyle name="표_사전회의(1208)_새벽시장8.10xls_주단조 업종 평가결과품의(040416)(1)_용접업종 평가결과품의(040510)" xfId="32179"/>
    <cellStyle name="표_사전회의(1208)_새벽시장8.10xls_주단조 업종 평가결과품의(040416)(1)_용접업종 평가결과품의(040510)(1)" xfId="32180"/>
    <cellStyle name="표_사전회의(1208)_새벽시장8.10xls_주단조 업종 평가결과품의(040416)(1)_주단조용접업종 평가결과품의(040510)(1)" xfId="32181"/>
    <cellStyle name="표_사전회의(1208)_새벽시장8.10xls_최신-SQ인증업체현황1343사(03년평가완료031229수정)" xfId="32182"/>
    <cellStyle name="표_사전회의(1208)_새벽시장8.10xls_최신-SQ인증업체현황1343사(03년평가완료031229수정)_용접업종 평가결과품의(040510)" xfId="32183"/>
    <cellStyle name="표_사전회의(1208)_새벽시장8.10xls_최신-SQ인증업체현황1343사(03년평가완료031229수정)_용접업종 평가결과품의(040510)(1)" xfId="32184"/>
    <cellStyle name="표_사전회의(1208)_새벽시장8.10xls_최신-SQ인증업체현황1343사(03년평가완료031229수정)_주단조용접업종 평가결과품의(040510)(1)" xfId="32185"/>
    <cellStyle name="표_사전회의(1208)_새벽시장8.26xls" xfId="32186"/>
    <cellStyle name="표_사전회의(1208)_새벽시장8.26xls_도금 열처리 주단조 평가품의(040329)" xfId="32187"/>
    <cellStyle name="표_사전회의(1208)_새벽시장8.26xls_도금 열처리 주단조 평가품의(040329)_도금 열처리 주단조 평가품의(040329)" xfId="32188"/>
    <cellStyle name="표_사전회의(1208)_새벽시장8.26xls_도금 열처리 주단조 평가품의(040329)업체" xfId="32189"/>
    <cellStyle name="표_사전회의(1208)_새벽시장8.26xls_열처리결과품의(031017)개발" xfId="32190"/>
    <cellStyle name="표_사전회의(1208)_새벽시장8.26xls_열처리결과품의(031017)개발_도금 열처리 주단조 평가품의(040329)" xfId="32191"/>
    <cellStyle name="표_사전회의(1208)_새벽시장8.26xls_용접업종 평가결과품의(040510)" xfId="32192"/>
    <cellStyle name="표_사전회의(1208)_새벽시장8.26xls_용접업종 평가결과품의(040510)_용접업종 평가결과품의(040510)" xfId="32193"/>
    <cellStyle name="표_사전회의(1208)_새벽시장8.26xls_용접업종 평가결과품의(040510)_용접업종 평가결과품의(040510)(1)" xfId="32194"/>
    <cellStyle name="표_사전회의(1208)_새벽시장8.26xls_용접업종 평가결과품의(040510)_주단조용접업종 평가결과품의(040510)(1)" xfId="32195"/>
    <cellStyle name="표_사전회의(1208)_새벽시장8.26xls_주단조 업종 평가결과품의(040407)" xfId="32196"/>
    <cellStyle name="표_사전회의(1208)_새벽시장8.26xls_주단조 업종 평가결과품의(040407)_용접업종 평가결과품의(040510)" xfId="32197"/>
    <cellStyle name="표_사전회의(1208)_새벽시장8.26xls_주단조 업종 평가결과품의(040407)_용접업종 평가결과품의(040510)(1)" xfId="32198"/>
    <cellStyle name="표_사전회의(1208)_새벽시장8.26xls_주단조 업종 평가결과품의(040407)_주단조용접업종 평가결과품의(040510)(1)" xfId="32199"/>
    <cellStyle name="표_사전회의(1208)_새벽시장8.26xls_주단조 업종 평가결과품의(040416)(1)" xfId="32200"/>
    <cellStyle name="표_사전회의(1208)_새벽시장8.26xls_주단조 업종 평가결과품의(040416)(1)_용접업종 평가결과품의(040510)" xfId="32201"/>
    <cellStyle name="표_사전회의(1208)_새벽시장8.26xls_주단조 업종 평가결과품의(040416)(1)_용접업종 평가결과품의(040510)(1)" xfId="32202"/>
    <cellStyle name="표_사전회의(1208)_새벽시장8.26xls_주단조 업종 평가결과품의(040416)(1)_주단조용접업종 평가결과품의(040510)(1)" xfId="32203"/>
    <cellStyle name="표_사전회의(1208)_새벽시장8.26xls_최신-SQ인증업체현황1343사(03년평가완료031229수정)" xfId="32204"/>
    <cellStyle name="표_사전회의(1208)_새벽시장8.26xls_최신-SQ인증업체현황1343사(03년평가완료031229수정)_용접업종 평가결과품의(040510)" xfId="32205"/>
    <cellStyle name="표_사전회의(1208)_새벽시장8.26xls_최신-SQ인증업체현황1343사(03년평가완료031229수정)_용접업종 평가결과품의(040510)(1)" xfId="32206"/>
    <cellStyle name="표_사전회의(1208)_새벽시장8.26xls_최신-SQ인증업체현황1343사(03년평가완료031229수정)_주단조용접업종 평가결과품의(040510)(1)" xfId="32207"/>
    <cellStyle name="표_사전회의(1208)_새벽시장9.16" xfId="32208"/>
    <cellStyle name="표_사전회의(1208)_새벽시장9.16_도금 열처리 주단조 평가품의(040329)" xfId="32209"/>
    <cellStyle name="표_사전회의(1208)_새벽시장9.16_도금 열처리 주단조 평가품의(040329)_도금 열처리 주단조 평가품의(040329)" xfId="32210"/>
    <cellStyle name="표_사전회의(1208)_새벽시장9.16_도금 열처리 주단조 평가품의(040329)업체" xfId="32211"/>
    <cellStyle name="표_사전회의(1208)_새벽시장9.16_열처리결과품의(031017)개발" xfId="32212"/>
    <cellStyle name="표_사전회의(1208)_새벽시장9.16_열처리결과품의(031017)개발_도금 열처리 주단조 평가품의(040329)" xfId="32213"/>
    <cellStyle name="표_사전회의(1208)_새벽시장9.16_용접업종 평가결과품의(040510)" xfId="32214"/>
    <cellStyle name="표_사전회의(1208)_새벽시장9.16_용접업종 평가결과품의(040510)_용접업종 평가결과품의(040510)" xfId="32215"/>
    <cellStyle name="표_사전회의(1208)_새벽시장9.16_용접업종 평가결과품의(040510)_용접업종 평가결과품의(040510)(1)" xfId="32216"/>
    <cellStyle name="표_사전회의(1208)_새벽시장9.16_용접업종 평가결과품의(040510)_주단조용접업종 평가결과품의(040510)(1)" xfId="32217"/>
    <cellStyle name="표_사전회의(1208)_새벽시장9.16_주단조 업종 평가결과품의(040407)" xfId="32218"/>
    <cellStyle name="표_사전회의(1208)_새벽시장9.16_주단조 업종 평가결과품의(040407)_용접업종 평가결과품의(040510)" xfId="32219"/>
    <cellStyle name="표_사전회의(1208)_새벽시장9.16_주단조 업종 평가결과품의(040407)_용접업종 평가결과품의(040510)(1)" xfId="32220"/>
    <cellStyle name="표_사전회의(1208)_새벽시장9.16_주단조 업종 평가결과품의(040407)_주단조용접업종 평가결과품의(040510)(1)" xfId="32221"/>
    <cellStyle name="표_사전회의(1208)_새벽시장9.16_주단조 업종 평가결과품의(040416)(1)" xfId="32222"/>
    <cellStyle name="표_사전회의(1208)_새벽시장9.16_주단조 업종 평가결과품의(040416)(1)_용접업종 평가결과품의(040510)" xfId="32223"/>
    <cellStyle name="표_사전회의(1208)_새벽시장9.16_주단조 업종 평가결과품의(040416)(1)_용접업종 평가결과품의(040510)(1)" xfId="32224"/>
    <cellStyle name="표_사전회의(1208)_새벽시장9.16_주단조 업종 평가결과품의(040416)(1)_주단조용접업종 평가결과품의(040510)(1)" xfId="32225"/>
    <cellStyle name="표_사전회의(1208)_새벽시장9.16_최신-SQ인증업체현황1343사(03년평가완료031229수정)" xfId="32226"/>
    <cellStyle name="표_사전회의(1208)_새벽시장9.16_최신-SQ인증업체현황1343사(03년평가완료031229수정)_용접업종 평가결과품의(040510)" xfId="32227"/>
    <cellStyle name="표_사전회의(1208)_새벽시장9.16_최신-SQ인증업체현황1343사(03년평가완료031229수정)_용접업종 평가결과품의(040510)(1)" xfId="32228"/>
    <cellStyle name="표_사전회의(1208)_새벽시장9.16_최신-SQ인증업체현황1343사(03년평가완료031229수정)_주단조용접업종 평가결과품의(040510)(1)" xfId="32229"/>
    <cellStyle name="표_사전회의(1208)_열처리결과품의(031017)개발" xfId="32230"/>
    <cellStyle name="표_사전회의(1208)_열처리결과품의(031017)개발_도금 열처리 주단조 평가품의(040329)" xfId="32231"/>
    <cellStyle name="표_사전회의(1208)_용접업종 평가결과품의(040510)" xfId="32232"/>
    <cellStyle name="표_사전회의(1208)_용접업종 평가결과품의(040510)_용접업종 평가결과품의(040510)" xfId="32233"/>
    <cellStyle name="표_사전회의(1208)_용접업종 평가결과품의(040510)_용접업종 평가결과품의(040510)(1)" xfId="32234"/>
    <cellStyle name="표_사전회의(1208)_용접업종 평가결과품의(040510)_주단조용접업종 평가결과품의(040510)(1)" xfId="32235"/>
    <cellStyle name="표_사전회의(1208)_주단조 업종 평가결과품의(040407)" xfId="32236"/>
    <cellStyle name="표_사전회의(1208)_주단조 업종 평가결과품의(040407)_용접업종 평가결과품의(040510)" xfId="32237"/>
    <cellStyle name="표_사전회의(1208)_주단조 업종 평가결과품의(040407)_용접업종 평가결과품의(040510)(1)" xfId="32238"/>
    <cellStyle name="표_사전회의(1208)_주단조 업종 평가결과품의(040407)_주단조용접업종 평가결과품의(040510)(1)" xfId="32239"/>
    <cellStyle name="표_사전회의(1208)_주단조 업종 평가결과품의(040416)(1)" xfId="32240"/>
    <cellStyle name="표_사전회의(1208)_주단조 업종 평가결과품의(040416)(1)_용접업종 평가결과품의(040510)" xfId="32241"/>
    <cellStyle name="표_사전회의(1208)_주단조 업종 평가결과품의(040416)(1)_용접업종 평가결과품의(040510)(1)" xfId="32242"/>
    <cellStyle name="표_사전회의(1208)_주단조 업종 평가결과품의(040416)(1)_주단조용접업종 평가결과품의(040510)(1)" xfId="32243"/>
    <cellStyle name="표_사전회의(1208)_최신-SQ인증업체현황1343사(03년평가완료031229수정)" xfId="32244"/>
    <cellStyle name="표_사전회의(1208)_최신-SQ인증업체현황1343사(03년평가완료031229수정)_용접업종 평가결과품의(040510)" xfId="32245"/>
    <cellStyle name="표_사전회의(1208)_최신-SQ인증업체현황1343사(03년평가완료031229수정)_용접업종 평가결과품의(040510)(1)" xfId="32246"/>
    <cellStyle name="표_사전회의(1208)_최신-SQ인증업체현황1343사(03년평가완료031229수정)_주단조용접업종 평가결과품의(040510)(1)" xfId="32247"/>
    <cellStyle name="표_새벽시장1" xfId="32248"/>
    <cellStyle name="표_새벽시장1_도금 열처리 주단조 평가품의(040329)" xfId="32249"/>
    <cellStyle name="표_새벽시장1_도금 열처리 주단조 평가품의(040329)_도금 열처리 주단조 평가품의(040329)" xfId="32250"/>
    <cellStyle name="표_새벽시장1_도금 열처리 주단조 평가품의(040329)업체" xfId="32251"/>
    <cellStyle name="표_새벽시장1_열처리결과품의(031017)개발" xfId="32252"/>
    <cellStyle name="표_새벽시장1_열처리결과품의(031017)개발_도금 열처리 주단조 평가품의(040329)" xfId="32253"/>
    <cellStyle name="표_새벽시장1_용접업종 평가결과품의(040510)" xfId="32254"/>
    <cellStyle name="표_새벽시장1_용접업종 평가결과품의(040510)_용접업종 평가결과품의(040510)" xfId="32255"/>
    <cellStyle name="표_새벽시장1_용접업종 평가결과품의(040510)_용접업종 평가결과품의(040510)(1)" xfId="32256"/>
    <cellStyle name="표_새벽시장1_용접업종 평가결과품의(040510)_주단조용접업종 평가결과품의(040510)(1)" xfId="32257"/>
    <cellStyle name="표_새벽시장1_주단조 업종 평가결과품의(040407)" xfId="32258"/>
    <cellStyle name="표_새벽시장1_주단조 업종 평가결과품의(040407)_용접업종 평가결과품의(040510)" xfId="32259"/>
    <cellStyle name="표_새벽시장1_주단조 업종 평가결과품의(040407)_용접업종 평가결과품의(040510)(1)" xfId="32260"/>
    <cellStyle name="표_새벽시장1_주단조 업종 평가결과품의(040407)_주단조용접업종 평가결과품의(040510)(1)" xfId="32261"/>
    <cellStyle name="표_새벽시장1_주단조 업종 평가결과품의(040416)(1)" xfId="32262"/>
    <cellStyle name="표_새벽시장1_주단조 업종 평가결과품의(040416)(1)_용접업종 평가결과품의(040510)" xfId="32263"/>
    <cellStyle name="표_새벽시장1_주단조 업종 평가결과품의(040416)(1)_용접업종 평가결과품의(040510)(1)" xfId="32264"/>
    <cellStyle name="표_새벽시장1_주단조 업종 평가결과품의(040416)(1)_주단조용접업종 평가결과품의(040510)(1)" xfId="32265"/>
    <cellStyle name="표_새벽시장1_최신-SQ인증업체현황1343사(03년평가완료031229수정)" xfId="32266"/>
    <cellStyle name="표_새벽시장1_최신-SQ인증업체현황1343사(03년평가완료031229수정)_용접업종 평가결과품의(040510)" xfId="32267"/>
    <cellStyle name="표_새벽시장1_최신-SQ인증업체현황1343사(03년평가완료031229수정)_용접업종 평가결과품의(040510)(1)" xfId="32268"/>
    <cellStyle name="표_새벽시장1_최신-SQ인증업체현황1343사(03년평가완료031229수정)_주단조용접업종 평가결과품의(040510)(1)" xfId="32269"/>
    <cellStyle name="표_새벽시장3" xfId="32270"/>
    <cellStyle name="표_새벽시장3_도금 열처리 주단조 평가품의(040329)" xfId="32271"/>
    <cellStyle name="표_새벽시장3_도금 열처리 주단조 평가품의(040329)_도금 열처리 주단조 평가품의(040329)" xfId="32272"/>
    <cellStyle name="표_새벽시장3_도금 열처리 주단조 평가품의(040329)업체" xfId="32273"/>
    <cellStyle name="표_새벽시장3_열처리결과품의(031017)개발" xfId="32274"/>
    <cellStyle name="표_새벽시장3_열처리결과품의(031017)개발_도금 열처리 주단조 평가품의(040329)" xfId="32275"/>
    <cellStyle name="표_새벽시장3_용접업종 평가결과품의(040510)" xfId="32276"/>
    <cellStyle name="표_새벽시장3_용접업종 평가결과품의(040510)_용접업종 평가결과품의(040510)" xfId="32277"/>
    <cellStyle name="표_새벽시장3_용접업종 평가결과품의(040510)_용접업종 평가결과품의(040510)(1)" xfId="32278"/>
    <cellStyle name="표_새벽시장3_용접업종 평가결과품의(040510)_주단조용접업종 평가결과품의(040510)(1)" xfId="32279"/>
    <cellStyle name="표_새벽시장3_주단조 업종 평가결과품의(040407)" xfId="32280"/>
    <cellStyle name="표_새벽시장3_주단조 업종 평가결과품의(040407)_용접업종 평가결과품의(040510)" xfId="32281"/>
    <cellStyle name="표_새벽시장3_주단조 업종 평가결과품의(040407)_용접업종 평가결과품의(040510)(1)" xfId="32282"/>
    <cellStyle name="표_새벽시장3_주단조 업종 평가결과품의(040407)_주단조용접업종 평가결과품의(040510)(1)" xfId="32283"/>
    <cellStyle name="표_새벽시장3_주단조 업종 평가결과품의(040416)(1)" xfId="32284"/>
    <cellStyle name="표_새벽시장3_주단조 업종 평가결과품의(040416)(1)_용접업종 평가결과품의(040510)" xfId="32285"/>
    <cellStyle name="표_새벽시장3_주단조 업종 평가결과품의(040416)(1)_용접업종 평가결과품의(040510)(1)" xfId="32286"/>
    <cellStyle name="표_새벽시장3_주단조 업종 평가결과품의(040416)(1)_주단조용접업종 평가결과품의(040510)(1)" xfId="32287"/>
    <cellStyle name="표_새벽시장3_최신-SQ인증업체현황1343사(03년평가완료031229수정)" xfId="32288"/>
    <cellStyle name="표_새벽시장3_최신-SQ인증업체현황1343사(03년평가완료031229수정)_용접업종 평가결과품의(040510)" xfId="32289"/>
    <cellStyle name="표_새벽시장3_최신-SQ인증업체현황1343사(03년평가완료031229수정)_용접업종 평가결과품의(040510)(1)" xfId="32290"/>
    <cellStyle name="표_새벽시장3_최신-SQ인증업체현황1343사(03년평가완료031229수정)_주단조용접업종 평가결과품의(040510)(1)" xfId="32291"/>
    <cellStyle name="표_새벽시장5" xfId="32292"/>
    <cellStyle name="표_새벽시장5_도금 열처리 주단조 평가품의(040329)" xfId="32293"/>
    <cellStyle name="표_새벽시장5_도금 열처리 주단조 평가품의(040329)_도금 열처리 주단조 평가품의(040329)" xfId="32294"/>
    <cellStyle name="표_새벽시장5_도금 열처리 주단조 평가품의(040329)업체" xfId="32295"/>
    <cellStyle name="표_새벽시장5_열처리결과품의(031017)개발" xfId="32296"/>
    <cellStyle name="표_새벽시장5_열처리결과품의(031017)개발_도금 열처리 주단조 평가품의(040329)" xfId="32297"/>
    <cellStyle name="표_새벽시장5_용접업종 평가결과품의(040510)" xfId="32298"/>
    <cellStyle name="표_새벽시장5_용접업종 평가결과품의(040510)_용접업종 평가결과품의(040510)" xfId="32299"/>
    <cellStyle name="표_새벽시장5_용접업종 평가결과품의(040510)_용접업종 평가결과품의(040510)(1)" xfId="32300"/>
    <cellStyle name="표_새벽시장5_용접업종 평가결과품의(040510)_주단조용접업종 평가결과품의(040510)(1)" xfId="32301"/>
    <cellStyle name="표_새벽시장5_주단조 업종 평가결과품의(040407)" xfId="32302"/>
    <cellStyle name="표_새벽시장5_주단조 업종 평가결과품의(040407)_용접업종 평가결과품의(040510)" xfId="32303"/>
    <cellStyle name="표_새벽시장5_주단조 업종 평가결과품의(040407)_용접업종 평가결과품의(040510)(1)" xfId="32304"/>
    <cellStyle name="표_새벽시장5_주단조 업종 평가결과품의(040407)_주단조용접업종 평가결과품의(040510)(1)" xfId="32305"/>
    <cellStyle name="표_새벽시장5_주단조 업종 평가결과품의(040416)(1)" xfId="32306"/>
    <cellStyle name="표_새벽시장5_주단조 업종 평가결과품의(040416)(1)_용접업종 평가결과품의(040510)" xfId="32307"/>
    <cellStyle name="표_새벽시장5_주단조 업종 평가결과품의(040416)(1)_용접업종 평가결과품의(040510)(1)" xfId="32308"/>
    <cellStyle name="표_새벽시장5_주단조 업종 평가결과품의(040416)(1)_주단조용접업종 평가결과품의(040510)(1)" xfId="32309"/>
    <cellStyle name="표_새벽시장5_최신-SQ인증업체현황1343사(03년평가완료031229수정)" xfId="32310"/>
    <cellStyle name="표_새벽시장5_최신-SQ인증업체현황1343사(03년평가완료031229수정)_용접업종 평가결과품의(040510)" xfId="32311"/>
    <cellStyle name="표_새벽시장5_최신-SQ인증업체현황1343사(03년평가완료031229수정)_용접업종 평가결과품의(040510)(1)" xfId="32312"/>
    <cellStyle name="표_새벽시장5_최신-SQ인증업체현황1343사(03년평가완료031229수정)_주단조용접업종 평가결과품의(040510)(1)" xfId="32313"/>
    <cellStyle name="표_새벽시장7" xfId="32314"/>
    <cellStyle name="표_새벽시장7_도금 열처리 주단조 평가품의(040329)" xfId="32315"/>
    <cellStyle name="표_새벽시장7_도금 열처리 주단조 평가품의(040329)_도금 열처리 주단조 평가품의(040329)" xfId="32316"/>
    <cellStyle name="표_새벽시장7_도금 열처리 주단조 평가품의(040329)업체" xfId="32317"/>
    <cellStyle name="표_새벽시장7_열처리결과품의(031017)개발" xfId="32318"/>
    <cellStyle name="표_새벽시장7_열처리결과품의(031017)개발_도금 열처리 주단조 평가품의(040329)" xfId="32319"/>
    <cellStyle name="표_새벽시장7_용접업종 평가결과품의(040510)" xfId="32320"/>
    <cellStyle name="표_새벽시장7_용접업종 평가결과품의(040510)_용접업종 평가결과품의(040510)" xfId="32321"/>
    <cellStyle name="표_새벽시장7_용접업종 평가결과품의(040510)_용접업종 평가결과품의(040510)(1)" xfId="32322"/>
    <cellStyle name="표_새벽시장7_용접업종 평가결과품의(040510)_주단조용접업종 평가결과품의(040510)(1)" xfId="32323"/>
    <cellStyle name="표_새벽시장7_주단조 업종 평가결과품의(040407)" xfId="32324"/>
    <cellStyle name="표_새벽시장7_주단조 업종 평가결과품의(040407)_용접업종 평가결과품의(040510)" xfId="32325"/>
    <cellStyle name="표_새벽시장7_주단조 업종 평가결과품의(040407)_용접업종 평가결과품의(040510)(1)" xfId="32326"/>
    <cellStyle name="표_새벽시장7_주단조 업종 평가결과품의(040407)_주단조용접업종 평가결과품의(040510)(1)" xfId="32327"/>
    <cellStyle name="표_새벽시장7_주단조 업종 평가결과품의(040416)(1)" xfId="32328"/>
    <cellStyle name="표_새벽시장7_주단조 업종 평가결과품의(040416)(1)_용접업종 평가결과품의(040510)" xfId="32329"/>
    <cellStyle name="표_새벽시장7_주단조 업종 평가결과품의(040416)(1)_용접업종 평가결과품의(040510)(1)" xfId="32330"/>
    <cellStyle name="표_새벽시장7_주단조 업종 평가결과품의(040416)(1)_주단조용접업종 평가결과품의(040510)(1)" xfId="32331"/>
    <cellStyle name="표_새벽시장7_최신-SQ인증업체현황1343사(03년평가완료031229수정)" xfId="32332"/>
    <cellStyle name="표_새벽시장7_최신-SQ인증업체현황1343사(03년평가완료031229수정)_용접업종 평가결과품의(040510)" xfId="32333"/>
    <cellStyle name="표_새벽시장7_최신-SQ인증업체현황1343사(03년평가완료031229수정)_용접업종 평가결과품의(040510)(1)" xfId="32334"/>
    <cellStyle name="표_새벽시장7_최신-SQ인증업체현황1343사(03년평가완료031229수정)_주단조용접업종 평가결과품의(040510)(1)" xfId="32335"/>
    <cellStyle name="표_새벽시장8.10xls" xfId="32336"/>
    <cellStyle name="표_새벽시장8.10xls_도금 열처리 주단조 평가품의(040329)" xfId="32337"/>
    <cellStyle name="표_새벽시장8.10xls_도금 열처리 주단조 평가품의(040329)_도금 열처리 주단조 평가품의(040329)" xfId="32338"/>
    <cellStyle name="표_새벽시장8.10xls_도금 열처리 주단조 평가품의(040329)업체" xfId="32339"/>
    <cellStyle name="표_새벽시장8.10xls_열처리결과품의(031017)개발" xfId="32340"/>
    <cellStyle name="표_새벽시장8.10xls_열처리결과품의(031017)개발_도금 열처리 주단조 평가품의(040329)" xfId="32341"/>
    <cellStyle name="표_새벽시장8.10xls_용접업종 평가결과품의(040510)" xfId="32342"/>
    <cellStyle name="표_새벽시장8.10xls_용접업종 평가결과품의(040510)_용접업종 평가결과품의(040510)" xfId="32343"/>
    <cellStyle name="표_새벽시장8.10xls_용접업종 평가결과품의(040510)_용접업종 평가결과품의(040510)(1)" xfId="32344"/>
    <cellStyle name="표_새벽시장8.10xls_용접업종 평가결과품의(040510)_주단조용접업종 평가결과품의(040510)(1)" xfId="32345"/>
    <cellStyle name="표_새벽시장8.10xls_주단조 업종 평가결과품의(040407)" xfId="32346"/>
    <cellStyle name="표_새벽시장8.10xls_주단조 업종 평가결과품의(040407)_용접업종 평가결과품의(040510)" xfId="32347"/>
    <cellStyle name="표_새벽시장8.10xls_주단조 업종 평가결과품의(040407)_용접업종 평가결과품의(040510)(1)" xfId="32348"/>
    <cellStyle name="표_새벽시장8.10xls_주단조 업종 평가결과품의(040407)_주단조용접업종 평가결과품의(040510)(1)" xfId="32349"/>
    <cellStyle name="표_새벽시장8.10xls_주단조 업종 평가결과품의(040416)(1)" xfId="32350"/>
    <cellStyle name="표_새벽시장8.10xls_주단조 업종 평가결과품의(040416)(1)_용접업종 평가결과품의(040510)" xfId="32351"/>
    <cellStyle name="표_새벽시장8.10xls_주단조 업종 평가결과품의(040416)(1)_용접업종 평가결과품의(040510)(1)" xfId="32352"/>
    <cellStyle name="표_새벽시장8.10xls_주단조 업종 평가결과품의(040416)(1)_주단조용접업종 평가결과품의(040510)(1)" xfId="32353"/>
    <cellStyle name="표_새벽시장8.10xls_최신-SQ인증업체현황1343사(03년평가완료031229수정)" xfId="32354"/>
    <cellStyle name="표_새벽시장8.10xls_최신-SQ인증업체현황1343사(03년평가완료031229수정)_용접업종 평가결과품의(040510)" xfId="32355"/>
    <cellStyle name="표_새벽시장8.10xls_최신-SQ인증업체현황1343사(03년평가완료031229수정)_용접업종 평가결과품의(040510)(1)" xfId="32356"/>
    <cellStyle name="표_새벽시장8.10xls_최신-SQ인증업체현황1343사(03년평가완료031229수정)_주단조용접업종 평가결과품의(040510)(1)" xfId="32357"/>
    <cellStyle name="표_새벽시장8.26xls" xfId="32358"/>
    <cellStyle name="표_새벽시장8.26xls_도금 열처리 주단조 평가품의(040329)" xfId="32359"/>
    <cellStyle name="표_새벽시장8.26xls_도금 열처리 주단조 평가품의(040329)_도금 열처리 주단조 평가품의(040329)" xfId="32360"/>
    <cellStyle name="표_새벽시장8.26xls_도금 열처리 주단조 평가품의(040329)업체" xfId="32361"/>
    <cellStyle name="표_새벽시장8.26xls_열처리결과품의(031017)개발" xfId="32362"/>
    <cellStyle name="표_새벽시장8.26xls_열처리결과품의(031017)개발_도금 열처리 주단조 평가품의(040329)" xfId="32363"/>
    <cellStyle name="표_새벽시장8.26xls_용접업종 평가결과품의(040510)" xfId="32364"/>
    <cellStyle name="표_새벽시장8.26xls_용접업종 평가결과품의(040510)_용접업종 평가결과품의(040510)" xfId="32365"/>
    <cellStyle name="표_새벽시장8.26xls_용접업종 평가결과품의(040510)_용접업종 평가결과품의(040510)(1)" xfId="32366"/>
    <cellStyle name="표_새벽시장8.26xls_용접업종 평가결과품의(040510)_주단조용접업종 평가결과품의(040510)(1)" xfId="32367"/>
    <cellStyle name="표_새벽시장8.26xls_주단조 업종 평가결과품의(040407)" xfId="32368"/>
    <cellStyle name="표_새벽시장8.26xls_주단조 업종 평가결과품의(040407)_용접업종 평가결과품의(040510)" xfId="32369"/>
    <cellStyle name="표_새벽시장8.26xls_주단조 업종 평가결과품의(040407)_용접업종 평가결과품의(040510)(1)" xfId="32370"/>
    <cellStyle name="표_새벽시장8.26xls_주단조 업종 평가결과품의(040407)_주단조용접업종 평가결과품의(040510)(1)" xfId="32371"/>
    <cellStyle name="표_새벽시장8.26xls_주단조 업종 평가결과품의(040416)(1)" xfId="32372"/>
    <cellStyle name="표_새벽시장8.26xls_주단조 업종 평가결과품의(040416)(1)_용접업종 평가결과품의(040510)" xfId="32373"/>
    <cellStyle name="표_새벽시장8.26xls_주단조 업종 평가결과품의(040416)(1)_용접업종 평가결과품의(040510)(1)" xfId="32374"/>
    <cellStyle name="표_새벽시장8.26xls_주단조 업종 평가결과품의(040416)(1)_주단조용접업종 평가결과품의(040510)(1)" xfId="32375"/>
    <cellStyle name="표_새벽시장8.26xls_최신-SQ인증업체현황1343사(03년평가완료031229수정)" xfId="32376"/>
    <cellStyle name="표_새벽시장8.26xls_최신-SQ인증업체현황1343사(03년평가완료031229수정)_용접업종 평가결과품의(040510)" xfId="32377"/>
    <cellStyle name="표_새벽시장8.26xls_최신-SQ인증업체현황1343사(03년평가완료031229수정)_용접업종 평가결과품의(040510)(1)" xfId="32378"/>
    <cellStyle name="표_새벽시장8.26xls_최신-SQ인증업체현황1343사(03년평가완료031229수정)_주단조용접업종 평가결과품의(040510)(1)" xfId="32379"/>
    <cellStyle name="표_새벽시장9.16" xfId="32380"/>
    <cellStyle name="표_새벽시장9.16_도금 열처리 주단조 평가품의(040329)" xfId="32381"/>
    <cellStyle name="표_새벽시장9.16_도금 열처리 주단조 평가품의(040329)_도금 열처리 주단조 평가품의(040329)" xfId="32382"/>
    <cellStyle name="표_새벽시장9.16_도금 열처리 주단조 평가품의(040329)업체" xfId="32383"/>
    <cellStyle name="표_새벽시장9.16_열처리결과품의(031017)개발" xfId="32384"/>
    <cellStyle name="표_새벽시장9.16_열처리결과품의(031017)개발_도금 열처리 주단조 평가품의(040329)" xfId="32385"/>
    <cellStyle name="표_새벽시장9.16_용접업종 평가결과품의(040510)" xfId="32386"/>
    <cellStyle name="표_새벽시장9.16_용접업종 평가결과품의(040510)_용접업종 평가결과품의(040510)" xfId="32387"/>
    <cellStyle name="표_새벽시장9.16_용접업종 평가결과품의(040510)_용접업종 평가결과품의(040510)(1)" xfId="32388"/>
    <cellStyle name="표_새벽시장9.16_용접업종 평가결과품의(040510)_주단조용접업종 평가결과품의(040510)(1)" xfId="32389"/>
    <cellStyle name="표_새벽시장9.16_주단조 업종 평가결과품의(040407)" xfId="32390"/>
    <cellStyle name="표_새벽시장9.16_주단조 업종 평가결과품의(040407)_용접업종 평가결과품의(040510)" xfId="32391"/>
    <cellStyle name="표_새벽시장9.16_주단조 업종 평가결과품의(040407)_용접업종 평가결과품의(040510)(1)" xfId="32392"/>
    <cellStyle name="표_새벽시장9.16_주단조 업종 평가결과품의(040407)_주단조용접업종 평가결과품의(040510)(1)" xfId="32393"/>
    <cellStyle name="표_새벽시장9.16_주단조 업종 평가결과품의(040416)(1)" xfId="32394"/>
    <cellStyle name="표_새벽시장9.16_주단조 업종 평가결과품의(040416)(1)_용접업종 평가결과품의(040510)" xfId="32395"/>
    <cellStyle name="표_새벽시장9.16_주단조 업종 평가결과품의(040416)(1)_용접업종 평가결과품의(040510)(1)" xfId="32396"/>
    <cellStyle name="표_새벽시장9.16_주단조 업종 평가결과품의(040416)(1)_주단조용접업종 평가결과품의(040510)(1)" xfId="32397"/>
    <cellStyle name="표_새벽시장9.16_최신-SQ인증업체현황1343사(03년평가완료031229수정)" xfId="32398"/>
    <cellStyle name="표_새벽시장9.16_최신-SQ인증업체현황1343사(03년평가완료031229수정)_용접업종 평가결과품의(040510)" xfId="32399"/>
    <cellStyle name="표_새벽시장9.16_최신-SQ인증업체현황1343사(03년평가완료031229수정)_용접업종 평가결과품의(040510)(1)" xfId="32400"/>
    <cellStyle name="표_새벽시장9.16_최신-SQ인증업체현황1343사(03년평가완료031229수정)_주단조용접업종 평가결과품의(040510)(1)" xfId="32401"/>
    <cellStyle name="표_열처리결과품의(031017)개발" xfId="32402"/>
    <cellStyle name="표_열처리결과품의(031017)개발_도금 열처리 주단조 평가품의(040329)" xfId="32403"/>
    <cellStyle name="표_용접업종 평가결과품의(040510)" xfId="32404"/>
    <cellStyle name="표_용접업종 평가결과품의(040510)_용접업종 평가결과품의(040510)" xfId="32405"/>
    <cellStyle name="표_용접업종 평가결과품의(040510)_용접업종 평가결과품의(040510)(1)" xfId="32406"/>
    <cellStyle name="표_용접업종 평가결과품의(040510)_주단조용접업종 평가결과품의(040510)(1)" xfId="32407"/>
    <cellStyle name="표_주단조 업종 평가결과품의(040407)" xfId="32408"/>
    <cellStyle name="표_주단조 업종 평가결과품의(040407)_용접업종 평가결과품의(040510)" xfId="32409"/>
    <cellStyle name="표_주단조 업종 평가결과품의(040407)_용접업종 평가결과품의(040510)(1)" xfId="32410"/>
    <cellStyle name="표_주단조 업종 평가결과품의(040407)_주단조용접업종 평가결과품의(040510)(1)" xfId="32411"/>
    <cellStyle name="표_주단조 업종 평가결과품의(040416)(1)" xfId="32412"/>
    <cellStyle name="표_주단조 업종 평가결과품의(040416)(1)_용접업종 평가결과품의(040510)" xfId="32413"/>
    <cellStyle name="표_주단조 업종 평가결과품의(040416)(1)_용접업종 평가결과품의(040510)(1)" xfId="32414"/>
    <cellStyle name="표_주단조 업종 평가결과품의(040416)(1)_주단조용접업종 평가결과품의(040510)(1)" xfId="32415"/>
    <cellStyle name="표_최신-SQ인증업체현황1343사(03년평가완료031229수정)" xfId="32416"/>
    <cellStyle name="표_최신-SQ인증업체현황1343사(03년평가완료031229수정)_용접업종 평가결과품의(040510)" xfId="32417"/>
    <cellStyle name="표_최신-SQ인증업체현황1343사(03년평가완료031229수정)_용접업종 평가결과품의(040510)(1)" xfId="32418"/>
    <cellStyle name="표_최신-SQ인증업체현황1343사(03년평가완료031229수정)_주단조용접업종 평가결과품의(040510)(1)" xfId="32419"/>
    <cellStyle name="표_출장계획서" xfId="32420"/>
    <cellStyle name="표_출장계획서_ROTATION 유동" xfId="32421"/>
    <cellStyle name="표_출장계획서_ROTATION 유동_도금 열처리 주단조 평가품의(040329)" xfId="32422"/>
    <cellStyle name="표_출장계획서_ROTATION 유동_도금 열처리 주단조 평가품의(040329)_도금 열처리 주단조 평가품의(040329)" xfId="32423"/>
    <cellStyle name="표_출장계획서_ROTATION 유동_도금 열처리 주단조 평가품의(040329)업체" xfId="32424"/>
    <cellStyle name="표_출장계획서_ROTATION 유동_열처리결과품의(031017)개발" xfId="32425"/>
    <cellStyle name="표_출장계획서_ROTATION 유동_열처리결과품의(031017)개발_도금 열처리 주단조 평가품의(040329)" xfId="32426"/>
    <cellStyle name="표_출장계획서_ROTATION 유동_용접업종 평가결과품의(040510)" xfId="32427"/>
    <cellStyle name="표_출장계획서_ROTATION 유동_용접업종 평가결과품의(040510)_용접업종 평가결과품의(040510)" xfId="32428"/>
    <cellStyle name="표_출장계획서_ROTATION 유동_용접업종 평가결과품의(040510)_용접업종 평가결과품의(040510)(1)" xfId="32429"/>
    <cellStyle name="표_출장계획서_ROTATION 유동_용접업종 평가결과품의(040510)_주단조용접업종 평가결과품의(040510)(1)" xfId="32430"/>
    <cellStyle name="표_출장계획서_ROTATION 유동_주단조 업종 평가결과품의(040407)" xfId="32431"/>
    <cellStyle name="표_출장계획서_ROTATION 유동_주단조 업종 평가결과품의(040407)_용접업종 평가결과품의(040510)" xfId="32432"/>
    <cellStyle name="표_출장계획서_ROTATION 유동_주단조 업종 평가결과품의(040407)_용접업종 평가결과품의(040510)(1)" xfId="32433"/>
    <cellStyle name="표_출장계획서_ROTATION 유동_주단조 업종 평가결과품의(040407)_주단조용접업종 평가결과품의(040510)(1)" xfId="32434"/>
    <cellStyle name="표_출장계획서_ROTATION 유동_주단조 업종 평가결과품의(040416)(1)" xfId="32435"/>
    <cellStyle name="표_출장계획서_ROTATION 유동_주단조 업종 평가결과품의(040416)(1)_용접업종 평가결과품의(040510)" xfId="32436"/>
    <cellStyle name="표_출장계획서_ROTATION 유동_주단조 업종 평가결과품의(040416)(1)_용접업종 평가결과품의(040510)(1)" xfId="32437"/>
    <cellStyle name="표_출장계획서_ROTATION 유동_주단조 업종 평가결과품의(040416)(1)_주단조용접업종 평가결과품의(040510)(1)" xfId="32438"/>
    <cellStyle name="표_출장계획서_ROTATION 유동_최신-SQ인증업체현황1343사(03년평가완료031229수정)" xfId="32439"/>
    <cellStyle name="표_출장계획서_ROTATION 유동_최신-SQ인증업체현황1343사(03년평가완료031229수정)_용접업종 평가결과품의(040510)" xfId="32440"/>
    <cellStyle name="표_출장계획서_ROTATION 유동_최신-SQ인증업체현황1343사(03년평가완료031229수정)_용접업종 평가결과품의(040510)(1)" xfId="32441"/>
    <cellStyle name="표_출장계획서_ROTATION 유동_최신-SQ인증업체현황1343사(03년평가완료031229수정)_주단조용접업종 평가결과품의(040510)(1)" xfId="32442"/>
    <cellStyle name="표_출장계획서_SLIDE 폭" xfId="32443"/>
    <cellStyle name="표_출장계획서_SLIDE 폭_도금 열처리 주단조 평가품의(040329)" xfId="32444"/>
    <cellStyle name="표_출장계획서_SLIDE 폭_도금 열처리 주단조 평가품의(040329)_도금 열처리 주단조 평가품의(040329)" xfId="32445"/>
    <cellStyle name="표_출장계획서_SLIDE 폭_도금 열처리 주단조 평가품의(040329)업체" xfId="32446"/>
    <cellStyle name="표_출장계획서_SLIDE 폭_열처리결과품의(031017)개발" xfId="32447"/>
    <cellStyle name="표_출장계획서_SLIDE 폭_열처리결과품의(031017)개발_도금 열처리 주단조 평가품의(040329)" xfId="32448"/>
    <cellStyle name="표_출장계획서_SLIDE 폭_용접업종 평가결과품의(040510)" xfId="32449"/>
    <cellStyle name="표_출장계획서_SLIDE 폭_용접업종 평가결과품의(040510)_용접업종 평가결과품의(040510)" xfId="32450"/>
    <cellStyle name="표_출장계획서_SLIDE 폭_용접업종 평가결과품의(040510)_용접업종 평가결과품의(040510)(1)" xfId="32451"/>
    <cellStyle name="표_출장계획서_SLIDE 폭_용접업종 평가결과품의(040510)_주단조용접업종 평가결과품의(040510)(1)" xfId="32452"/>
    <cellStyle name="표_출장계획서_SLIDE 폭_주단조 업종 평가결과품의(040407)" xfId="32453"/>
    <cellStyle name="표_출장계획서_SLIDE 폭_주단조 업종 평가결과품의(040407)_용접업종 평가결과품의(040510)" xfId="32454"/>
    <cellStyle name="표_출장계획서_SLIDE 폭_주단조 업종 평가결과품의(040407)_용접업종 평가결과품의(040510)(1)" xfId="32455"/>
    <cellStyle name="표_출장계획서_SLIDE 폭_주단조 업종 평가결과품의(040407)_주단조용접업종 평가결과품의(040510)(1)" xfId="32456"/>
    <cellStyle name="표_출장계획서_SLIDE 폭_주단조 업종 평가결과품의(040416)(1)" xfId="32457"/>
    <cellStyle name="표_출장계획서_SLIDE 폭_주단조 업종 평가결과품의(040416)(1)_용접업종 평가결과품의(040510)" xfId="32458"/>
    <cellStyle name="표_출장계획서_SLIDE 폭_주단조 업종 평가결과품의(040416)(1)_용접업종 평가결과품의(040510)(1)" xfId="32459"/>
    <cellStyle name="표_출장계획서_SLIDE 폭_주단조 업종 평가결과품의(040416)(1)_주단조용접업종 평가결과품의(040510)(1)" xfId="32460"/>
    <cellStyle name="표_출장계획서_SLIDE 폭_최신-SQ인증업체현황1343사(03년평가완료031229수정)" xfId="32461"/>
    <cellStyle name="표_출장계획서_SLIDE 폭_최신-SQ인증업체현황1343사(03년평가완료031229수정)_용접업종 평가결과품의(040510)" xfId="32462"/>
    <cellStyle name="표_출장계획서_SLIDE 폭_최신-SQ인증업체현황1343사(03년평가완료031229수정)_용접업종 평가결과품의(040510)(1)" xfId="32463"/>
    <cellStyle name="표_출장계획서_SLIDE 폭_최신-SQ인증업체현황1343사(03년평가완료031229수정)_주단조용접업종 평가결과품의(040510)(1)" xfId="32464"/>
    <cellStyle name="표_출장계획서_도금 열처리 주단조 평가품의(040329)" xfId="32465"/>
    <cellStyle name="표_출장계획서_도금 열처리 주단조 평가품의(040329)_도금 열처리 주단조 평가품의(040329)" xfId="32466"/>
    <cellStyle name="표_출장계획서_도금 열처리 주단조 평가품의(040329)업체" xfId="32467"/>
    <cellStyle name="표_출장계획서_새벽시장1" xfId="32468"/>
    <cellStyle name="표_출장계획서_새벽시장1_도금 열처리 주단조 평가품의(040329)" xfId="32469"/>
    <cellStyle name="표_출장계획서_새벽시장1_도금 열처리 주단조 평가품의(040329)_도금 열처리 주단조 평가품의(040329)" xfId="32470"/>
    <cellStyle name="표_출장계획서_새벽시장1_도금 열처리 주단조 평가품의(040329)업체" xfId="32471"/>
    <cellStyle name="표_출장계획서_새벽시장1_열처리결과품의(031017)개발" xfId="32472"/>
    <cellStyle name="표_출장계획서_새벽시장1_열처리결과품의(031017)개발_도금 열처리 주단조 평가품의(040329)" xfId="32473"/>
    <cellStyle name="표_출장계획서_새벽시장1_용접업종 평가결과품의(040510)" xfId="32474"/>
    <cellStyle name="표_출장계획서_새벽시장1_용접업종 평가결과품의(040510)_용접업종 평가결과품의(040510)" xfId="32475"/>
    <cellStyle name="표_출장계획서_새벽시장1_용접업종 평가결과품의(040510)_용접업종 평가결과품의(040510)(1)" xfId="32476"/>
    <cellStyle name="표_출장계획서_새벽시장1_용접업종 평가결과품의(040510)_주단조용접업종 평가결과품의(040510)(1)" xfId="32477"/>
    <cellStyle name="표_출장계획서_새벽시장1_주단조 업종 평가결과품의(040407)" xfId="32478"/>
    <cellStyle name="표_출장계획서_새벽시장1_주단조 업종 평가결과품의(040407)_용접업종 평가결과품의(040510)" xfId="32479"/>
    <cellStyle name="표_출장계획서_새벽시장1_주단조 업종 평가결과품의(040407)_용접업종 평가결과품의(040510)(1)" xfId="32480"/>
    <cellStyle name="표_출장계획서_새벽시장1_주단조 업종 평가결과품의(040407)_주단조용접업종 평가결과품의(040510)(1)" xfId="32481"/>
    <cellStyle name="표_출장계획서_새벽시장1_주단조 업종 평가결과품의(040416)(1)" xfId="32482"/>
    <cellStyle name="표_출장계획서_새벽시장1_주단조 업종 평가결과품의(040416)(1)_용접업종 평가결과품의(040510)" xfId="32483"/>
    <cellStyle name="표_출장계획서_새벽시장1_주단조 업종 평가결과품의(040416)(1)_용접업종 평가결과품의(040510)(1)" xfId="32484"/>
    <cellStyle name="표_출장계획서_새벽시장1_주단조 업종 평가결과품의(040416)(1)_주단조용접업종 평가결과품의(040510)(1)" xfId="32485"/>
    <cellStyle name="표_출장계획서_새벽시장1_최신-SQ인증업체현황1343사(03년평가완료031229수정)" xfId="32486"/>
    <cellStyle name="표_출장계획서_새벽시장1_최신-SQ인증업체현황1343사(03년평가완료031229수정)_용접업종 평가결과품의(040510)" xfId="32487"/>
    <cellStyle name="표_출장계획서_새벽시장1_최신-SQ인증업체현황1343사(03년평가완료031229수정)_용접업종 평가결과품의(040510)(1)" xfId="32488"/>
    <cellStyle name="표_출장계획서_새벽시장1_최신-SQ인증업체현황1343사(03년평가완료031229수정)_주단조용접업종 평가결과품의(040510)(1)" xfId="32489"/>
    <cellStyle name="표_출장계획서_새벽시장3" xfId="32490"/>
    <cellStyle name="표_출장계획서_새벽시장3_도금 열처리 주단조 평가품의(040329)" xfId="32491"/>
    <cellStyle name="표_출장계획서_새벽시장3_도금 열처리 주단조 평가품의(040329)_도금 열처리 주단조 평가품의(040329)" xfId="32492"/>
    <cellStyle name="표_출장계획서_새벽시장3_도금 열처리 주단조 평가품의(040329)업체" xfId="32493"/>
    <cellStyle name="표_출장계획서_새벽시장3_열처리결과품의(031017)개발" xfId="32494"/>
    <cellStyle name="표_출장계획서_새벽시장3_열처리결과품의(031017)개발_도금 열처리 주단조 평가품의(040329)" xfId="32495"/>
    <cellStyle name="표_출장계획서_새벽시장3_용접업종 평가결과품의(040510)" xfId="32496"/>
    <cellStyle name="표_출장계획서_새벽시장3_용접업종 평가결과품의(040510)_용접업종 평가결과품의(040510)" xfId="32497"/>
    <cellStyle name="표_출장계획서_새벽시장3_용접업종 평가결과품의(040510)_용접업종 평가결과품의(040510)(1)" xfId="32498"/>
    <cellStyle name="표_출장계획서_새벽시장3_용접업종 평가결과품의(040510)_주단조용접업종 평가결과품의(040510)(1)" xfId="32499"/>
    <cellStyle name="표_출장계획서_새벽시장3_주단조 업종 평가결과품의(040407)" xfId="32500"/>
    <cellStyle name="표_출장계획서_새벽시장3_주단조 업종 평가결과품의(040407)_용접업종 평가결과품의(040510)" xfId="32501"/>
    <cellStyle name="표_출장계획서_새벽시장3_주단조 업종 평가결과품의(040407)_용접업종 평가결과품의(040510)(1)" xfId="32502"/>
    <cellStyle name="표_출장계획서_새벽시장3_주단조 업종 평가결과품의(040407)_주단조용접업종 평가결과품의(040510)(1)" xfId="32503"/>
    <cellStyle name="표_출장계획서_새벽시장3_주단조 업종 평가결과품의(040416)(1)" xfId="32504"/>
    <cellStyle name="표_출장계획서_새벽시장3_주단조 업종 평가결과품의(040416)(1)_용접업종 평가결과품의(040510)" xfId="32505"/>
    <cellStyle name="표_출장계획서_새벽시장3_주단조 업종 평가결과품의(040416)(1)_용접업종 평가결과품의(040510)(1)" xfId="32506"/>
    <cellStyle name="표_출장계획서_새벽시장3_주단조 업종 평가결과품의(040416)(1)_주단조용접업종 평가결과품의(040510)(1)" xfId="32507"/>
    <cellStyle name="표_출장계획서_새벽시장3_최신-SQ인증업체현황1343사(03년평가완료031229수정)" xfId="32508"/>
    <cellStyle name="표_출장계획서_새벽시장3_최신-SQ인증업체현황1343사(03년평가완료031229수정)_용접업종 평가결과품의(040510)" xfId="32509"/>
    <cellStyle name="표_출장계획서_새벽시장3_최신-SQ인증업체현황1343사(03년평가완료031229수정)_용접업종 평가결과품의(040510)(1)" xfId="32510"/>
    <cellStyle name="표_출장계획서_새벽시장3_최신-SQ인증업체현황1343사(03년평가완료031229수정)_주단조용접업종 평가결과품의(040510)(1)" xfId="32511"/>
    <cellStyle name="표_출장계획서_새벽시장5" xfId="32512"/>
    <cellStyle name="표_출장계획서_새벽시장5_도금 열처리 주단조 평가품의(040329)" xfId="32513"/>
    <cellStyle name="표_출장계획서_새벽시장5_도금 열처리 주단조 평가품의(040329)_도금 열처리 주단조 평가품의(040329)" xfId="32514"/>
    <cellStyle name="표_출장계획서_새벽시장5_도금 열처리 주단조 평가품의(040329)업체" xfId="32515"/>
    <cellStyle name="표_출장계획서_새벽시장5_열처리결과품의(031017)개발" xfId="32516"/>
    <cellStyle name="표_출장계획서_새벽시장5_열처리결과품의(031017)개발_도금 열처리 주단조 평가품의(040329)" xfId="32517"/>
    <cellStyle name="표_출장계획서_새벽시장5_용접업종 평가결과품의(040510)" xfId="32518"/>
    <cellStyle name="표_출장계획서_새벽시장5_용접업종 평가결과품의(040510)_용접업종 평가결과품의(040510)" xfId="32519"/>
    <cellStyle name="표_출장계획서_새벽시장5_용접업종 평가결과품의(040510)_용접업종 평가결과품의(040510)(1)" xfId="32520"/>
    <cellStyle name="표_출장계획서_새벽시장5_용접업종 평가결과품의(040510)_주단조용접업종 평가결과품의(040510)(1)" xfId="32521"/>
    <cellStyle name="표_출장계획서_새벽시장5_주단조 업종 평가결과품의(040407)" xfId="32522"/>
    <cellStyle name="표_출장계획서_새벽시장5_주단조 업종 평가결과품의(040407)_용접업종 평가결과품의(040510)" xfId="32523"/>
    <cellStyle name="표_출장계획서_새벽시장5_주단조 업종 평가결과품의(040407)_용접업종 평가결과품의(040510)(1)" xfId="32524"/>
    <cellStyle name="표_출장계획서_새벽시장5_주단조 업종 평가결과품의(040407)_주단조용접업종 평가결과품의(040510)(1)" xfId="32525"/>
    <cellStyle name="표_출장계획서_새벽시장5_주단조 업종 평가결과품의(040416)(1)" xfId="32526"/>
    <cellStyle name="표_출장계획서_새벽시장5_주단조 업종 평가결과품의(040416)(1)_용접업종 평가결과품의(040510)" xfId="32527"/>
    <cellStyle name="표_출장계획서_새벽시장5_주단조 업종 평가결과품의(040416)(1)_용접업종 평가결과품의(040510)(1)" xfId="32528"/>
    <cellStyle name="표_출장계획서_새벽시장5_주단조 업종 평가결과품의(040416)(1)_주단조용접업종 평가결과품의(040510)(1)" xfId="32529"/>
    <cellStyle name="표_출장계획서_새벽시장5_최신-SQ인증업체현황1343사(03년평가완료031229수정)" xfId="32530"/>
    <cellStyle name="표_출장계획서_새벽시장5_최신-SQ인증업체현황1343사(03년평가완료031229수정)_용접업종 평가결과품의(040510)" xfId="32531"/>
    <cellStyle name="표_출장계획서_새벽시장5_최신-SQ인증업체현황1343사(03년평가완료031229수정)_용접업종 평가결과품의(040510)(1)" xfId="32532"/>
    <cellStyle name="표_출장계획서_새벽시장5_최신-SQ인증업체현황1343사(03년평가완료031229수정)_주단조용접업종 평가결과품의(040510)(1)" xfId="32533"/>
    <cellStyle name="표_출장계획서_새벽시장7" xfId="32534"/>
    <cellStyle name="표_출장계획서_새벽시장7_도금 열처리 주단조 평가품의(040329)" xfId="32535"/>
    <cellStyle name="표_출장계획서_새벽시장7_도금 열처리 주단조 평가품의(040329)_도금 열처리 주단조 평가품의(040329)" xfId="32536"/>
    <cellStyle name="표_출장계획서_새벽시장7_도금 열처리 주단조 평가품의(040329)업체" xfId="32537"/>
    <cellStyle name="표_출장계획서_새벽시장7_열처리결과품의(031017)개발" xfId="32538"/>
    <cellStyle name="표_출장계획서_새벽시장7_열처리결과품의(031017)개발_도금 열처리 주단조 평가품의(040329)" xfId="32539"/>
    <cellStyle name="표_출장계획서_새벽시장7_용접업종 평가결과품의(040510)" xfId="32540"/>
    <cellStyle name="표_출장계획서_새벽시장7_용접업종 평가결과품의(040510)_용접업종 평가결과품의(040510)" xfId="32541"/>
    <cellStyle name="표_출장계획서_새벽시장7_용접업종 평가결과품의(040510)_용접업종 평가결과품의(040510)(1)" xfId="32542"/>
    <cellStyle name="표_출장계획서_새벽시장7_용접업종 평가결과품의(040510)_주단조용접업종 평가결과품의(040510)(1)" xfId="32543"/>
    <cellStyle name="표_출장계획서_새벽시장7_주단조 업종 평가결과품의(040407)" xfId="32544"/>
    <cellStyle name="표_출장계획서_새벽시장7_주단조 업종 평가결과품의(040407)_용접업종 평가결과품의(040510)" xfId="32545"/>
    <cellStyle name="표_출장계획서_새벽시장7_주단조 업종 평가결과품의(040407)_용접업종 평가결과품의(040510)(1)" xfId="32546"/>
    <cellStyle name="표_출장계획서_새벽시장7_주단조 업종 평가결과품의(040407)_주단조용접업종 평가결과품의(040510)(1)" xfId="32547"/>
    <cellStyle name="표_출장계획서_새벽시장7_주단조 업종 평가결과품의(040416)(1)" xfId="32548"/>
    <cellStyle name="표_출장계획서_새벽시장7_주단조 업종 평가결과품의(040416)(1)_용접업종 평가결과품의(040510)" xfId="32549"/>
    <cellStyle name="표_출장계획서_새벽시장7_주단조 업종 평가결과품의(040416)(1)_용접업종 평가결과품의(040510)(1)" xfId="32550"/>
    <cellStyle name="표_출장계획서_새벽시장7_주단조 업종 평가결과품의(040416)(1)_주단조용접업종 평가결과품의(040510)(1)" xfId="32551"/>
    <cellStyle name="표_출장계획서_새벽시장7_최신-SQ인증업체현황1343사(03년평가완료031229수정)" xfId="32552"/>
    <cellStyle name="표_출장계획서_새벽시장7_최신-SQ인증업체현황1343사(03년평가완료031229수정)_용접업종 평가결과품의(040510)" xfId="32553"/>
    <cellStyle name="표_출장계획서_새벽시장7_최신-SQ인증업체현황1343사(03년평가완료031229수정)_용접업종 평가결과품의(040510)(1)" xfId="32554"/>
    <cellStyle name="표_출장계획서_새벽시장7_최신-SQ인증업체현황1343사(03년평가완료031229수정)_주단조용접업종 평가결과품의(040510)(1)" xfId="32555"/>
    <cellStyle name="표_출장계획서_새벽시장8.10xls" xfId="32556"/>
    <cellStyle name="표_출장계획서_새벽시장8.10xls_도금 열처리 주단조 평가품의(040329)" xfId="32557"/>
    <cellStyle name="표_출장계획서_새벽시장8.10xls_도금 열처리 주단조 평가품의(040329)_도금 열처리 주단조 평가품의(040329)" xfId="32558"/>
    <cellStyle name="표_출장계획서_새벽시장8.10xls_도금 열처리 주단조 평가품의(040329)업체" xfId="32559"/>
    <cellStyle name="표_출장계획서_새벽시장8.10xls_열처리결과품의(031017)개발" xfId="32560"/>
    <cellStyle name="표_출장계획서_새벽시장8.10xls_열처리결과품의(031017)개발_도금 열처리 주단조 평가품의(040329)" xfId="32561"/>
    <cellStyle name="표_출장계획서_새벽시장8.10xls_용접업종 평가결과품의(040510)" xfId="32562"/>
    <cellStyle name="표_출장계획서_새벽시장8.10xls_용접업종 평가결과품의(040510)_용접업종 평가결과품의(040510)" xfId="32563"/>
    <cellStyle name="표_출장계획서_새벽시장8.10xls_용접업종 평가결과품의(040510)_용접업종 평가결과품의(040510)(1)" xfId="32564"/>
    <cellStyle name="표_출장계획서_새벽시장8.10xls_용접업종 평가결과품의(040510)_주단조용접업종 평가결과품의(040510)(1)" xfId="32565"/>
    <cellStyle name="표_출장계획서_새벽시장8.10xls_주단조 업종 평가결과품의(040407)" xfId="32566"/>
    <cellStyle name="표_출장계획서_새벽시장8.10xls_주단조 업종 평가결과품의(040407)_용접업종 평가결과품의(040510)" xfId="32567"/>
    <cellStyle name="표_출장계획서_새벽시장8.10xls_주단조 업종 평가결과품의(040407)_용접업종 평가결과품의(040510)(1)" xfId="32568"/>
    <cellStyle name="표_출장계획서_새벽시장8.10xls_주단조 업종 평가결과품의(040407)_주단조용접업종 평가결과품의(040510)(1)" xfId="32569"/>
    <cellStyle name="표_출장계획서_새벽시장8.10xls_주단조 업종 평가결과품의(040416)(1)" xfId="32570"/>
    <cellStyle name="표_출장계획서_새벽시장8.10xls_주단조 업종 평가결과품의(040416)(1)_용접업종 평가결과품의(040510)" xfId="32571"/>
    <cellStyle name="표_출장계획서_새벽시장8.10xls_주단조 업종 평가결과품의(040416)(1)_용접업종 평가결과품의(040510)(1)" xfId="32572"/>
    <cellStyle name="표_출장계획서_새벽시장8.10xls_주단조 업종 평가결과품의(040416)(1)_주단조용접업종 평가결과품의(040510)(1)" xfId="32573"/>
    <cellStyle name="표_출장계획서_새벽시장8.10xls_최신-SQ인증업체현황1343사(03년평가완료031229수정)" xfId="32574"/>
    <cellStyle name="표_출장계획서_새벽시장8.10xls_최신-SQ인증업체현황1343사(03년평가완료031229수정)_용접업종 평가결과품의(040510)" xfId="32575"/>
    <cellStyle name="표_출장계획서_새벽시장8.10xls_최신-SQ인증업체현황1343사(03년평가완료031229수정)_용접업종 평가결과품의(040510)(1)" xfId="32576"/>
    <cellStyle name="표_출장계획서_새벽시장8.10xls_최신-SQ인증업체현황1343사(03년평가완료031229수정)_주단조용접업종 평가결과품의(040510)(1)" xfId="32577"/>
    <cellStyle name="표_출장계획서_새벽시장8.26xls" xfId="32578"/>
    <cellStyle name="표_출장계획서_새벽시장8.26xls_도금 열처리 주단조 평가품의(040329)" xfId="32579"/>
    <cellStyle name="표_출장계획서_새벽시장8.26xls_도금 열처리 주단조 평가품의(040329)_도금 열처리 주단조 평가품의(040329)" xfId="32580"/>
    <cellStyle name="표_출장계획서_새벽시장8.26xls_도금 열처리 주단조 평가품의(040329)업체" xfId="32581"/>
    <cellStyle name="표_출장계획서_새벽시장8.26xls_열처리결과품의(031017)개발" xfId="32582"/>
    <cellStyle name="표_출장계획서_새벽시장8.26xls_열처리결과품의(031017)개발_도금 열처리 주단조 평가품의(040329)" xfId="32583"/>
    <cellStyle name="표_출장계획서_새벽시장8.26xls_용접업종 평가결과품의(040510)" xfId="32584"/>
    <cellStyle name="표_출장계획서_새벽시장8.26xls_용접업종 평가결과품의(040510)_용접업종 평가결과품의(040510)" xfId="32585"/>
    <cellStyle name="표_출장계획서_새벽시장8.26xls_용접업종 평가결과품의(040510)_용접업종 평가결과품의(040510)(1)" xfId="32586"/>
    <cellStyle name="표_출장계획서_새벽시장8.26xls_용접업종 평가결과품의(040510)_주단조용접업종 평가결과품의(040510)(1)" xfId="32587"/>
    <cellStyle name="표_출장계획서_새벽시장8.26xls_주단조 업종 평가결과품의(040407)" xfId="32588"/>
    <cellStyle name="표_출장계획서_새벽시장8.26xls_주단조 업종 평가결과품의(040407)_용접업종 평가결과품의(040510)" xfId="32589"/>
    <cellStyle name="표_출장계획서_새벽시장8.26xls_주단조 업종 평가결과품의(040407)_용접업종 평가결과품의(040510)(1)" xfId="32590"/>
    <cellStyle name="표_출장계획서_새벽시장8.26xls_주단조 업종 평가결과품의(040407)_주단조용접업종 평가결과품의(040510)(1)" xfId="32591"/>
    <cellStyle name="표_출장계획서_새벽시장8.26xls_주단조 업종 평가결과품의(040416)(1)" xfId="32592"/>
    <cellStyle name="표_출장계획서_새벽시장8.26xls_주단조 업종 평가결과품의(040416)(1)_용접업종 평가결과품의(040510)" xfId="32593"/>
    <cellStyle name="표_출장계획서_새벽시장8.26xls_주단조 업종 평가결과품의(040416)(1)_용접업종 평가결과품의(040510)(1)" xfId="32594"/>
    <cellStyle name="표_출장계획서_새벽시장8.26xls_주단조 업종 평가결과품의(040416)(1)_주단조용접업종 평가결과품의(040510)(1)" xfId="32595"/>
    <cellStyle name="표_출장계획서_새벽시장8.26xls_최신-SQ인증업체현황1343사(03년평가완료031229수정)" xfId="32596"/>
    <cellStyle name="표_출장계획서_새벽시장8.26xls_최신-SQ인증업체현황1343사(03년평가완료031229수정)_용접업종 평가결과품의(040510)" xfId="32597"/>
    <cellStyle name="표_출장계획서_새벽시장8.26xls_최신-SQ인증업체현황1343사(03년평가완료031229수정)_용접업종 평가결과품의(040510)(1)" xfId="32598"/>
    <cellStyle name="표_출장계획서_새벽시장8.26xls_최신-SQ인증업체현황1343사(03년평가완료031229수정)_주단조용접업종 평가결과품의(040510)(1)" xfId="32599"/>
    <cellStyle name="표_출장계획서_새벽시장9.16" xfId="32600"/>
    <cellStyle name="표_출장계획서_새벽시장9.16_도금 열처리 주단조 평가품의(040329)" xfId="32601"/>
    <cellStyle name="표_출장계획서_새벽시장9.16_도금 열처리 주단조 평가품의(040329)_도금 열처리 주단조 평가품의(040329)" xfId="32602"/>
    <cellStyle name="표_출장계획서_새벽시장9.16_도금 열처리 주단조 평가품의(040329)업체" xfId="32603"/>
    <cellStyle name="표_출장계획서_새벽시장9.16_열처리결과품의(031017)개발" xfId="32604"/>
    <cellStyle name="표_출장계획서_새벽시장9.16_열처리결과품의(031017)개발_도금 열처리 주단조 평가품의(040329)" xfId="32605"/>
    <cellStyle name="표_출장계획서_새벽시장9.16_용접업종 평가결과품의(040510)" xfId="32606"/>
    <cellStyle name="표_출장계획서_새벽시장9.16_용접업종 평가결과품의(040510)_용접업종 평가결과품의(040510)" xfId="32607"/>
    <cellStyle name="표_출장계획서_새벽시장9.16_용접업종 평가결과품의(040510)_용접업종 평가결과품의(040510)(1)" xfId="32608"/>
    <cellStyle name="표_출장계획서_새벽시장9.16_용접업종 평가결과품의(040510)_주단조용접업종 평가결과품의(040510)(1)" xfId="32609"/>
    <cellStyle name="표_출장계획서_새벽시장9.16_주단조 업종 평가결과품의(040407)" xfId="32610"/>
    <cellStyle name="표_출장계획서_새벽시장9.16_주단조 업종 평가결과품의(040407)_용접업종 평가결과품의(040510)" xfId="32611"/>
    <cellStyle name="표_출장계획서_새벽시장9.16_주단조 업종 평가결과품의(040407)_용접업종 평가결과품의(040510)(1)" xfId="32612"/>
    <cellStyle name="표_출장계획서_새벽시장9.16_주단조 업종 평가결과품의(040407)_주단조용접업종 평가결과품의(040510)(1)" xfId="32613"/>
    <cellStyle name="표_출장계획서_새벽시장9.16_주단조 업종 평가결과품의(040416)(1)" xfId="32614"/>
    <cellStyle name="표_출장계획서_새벽시장9.16_주단조 업종 평가결과품의(040416)(1)_용접업종 평가결과품의(040510)" xfId="32615"/>
    <cellStyle name="표_출장계획서_새벽시장9.16_주단조 업종 평가결과품의(040416)(1)_용접업종 평가결과품의(040510)(1)" xfId="32616"/>
    <cellStyle name="표_출장계획서_새벽시장9.16_주단조 업종 평가결과품의(040416)(1)_주단조용접업종 평가결과품의(040510)(1)" xfId="32617"/>
    <cellStyle name="표_출장계획서_새벽시장9.16_최신-SQ인증업체현황1343사(03년평가완료031229수정)" xfId="32618"/>
    <cellStyle name="표_출장계획서_새벽시장9.16_최신-SQ인증업체현황1343사(03년평가완료031229수정)_용접업종 평가결과품의(040510)" xfId="32619"/>
    <cellStyle name="표_출장계획서_새벽시장9.16_최신-SQ인증업체현황1343사(03년평가완료031229수정)_용접업종 평가결과품의(040510)(1)" xfId="32620"/>
    <cellStyle name="표_출장계획서_새벽시장9.16_최신-SQ인증업체현황1343사(03년평가완료031229수정)_주단조용접업종 평가결과품의(040510)(1)" xfId="32621"/>
    <cellStyle name="표_출장계획서_열처리결과품의(031017)개발" xfId="32622"/>
    <cellStyle name="표_출장계획서_열처리결과품의(031017)개발_도금 열처리 주단조 평가품의(040329)" xfId="32623"/>
    <cellStyle name="표_출장계획서_용접업종 평가결과품의(040510)" xfId="32624"/>
    <cellStyle name="표_출장계획서_용접업종 평가결과품의(040510)_용접업종 평가결과품의(040510)" xfId="32625"/>
    <cellStyle name="표_출장계획서_용접업종 평가결과품의(040510)_용접업종 평가결과품의(040510)(1)" xfId="32626"/>
    <cellStyle name="표_출장계획서_용접업종 평가결과품의(040510)_주단조용접업종 평가결과품의(040510)(1)" xfId="32627"/>
    <cellStyle name="표_출장계획서_주단조 업종 평가결과품의(040407)" xfId="32628"/>
    <cellStyle name="표_출장계획서_주단조 업종 평가결과품의(040407)_용접업종 평가결과품의(040510)" xfId="32629"/>
    <cellStyle name="표_출장계획서_주단조 업종 평가결과품의(040407)_용접업종 평가결과품의(040510)(1)" xfId="32630"/>
    <cellStyle name="표_출장계획서_주단조 업종 평가결과품의(040407)_주단조용접업종 평가결과품의(040510)(1)" xfId="32631"/>
    <cellStyle name="표_출장계획서_주단조 업종 평가결과품의(040416)(1)" xfId="32632"/>
    <cellStyle name="표_출장계획서_주단조 업종 평가결과품의(040416)(1)_용접업종 평가결과품의(040510)" xfId="32633"/>
    <cellStyle name="표_출장계획서_주단조 업종 평가결과품의(040416)(1)_용접업종 평가결과품의(040510)(1)" xfId="32634"/>
    <cellStyle name="표_출장계획서_주단조 업종 평가결과품의(040416)(1)_주단조용접업종 평가결과품의(040510)(1)" xfId="32635"/>
    <cellStyle name="표_출장계획서_최신-SQ인증업체현황1343사(03년평가완료031229수정)" xfId="32636"/>
    <cellStyle name="표_출장계획서_최신-SQ인증업체현황1343사(03년평가완료031229수정)_용접업종 평가결과품의(040510)" xfId="32637"/>
    <cellStyle name="표_출장계획서_최신-SQ인증업체현황1343사(03년평가완료031229수정)_용접업종 평가결과품의(040510)(1)" xfId="32638"/>
    <cellStyle name="표_출장계획서_최신-SQ인증업체현황1343사(03년평가완료031229수정)_주단조용접업종 평가결과품의(040510)(1)" xfId="32639"/>
    <cellStyle name="表示済みのハイパーリンク_Book1 グラフ 22" xfId="32640"/>
    <cellStyle name="표준 10" xfId="32641"/>
    <cellStyle name="표준 10 10" xfId="32642"/>
    <cellStyle name="표준 10 10 2" xfId="32643"/>
    <cellStyle name="표준 10 10 2 2" xfId="32644"/>
    <cellStyle name="표준 10 10 2 2 2" xfId="32645"/>
    <cellStyle name="표준 10 10 2 2 2 2" xfId="32646"/>
    <cellStyle name="표준 10 10 2 2 2 3" xfId="32647"/>
    <cellStyle name="표준 10 10 2 2 3" xfId="32648"/>
    <cellStyle name="표준 10 10 2 2 4" xfId="32649"/>
    <cellStyle name="표준 10 10 2 3" xfId="32650"/>
    <cellStyle name="표준 10 10 2 3 2" xfId="32651"/>
    <cellStyle name="표준 10 10 2 3 3" xfId="32652"/>
    <cellStyle name="표준 10 10 2 4" xfId="32653"/>
    <cellStyle name="표준 10 10 2 5" xfId="32654"/>
    <cellStyle name="표준 10 10 3" xfId="32655"/>
    <cellStyle name="표준 10 10 3 2" xfId="32656"/>
    <cellStyle name="표준 10 10 3 2 2" xfId="32657"/>
    <cellStyle name="표준 10 10 3 2 2 2" xfId="32658"/>
    <cellStyle name="표준 10 10 3 2 2 3" xfId="32659"/>
    <cellStyle name="표준 10 10 3 2 3" xfId="32660"/>
    <cellStyle name="표준 10 10 3 2 4" xfId="32661"/>
    <cellStyle name="표준 10 10 3 3" xfId="32662"/>
    <cellStyle name="표준 10 10 3 3 2" xfId="32663"/>
    <cellStyle name="표준 10 10 3 3 3" xfId="32664"/>
    <cellStyle name="표준 10 10 3 4" xfId="32665"/>
    <cellStyle name="표준 10 10 3 5" xfId="32666"/>
    <cellStyle name="표준 10 10 4" xfId="32667"/>
    <cellStyle name="표준 10 10 4 2" xfId="32668"/>
    <cellStyle name="표준 10 10 4 2 2" xfId="32669"/>
    <cellStyle name="표준 10 10 4 2 3" xfId="32670"/>
    <cellStyle name="표준 10 10 4 3" xfId="32671"/>
    <cellStyle name="표준 10 10 4 4" xfId="32672"/>
    <cellStyle name="표준 10 10 5" xfId="32673"/>
    <cellStyle name="표준 10 10 5 2" xfId="32674"/>
    <cellStyle name="표준 10 10 5 3" xfId="32675"/>
    <cellStyle name="표준 10 10 6" xfId="32676"/>
    <cellStyle name="표준 10 10 7" xfId="32677"/>
    <cellStyle name="표준 10 11" xfId="32678"/>
    <cellStyle name="표준 10 11 2" xfId="32679"/>
    <cellStyle name="표준 10 11 2 2" xfId="32680"/>
    <cellStyle name="표준 10 11 2 2 2" xfId="32681"/>
    <cellStyle name="표준 10 11 2 2 3" xfId="32682"/>
    <cellStyle name="표준 10 11 2 3" xfId="32683"/>
    <cellStyle name="표준 10 11 2 4" xfId="32684"/>
    <cellStyle name="표준 10 11 3" xfId="32685"/>
    <cellStyle name="표준 10 11 3 2" xfId="32686"/>
    <cellStyle name="표준 10 11 3 3" xfId="32687"/>
    <cellStyle name="표준 10 11 4" xfId="32688"/>
    <cellStyle name="표준 10 11 5" xfId="32689"/>
    <cellStyle name="표준 10 12" xfId="32690"/>
    <cellStyle name="표준 10 12 2" xfId="32691"/>
    <cellStyle name="표준 10 12 2 2" xfId="32692"/>
    <cellStyle name="표준 10 12 2 2 2" xfId="32693"/>
    <cellStyle name="표준 10 12 2 2 3" xfId="32694"/>
    <cellStyle name="표준 10 12 2 3" xfId="32695"/>
    <cellStyle name="표준 10 12 2 4" xfId="32696"/>
    <cellStyle name="표준 10 12 3" xfId="32697"/>
    <cellStyle name="표준 10 12 3 2" xfId="32698"/>
    <cellStyle name="표준 10 12 3 3" xfId="32699"/>
    <cellStyle name="표준 10 12 4" xfId="32700"/>
    <cellStyle name="표준 10 12 5" xfId="32701"/>
    <cellStyle name="표준 10 13" xfId="32702"/>
    <cellStyle name="표준 10 13 2" xfId="32703"/>
    <cellStyle name="표준 10 13 2 2" xfId="32704"/>
    <cellStyle name="표준 10 13 2 2 2" xfId="32705"/>
    <cellStyle name="표준 10 13 2 2 3" xfId="32706"/>
    <cellStyle name="표준 10 13 2 3" xfId="32707"/>
    <cellStyle name="표준 10 13 2 4" xfId="32708"/>
    <cellStyle name="표준 10 13 3" xfId="32709"/>
    <cellStyle name="표준 10 13 3 2" xfId="32710"/>
    <cellStyle name="표준 10 13 3 3" xfId="32711"/>
    <cellStyle name="표준 10 13 4" xfId="32712"/>
    <cellStyle name="표준 10 13 5" xfId="32713"/>
    <cellStyle name="표준 10 14" xfId="32714"/>
    <cellStyle name="표준 10 14 2" xfId="32715"/>
    <cellStyle name="표준 10 14 2 2" xfId="32716"/>
    <cellStyle name="표준 10 14 2 3" xfId="32717"/>
    <cellStyle name="표준 10 14 3" xfId="32718"/>
    <cellStyle name="표준 10 14 4" xfId="32719"/>
    <cellStyle name="표준 10 15" xfId="32720"/>
    <cellStyle name="표준 10 15 2" xfId="32721"/>
    <cellStyle name="표준 10 15 3" xfId="32722"/>
    <cellStyle name="표준 10 16" xfId="32723"/>
    <cellStyle name="표준 10 17" xfId="32724"/>
    <cellStyle name="표준 10 18" xfId="32725"/>
    <cellStyle name="표준 10 2" xfId="32726"/>
    <cellStyle name="표준 10 2 10" xfId="32727"/>
    <cellStyle name="표준 10 2 10 2" xfId="32728"/>
    <cellStyle name="표준 10 2 10 2 2" xfId="32729"/>
    <cellStyle name="표준 10 2 10 2 2 2" xfId="32730"/>
    <cellStyle name="표준 10 2 10 2 2 3" xfId="32731"/>
    <cellStyle name="표준 10 2 10 2 3" xfId="32732"/>
    <cellStyle name="표준 10 2 10 2 4" xfId="32733"/>
    <cellStyle name="표준 10 2 10 3" xfId="32734"/>
    <cellStyle name="표준 10 2 10 3 2" xfId="32735"/>
    <cellStyle name="표준 10 2 10 3 3" xfId="32736"/>
    <cellStyle name="표준 10 2 10 4" xfId="32737"/>
    <cellStyle name="표준 10 2 10 5" xfId="32738"/>
    <cellStyle name="표준 10 2 11" xfId="32739"/>
    <cellStyle name="표준 10 2 11 2" xfId="32740"/>
    <cellStyle name="표준 10 2 11 2 2" xfId="32741"/>
    <cellStyle name="표준 10 2 11 2 3" xfId="32742"/>
    <cellStyle name="표준 10 2 11 3" xfId="32743"/>
    <cellStyle name="표준 10 2 11 4" xfId="32744"/>
    <cellStyle name="표준 10 2 12" xfId="32745"/>
    <cellStyle name="표준 10 2 12 2" xfId="32746"/>
    <cellStyle name="표준 10 2 12 3" xfId="32747"/>
    <cellStyle name="표준 10 2 13" xfId="32748"/>
    <cellStyle name="표준 10 2 14" xfId="32749"/>
    <cellStyle name="표준 10 2 2" xfId="32750"/>
    <cellStyle name="표준 10 2 2 10" xfId="32751"/>
    <cellStyle name="표준 10 2 2 10 2" xfId="32752"/>
    <cellStyle name="표준 10 2 2 10 2 2" xfId="32753"/>
    <cellStyle name="표준 10 2 2 10 2 3" xfId="32754"/>
    <cellStyle name="표준 10 2 2 10 3" xfId="32755"/>
    <cellStyle name="표준 10 2 2 10 4" xfId="32756"/>
    <cellStyle name="표준 10 2 2 11" xfId="32757"/>
    <cellStyle name="표준 10 2 2 11 2" xfId="32758"/>
    <cellStyle name="표준 10 2 2 11 3" xfId="32759"/>
    <cellStyle name="표준 10 2 2 12" xfId="32760"/>
    <cellStyle name="표준 10 2 2 13" xfId="32761"/>
    <cellStyle name="표준 10 2 2 2" xfId="32762"/>
    <cellStyle name="표준 10 2 2 2 10" xfId="32763"/>
    <cellStyle name="표준 10 2 2 2 2" xfId="32764"/>
    <cellStyle name="표준 10 2 2 2 2 2" xfId="32765"/>
    <cellStyle name="표준 10 2 2 2 2 2 2" xfId="32766"/>
    <cellStyle name="표준 10 2 2 2 2 2 2 2" xfId="32767"/>
    <cellStyle name="표준 10 2 2 2 2 2 2 2 2" xfId="32768"/>
    <cellStyle name="표준 10 2 2 2 2 2 2 2 3" xfId="32769"/>
    <cellStyle name="표준 10 2 2 2 2 2 2 3" xfId="32770"/>
    <cellStyle name="표준 10 2 2 2 2 2 2 4" xfId="32771"/>
    <cellStyle name="표준 10 2 2 2 2 2 3" xfId="32772"/>
    <cellStyle name="표준 10 2 2 2 2 2 3 2" xfId="32773"/>
    <cellStyle name="표준 10 2 2 2 2 2 3 3" xfId="32774"/>
    <cellStyle name="표준 10 2 2 2 2 2 4" xfId="32775"/>
    <cellStyle name="표준 10 2 2 2 2 2 5" xfId="32776"/>
    <cellStyle name="표준 10 2 2 2 2 3" xfId="32777"/>
    <cellStyle name="표준 10 2 2 2 2 3 2" xfId="32778"/>
    <cellStyle name="표준 10 2 2 2 2 3 2 2" xfId="32779"/>
    <cellStyle name="표준 10 2 2 2 2 3 2 2 2" xfId="32780"/>
    <cellStyle name="표준 10 2 2 2 2 3 2 2 3" xfId="32781"/>
    <cellStyle name="표준 10 2 2 2 2 3 2 3" xfId="32782"/>
    <cellStyle name="표준 10 2 2 2 2 3 2 4" xfId="32783"/>
    <cellStyle name="표준 10 2 2 2 2 3 3" xfId="32784"/>
    <cellStyle name="표준 10 2 2 2 2 3 3 2" xfId="32785"/>
    <cellStyle name="표준 10 2 2 2 2 3 3 3" xfId="32786"/>
    <cellStyle name="표준 10 2 2 2 2 3 4" xfId="32787"/>
    <cellStyle name="표준 10 2 2 2 2 3 5" xfId="32788"/>
    <cellStyle name="표준 10 2 2 2 2 4" xfId="32789"/>
    <cellStyle name="표준 10 2 2 2 2 4 2" xfId="32790"/>
    <cellStyle name="표준 10 2 2 2 2 4 2 2" xfId="32791"/>
    <cellStyle name="표준 10 2 2 2 2 4 2 3" xfId="32792"/>
    <cellStyle name="표준 10 2 2 2 2 4 3" xfId="32793"/>
    <cellStyle name="표준 10 2 2 2 2 4 4" xfId="32794"/>
    <cellStyle name="표준 10 2 2 2 2 5" xfId="32795"/>
    <cellStyle name="표준 10 2 2 2 2 5 2" xfId="32796"/>
    <cellStyle name="표준 10 2 2 2 2 5 3" xfId="32797"/>
    <cellStyle name="표준 10 2 2 2 2 6" xfId="32798"/>
    <cellStyle name="표준 10 2 2 2 2 7" xfId="32799"/>
    <cellStyle name="표준 10 2 2 2 3" xfId="32800"/>
    <cellStyle name="표준 10 2 2 2 3 2" xfId="32801"/>
    <cellStyle name="표준 10 2 2 2 3 2 2" xfId="32802"/>
    <cellStyle name="표준 10 2 2 2 3 2 2 2" xfId="32803"/>
    <cellStyle name="표준 10 2 2 2 3 2 2 2 2" xfId="32804"/>
    <cellStyle name="표준 10 2 2 2 3 2 2 2 3" xfId="32805"/>
    <cellStyle name="표준 10 2 2 2 3 2 2 3" xfId="32806"/>
    <cellStyle name="표준 10 2 2 2 3 2 2 4" xfId="32807"/>
    <cellStyle name="표준 10 2 2 2 3 2 3" xfId="32808"/>
    <cellStyle name="표준 10 2 2 2 3 2 3 2" xfId="32809"/>
    <cellStyle name="표준 10 2 2 2 3 2 3 3" xfId="32810"/>
    <cellStyle name="표준 10 2 2 2 3 2 4" xfId="32811"/>
    <cellStyle name="표준 10 2 2 2 3 2 5" xfId="32812"/>
    <cellStyle name="표준 10 2 2 2 3 3" xfId="32813"/>
    <cellStyle name="표준 10 2 2 2 3 3 2" xfId="32814"/>
    <cellStyle name="표준 10 2 2 2 3 3 2 2" xfId="32815"/>
    <cellStyle name="표준 10 2 2 2 3 3 2 2 2" xfId="32816"/>
    <cellStyle name="표준 10 2 2 2 3 3 2 2 3" xfId="32817"/>
    <cellStyle name="표준 10 2 2 2 3 3 2 3" xfId="32818"/>
    <cellStyle name="표준 10 2 2 2 3 3 2 4" xfId="32819"/>
    <cellStyle name="표준 10 2 2 2 3 3 3" xfId="32820"/>
    <cellStyle name="표준 10 2 2 2 3 3 3 2" xfId="32821"/>
    <cellStyle name="표준 10 2 2 2 3 3 3 3" xfId="32822"/>
    <cellStyle name="표준 10 2 2 2 3 3 4" xfId="32823"/>
    <cellStyle name="표준 10 2 2 2 3 3 5" xfId="32824"/>
    <cellStyle name="표준 10 2 2 2 3 4" xfId="32825"/>
    <cellStyle name="표준 10 2 2 2 3 4 2" xfId="32826"/>
    <cellStyle name="표준 10 2 2 2 3 4 2 2" xfId="32827"/>
    <cellStyle name="표준 10 2 2 2 3 4 2 3" xfId="32828"/>
    <cellStyle name="표준 10 2 2 2 3 4 3" xfId="32829"/>
    <cellStyle name="표준 10 2 2 2 3 4 4" xfId="32830"/>
    <cellStyle name="표준 10 2 2 2 3 5" xfId="32831"/>
    <cellStyle name="표준 10 2 2 2 3 5 2" xfId="32832"/>
    <cellStyle name="표준 10 2 2 2 3 5 3" xfId="32833"/>
    <cellStyle name="표준 10 2 2 2 3 6" xfId="32834"/>
    <cellStyle name="표준 10 2 2 2 3 7" xfId="32835"/>
    <cellStyle name="표준 10 2 2 2 4" xfId="32836"/>
    <cellStyle name="표준 10 2 2 2 4 2" xfId="32837"/>
    <cellStyle name="표준 10 2 2 2 4 2 2" xfId="32838"/>
    <cellStyle name="표준 10 2 2 2 4 2 2 2" xfId="32839"/>
    <cellStyle name="표준 10 2 2 2 4 2 2 3" xfId="32840"/>
    <cellStyle name="표준 10 2 2 2 4 2 3" xfId="32841"/>
    <cellStyle name="표준 10 2 2 2 4 2 4" xfId="32842"/>
    <cellStyle name="표준 10 2 2 2 4 3" xfId="32843"/>
    <cellStyle name="표준 10 2 2 2 4 3 2" xfId="32844"/>
    <cellStyle name="표준 10 2 2 2 4 3 3" xfId="32845"/>
    <cellStyle name="표준 10 2 2 2 4 4" xfId="32846"/>
    <cellStyle name="표준 10 2 2 2 4 5" xfId="32847"/>
    <cellStyle name="표준 10 2 2 2 5" xfId="32848"/>
    <cellStyle name="표준 10 2 2 2 5 2" xfId="32849"/>
    <cellStyle name="표준 10 2 2 2 5 2 2" xfId="32850"/>
    <cellStyle name="표준 10 2 2 2 5 2 2 2" xfId="32851"/>
    <cellStyle name="표준 10 2 2 2 5 2 2 3" xfId="32852"/>
    <cellStyle name="표준 10 2 2 2 5 2 3" xfId="32853"/>
    <cellStyle name="표준 10 2 2 2 5 2 4" xfId="32854"/>
    <cellStyle name="표준 10 2 2 2 5 3" xfId="32855"/>
    <cellStyle name="표준 10 2 2 2 5 3 2" xfId="32856"/>
    <cellStyle name="표준 10 2 2 2 5 3 3" xfId="32857"/>
    <cellStyle name="표준 10 2 2 2 5 4" xfId="32858"/>
    <cellStyle name="표준 10 2 2 2 5 5" xfId="32859"/>
    <cellStyle name="표준 10 2 2 2 6" xfId="32860"/>
    <cellStyle name="표준 10 2 2 2 6 2" xfId="32861"/>
    <cellStyle name="표준 10 2 2 2 6 2 2" xfId="32862"/>
    <cellStyle name="표준 10 2 2 2 6 2 2 2" xfId="32863"/>
    <cellStyle name="표준 10 2 2 2 6 2 2 3" xfId="32864"/>
    <cellStyle name="표준 10 2 2 2 6 2 3" xfId="32865"/>
    <cellStyle name="표준 10 2 2 2 6 2 4" xfId="32866"/>
    <cellStyle name="표준 10 2 2 2 6 3" xfId="32867"/>
    <cellStyle name="표준 10 2 2 2 6 3 2" xfId="32868"/>
    <cellStyle name="표준 10 2 2 2 6 3 3" xfId="32869"/>
    <cellStyle name="표준 10 2 2 2 6 4" xfId="32870"/>
    <cellStyle name="표준 10 2 2 2 6 5" xfId="32871"/>
    <cellStyle name="표준 10 2 2 2 7" xfId="32872"/>
    <cellStyle name="표준 10 2 2 2 7 2" xfId="32873"/>
    <cellStyle name="표준 10 2 2 2 7 2 2" xfId="32874"/>
    <cellStyle name="표준 10 2 2 2 7 2 3" xfId="32875"/>
    <cellStyle name="표준 10 2 2 2 7 3" xfId="32876"/>
    <cellStyle name="표준 10 2 2 2 7 4" xfId="32877"/>
    <cellStyle name="표준 10 2 2 2 8" xfId="32878"/>
    <cellStyle name="표준 10 2 2 2 8 2" xfId="32879"/>
    <cellStyle name="표준 10 2 2 2 8 3" xfId="32880"/>
    <cellStyle name="표준 10 2 2 2 9" xfId="32881"/>
    <cellStyle name="표준 10 2 2 3" xfId="32882"/>
    <cellStyle name="표준 10 2 2 3 10" xfId="32883"/>
    <cellStyle name="표준 10 2 2 3 2" xfId="32884"/>
    <cellStyle name="표준 10 2 2 3 2 2" xfId="32885"/>
    <cellStyle name="표준 10 2 2 3 2 2 2" xfId="32886"/>
    <cellStyle name="표준 10 2 2 3 2 2 2 2" xfId="32887"/>
    <cellStyle name="표준 10 2 2 3 2 2 2 2 2" xfId="32888"/>
    <cellStyle name="표준 10 2 2 3 2 2 2 2 3" xfId="32889"/>
    <cellStyle name="표준 10 2 2 3 2 2 2 3" xfId="32890"/>
    <cellStyle name="표준 10 2 2 3 2 2 2 4" xfId="32891"/>
    <cellStyle name="표준 10 2 2 3 2 2 3" xfId="32892"/>
    <cellStyle name="표준 10 2 2 3 2 2 3 2" xfId="32893"/>
    <cellStyle name="표준 10 2 2 3 2 2 3 3" xfId="32894"/>
    <cellStyle name="표준 10 2 2 3 2 2 4" xfId="32895"/>
    <cellStyle name="표준 10 2 2 3 2 2 5" xfId="32896"/>
    <cellStyle name="표준 10 2 2 3 2 3" xfId="32897"/>
    <cellStyle name="표준 10 2 2 3 2 3 2" xfId="32898"/>
    <cellStyle name="표준 10 2 2 3 2 3 2 2" xfId="32899"/>
    <cellStyle name="표준 10 2 2 3 2 3 2 2 2" xfId="32900"/>
    <cellStyle name="표준 10 2 2 3 2 3 2 2 3" xfId="32901"/>
    <cellStyle name="표준 10 2 2 3 2 3 2 3" xfId="32902"/>
    <cellStyle name="표준 10 2 2 3 2 3 2 4" xfId="32903"/>
    <cellStyle name="표준 10 2 2 3 2 3 3" xfId="32904"/>
    <cellStyle name="표준 10 2 2 3 2 3 3 2" xfId="32905"/>
    <cellStyle name="표준 10 2 2 3 2 3 3 3" xfId="32906"/>
    <cellStyle name="표준 10 2 2 3 2 3 4" xfId="32907"/>
    <cellStyle name="표준 10 2 2 3 2 3 5" xfId="32908"/>
    <cellStyle name="표준 10 2 2 3 2 4" xfId="32909"/>
    <cellStyle name="표준 10 2 2 3 2 4 2" xfId="32910"/>
    <cellStyle name="표준 10 2 2 3 2 4 2 2" xfId="32911"/>
    <cellStyle name="표준 10 2 2 3 2 4 2 3" xfId="32912"/>
    <cellStyle name="표준 10 2 2 3 2 4 3" xfId="32913"/>
    <cellStyle name="표준 10 2 2 3 2 4 4" xfId="32914"/>
    <cellStyle name="표준 10 2 2 3 2 5" xfId="32915"/>
    <cellStyle name="표준 10 2 2 3 2 5 2" xfId="32916"/>
    <cellStyle name="표준 10 2 2 3 2 5 3" xfId="32917"/>
    <cellStyle name="표준 10 2 2 3 2 6" xfId="32918"/>
    <cellStyle name="표준 10 2 2 3 2 7" xfId="32919"/>
    <cellStyle name="표준 10 2 2 3 3" xfId="32920"/>
    <cellStyle name="표준 10 2 2 3 3 2" xfId="32921"/>
    <cellStyle name="표준 10 2 2 3 3 2 2" xfId="32922"/>
    <cellStyle name="표준 10 2 2 3 3 2 2 2" xfId="32923"/>
    <cellStyle name="표준 10 2 2 3 3 2 2 2 2" xfId="32924"/>
    <cellStyle name="표준 10 2 2 3 3 2 2 2 3" xfId="32925"/>
    <cellStyle name="표준 10 2 2 3 3 2 2 3" xfId="32926"/>
    <cellStyle name="표준 10 2 2 3 3 2 2 4" xfId="32927"/>
    <cellStyle name="표준 10 2 2 3 3 2 3" xfId="32928"/>
    <cellStyle name="표준 10 2 2 3 3 2 3 2" xfId="32929"/>
    <cellStyle name="표준 10 2 2 3 3 2 3 3" xfId="32930"/>
    <cellStyle name="표준 10 2 2 3 3 2 4" xfId="32931"/>
    <cellStyle name="표준 10 2 2 3 3 2 5" xfId="32932"/>
    <cellStyle name="표준 10 2 2 3 3 3" xfId="32933"/>
    <cellStyle name="표준 10 2 2 3 3 3 2" xfId="32934"/>
    <cellStyle name="표준 10 2 2 3 3 3 2 2" xfId="32935"/>
    <cellStyle name="표준 10 2 2 3 3 3 2 2 2" xfId="32936"/>
    <cellStyle name="표준 10 2 2 3 3 3 2 2 3" xfId="32937"/>
    <cellStyle name="표준 10 2 2 3 3 3 2 3" xfId="32938"/>
    <cellStyle name="표준 10 2 2 3 3 3 2 4" xfId="32939"/>
    <cellStyle name="표준 10 2 2 3 3 3 3" xfId="32940"/>
    <cellStyle name="표준 10 2 2 3 3 3 3 2" xfId="32941"/>
    <cellStyle name="표준 10 2 2 3 3 3 3 3" xfId="32942"/>
    <cellStyle name="표준 10 2 2 3 3 3 4" xfId="32943"/>
    <cellStyle name="표준 10 2 2 3 3 3 5" xfId="32944"/>
    <cellStyle name="표준 10 2 2 3 3 4" xfId="32945"/>
    <cellStyle name="표준 10 2 2 3 3 4 2" xfId="32946"/>
    <cellStyle name="표준 10 2 2 3 3 4 2 2" xfId="32947"/>
    <cellStyle name="표준 10 2 2 3 3 4 2 3" xfId="32948"/>
    <cellStyle name="표준 10 2 2 3 3 4 3" xfId="32949"/>
    <cellStyle name="표준 10 2 2 3 3 4 4" xfId="32950"/>
    <cellStyle name="표준 10 2 2 3 3 5" xfId="32951"/>
    <cellStyle name="표준 10 2 2 3 3 5 2" xfId="32952"/>
    <cellStyle name="표준 10 2 2 3 3 5 3" xfId="32953"/>
    <cellStyle name="표준 10 2 2 3 3 6" xfId="32954"/>
    <cellStyle name="표준 10 2 2 3 3 7" xfId="32955"/>
    <cellStyle name="표준 10 2 2 3 4" xfId="32956"/>
    <cellStyle name="표준 10 2 2 3 4 2" xfId="32957"/>
    <cellStyle name="표준 10 2 2 3 4 2 2" xfId="32958"/>
    <cellStyle name="표준 10 2 2 3 4 2 2 2" xfId="32959"/>
    <cellStyle name="표준 10 2 2 3 4 2 2 3" xfId="32960"/>
    <cellStyle name="표준 10 2 2 3 4 2 3" xfId="32961"/>
    <cellStyle name="표준 10 2 2 3 4 2 4" xfId="32962"/>
    <cellStyle name="표준 10 2 2 3 4 3" xfId="32963"/>
    <cellStyle name="표준 10 2 2 3 4 3 2" xfId="32964"/>
    <cellStyle name="표준 10 2 2 3 4 3 3" xfId="32965"/>
    <cellStyle name="표준 10 2 2 3 4 4" xfId="32966"/>
    <cellStyle name="표준 10 2 2 3 4 5" xfId="32967"/>
    <cellStyle name="표준 10 2 2 3 5" xfId="32968"/>
    <cellStyle name="표준 10 2 2 3 5 2" xfId="32969"/>
    <cellStyle name="표준 10 2 2 3 5 2 2" xfId="32970"/>
    <cellStyle name="표준 10 2 2 3 5 2 2 2" xfId="32971"/>
    <cellStyle name="표준 10 2 2 3 5 2 2 3" xfId="32972"/>
    <cellStyle name="표준 10 2 2 3 5 2 3" xfId="32973"/>
    <cellStyle name="표준 10 2 2 3 5 2 4" xfId="32974"/>
    <cellStyle name="표준 10 2 2 3 5 3" xfId="32975"/>
    <cellStyle name="표준 10 2 2 3 5 3 2" xfId="32976"/>
    <cellStyle name="표준 10 2 2 3 5 3 3" xfId="32977"/>
    <cellStyle name="표준 10 2 2 3 5 4" xfId="32978"/>
    <cellStyle name="표준 10 2 2 3 5 5" xfId="32979"/>
    <cellStyle name="표준 10 2 2 3 6" xfId="32980"/>
    <cellStyle name="표준 10 2 2 3 6 2" xfId="32981"/>
    <cellStyle name="표준 10 2 2 3 6 2 2" xfId="32982"/>
    <cellStyle name="표준 10 2 2 3 6 2 2 2" xfId="32983"/>
    <cellStyle name="표준 10 2 2 3 6 2 2 3" xfId="32984"/>
    <cellStyle name="표준 10 2 2 3 6 2 3" xfId="32985"/>
    <cellStyle name="표준 10 2 2 3 6 2 4" xfId="32986"/>
    <cellStyle name="표준 10 2 2 3 6 3" xfId="32987"/>
    <cellStyle name="표준 10 2 2 3 6 3 2" xfId="32988"/>
    <cellStyle name="표준 10 2 2 3 6 3 3" xfId="32989"/>
    <cellStyle name="표준 10 2 2 3 6 4" xfId="32990"/>
    <cellStyle name="표준 10 2 2 3 6 5" xfId="32991"/>
    <cellStyle name="표준 10 2 2 3 7" xfId="32992"/>
    <cellStyle name="표준 10 2 2 3 7 2" xfId="32993"/>
    <cellStyle name="표준 10 2 2 3 7 2 2" xfId="32994"/>
    <cellStyle name="표준 10 2 2 3 7 2 3" xfId="32995"/>
    <cellStyle name="표준 10 2 2 3 7 3" xfId="32996"/>
    <cellStyle name="표준 10 2 2 3 7 4" xfId="32997"/>
    <cellStyle name="표준 10 2 2 3 8" xfId="32998"/>
    <cellStyle name="표준 10 2 2 3 8 2" xfId="32999"/>
    <cellStyle name="표준 10 2 2 3 8 3" xfId="33000"/>
    <cellStyle name="표준 10 2 2 3 9" xfId="33001"/>
    <cellStyle name="표준 10 2 2 4" xfId="33002"/>
    <cellStyle name="표준 10 2 2 4 10" xfId="33003"/>
    <cellStyle name="표준 10 2 2 4 2" xfId="33004"/>
    <cellStyle name="표준 10 2 2 4 2 2" xfId="33005"/>
    <cellStyle name="표준 10 2 2 4 2 2 2" xfId="33006"/>
    <cellStyle name="표준 10 2 2 4 2 2 2 2" xfId="33007"/>
    <cellStyle name="표준 10 2 2 4 2 2 2 2 2" xfId="33008"/>
    <cellStyle name="표준 10 2 2 4 2 2 2 2 3" xfId="33009"/>
    <cellStyle name="표준 10 2 2 4 2 2 2 3" xfId="33010"/>
    <cellStyle name="표준 10 2 2 4 2 2 2 4" xfId="33011"/>
    <cellStyle name="표준 10 2 2 4 2 2 3" xfId="33012"/>
    <cellStyle name="표준 10 2 2 4 2 2 3 2" xfId="33013"/>
    <cellStyle name="표준 10 2 2 4 2 2 3 3" xfId="33014"/>
    <cellStyle name="표준 10 2 2 4 2 2 4" xfId="33015"/>
    <cellStyle name="표준 10 2 2 4 2 2 5" xfId="33016"/>
    <cellStyle name="표준 10 2 2 4 2 3" xfId="33017"/>
    <cellStyle name="표준 10 2 2 4 2 3 2" xfId="33018"/>
    <cellStyle name="표준 10 2 2 4 2 3 2 2" xfId="33019"/>
    <cellStyle name="표준 10 2 2 4 2 3 2 2 2" xfId="33020"/>
    <cellStyle name="표준 10 2 2 4 2 3 2 2 3" xfId="33021"/>
    <cellStyle name="표준 10 2 2 4 2 3 2 3" xfId="33022"/>
    <cellStyle name="표준 10 2 2 4 2 3 2 4" xfId="33023"/>
    <cellStyle name="표준 10 2 2 4 2 3 3" xfId="33024"/>
    <cellStyle name="표준 10 2 2 4 2 3 3 2" xfId="33025"/>
    <cellStyle name="표준 10 2 2 4 2 3 3 3" xfId="33026"/>
    <cellStyle name="표준 10 2 2 4 2 3 4" xfId="33027"/>
    <cellStyle name="표준 10 2 2 4 2 3 5" xfId="33028"/>
    <cellStyle name="표준 10 2 2 4 2 4" xfId="33029"/>
    <cellStyle name="표준 10 2 2 4 2 4 2" xfId="33030"/>
    <cellStyle name="표준 10 2 2 4 2 4 2 2" xfId="33031"/>
    <cellStyle name="표준 10 2 2 4 2 4 2 3" xfId="33032"/>
    <cellStyle name="표준 10 2 2 4 2 4 3" xfId="33033"/>
    <cellStyle name="표준 10 2 2 4 2 4 4" xfId="33034"/>
    <cellStyle name="표준 10 2 2 4 2 5" xfId="33035"/>
    <cellStyle name="표준 10 2 2 4 2 5 2" xfId="33036"/>
    <cellStyle name="표준 10 2 2 4 2 5 3" xfId="33037"/>
    <cellStyle name="표준 10 2 2 4 2 6" xfId="33038"/>
    <cellStyle name="표준 10 2 2 4 2 7" xfId="33039"/>
    <cellStyle name="표준 10 2 2 4 3" xfId="33040"/>
    <cellStyle name="표준 10 2 2 4 3 2" xfId="33041"/>
    <cellStyle name="표준 10 2 2 4 3 2 2" xfId="33042"/>
    <cellStyle name="표준 10 2 2 4 3 2 2 2" xfId="33043"/>
    <cellStyle name="표준 10 2 2 4 3 2 2 2 2" xfId="33044"/>
    <cellStyle name="표준 10 2 2 4 3 2 2 2 3" xfId="33045"/>
    <cellStyle name="표준 10 2 2 4 3 2 2 3" xfId="33046"/>
    <cellStyle name="표준 10 2 2 4 3 2 2 4" xfId="33047"/>
    <cellStyle name="표준 10 2 2 4 3 2 3" xfId="33048"/>
    <cellStyle name="표준 10 2 2 4 3 2 3 2" xfId="33049"/>
    <cellStyle name="표준 10 2 2 4 3 2 3 3" xfId="33050"/>
    <cellStyle name="표준 10 2 2 4 3 2 4" xfId="33051"/>
    <cellStyle name="표준 10 2 2 4 3 2 5" xfId="33052"/>
    <cellStyle name="표준 10 2 2 4 3 3" xfId="33053"/>
    <cellStyle name="표준 10 2 2 4 3 3 2" xfId="33054"/>
    <cellStyle name="표준 10 2 2 4 3 3 2 2" xfId="33055"/>
    <cellStyle name="표준 10 2 2 4 3 3 2 2 2" xfId="33056"/>
    <cellStyle name="표준 10 2 2 4 3 3 2 2 3" xfId="33057"/>
    <cellStyle name="표준 10 2 2 4 3 3 2 3" xfId="33058"/>
    <cellStyle name="표준 10 2 2 4 3 3 2 4" xfId="33059"/>
    <cellStyle name="표준 10 2 2 4 3 3 3" xfId="33060"/>
    <cellStyle name="표준 10 2 2 4 3 3 3 2" xfId="33061"/>
    <cellStyle name="표준 10 2 2 4 3 3 3 3" xfId="33062"/>
    <cellStyle name="표준 10 2 2 4 3 3 4" xfId="33063"/>
    <cellStyle name="표준 10 2 2 4 3 3 5" xfId="33064"/>
    <cellStyle name="표준 10 2 2 4 3 4" xfId="33065"/>
    <cellStyle name="표준 10 2 2 4 3 4 2" xfId="33066"/>
    <cellStyle name="표준 10 2 2 4 3 4 2 2" xfId="33067"/>
    <cellStyle name="표준 10 2 2 4 3 4 2 3" xfId="33068"/>
    <cellStyle name="표준 10 2 2 4 3 4 3" xfId="33069"/>
    <cellStyle name="표준 10 2 2 4 3 4 4" xfId="33070"/>
    <cellStyle name="표준 10 2 2 4 3 5" xfId="33071"/>
    <cellStyle name="표준 10 2 2 4 3 5 2" xfId="33072"/>
    <cellStyle name="표준 10 2 2 4 3 5 3" xfId="33073"/>
    <cellStyle name="표준 10 2 2 4 3 6" xfId="33074"/>
    <cellStyle name="표준 10 2 2 4 3 7" xfId="33075"/>
    <cellStyle name="표준 10 2 2 4 4" xfId="33076"/>
    <cellStyle name="표준 10 2 2 4 4 2" xfId="33077"/>
    <cellStyle name="표준 10 2 2 4 4 2 2" xfId="33078"/>
    <cellStyle name="표준 10 2 2 4 4 2 2 2" xfId="33079"/>
    <cellStyle name="표준 10 2 2 4 4 2 2 3" xfId="33080"/>
    <cellStyle name="표준 10 2 2 4 4 2 3" xfId="33081"/>
    <cellStyle name="표준 10 2 2 4 4 2 4" xfId="33082"/>
    <cellStyle name="표준 10 2 2 4 4 3" xfId="33083"/>
    <cellStyle name="표준 10 2 2 4 4 3 2" xfId="33084"/>
    <cellStyle name="표준 10 2 2 4 4 3 3" xfId="33085"/>
    <cellStyle name="표준 10 2 2 4 4 4" xfId="33086"/>
    <cellStyle name="표준 10 2 2 4 4 5" xfId="33087"/>
    <cellStyle name="표준 10 2 2 4 5" xfId="33088"/>
    <cellStyle name="표준 10 2 2 4 5 2" xfId="33089"/>
    <cellStyle name="표준 10 2 2 4 5 2 2" xfId="33090"/>
    <cellStyle name="표준 10 2 2 4 5 2 2 2" xfId="33091"/>
    <cellStyle name="표준 10 2 2 4 5 2 2 3" xfId="33092"/>
    <cellStyle name="표준 10 2 2 4 5 2 3" xfId="33093"/>
    <cellStyle name="표준 10 2 2 4 5 2 4" xfId="33094"/>
    <cellStyle name="표준 10 2 2 4 5 3" xfId="33095"/>
    <cellStyle name="표준 10 2 2 4 5 3 2" xfId="33096"/>
    <cellStyle name="표준 10 2 2 4 5 3 3" xfId="33097"/>
    <cellStyle name="표준 10 2 2 4 5 4" xfId="33098"/>
    <cellStyle name="표준 10 2 2 4 5 5" xfId="33099"/>
    <cellStyle name="표준 10 2 2 4 6" xfId="33100"/>
    <cellStyle name="표준 10 2 2 4 6 2" xfId="33101"/>
    <cellStyle name="표준 10 2 2 4 6 2 2" xfId="33102"/>
    <cellStyle name="표준 10 2 2 4 6 2 2 2" xfId="33103"/>
    <cellStyle name="표준 10 2 2 4 6 2 2 3" xfId="33104"/>
    <cellStyle name="표준 10 2 2 4 6 2 3" xfId="33105"/>
    <cellStyle name="표준 10 2 2 4 6 2 4" xfId="33106"/>
    <cellStyle name="표준 10 2 2 4 6 3" xfId="33107"/>
    <cellStyle name="표준 10 2 2 4 6 3 2" xfId="33108"/>
    <cellStyle name="표준 10 2 2 4 6 3 3" xfId="33109"/>
    <cellStyle name="표준 10 2 2 4 6 4" xfId="33110"/>
    <cellStyle name="표준 10 2 2 4 6 5" xfId="33111"/>
    <cellStyle name="표준 10 2 2 4 7" xfId="33112"/>
    <cellStyle name="표준 10 2 2 4 7 2" xfId="33113"/>
    <cellStyle name="표준 10 2 2 4 7 2 2" xfId="33114"/>
    <cellStyle name="표준 10 2 2 4 7 2 3" xfId="33115"/>
    <cellStyle name="표준 10 2 2 4 7 3" xfId="33116"/>
    <cellStyle name="표준 10 2 2 4 7 4" xfId="33117"/>
    <cellStyle name="표준 10 2 2 4 8" xfId="33118"/>
    <cellStyle name="표준 10 2 2 4 8 2" xfId="33119"/>
    <cellStyle name="표준 10 2 2 4 8 3" xfId="33120"/>
    <cellStyle name="표준 10 2 2 4 9" xfId="33121"/>
    <cellStyle name="표준 10 2 2 5" xfId="33122"/>
    <cellStyle name="표준 10 2 2 5 2" xfId="33123"/>
    <cellStyle name="표준 10 2 2 5 2 2" xfId="33124"/>
    <cellStyle name="표준 10 2 2 5 2 2 2" xfId="33125"/>
    <cellStyle name="표준 10 2 2 5 2 2 2 2" xfId="33126"/>
    <cellStyle name="표준 10 2 2 5 2 2 2 3" xfId="33127"/>
    <cellStyle name="표준 10 2 2 5 2 2 3" xfId="33128"/>
    <cellStyle name="표준 10 2 2 5 2 2 4" xfId="33129"/>
    <cellStyle name="표준 10 2 2 5 2 3" xfId="33130"/>
    <cellStyle name="표준 10 2 2 5 2 3 2" xfId="33131"/>
    <cellStyle name="표준 10 2 2 5 2 3 3" xfId="33132"/>
    <cellStyle name="표준 10 2 2 5 2 4" xfId="33133"/>
    <cellStyle name="표준 10 2 2 5 2 5" xfId="33134"/>
    <cellStyle name="표준 10 2 2 5 3" xfId="33135"/>
    <cellStyle name="표준 10 2 2 5 3 2" xfId="33136"/>
    <cellStyle name="표준 10 2 2 5 3 2 2" xfId="33137"/>
    <cellStyle name="표준 10 2 2 5 3 2 2 2" xfId="33138"/>
    <cellStyle name="표준 10 2 2 5 3 2 2 3" xfId="33139"/>
    <cellStyle name="표준 10 2 2 5 3 2 3" xfId="33140"/>
    <cellStyle name="표준 10 2 2 5 3 2 4" xfId="33141"/>
    <cellStyle name="표준 10 2 2 5 3 3" xfId="33142"/>
    <cellStyle name="표준 10 2 2 5 3 3 2" xfId="33143"/>
    <cellStyle name="표준 10 2 2 5 3 3 3" xfId="33144"/>
    <cellStyle name="표준 10 2 2 5 3 4" xfId="33145"/>
    <cellStyle name="표준 10 2 2 5 3 5" xfId="33146"/>
    <cellStyle name="표준 10 2 2 5 4" xfId="33147"/>
    <cellStyle name="표준 10 2 2 5 4 2" xfId="33148"/>
    <cellStyle name="표준 10 2 2 5 4 2 2" xfId="33149"/>
    <cellStyle name="표준 10 2 2 5 4 2 3" xfId="33150"/>
    <cellStyle name="표준 10 2 2 5 4 3" xfId="33151"/>
    <cellStyle name="표준 10 2 2 5 4 4" xfId="33152"/>
    <cellStyle name="표준 10 2 2 5 5" xfId="33153"/>
    <cellStyle name="표준 10 2 2 5 5 2" xfId="33154"/>
    <cellStyle name="표준 10 2 2 5 5 3" xfId="33155"/>
    <cellStyle name="표준 10 2 2 5 6" xfId="33156"/>
    <cellStyle name="표준 10 2 2 5 7" xfId="33157"/>
    <cellStyle name="표준 10 2 2 6" xfId="33158"/>
    <cellStyle name="표준 10 2 2 6 2" xfId="33159"/>
    <cellStyle name="표준 10 2 2 6 2 2" xfId="33160"/>
    <cellStyle name="표준 10 2 2 6 2 2 2" xfId="33161"/>
    <cellStyle name="표준 10 2 2 6 2 2 2 2" xfId="33162"/>
    <cellStyle name="표준 10 2 2 6 2 2 2 3" xfId="33163"/>
    <cellStyle name="표준 10 2 2 6 2 2 3" xfId="33164"/>
    <cellStyle name="표준 10 2 2 6 2 2 4" xfId="33165"/>
    <cellStyle name="표준 10 2 2 6 2 3" xfId="33166"/>
    <cellStyle name="표준 10 2 2 6 2 3 2" xfId="33167"/>
    <cellStyle name="표준 10 2 2 6 2 3 3" xfId="33168"/>
    <cellStyle name="표준 10 2 2 6 2 4" xfId="33169"/>
    <cellStyle name="표준 10 2 2 6 2 5" xfId="33170"/>
    <cellStyle name="표준 10 2 2 6 3" xfId="33171"/>
    <cellStyle name="표준 10 2 2 6 3 2" xfId="33172"/>
    <cellStyle name="표준 10 2 2 6 3 2 2" xfId="33173"/>
    <cellStyle name="표준 10 2 2 6 3 2 2 2" xfId="33174"/>
    <cellStyle name="표준 10 2 2 6 3 2 2 3" xfId="33175"/>
    <cellStyle name="표준 10 2 2 6 3 2 3" xfId="33176"/>
    <cellStyle name="표준 10 2 2 6 3 2 4" xfId="33177"/>
    <cellStyle name="표준 10 2 2 6 3 3" xfId="33178"/>
    <cellStyle name="표준 10 2 2 6 3 3 2" xfId="33179"/>
    <cellStyle name="표준 10 2 2 6 3 3 3" xfId="33180"/>
    <cellStyle name="표준 10 2 2 6 3 4" xfId="33181"/>
    <cellStyle name="표준 10 2 2 6 3 5" xfId="33182"/>
    <cellStyle name="표준 10 2 2 6 4" xfId="33183"/>
    <cellStyle name="표준 10 2 2 6 4 2" xfId="33184"/>
    <cellStyle name="표준 10 2 2 6 4 2 2" xfId="33185"/>
    <cellStyle name="표준 10 2 2 6 4 2 3" xfId="33186"/>
    <cellStyle name="표준 10 2 2 6 4 3" xfId="33187"/>
    <cellStyle name="표준 10 2 2 6 4 4" xfId="33188"/>
    <cellStyle name="표준 10 2 2 6 5" xfId="33189"/>
    <cellStyle name="표준 10 2 2 6 5 2" xfId="33190"/>
    <cellStyle name="표준 10 2 2 6 5 3" xfId="33191"/>
    <cellStyle name="표준 10 2 2 6 6" xfId="33192"/>
    <cellStyle name="표준 10 2 2 6 7" xfId="33193"/>
    <cellStyle name="표준 10 2 2 7" xfId="33194"/>
    <cellStyle name="표준 10 2 2 7 2" xfId="33195"/>
    <cellStyle name="표준 10 2 2 7 2 2" xfId="33196"/>
    <cellStyle name="표준 10 2 2 7 2 2 2" xfId="33197"/>
    <cellStyle name="표준 10 2 2 7 2 2 3" xfId="33198"/>
    <cellStyle name="표준 10 2 2 7 2 3" xfId="33199"/>
    <cellStyle name="표준 10 2 2 7 2 4" xfId="33200"/>
    <cellStyle name="표준 10 2 2 7 3" xfId="33201"/>
    <cellStyle name="표준 10 2 2 7 3 2" xfId="33202"/>
    <cellStyle name="표준 10 2 2 7 3 3" xfId="33203"/>
    <cellStyle name="표준 10 2 2 7 4" xfId="33204"/>
    <cellStyle name="표준 10 2 2 7 5" xfId="33205"/>
    <cellStyle name="표준 10 2 2 8" xfId="33206"/>
    <cellStyle name="표준 10 2 2 8 2" xfId="33207"/>
    <cellStyle name="표준 10 2 2 8 2 2" xfId="33208"/>
    <cellStyle name="표준 10 2 2 8 2 2 2" xfId="33209"/>
    <cellStyle name="표준 10 2 2 8 2 2 3" xfId="33210"/>
    <cellStyle name="표준 10 2 2 8 2 3" xfId="33211"/>
    <cellStyle name="표준 10 2 2 8 2 4" xfId="33212"/>
    <cellStyle name="표준 10 2 2 8 3" xfId="33213"/>
    <cellStyle name="표준 10 2 2 8 3 2" xfId="33214"/>
    <cellStyle name="표준 10 2 2 8 3 3" xfId="33215"/>
    <cellStyle name="표준 10 2 2 8 4" xfId="33216"/>
    <cellStyle name="표준 10 2 2 8 5" xfId="33217"/>
    <cellStyle name="표준 10 2 2 9" xfId="33218"/>
    <cellStyle name="표준 10 2 2 9 2" xfId="33219"/>
    <cellStyle name="표준 10 2 2 9 2 2" xfId="33220"/>
    <cellStyle name="표준 10 2 2 9 2 2 2" xfId="33221"/>
    <cellStyle name="표준 10 2 2 9 2 2 3" xfId="33222"/>
    <cellStyle name="표준 10 2 2 9 2 3" xfId="33223"/>
    <cellStyle name="표준 10 2 2 9 2 4" xfId="33224"/>
    <cellStyle name="표준 10 2 2 9 3" xfId="33225"/>
    <cellStyle name="표준 10 2 2 9 3 2" xfId="33226"/>
    <cellStyle name="표준 10 2 2 9 3 3" xfId="33227"/>
    <cellStyle name="표준 10 2 2 9 4" xfId="33228"/>
    <cellStyle name="표준 10 2 2 9 5" xfId="33229"/>
    <cellStyle name="표준 10 2 3" xfId="33230"/>
    <cellStyle name="표준 10 2 3 10" xfId="33231"/>
    <cellStyle name="표준 10 2 3 2" xfId="33232"/>
    <cellStyle name="표준 10 2 3 2 2" xfId="33233"/>
    <cellStyle name="표준 10 2 3 2 2 2" xfId="33234"/>
    <cellStyle name="표준 10 2 3 2 2 2 2" xfId="33235"/>
    <cellStyle name="표준 10 2 3 2 2 2 2 2" xfId="33236"/>
    <cellStyle name="표준 10 2 3 2 2 2 2 3" xfId="33237"/>
    <cellStyle name="표준 10 2 3 2 2 2 3" xfId="33238"/>
    <cellStyle name="표준 10 2 3 2 2 2 4" xfId="33239"/>
    <cellStyle name="표준 10 2 3 2 2 3" xfId="33240"/>
    <cellStyle name="표준 10 2 3 2 2 3 2" xfId="33241"/>
    <cellStyle name="표준 10 2 3 2 2 3 3" xfId="33242"/>
    <cellStyle name="표준 10 2 3 2 2 4" xfId="33243"/>
    <cellStyle name="표준 10 2 3 2 2 5" xfId="33244"/>
    <cellStyle name="표준 10 2 3 2 3" xfId="33245"/>
    <cellStyle name="표준 10 2 3 2 3 2" xfId="33246"/>
    <cellStyle name="표준 10 2 3 2 3 2 2" xfId="33247"/>
    <cellStyle name="표준 10 2 3 2 3 2 2 2" xfId="33248"/>
    <cellStyle name="표준 10 2 3 2 3 2 2 3" xfId="33249"/>
    <cellStyle name="표준 10 2 3 2 3 2 3" xfId="33250"/>
    <cellStyle name="표준 10 2 3 2 3 2 4" xfId="33251"/>
    <cellStyle name="표준 10 2 3 2 3 3" xfId="33252"/>
    <cellStyle name="표준 10 2 3 2 3 3 2" xfId="33253"/>
    <cellStyle name="표준 10 2 3 2 3 3 3" xfId="33254"/>
    <cellStyle name="표준 10 2 3 2 3 4" xfId="33255"/>
    <cellStyle name="표준 10 2 3 2 3 5" xfId="33256"/>
    <cellStyle name="표준 10 2 3 2 4" xfId="33257"/>
    <cellStyle name="표준 10 2 3 2 4 2" xfId="33258"/>
    <cellStyle name="표준 10 2 3 2 4 2 2" xfId="33259"/>
    <cellStyle name="표준 10 2 3 2 4 2 3" xfId="33260"/>
    <cellStyle name="표준 10 2 3 2 4 3" xfId="33261"/>
    <cellStyle name="표준 10 2 3 2 4 4" xfId="33262"/>
    <cellStyle name="표준 10 2 3 2 5" xfId="33263"/>
    <cellStyle name="표준 10 2 3 2 5 2" xfId="33264"/>
    <cellStyle name="표준 10 2 3 2 5 3" xfId="33265"/>
    <cellStyle name="표준 10 2 3 2 6" xfId="33266"/>
    <cellStyle name="표준 10 2 3 2 7" xfId="33267"/>
    <cellStyle name="표준 10 2 3 3" xfId="33268"/>
    <cellStyle name="표준 10 2 3 3 2" xfId="33269"/>
    <cellStyle name="표준 10 2 3 3 2 2" xfId="33270"/>
    <cellStyle name="표준 10 2 3 3 2 2 2" xfId="33271"/>
    <cellStyle name="표준 10 2 3 3 2 2 2 2" xfId="33272"/>
    <cellStyle name="표준 10 2 3 3 2 2 2 3" xfId="33273"/>
    <cellStyle name="표준 10 2 3 3 2 2 3" xfId="33274"/>
    <cellStyle name="표준 10 2 3 3 2 2 4" xfId="33275"/>
    <cellStyle name="표준 10 2 3 3 2 3" xfId="33276"/>
    <cellStyle name="표준 10 2 3 3 2 3 2" xfId="33277"/>
    <cellStyle name="표준 10 2 3 3 2 3 3" xfId="33278"/>
    <cellStyle name="표준 10 2 3 3 2 4" xfId="33279"/>
    <cellStyle name="표준 10 2 3 3 2 5" xfId="33280"/>
    <cellStyle name="표준 10 2 3 3 3" xfId="33281"/>
    <cellStyle name="표준 10 2 3 3 3 2" xfId="33282"/>
    <cellStyle name="표준 10 2 3 3 3 2 2" xfId="33283"/>
    <cellStyle name="표준 10 2 3 3 3 2 2 2" xfId="33284"/>
    <cellStyle name="표준 10 2 3 3 3 2 2 3" xfId="33285"/>
    <cellStyle name="표준 10 2 3 3 3 2 3" xfId="33286"/>
    <cellStyle name="표준 10 2 3 3 3 2 4" xfId="33287"/>
    <cellStyle name="표준 10 2 3 3 3 3" xfId="33288"/>
    <cellStyle name="표준 10 2 3 3 3 3 2" xfId="33289"/>
    <cellStyle name="표준 10 2 3 3 3 3 3" xfId="33290"/>
    <cellStyle name="표준 10 2 3 3 3 4" xfId="33291"/>
    <cellStyle name="표준 10 2 3 3 3 5" xfId="33292"/>
    <cellStyle name="표준 10 2 3 3 4" xfId="33293"/>
    <cellStyle name="표준 10 2 3 3 4 2" xfId="33294"/>
    <cellStyle name="표준 10 2 3 3 4 2 2" xfId="33295"/>
    <cellStyle name="표준 10 2 3 3 4 2 3" xfId="33296"/>
    <cellStyle name="표준 10 2 3 3 4 3" xfId="33297"/>
    <cellStyle name="표준 10 2 3 3 4 4" xfId="33298"/>
    <cellStyle name="표준 10 2 3 3 5" xfId="33299"/>
    <cellStyle name="표준 10 2 3 3 5 2" xfId="33300"/>
    <cellStyle name="표준 10 2 3 3 5 3" xfId="33301"/>
    <cellStyle name="표준 10 2 3 3 6" xfId="33302"/>
    <cellStyle name="표준 10 2 3 3 7" xfId="33303"/>
    <cellStyle name="표준 10 2 3 4" xfId="33304"/>
    <cellStyle name="표준 10 2 3 4 2" xfId="33305"/>
    <cellStyle name="표준 10 2 3 4 2 2" xfId="33306"/>
    <cellStyle name="표준 10 2 3 4 2 2 2" xfId="33307"/>
    <cellStyle name="표준 10 2 3 4 2 2 3" xfId="33308"/>
    <cellStyle name="표준 10 2 3 4 2 3" xfId="33309"/>
    <cellStyle name="표준 10 2 3 4 2 4" xfId="33310"/>
    <cellStyle name="표준 10 2 3 4 3" xfId="33311"/>
    <cellStyle name="표준 10 2 3 4 3 2" xfId="33312"/>
    <cellStyle name="표준 10 2 3 4 3 3" xfId="33313"/>
    <cellStyle name="표준 10 2 3 4 4" xfId="33314"/>
    <cellStyle name="표준 10 2 3 4 5" xfId="33315"/>
    <cellStyle name="표준 10 2 3 5" xfId="33316"/>
    <cellStyle name="표준 10 2 3 5 2" xfId="33317"/>
    <cellStyle name="표준 10 2 3 5 2 2" xfId="33318"/>
    <cellStyle name="표준 10 2 3 5 2 2 2" xfId="33319"/>
    <cellStyle name="표준 10 2 3 5 2 2 3" xfId="33320"/>
    <cellStyle name="표준 10 2 3 5 2 3" xfId="33321"/>
    <cellStyle name="표준 10 2 3 5 2 4" xfId="33322"/>
    <cellStyle name="표준 10 2 3 5 3" xfId="33323"/>
    <cellStyle name="표준 10 2 3 5 3 2" xfId="33324"/>
    <cellStyle name="표준 10 2 3 5 3 3" xfId="33325"/>
    <cellStyle name="표준 10 2 3 5 4" xfId="33326"/>
    <cellStyle name="표준 10 2 3 5 5" xfId="33327"/>
    <cellStyle name="표준 10 2 3 6" xfId="33328"/>
    <cellStyle name="표준 10 2 3 6 2" xfId="33329"/>
    <cellStyle name="표준 10 2 3 6 2 2" xfId="33330"/>
    <cellStyle name="표준 10 2 3 6 2 2 2" xfId="33331"/>
    <cellStyle name="표준 10 2 3 6 2 2 3" xfId="33332"/>
    <cellStyle name="표준 10 2 3 6 2 3" xfId="33333"/>
    <cellStyle name="표준 10 2 3 6 2 4" xfId="33334"/>
    <cellStyle name="표준 10 2 3 6 3" xfId="33335"/>
    <cellStyle name="표준 10 2 3 6 3 2" xfId="33336"/>
    <cellStyle name="표준 10 2 3 6 3 3" xfId="33337"/>
    <cellStyle name="표준 10 2 3 6 4" xfId="33338"/>
    <cellStyle name="표준 10 2 3 6 5" xfId="33339"/>
    <cellStyle name="표준 10 2 3 7" xfId="33340"/>
    <cellStyle name="표준 10 2 3 7 2" xfId="33341"/>
    <cellStyle name="표준 10 2 3 7 2 2" xfId="33342"/>
    <cellStyle name="표준 10 2 3 7 2 3" xfId="33343"/>
    <cellStyle name="표준 10 2 3 7 3" xfId="33344"/>
    <cellStyle name="표준 10 2 3 7 4" xfId="33345"/>
    <cellStyle name="표준 10 2 3 8" xfId="33346"/>
    <cellStyle name="표준 10 2 3 8 2" xfId="33347"/>
    <cellStyle name="표준 10 2 3 8 3" xfId="33348"/>
    <cellStyle name="표준 10 2 3 9" xfId="33349"/>
    <cellStyle name="표준 10 2 4" xfId="33350"/>
    <cellStyle name="표준 10 2 4 10" xfId="33351"/>
    <cellStyle name="표준 10 2 4 2" xfId="33352"/>
    <cellStyle name="표준 10 2 4 2 2" xfId="33353"/>
    <cellStyle name="표준 10 2 4 2 2 2" xfId="33354"/>
    <cellStyle name="표준 10 2 4 2 2 2 2" xfId="33355"/>
    <cellStyle name="표준 10 2 4 2 2 2 2 2" xfId="33356"/>
    <cellStyle name="표준 10 2 4 2 2 2 2 3" xfId="33357"/>
    <cellStyle name="표준 10 2 4 2 2 2 3" xfId="33358"/>
    <cellStyle name="표준 10 2 4 2 2 2 4" xfId="33359"/>
    <cellStyle name="표준 10 2 4 2 2 3" xfId="33360"/>
    <cellStyle name="표준 10 2 4 2 2 3 2" xfId="33361"/>
    <cellStyle name="표준 10 2 4 2 2 3 3" xfId="33362"/>
    <cellStyle name="표준 10 2 4 2 2 4" xfId="33363"/>
    <cellStyle name="표준 10 2 4 2 2 5" xfId="33364"/>
    <cellStyle name="표준 10 2 4 2 3" xfId="33365"/>
    <cellStyle name="표준 10 2 4 2 3 2" xfId="33366"/>
    <cellStyle name="표준 10 2 4 2 3 2 2" xfId="33367"/>
    <cellStyle name="표준 10 2 4 2 3 2 2 2" xfId="33368"/>
    <cellStyle name="표준 10 2 4 2 3 2 2 3" xfId="33369"/>
    <cellStyle name="표준 10 2 4 2 3 2 3" xfId="33370"/>
    <cellStyle name="표준 10 2 4 2 3 2 4" xfId="33371"/>
    <cellStyle name="표준 10 2 4 2 3 3" xfId="33372"/>
    <cellStyle name="표준 10 2 4 2 3 3 2" xfId="33373"/>
    <cellStyle name="표준 10 2 4 2 3 3 3" xfId="33374"/>
    <cellStyle name="표준 10 2 4 2 3 4" xfId="33375"/>
    <cellStyle name="표준 10 2 4 2 3 5" xfId="33376"/>
    <cellStyle name="표준 10 2 4 2 4" xfId="33377"/>
    <cellStyle name="표준 10 2 4 2 4 2" xfId="33378"/>
    <cellStyle name="표준 10 2 4 2 4 2 2" xfId="33379"/>
    <cellStyle name="표준 10 2 4 2 4 2 3" xfId="33380"/>
    <cellStyle name="표준 10 2 4 2 4 3" xfId="33381"/>
    <cellStyle name="표준 10 2 4 2 4 4" xfId="33382"/>
    <cellStyle name="표준 10 2 4 2 5" xfId="33383"/>
    <cellStyle name="표준 10 2 4 2 5 2" xfId="33384"/>
    <cellStyle name="표준 10 2 4 2 5 3" xfId="33385"/>
    <cellStyle name="표준 10 2 4 2 6" xfId="33386"/>
    <cellStyle name="표준 10 2 4 2 7" xfId="33387"/>
    <cellStyle name="표준 10 2 4 3" xfId="33388"/>
    <cellStyle name="표준 10 2 4 3 2" xfId="33389"/>
    <cellStyle name="표준 10 2 4 3 2 2" xfId="33390"/>
    <cellStyle name="표준 10 2 4 3 2 2 2" xfId="33391"/>
    <cellStyle name="표준 10 2 4 3 2 2 2 2" xfId="33392"/>
    <cellStyle name="표준 10 2 4 3 2 2 2 3" xfId="33393"/>
    <cellStyle name="표준 10 2 4 3 2 2 3" xfId="33394"/>
    <cellStyle name="표준 10 2 4 3 2 2 4" xfId="33395"/>
    <cellStyle name="표준 10 2 4 3 2 3" xfId="33396"/>
    <cellStyle name="표준 10 2 4 3 2 3 2" xfId="33397"/>
    <cellStyle name="표준 10 2 4 3 2 3 3" xfId="33398"/>
    <cellStyle name="표준 10 2 4 3 2 4" xfId="33399"/>
    <cellStyle name="표준 10 2 4 3 2 5" xfId="33400"/>
    <cellStyle name="표준 10 2 4 3 3" xfId="33401"/>
    <cellStyle name="표준 10 2 4 3 3 2" xfId="33402"/>
    <cellStyle name="표준 10 2 4 3 3 2 2" xfId="33403"/>
    <cellStyle name="표준 10 2 4 3 3 2 2 2" xfId="33404"/>
    <cellStyle name="표준 10 2 4 3 3 2 2 3" xfId="33405"/>
    <cellStyle name="표준 10 2 4 3 3 2 3" xfId="33406"/>
    <cellStyle name="표준 10 2 4 3 3 2 4" xfId="33407"/>
    <cellStyle name="표준 10 2 4 3 3 3" xfId="33408"/>
    <cellStyle name="표준 10 2 4 3 3 3 2" xfId="33409"/>
    <cellStyle name="표준 10 2 4 3 3 3 3" xfId="33410"/>
    <cellStyle name="표준 10 2 4 3 3 4" xfId="33411"/>
    <cellStyle name="표준 10 2 4 3 3 5" xfId="33412"/>
    <cellStyle name="표준 10 2 4 3 4" xfId="33413"/>
    <cellStyle name="표준 10 2 4 3 4 2" xfId="33414"/>
    <cellStyle name="표준 10 2 4 3 4 2 2" xfId="33415"/>
    <cellStyle name="표준 10 2 4 3 4 2 3" xfId="33416"/>
    <cellStyle name="표준 10 2 4 3 4 3" xfId="33417"/>
    <cellStyle name="표준 10 2 4 3 4 4" xfId="33418"/>
    <cellStyle name="표준 10 2 4 3 5" xfId="33419"/>
    <cellStyle name="표준 10 2 4 3 5 2" xfId="33420"/>
    <cellStyle name="표준 10 2 4 3 5 3" xfId="33421"/>
    <cellStyle name="표준 10 2 4 3 6" xfId="33422"/>
    <cellStyle name="표준 10 2 4 3 7" xfId="33423"/>
    <cellStyle name="표준 10 2 4 4" xfId="33424"/>
    <cellStyle name="표준 10 2 4 4 2" xfId="33425"/>
    <cellStyle name="표준 10 2 4 4 2 2" xfId="33426"/>
    <cellStyle name="표준 10 2 4 4 2 2 2" xfId="33427"/>
    <cellStyle name="표준 10 2 4 4 2 2 3" xfId="33428"/>
    <cellStyle name="표준 10 2 4 4 2 3" xfId="33429"/>
    <cellStyle name="표준 10 2 4 4 2 4" xfId="33430"/>
    <cellStyle name="표준 10 2 4 4 3" xfId="33431"/>
    <cellStyle name="표준 10 2 4 4 3 2" xfId="33432"/>
    <cellStyle name="표준 10 2 4 4 3 3" xfId="33433"/>
    <cellStyle name="표준 10 2 4 4 4" xfId="33434"/>
    <cellStyle name="표준 10 2 4 4 5" xfId="33435"/>
    <cellStyle name="표준 10 2 4 5" xfId="33436"/>
    <cellStyle name="표준 10 2 4 5 2" xfId="33437"/>
    <cellStyle name="표준 10 2 4 5 2 2" xfId="33438"/>
    <cellStyle name="표준 10 2 4 5 2 2 2" xfId="33439"/>
    <cellStyle name="표준 10 2 4 5 2 2 3" xfId="33440"/>
    <cellStyle name="표준 10 2 4 5 2 3" xfId="33441"/>
    <cellStyle name="표준 10 2 4 5 2 4" xfId="33442"/>
    <cellStyle name="표준 10 2 4 5 3" xfId="33443"/>
    <cellStyle name="표준 10 2 4 5 3 2" xfId="33444"/>
    <cellStyle name="표준 10 2 4 5 3 3" xfId="33445"/>
    <cellStyle name="표준 10 2 4 5 4" xfId="33446"/>
    <cellStyle name="표준 10 2 4 5 5" xfId="33447"/>
    <cellStyle name="표준 10 2 4 6" xfId="33448"/>
    <cellStyle name="표준 10 2 4 6 2" xfId="33449"/>
    <cellStyle name="표준 10 2 4 6 2 2" xfId="33450"/>
    <cellStyle name="표준 10 2 4 6 2 2 2" xfId="33451"/>
    <cellStyle name="표준 10 2 4 6 2 2 3" xfId="33452"/>
    <cellStyle name="표준 10 2 4 6 2 3" xfId="33453"/>
    <cellStyle name="표준 10 2 4 6 2 4" xfId="33454"/>
    <cellStyle name="표준 10 2 4 6 3" xfId="33455"/>
    <cellStyle name="표준 10 2 4 6 3 2" xfId="33456"/>
    <cellStyle name="표준 10 2 4 6 3 3" xfId="33457"/>
    <cellStyle name="표준 10 2 4 6 4" xfId="33458"/>
    <cellStyle name="표준 10 2 4 6 5" xfId="33459"/>
    <cellStyle name="표준 10 2 4 7" xfId="33460"/>
    <cellStyle name="표준 10 2 4 7 2" xfId="33461"/>
    <cellStyle name="표준 10 2 4 7 2 2" xfId="33462"/>
    <cellStyle name="표준 10 2 4 7 2 3" xfId="33463"/>
    <cellStyle name="표준 10 2 4 7 3" xfId="33464"/>
    <cellStyle name="표준 10 2 4 7 4" xfId="33465"/>
    <cellStyle name="표준 10 2 4 8" xfId="33466"/>
    <cellStyle name="표준 10 2 4 8 2" xfId="33467"/>
    <cellStyle name="표준 10 2 4 8 3" xfId="33468"/>
    <cellStyle name="표준 10 2 4 9" xfId="33469"/>
    <cellStyle name="표준 10 2 5" xfId="33470"/>
    <cellStyle name="표준 10 2 5 10" xfId="33471"/>
    <cellStyle name="표준 10 2 5 2" xfId="33472"/>
    <cellStyle name="표준 10 2 5 2 2" xfId="33473"/>
    <cellStyle name="표준 10 2 5 2 2 2" xfId="33474"/>
    <cellStyle name="표준 10 2 5 2 2 2 2" xfId="33475"/>
    <cellStyle name="표준 10 2 5 2 2 2 2 2" xfId="33476"/>
    <cellStyle name="표준 10 2 5 2 2 2 2 3" xfId="33477"/>
    <cellStyle name="표준 10 2 5 2 2 2 3" xfId="33478"/>
    <cellStyle name="표준 10 2 5 2 2 2 4" xfId="33479"/>
    <cellStyle name="표준 10 2 5 2 2 3" xfId="33480"/>
    <cellStyle name="표준 10 2 5 2 2 3 2" xfId="33481"/>
    <cellStyle name="표준 10 2 5 2 2 3 3" xfId="33482"/>
    <cellStyle name="표준 10 2 5 2 2 4" xfId="33483"/>
    <cellStyle name="표준 10 2 5 2 2 5" xfId="33484"/>
    <cellStyle name="표준 10 2 5 2 3" xfId="33485"/>
    <cellStyle name="표준 10 2 5 2 3 2" xfId="33486"/>
    <cellStyle name="표준 10 2 5 2 3 2 2" xfId="33487"/>
    <cellStyle name="표준 10 2 5 2 3 2 2 2" xfId="33488"/>
    <cellStyle name="표준 10 2 5 2 3 2 2 3" xfId="33489"/>
    <cellStyle name="표준 10 2 5 2 3 2 3" xfId="33490"/>
    <cellStyle name="표준 10 2 5 2 3 2 4" xfId="33491"/>
    <cellStyle name="표준 10 2 5 2 3 3" xfId="33492"/>
    <cellStyle name="표준 10 2 5 2 3 3 2" xfId="33493"/>
    <cellStyle name="표준 10 2 5 2 3 3 3" xfId="33494"/>
    <cellStyle name="표준 10 2 5 2 3 4" xfId="33495"/>
    <cellStyle name="표준 10 2 5 2 3 5" xfId="33496"/>
    <cellStyle name="표준 10 2 5 2 4" xfId="33497"/>
    <cellStyle name="표준 10 2 5 2 4 2" xfId="33498"/>
    <cellStyle name="표준 10 2 5 2 4 2 2" xfId="33499"/>
    <cellStyle name="표준 10 2 5 2 4 2 3" xfId="33500"/>
    <cellStyle name="표준 10 2 5 2 4 3" xfId="33501"/>
    <cellStyle name="표준 10 2 5 2 4 4" xfId="33502"/>
    <cellStyle name="표준 10 2 5 2 5" xfId="33503"/>
    <cellStyle name="표준 10 2 5 2 5 2" xfId="33504"/>
    <cellStyle name="표준 10 2 5 2 5 3" xfId="33505"/>
    <cellStyle name="표준 10 2 5 2 6" xfId="33506"/>
    <cellStyle name="표준 10 2 5 2 7" xfId="33507"/>
    <cellStyle name="표준 10 2 5 3" xfId="33508"/>
    <cellStyle name="표준 10 2 5 3 2" xfId="33509"/>
    <cellStyle name="표준 10 2 5 3 2 2" xfId="33510"/>
    <cellStyle name="표준 10 2 5 3 2 2 2" xfId="33511"/>
    <cellStyle name="표준 10 2 5 3 2 2 2 2" xfId="33512"/>
    <cellStyle name="표준 10 2 5 3 2 2 2 3" xfId="33513"/>
    <cellStyle name="표준 10 2 5 3 2 2 3" xfId="33514"/>
    <cellStyle name="표준 10 2 5 3 2 2 4" xfId="33515"/>
    <cellStyle name="표준 10 2 5 3 2 3" xfId="33516"/>
    <cellStyle name="표준 10 2 5 3 2 3 2" xfId="33517"/>
    <cellStyle name="표준 10 2 5 3 2 3 3" xfId="33518"/>
    <cellStyle name="표준 10 2 5 3 2 4" xfId="33519"/>
    <cellStyle name="표준 10 2 5 3 2 5" xfId="33520"/>
    <cellStyle name="표준 10 2 5 3 3" xfId="33521"/>
    <cellStyle name="표준 10 2 5 3 3 2" xfId="33522"/>
    <cellStyle name="표준 10 2 5 3 3 2 2" xfId="33523"/>
    <cellStyle name="표준 10 2 5 3 3 2 2 2" xfId="33524"/>
    <cellStyle name="표준 10 2 5 3 3 2 2 3" xfId="33525"/>
    <cellStyle name="표준 10 2 5 3 3 2 3" xfId="33526"/>
    <cellStyle name="표준 10 2 5 3 3 2 4" xfId="33527"/>
    <cellStyle name="표준 10 2 5 3 3 3" xfId="33528"/>
    <cellStyle name="표준 10 2 5 3 3 3 2" xfId="33529"/>
    <cellStyle name="표준 10 2 5 3 3 3 3" xfId="33530"/>
    <cellStyle name="표준 10 2 5 3 3 4" xfId="33531"/>
    <cellStyle name="표준 10 2 5 3 3 5" xfId="33532"/>
    <cellStyle name="표준 10 2 5 3 4" xfId="33533"/>
    <cellStyle name="표준 10 2 5 3 4 2" xfId="33534"/>
    <cellStyle name="표준 10 2 5 3 4 2 2" xfId="33535"/>
    <cellStyle name="표준 10 2 5 3 4 2 3" xfId="33536"/>
    <cellStyle name="표준 10 2 5 3 4 3" xfId="33537"/>
    <cellStyle name="표준 10 2 5 3 4 4" xfId="33538"/>
    <cellStyle name="표준 10 2 5 3 5" xfId="33539"/>
    <cellStyle name="표준 10 2 5 3 5 2" xfId="33540"/>
    <cellStyle name="표준 10 2 5 3 5 3" xfId="33541"/>
    <cellStyle name="표준 10 2 5 3 6" xfId="33542"/>
    <cellStyle name="표준 10 2 5 3 7" xfId="33543"/>
    <cellStyle name="표준 10 2 5 4" xfId="33544"/>
    <cellStyle name="표준 10 2 5 4 2" xfId="33545"/>
    <cellStyle name="표준 10 2 5 4 2 2" xfId="33546"/>
    <cellStyle name="표준 10 2 5 4 2 2 2" xfId="33547"/>
    <cellStyle name="표준 10 2 5 4 2 2 3" xfId="33548"/>
    <cellStyle name="표준 10 2 5 4 2 3" xfId="33549"/>
    <cellStyle name="표준 10 2 5 4 2 4" xfId="33550"/>
    <cellStyle name="표준 10 2 5 4 3" xfId="33551"/>
    <cellStyle name="표준 10 2 5 4 3 2" xfId="33552"/>
    <cellStyle name="표준 10 2 5 4 3 3" xfId="33553"/>
    <cellStyle name="표준 10 2 5 4 4" xfId="33554"/>
    <cellStyle name="표준 10 2 5 4 5" xfId="33555"/>
    <cellStyle name="표준 10 2 5 5" xfId="33556"/>
    <cellStyle name="표준 10 2 5 5 2" xfId="33557"/>
    <cellStyle name="표준 10 2 5 5 2 2" xfId="33558"/>
    <cellStyle name="표준 10 2 5 5 2 2 2" xfId="33559"/>
    <cellStyle name="표준 10 2 5 5 2 2 3" xfId="33560"/>
    <cellStyle name="표준 10 2 5 5 2 3" xfId="33561"/>
    <cellStyle name="표준 10 2 5 5 2 4" xfId="33562"/>
    <cellStyle name="표준 10 2 5 5 3" xfId="33563"/>
    <cellStyle name="표준 10 2 5 5 3 2" xfId="33564"/>
    <cellStyle name="표준 10 2 5 5 3 3" xfId="33565"/>
    <cellStyle name="표준 10 2 5 5 4" xfId="33566"/>
    <cellStyle name="표준 10 2 5 5 5" xfId="33567"/>
    <cellStyle name="표준 10 2 5 6" xfId="33568"/>
    <cellStyle name="표준 10 2 5 6 2" xfId="33569"/>
    <cellStyle name="표준 10 2 5 6 2 2" xfId="33570"/>
    <cellStyle name="표준 10 2 5 6 2 2 2" xfId="33571"/>
    <cellStyle name="표준 10 2 5 6 2 2 3" xfId="33572"/>
    <cellStyle name="표준 10 2 5 6 2 3" xfId="33573"/>
    <cellStyle name="표준 10 2 5 6 2 4" xfId="33574"/>
    <cellStyle name="표준 10 2 5 6 3" xfId="33575"/>
    <cellStyle name="표준 10 2 5 6 3 2" xfId="33576"/>
    <cellStyle name="표준 10 2 5 6 3 3" xfId="33577"/>
    <cellStyle name="표준 10 2 5 6 4" xfId="33578"/>
    <cellStyle name="표준 10 2 5 6 5" xfId="33579"/>
    <cellStyle name="표준 10 2 5 7" xfId="33580"/>
    <cellStyle name="표준 10 2 5 7 2" xfId="33581"/>
    <cellStyle name="표준 10 2 5 7 2 2" xfId="33582"/>
    <cellStyle name="표준 10 2 5 7 2 3" xfId="33583"/>
    <cellStyle name="표준 10 2 5 7 3" xfId="33584"/>
    <cellStyle name="표준 10 2 5 7 4" xfId="33585"/>
    <cellStyle name="표준 10 2 5 8" xfId="33586"/>
    <cellStyle name="표준 10 2 5 8 2" xfId="33587"/>
    <cellStyle name="표준 10 2 5 8 3" xfId="33588"/>
    <cellStyle name="표준 10 2 5 9" xfId="33589"/>
    <cellStyle name="표준 10 2 6" xfId="33590"/>
    <cellStyle name="표준 10 2 6 2" xfId="33591"/>
    <cellStyle name="표준 10 2 6 2 2" xfId="33592"/>
    <cellStyle name="표준 10 2 6 2 2 2" xfId="33593"/>
    <cellStyle name="표준 10 2 6 2 2 2 2" xfId="33594"/>
    <cellStyle name="표준 10 2 6 2 2 2 3" xfId="33595"/>
    <cellStyle name="표준 10 2 6 2 2 3" xfId="33596"/>
    <cellStyle name="표준 10 2 6 2 2 4" xfId="33597"/>
    <cellStyle name="표준 10 2 6 2 3" xfId="33598"/>
    <cellStyle name="표준 10 2 6 2 3 2" xfId="33599"/>
    <cellStyle name="표준 10 2 6 2 3 3" xfId="33600"/>
    <cellStyle name="표준 10 2 6 2 4" xfId="33601"/>
    <cellStyle name="표준 10 2 6 2 5" xfId="33602"/>
    <cellStyle name="표준 10 2 6 3" xfId="33603"/>
    <cellStyle name="표준 10 2 6 3 2" xfId="33604"/>
    <cellStyle name="표준 10 2 6 3 2 2" xfId="33605"/>
    <cellStyle name="표준 10 2 6 3 2 2 2" xfId="33606"/>
    <cellStyle name="표준 10 2 6 3 2 2 3" xfId="33607"/>
    <cellStyle name="표준 10 2 6 3 2 3" xfId="33608"/>
    <cellStyle name="표준 10 2 6 3 2 4" xfId="33609"/>
    <cellStyle name="표준 10 2 6 3 3" xfId="33610"/>
    <cellStyle name="표준 10 2 6 3 3 2" xfId="33611"/>
    <cellStyle name="표준 10 2 6 3 3 3" xfId="33612"/>
    <cellStyle name="표준 10 2 6 3 4" xfId="33613"/>
    <cellStyle name="표준 10 2 6 3 5" xfId="33614"/>
    <cellStyle name="표준 10 2 6 4" xfId="33615"/>
    <cellStyle name="표준 10 2 6 4 2" xfId="33616"/>
    <cellStyle name="표준 10 2 6 4 2 2" xfId="33617"/>
    <cellStyle name="표준 10 2 6 4 2 3" xfId="33618"/>
    <cellStyle name="표준 10 2 6 4 3" xfId="33619"/>
    <cellStyle name="표준 10 2 6 4 4" xfId="33620"/>
    <cellStyle name="표준 10 2 6 5" xfId="33621"/>
    <cellStyle name="표준 10 2 6 5 2" xfId="33622"/>
    <cellStyle name="표준 10 2 6 5 3" xfId="33623"/>
    <cellStyle name="표준 10 2 6 6" xfId="33624"/>
    <cellStyle name="표준 10 2 6 7" xfId="33625"/>
    <cellStyle name="표준 10 2 7" xfId="33626"/>
    <cellStyle name="표준 10 2 7 2" xfId="33627"/>
    <cellStyle name="표준 10 2 7 2 2" xfId="33628"/>
    <cellStyle name="표준 10 2 7 2 2 2" xfId="33629"/>
    <cellStyle name="표준 10 2 7 2 2 2 2" xfId="33630"/>
    <cellStyle name="표준 10 2 7 2 2 2 3" xfId="33631"/>
    <cellStyle name="표준 10 2 7 2 2 3" xfId="33632"/>
    <cellStyle name="표준 10 2 7 2 2 4" xfId="33633"/>
    <cellStyle name="표준 10 2 7 2 3" xfId="33634"/>
    <cellStyle name="표준 10 2 7 2 3 2" xfId="33635"/>
    <cellStyle name="표준 10 2 7 2 3 3" xfId="33636"/>
    <cellStyle name="표준 10 2 7 2 4" xfId="33637"/>
    <cellStyle name="표준 10 2 7 2 5" xfId="33638"/>
    <cellStyle name="표준 10 2 7 3" xfId="33639"/>
    <cellStyle name="표준 10 2 7 3 2" xfId="33640"/>
    <cellStyle name="표준 10 2 7 3 2 2" xfId="33641"/>
    <cellStyle name="표준 10 2 7 3 2 2 2" xfId="33642"/>
    <cellStyle name="표준 10 2 7 3 2 2 3" xfId="33643"/>
    <cellStyle name="표준 10 2 7 3 2 3" xfId="33644"/>
    <cellStyle name="표준 10 2 7 3 2 4" xfId="33645"/>
    <cellStyle name="표준 10 2 7 3 3" xfId="33646"/>
    <cellStyle name="표준 10 2 7 3 3 2" xfId="33647"/>
    <cellStyle name="표준 10 2 7 3 3 3" xfId="33648"/>
    <cellStyle name="표준 10 2 7 3 4" xfId="33649"/>
    <cellStyle name="표준 10 2 7 3 5" xfId="33650"/>
    <cellStyle name="표준 10 2 7 4" xfId="33651"/>
    <cellStyle name="표준 10 2 7 4 2" xfId="33652"/>
    <cellStyle name="표준 10 2 7 4 2 2" xfId="33653"/>
    <cellStyle name="표준 10 2 7 4 2 3" xfId="33654"/>
    <cellStyle name="표준 10 2 7 4 3" xfId="33655"/>
    <cellStyle name="표준 10 2 7 4 4" xfId="33656"/>
    <cellStyle name="표준 10 2 7 5" xfId="33657"/>
    <cellStyle name="표준 10 2 7 5 2" xfId="33658"/>
    <cellStyle name="표준 10 2 7 5 3" xfId="33659"/>
    <cellStyle name="표준 10 2 7 6" xfId="33660"/>
    <cellStyle name="표준 10 2 7 7" xfId="33661"/>
    <cellStyle name="표준 10 2 8" xfId="33662"/>
    <cellStyle name="표준 10 2 8 2" xfId="33663"/>
    <cellStyle name="표준 10 2 8 2 2" xfId="33664"/>
    <cellStyle name="표준 10 2 8 2 2 2" xfId="33665"/>
    <cellStyle name="표준 10 2 8 2 2 3" xfId="33666"/>
    <cellStyle name="표준 10 2 8 2 3" xfId="33667"/>
    <cellStyle name="표준 10 2 8 2 4" xfId="33668"/>
    <cellStyle name="표준 10 2 8 3" xfId="33669"/>
    <cellStyle name="표준 10 2 8 3 2" xfId="33670"/>
    <cellStyle name="표준 10 2 8 3 3" xfId="33671"/>
    <cellStyle name="표준 10 2 8 4" xfId="33672"/>
    <cellStyle name="표준 10 2 8 5" xfId="33673"/>
    <cellStyle name="표준 10 2 9" xfId="33674"/>
    <cellStyle name="표준 10 2 9 2" xfId="33675"/>
    <cellStyle name="표준 10 2 9 2 2" xfId="33676"/>
    <cellStyle name="표준 10 2 9 2 2 2" xfId="33677"/>
    <cellStyle name="표준 10 2 9 2 2 3" xfId="33678"/>
    <cellStyle name="표준 10 2 9 2 3" xfId="33679"/>
    <cellStyle name="표준 10 2 9 2 4" xfId="33680"/>
    <cellStyle name="표준 10 2 9 3" xfId="33681"/>
    <cellStyle name="표준 10 2 9 3 2" xfId="33682"/>
    <cellStyle name="표준 10 2 9 3 3" xfId="33683"/>
    <cellStyle name="표준 10 2 9 4" xfId="33684"/>
    <cellStyle name="표준 10 2 9 5" xfId="33685"/>
    <cellStyle name="표준 10 3" xfId="33686"/>
    <cellStyle name="표준 10 3 10" xfId="33687"/>
    <cellStyle name="표준 10 3 10 2" xfId="33688"/>
    <cellStyle name="표준 10 3 10 2 2" xfId="33689"/>
    <cellStyle name="표준 10 3 10 2 2 2" xfId="33690"/>
    <cellStyle name="표준 10 3 10 2 2 3" xfId="33691"/>
    <cellStyle name="표준 10 3 10 2 3" xfId="33692"/>
    <cellStyle name="표준 10 3 10 2 4" xfId="33693"/>
    <cellStyle name="표준 10 3 10 3" xfId="33694"/>
    <cellStyle name="표준 10 3 10 3 2" xfId="33695"/>
    <cellStyle name="표준 10 3 10 3 3" xfId="33696"/>
    <cellStyle name="표준 10 3 10 4" xfId="33697"/>
    <cellStyle name="표준 10 3 10 5" xfId="33698"/>
    <cellStyle name="표준 10 3 11" xfId="33699"/>
    <cellStyle name="표준 10 3 11 2" xfId="33700"/>
    <cellStyle name="표준 10 3 11 2 2" xfId="33701"/>
    <cellStyle name="표준 10 3 11 2 3" xfId="33702"/>
    <cellStyle name="표준 10 3 11 3" xfId="33703"/>
    <cellStyle name="표준 10 3 11 4" xfId="33704"/>
    <cellStyle name="표준 10 3 12" xfId="33705"/>
    <cellStyle name="표준 10 3 12 2" xfId="33706"/>
    <cellStyle name="표준 10 3 12 3" xfId="33707"/>
    <cellStyle name="표준 10 3 13" xfId="33708"/>
    <cellStyle name="표준 10 3 14" xfId="33709"/>
    <cellStyle name="표준 10 3 2" xfId="33710"/>
    <cellStyle name="표준 10 3 2 10" xfId="33711"/>
    <cellStyle name="표준 10 3 2 10 2" xfId="33712"/>
    <cellStyle name="표준 10 3 2 10 2 2" xfId="33713"/>
    <cellStyle name="표준 10 3 2 10 2 3" xfId="33714"/>
    <cellStyle name="표준 10 3 2 10 3" xfId="33715"/>
    <cellStyle name="표준 10 3 2 10 4" xfId="33716"/>
    <cellStyle name="표준 10 3 2 11" xfId="33717"/>
    <cellStyle name="표준 10 3 2 11 2" xfId="33718"/>
    <cellStyle name="표준 10 3 2 11 3" xfId="33719"/>
    <cellStyle name="표준 10 3 2 12" xfId="33720"/>
    <cellStyle name="표준 10 3 2 13" xfId="33721"/>
    <cellStyle name="표준 10 3 2 2" xfId="33722"/>
    <cellStyle name="표준 10 3 2 2 10" xfId="33723"/>
    <cellStyle name="표준 10 3 2 2 2" xfId="33724"/>
    <cellStyle name="표준 10 3 2 2 2 2" xfId="33725"/>
    <cellStyle name="표준 10 3 2 2 2 2 2" xfId="33726"/>
    <cellStyle name="표준 10 3 2 2 2 2 2 2" xfId="33727"/>
    <cellStyle name="표준 10 3 2 2 2 2 2 2 2" xfId="33728"/>
    <cellStyle name="표준 10 3 2 2 2 2 2 2 3" xfId="33729"/>
    <cellStyle name="표준 10 3 2 2 2 2 2 3" xfId="33730"/>
    <cellStyle name="표준 10 3 2 2 2 2 2 4" xfId="33731"/>
    <cellStyle name="표준 10 3 2 2 2 2 3" xfId="33732"/>
    <cellStyle name="표준 10 3 2 2 2 2 3 2" xfId="33733"/>
    <cellStyle name="표준 10 3 2 2 2 2 3 3" xfId="33734"/>
    <cellStyle name="표준 10 3 2 2 2 2 4" xfId="33735"/>
    <cellStyle name="표준 10 3 2 2 2 2 5" xfId="33736"/>
    <cellStyle name="표준 10 3 2 2 2 3" xfId="33737"/>
    <cellStyle name="표준 10 3 2 2 2 3 2" xfId="33738"/>
    <cellStyle name="표준 10 3 2 2 2 3 2 2" xfId="33739"/>
    <cellStyle name="표준 10 3 2 2 2 3 2 2 2" xfId="33740"/>
    <cellStyle name="표준 10 3 2 2 2 3 2 2 3" xfId="33741"/>
    <cellStyle name="표준 10 3 2 2 2 3 2 3" xfId="33742"/>
    <cellStyle name="표준 10 3 2 2 2 3 2 4" xfId="33743"/>
    <cellStyle name="표준 10 3 2 2 2 3 3" xfId="33744"/>
    <cellStyle name="표준 10 3 2 2 2 3 3 2" xfId="33745"/>
    <cellStyle name="표준 10 3 2 2 2 3 3 3" xfId="33746"/>
    <cellStyle name="표준 10 3 2 2 2 3 4" xfId="33747"/>
    <cellStyle name="표준 10 3 2 2 2 3 5" xfId="33748"/>
    <cellStyle name="표준 10 3 2 2 2 4" xfId="33749"/>
    <cellStyle name="표준 10 3 2 2 2 4 2" xfId="33750"/>
    <cellStyle name="표준 10 3 2 2 2 4 2 2" xfId="33751"/>
    <cellStyle name="표준 10 3 2 2 2 4 2 3" xfId="33752"/>
    <cellStyle name="표준 10 3 2 2 2 4 3" xfId="33753"/>
    <cellStyle name="표준 10 3 2 2 2 4 4" xfId="33754"/>
    <cellStyle name="표준 10 3 2 2 2 5" xfId="33755"/>
    <cellStyle name="표준 10 3 2 2 2 5 2" xfId="33756"/>
    <cellStyle name="표준 10 3 2 2 2 5 3" xfId="33757"/>
    <cellStyle name="표준 10 3 2 2 2 6" xfId="33758"/>
    <cellStyle name="표준 10 3 2 2 2 7" xfId="33759"/>
    <cellStyle name="표준 10 3 2 2 3" xfId="33760"/>
    <cellStyle name="표준 10 3 2 2 3 2" xfId="33761"/>
    <cellStyle name="표준 10 3 2 2 3 2 2" xfId="33762"/>
    <cellStyle name="표준 10 3 2 2 3 2 2 2" xfId="33763"/>
    <cellStyle name="표준 10 3 2 2 3 2 2 2 2" xfId="33764"/>
    <cellStyle name="표준 10 3 2 2 3 2 2 2 3" xfId="33765"/>
    <cellStyle name="표준 10 3 2 2 3 2 2 3" xfId="33766"/>
    <cellStyle name="표준 10 3 2 2 3 2 2 4" xfId="33767"/>
    <cellStyle name="표준 10 3 2 2 3 2 3" xfId="33768"/>
    <cellStyle name="표준 10 3 2 2 3 2 3 2" xfId="33769"/>
    <cellStyle name="표준 10 3 2 2 3 2 3 3" xfId="33770"/>
    <cellStyle name="표준 10 3 2 2 3 2 4" xfId="33771"/>
    <cellStyle name="표준 10 3 2 2 3 2 5" xfId="33772"/>
    <cellStyle name="표준 10 3 2 2 3 3" xfId="33773"/>
    <cellStyle name="표준 10 3 2 2 3 3 2" xfId="33774"/>
    <cellStyle name="표준 10 3 2 2 3 3 2 2" xfId="33775"/>
    <cellStyle name="표준 10 3 2 2 3 3 2 2 2" xfId="33776"/>
    <cellStyle name="표준 10 3 2 2 3 3 2 2 3" xfId="33777"/>
    <cellStyle name="표준 10 3 2 2 3 3 2 3" xfId="33778"/>
    <cellStyle name="표준 10 3 2 2 3 3 2 4" xfId="33779"/>
    <cellStyle name="표준 10 3 2 2 3 3 3" xfId="33780"/>
    <cellStyle name="표준 10 3 2 2 3 3 3 2" xfId="33781"/>
    <cellStyle name="표준 10 3 2 2 3 3 3 3" xfId="33782"/>
    <cellStyle name="표준 10 3 2 2 3 3 4" xfId="33783"/>
    <cellStyle name="표준 10 3 2 2 3 3 5" xfId="33784"/>
    <cellStyle name="표준 10 3 2 2 3 4" xfId="33785"/>
    <cellStyle name="표준 10 3 2 2 3 4 2" xfId="33786"/>
    <cellStyle name="표준 10 3 2 2 3 4 2 2" xfId="33787"/>
    <cellStyle name="표준 10 3 2 2 3 4 2 3" xfId="33788"/>
    <cellStyle name="표준 10 3 2 2 3 4 3" xfId="33789"/>
    <cellStyle name="표준 10 3 2 2 3 4 4" xfId="33790"/>
    <cellStyle name="표준 10 3 2 2 3 5" xfId="33791"/>
    <cellStyle name="표준 10 3 2 2 3 5 2" xfId="33792"/>
    <cellStyle name="표준 10 3 2 2 3 5 3" xfId="33793"/>
    <cellStyle name="표준 10 3 2 2 3 6" xfId="33794"/>
    <cellStyle name="표준 10 3 2 2 3 7" xfId="33795"/>
    <cellStyle name="표준 10 3 2 2 4" xfId="33796"/>
    <cellStyle name="표준 10 3 2 2 4 2" xfId="33797"/>
    <cellStyle name="표준 10 3 2 2 4 2 2" xfId="33798"/>
    <cellStyle name="표준 10 3 2 2 4 2 2 2" xfId="33799"/>
    <cellStyle name="표준 10 3 2 2 4 2 2 3" xfId="33800"/>
    <cellStyle name="표준 10 3 2 2 4 2 3" xfId="33801"/>
    <cellStyle name="표준 10 3 2 2 4 2 4" xfId="33802"/>
    <cellStyle name="표준 10 3 2 2 4 3" xfId="33803"/>
    <cellStyle name="표준 10 3 2 2 4 3 2" xfId="33804"/>
    <cellStyle name="표준 10 3 2 2 4 3 3" xfId="33805"/>
    <cellStyle name="표준 10 3 2 2 4 4" xfId="33806"/>
    <cellStyle name="표준 10 3 2 2 4 5" xfId="33807"/>
    <cellStyle name="표준 10 3 2 2 5" xfId="33808"/>
    <cellStyle name="표준 10 3 2 2 5 2" xfId="33809"/>
    <cellStyle name="표준 10 3 2 2 5 2 2" xfId="33810"/>
    <cellStyle name="표준 10 3 2 2 5 2 2 2" xfId="33811"/>
    <cellStyle name="표준 10 3 2 2 5 2 2 3" xfId="33812"/>
    <cellStyle name="표준 10 3 2 2 5 2 3" xfId="33813"/>
    <cellStyle name="표준 10 3 2 2 5 2 4" xfId="33814"/>
    <cellStyle name="표준 10 3 2 2 5 3" xfId="33815"/>
    <cellStyle name="표준 10 3 2 2 5 3 2" xfId="33816"/>
    <cellStyle name="표준 10 3 2 2 5 3 3" xfId="33817"/>
    <cellStyle name="표준 10 3 2 2 5 4" xfId="33818"/>
    <cellStyle name="표준 10 3 2 2 5 5" xfId="33819"/>
    <cellStyle name="표준 10 3 2 2 6" xfId="33820"/>
    <cellStyle name="표준 10 3 2 2 6 2" xfId="33821"/>
    <cellStyle name="표준 10 3 2 2 6 2 2" xfId="33822"/>
    <cellStyle name="표준 10 3 2 2 6 2 2 2" xfId="33823"/>
    <cellStyle name="표준 10 3 2 2 6 2 2 3" xfId="33824"/>
    <cellStyle name="표준 10 3 2 2 6 2 3" xfId="33825"/>
    <cellStyle name="표준 10 3 2 2 6 2 4" xfId="33826"/>
    <cellStyle name="표준 10 3 2 2 6 3" xfId="33827"/>
    <cellStyle name="표준 10 3 2 2 6 3 2" xfId="33828"/>
    <cellStyle name="표준 10 3 2 2 6 3 3" xfId="33829"/>
    <cellStyle name="표준 10 3 2 2 6 4" xfId="33830"/>
    <cellStyle name="표준 10 3 2 2 6 5" xfId="33831"/>
    <cellStyle name="표준 10 3 2 2 7" xfId="33832"/>
    <cellStyle name="표준 10 3 2 2 7 2" xfId="33833"/>
    <cellStyle name="표준 10 3 2 2 7 2 2" xfId="33834"/>
    <cellStyle name="표준 10 3 2 2 7 2 3" xfId="33835"/>
    <cellStyle name="표준 10 3 2 2 7 3" xfId="33836"/>
    <cellStyle name="표준 10 3 2 2 7 4" xfId="33837"/>
    <cellStyle name="표준 10 3 2 2 8" xfId="33838"/>
    <cellStyle name="표준 10 3 2 2 8 2" xfId="33839"/>
    <cellStyle name="표준 10 3 2 2 8 3" xfId="33840"/>
    <cellStyle name="표준 10 3 2 2 9" xfId="33841"/>
    <cellStyle name="표준 10 3 2 3" xfId="33842"/>
    <cellStyle name="표준 10 3 2 3 10" xfId="33843"/>
    <cellStyle name="표준 10 3 2 3 2" xfId="33844"/>
    <cellStyle name="표준 10 3 2 3 2 2" xfId="33845"/>
    <cellStyle name="표준 10 3 2 3 2 2 2" xfId="33846"/>
    <cellStyle name="표준 10 3 2 3 2 2 2 2" xfId="33847"/>
    <cellStyle name="표준 10 3 2 3 2 2 2 2 2" xfId="33848"/>
    <cellStyle name="표준 10 3 2 3 2 2 2 2 3" xfId="33849"/>
    <cellStyle name="표준 10 3 2 3 2 2 2 3" xfId="33850"/>
    <cellStyle name="표준 10 3 2 3 2 2 2 4" xfId="33851"/>
    <cellStyle name="표준 10 3 2 3 2 2 3" xfId="33852"/>
    <cellStyle name="표준 10 3 2 3 2 2 3 2" xfId="33853"/>
    <cellStyle name="표준 10 3 2 3 2 2 3 3" xfId="33854"/>
    <cellStyle name="표준 10 3 2 3 2 2 4" xfId="33855"/>
    <cellStyle name="표준 10 3 2 3 2 2 5" xfId="33856"/>
    <cellStyle name="표준 10 3 2 3 2 3" xfId="33857"/>
    <cellStyle name="표준 10 3 2 3 2 3 2" xfId="33858"/>
    <cellStyle name="표준 10 3 2 3 2 3 2 2" xfId="33859"/>
    <cellStyle name="표준 10 3 2 3 2 3 2 2 2" xfId="33860"/>
    <cellStyle name="표준 10 3 2 3 2 3 2 2 3" xfId="33861"/>
    <cellStyle name="표준 10 3 2 3 2 3 2 3" xfId="33862"/>
    <cellStyle name="표준 10 3 2 3 2 3 2 4" xfId="33863"/>
    <cellStyle name="표준 10 3 2 3 2 3 3" xfId="33864"/>
    <cellStyle name="표준 10 3 2 3 2 3 3 2" xfId="33865"/>
    <cellStyle name="표준 10 3 2 3 2 3 3 3" xfId="33866"/>
    <cellStyle name="표준 10 3 2 3 2 3 4" xfId="33867"/>
    <cellStyle name="표준 10 3 2 3 2 3 5" xfId="33868"/>
    <cellStyle name="표준 10 3 2 3 2 4" xfId="33869"/>
    <cellStyle name="표준 10 3 2 3 2 4 2" xfId="33870"/>
    <cellStyle name="표준 10 3 2 3 2 4 2 2" xfId="33871"/>
    <cellStyle name="표준 10 3 2 3 2 4 2 3" xfId="33872"/>
    <cellStyle name="표준 10 3 2 3 2 4 3" xfId="33873"/>
    <cellStyle name="표준 10 3 2 3 2 4 4" xfId="33874"/>
    <cellStyle name="표준 10 3 2 3 2 5" xfId="33875"/>
    <cellStyle name="표준 10 3 2 3 2 5 2" xfId="33876"/>
    <cellStyle name="표준 10 3 2 3 2 5 3" xfId="33877"/>
    <cellStyle name="표준 10 3 2 3 2 6" xfId="33878"/>
    <cellStyle name="표준 10 3 2 3 2 7" xfId="33879"/>
    <cellStyle name="표준 10 3 2 3 3" xfId="33880"/>
    <cellStyle name="표준 10 3 2 3 3 2" xfId="33881"/>
    <cellStyle name="표준 10 3 2 3 3 2 2" xfId="33882"/>
    <cellStyle name="표준 10 3 2 3 3 2 2 2" xfId="33883"/>
    <cellStyle name="표준 10 3 2 3 3 2 2 2 2" xfId="33884"/>
    <cellStyle name="표준 10 3 2 3 3 2 2 2 3" xfId="33885"/>
    <cellStyle name="표준 10 3 2 3 3 2 2 3" xfId="33886"/>
    <cellStyle name="표준 10 3 2 3 3 2 2 4" xfId="33887"/>
    <cellStyle name="표준 10 3 2 3 3 2 3" xfId="33888"/>
    <cellStyle name="표준 10 3 2 3 3 2 3 2" xfId="33889"/>
    <cellStyle name="표준 10 3 2 3 3 2 3 3" xfId="33890"/>
    <cellStyle name="표준 10 3 2 3 3 2 4" xfId="33891"/>
    <cellStyle name="표준 10 3 2 3 3 2 5" xfId="33892"/>
    <cellStyle name="표준 10 3 2 3 3 3" xfId="33893"/>
    <cellStyle name="표준 10 3 2 3 3 3 2" xfId="33894"/>
    <cellStyle name="표준 10 3 2 3 3 3 2 2" xfId="33895"/>
    <cellStyle name="표준 10 3 2 3 3 3 2 2 2" xfId="33896"/>
    <cellStyle name="표준 10 3 2 3 3 3 2 2 3" xfId="33897"/>
    <cellStyle name="표준 10 3 2 3 3 3 2 3" xfId="33898"/>
    <cellStyle name="표준 10 3 2 3 3 3 2 4" xfId="33899"/>
    <cellStyle name="표준 10 3 2 3 3 3 3" xfId="33900"/>
    <cellStyle name="표준 10 3 2 3 3 3 3 2" xfId="33901"/>
    <cellStyle name="표준 10 3 2 3 3 3 3 3" xfId="33902"/>
    <cellStyle name="표준 10 3 2 3 3 3 4" xfId="33903"/>
    <cellStyle name="표준 10 3 2 3 3 3 5" xfId="33904"/>
    <cellStyle name="표준 10 3 2 3 3 4" xfId="33905"/>
    <cellStyle name="표준 10 3 2 3 3 4 2" xfId="33906"/>
    <cellStyle name="표준 10 3 2 3 3 4 2 2" xfId="33907"/>
    <cellStyle name="표준 10 3 2 3 3 4 2 3" xfId="33908"/>
    <cellStyle name="표준 10 3 2 3 3 4 3" xfId="33909"/>
    <cellStyle name="표준 10 3 2 3 3 4 4" xfId="33910"/>
    <cellStyle name="표준 10 3 2 3 3 5" xfId="33911"/>
    <cellStyle name="표준 10 3 2 3 3 5 2" xfId="33912"/>
    <cellStyle name="표준 10 3 2 3 3 5 3" xfId="33913"/>
    <cellStyle name="표준 10 3 2 3 3 6" xfId="33914"/>
    <cellStyle name="표준 10 3 2 3 3 7" xfId="33915"/>
    <cellStyle name="표준 10 3 2 3 4" xfId="33916"/>
    <cellStyle name="표준 10 3 2 3 4 2" xfId="33917"/>
    <cellStyle name="표준 10 3 2 3 4 2 2" xfId="33918"/>
    <cellStyle name="표준 10 3 2 3 4 2 2 2" xfId="33919"/>
    <cellStyle name="표준 10 3 2 3 4 2 2 3" xfId="33920"/>
    <cellStyle name="표준 10 3 2 3 4 2 3" xfId="33921"/>
    <cellStyle name="표준 10 3 2 3 4 2 4" xfId="33922"/>
    <cellStyle name="표준 10 3 2 3 4 3" xfId="33923"/>
    <cellStyle name="표준 10 3 2 3 4 3 2" xfId="33924"/>
    <cellStyle name="표준 10 3 2 3 4 3 3" xfId="33925"/>
    <cellStyle name="표준 10 3 2 3 4 4" xfId="33926"/>
    <cellStyle name="표준 10 3 2 3 4 5" xfId="33927"/>
    <cellStyle name="표준 10 3 2 3 5" xfId="33928"/>
    <cellStyle name="표준 10 3 2 3 5 2" xfId="33929"/>
    <cellStyle name="표준 10 3 2 3 5 2 2" xfId="33930"/>
    <cellStyle name="표준 10 3 2 3 5 2 2 2" xfId="33931"/>
    <cellStyle name="표준 10 3 2 3 5 2 2 3" xfId="33932"/>
    <cellStyle name="표준 10 3 2 3 5 2 3" xfId="33933"/>
    <cellStyle name="표준 10 3 2 3 5 2 4" xfId="33934"/>
    <cellStyle name="표준 10 3 2 3 5 3" xfId="33935"/>
    <cellStyle name="표준 10 3 2 3 5 3 2" xfId="33936"/>
    <cellStyle name="표준 10 3 2 3 5 3 3" xfId="33937"/>
    <cellStyle name="표준 10 3 2 3 5 4" xfId="33938"/>
    <cellStyle name="표준 10 3 2 3 5 5" xfId="33939"/>
    <cellStyle name="표준 10 3 2 3 6" xfId="33940"/>
    <cellStyle name="표준 10 3 2 3 6 2" xfId="33941"/>
    <cellStyle name="표준 10 3 2 3 6 2 2" xfId="33942"/>
    <cellStyle name="표준 10 3 2 3 6 2 2 2" xfId="33943"/>
    <cellStyle name="표준 10 3 2 3 6 2 2 3" xfId="33944"/>
    <cellStyle name="표준 10 3 2 3 6 2 3" xfId="33945"/>
    <cellStyle name="표준 10 3 2 3 6 2 4" xfId="33946"/>
    <cellStyle name="표준 10 3 2 3 6 3" xfId="33947"/>
    <cellStyle name="표준 10 3 2 3 6 3 2" xfId="33948"/>
    <cellStyle name="표준 10 3 2 3 6 3 3" xfId="33949"/>
    <cellStyle name="표준 10 3 2 3 6 4" xfId="33950"/>
    <cellStyle name="표준 10 3 2 3 6 5" xfId="33951"/>
    <cellStyle name="표준 10 3 2 3 7" xfId="33952"/>
    <cellStyle name="표준 10 3 2 3 7 2" xfId="33953"/>
    <cellStyle name="표준 10 3 2 3 7 2 2" xfId="33954"/>
    <cellStyle name="표준 10 3 2 3 7 2 3" xfId="33955"/>
    <cellStyle name="표준 10 3 2 3 7 3" xfId="33956"/>
    <cellStyle name="표준 10 3 2 3 7 4" xfId="33957"/>
    <cellStyle name="표준 10 3 2 3 8" xfId="33958"/>
    <cellStyle name="표준 10 3 2 3 8 2" xfId="33959"/>
    <cellStyle name="표준 10 3 2 3 8 3" xfId="33960"/>
    <cellStyle name="표준 10 3 2 3 9" xfId="33961"/>
    <cellStyle name="표준 10 3 2 4" xfId="33962"/>
    <cellStyle name="표준 10 3 2 4 10" xfId="33963"/>
    <cellStyle name="표준 10 3 2 4 2" xfId="33964"/>
    <cellStyle name="표준 10 3 2 4 2 2" xfId="33965"/>
    <cellStyle name="표준 10 3 2 4 2 2 2" xfId="33966"/>
    <cellStyle name="표준 10 3 2 4 2 2 2 2" xfId="33967"/>
    <cellStyle name="표준 10 3 2 4 2 2 2 2 2" xfId="33968"/>
    <cellStyle name="표준 10 3 2 4 2 2 2 2 3" xfId="33969"/>
    <cellStyle name="표준 10 3 2 4 2 2 2 3" xfId="33970"/>
    <cellStyle name="표준 10 3 2 4 2 2 2 4" xfId="33971"/>
    <cellStyle name="표준 10 3 2 4 2 2 3" xfId="33972"/>
    <cellStyle name="표준 10 3 2 4 2 2 3 2" xfId="33973"/>
    <cellStyle name="표준 10 3 2 4 2 2 3 3" xfId="33974"/>
    <cellStyle name="표준 10 3 2 4 2 2 4" xfId="33975"/>
    <cellStyle name="표준 10 3 2 4 2 2 5" xfId="33976"/>
    <cellStyle name="표준 10 3 2 4 2 3" xfId="33977"/>
    <cellStyle name="표준 10 3 2 4 2 3 2" xfId="33978"/>
    <cellStyle name="표준 10 3 2 4 2 3 2 2" xfId="33979"/>
    <cellStyle name="표준 10 3 2 4 2 3 2 2 2" xfId="33980"/>
    <cellStyle name="표준 10 3 2 4 2 3 2 2 3" xfId="33981"/>
    <cellStyle name="표준 10 3 2 4 2 3 2 3" xfId="33982"/>
    <cellStyle name="표준 10 3 2 4 2 3 2 4" xfId="33983"/>
    <cellStyle name="표준 10 3 2 4 2 3 3" xfId="33984"/>
    <cellStyle name="표준 10 3 2 4 2 3 3 2" xfId="33985"/>
    <cellStyle name="표준 10 3 2 4 2 3 3 3" xfId="33986"/>
    <cellStyle name="표준 10 3 2 4 2 3 4" xfId="33987"/>
    <cellStyle name="표준 10 3 2 4 2 3 5" xfId="33988"/>
    <cellStyle name="표준 10 3 2 4 2 4" xfId="33989"/>
    <cellStyle name="표준 10 3 2 4 2 4 2" xfId="33990"/>
    <cellStyle name="표준 10 3 2 4 2 4 2 2" xfId="33991"/>
    <cellStyle name="표준 10 3 2 4 2 4 2 3" xfId="33992"/>
    <cellStyle name="표준 10 3 2 4 2 4 3" xfId="33993"/>
    <cellStyle name="표준 10 3 2 4 2 4 4" xfId="33994"/>
    <cellStyle name="표준 10 3 2 4 2 5" xfId="33995"/>
    <cellStyle name="표준 10 3 2 4 2 5 2" xfId="33996"/>
    <cellStyle name="표준 10 3 2 4 2 5 3" xfId="33997"/>
    <cellStyle name="표준 10 3 2 4 2 6" xfId="33998"/>
    <cellStyle name="표준 10 3 2 4 2 7" xfId="33999"/>
    <cellStyle name="표준 10 3 2 4 3" xfId="34000"/>
    <cellStyle name="표준 10 3 2 4 3 2" xfId="34001"/>
    <cellStyle name="표준 10 3 2 4 3 2 2" xfId="34002"/>
    <cellStyle name="표준 10 3 2 4 3 2 2 2" xfId="34003"/>
    <cellStyle name="표준 10 3 2 4 3 2 2 2 2" xfId="34004"/>
    <cellStyle name="표준 10 3 2 4 3 2 2 2 3" xfId="34005"/>
    <cellStyle name="표준 10 3 2 4 3 2 2 3" xfId="34006"/>
    <cellStyle name="표준 10 3 2 4 3 2 2 4" xfId="34007"/>
    <cellStyle name="표준 10 3 2 4 3 2 3" xfId="34008"/>
    <cellStyle name="표준 10 3 2 4 3 2 3 2" xfId="34009"/>
    <cellStyle name="표준 10 3 2 4 3 2 3 3" xfId="34010"/>
    <cellStyle name="표준 10 3 2 4 3 2 4" xfId="34011"/>
    <cellStyle name="표준 10 3 2 4 3 2 5" xfId="34012"/>
    <cellStyle name="표준 10 3 2 4 3 3" xfId="34013"/>
    <cellStyle name="표준 10 3 2 4 3 3 2" xfId="34014"/>
    <cellStyle name="표준 10 3 2 4 3 3 2 2" xfId="34015"/>
    <cellStyle name="표준 10 3 2 4 3 3 2 2 2" xfId="34016"/>
    <cellStyle name="표준 10 3 2 4 3 3 2 2 3" xfId="34017"/>
    <cellStyle name="표준 10 3 2 4 3 3 2 3" xfId="34018"/>
    <cellStyle name="표준 10 3 2 4 3 3 2 4" xfId="34019"/>
    <cellStyle name="표준 10 3 2 4 3 3 3" xfId="34020"/>
    <cellStyle name="표준 10 3 2 4 3 3 3 2" xfId="34021"/>
    <cellStyle name="표준 10 3 2 4 3 3 3 3" xfId="34022"/>
    <cellStyle name="표준 10 3 2 4 3 3 4" xfId="34023"/>
    <cellStyle name="표준 10 3 2 4 3 3 5" xfId="34024"/>
    <cellStyle name="표준 10 3 2 4 3 4" xfId="34025"/>
    <cellStyle name="표준 10 3 2 4 3 4 2" xfId="34026"/>
    <cellStyle name="표준 10 3 2 4 3 4 2 2" xfId="34027"/>
    <cellStyle name="표준 10 3 2 4 3 4 2 3" xfId="34028"/>
    <cellStyle name="표준 10 3 2 4 3 4 3" xfId="34029"/>
    <cellStyle name="표준 10 3 2 4 3 4 4" xfId="34030"/>
    <cellStyle name="표준 10 3 2 4 3 5" xfId="34031"/>
    <cellStyle name="표준 10 3 2 4 3 5 2" xfId="34032"/>
    <cellStyle name="표준 10 3 2 4 3 5 3" xfId="34033"/>
    <cellStyle name="표준 10 3 2 4 3 6" xfId="34034"/>
    <cellStyle name="표준 10 3 2 4 3 7" xfId="34035"/>
    <cellStyle name="표준 10 3 2 4 4" xfId="34036"/>
    <cellStyle name="표준 10 3 2 4 4 2" xfId="34037"/>
    <cellStyle name="표준 10 3 2 4 4 2 2" xfId="34038"/>
    <cellStyle name="표준 10 3 2 4 4 2 2 2" xfId="34039"/>
    <cellStyle name="표준 10 3 2 4 4 2 2 3" xfId="34040"/>
    <cellStyle name="표준 10 3 2 4 4 2 3" xfId="34041"/>
    <cellStyle name="표준 10 3 2 4 4 2 4" xfId="34042"/>
    <cellStyle name="표준 10 3 2 4 4 3" xfId="34043"/>
    <cellStyle name="표준 10 3 2 4 4 3 2" xfId="34044"/>
    <cellStyle name="표준 10 3 2 4 4 3 3" xfId="34045"/>
    <cellStyle name="표준 10 3 2 4 4 4" xfId="34046"/>
    <cellStyle name="표준 10 3 2 4 4 5" xfId="34047"/>
    <cellStyle name="표준 10 3 2 4 5" xfId="34048"/>
    <cellStyle name="표준 10 3 2 4 5 2" xfId="34049"/>
    <cellStyle name="표준 10 3 2 4 5 2 2" xfId="34050"/>
    <cellStyle name="표준 10 3 2 4 5 2 2 2" xfId="34051"/>
    <cellStyle name="표준 10 3 2 4 5 2 2 3" xfId="34052"/>
    <cellStyle name="표준 10 3 2 4 5 2 3" xfId="34053"/>
    <cellStyle name="표준 10 3 2 4 5 2 4" xfId="34054"/>
    <cellStyle name="표준 10 3 2 4 5 3" xfId="34055"/>
    <cellStyle name="표준 10 3 2 4 5 3 2" xfId="34056"/>
    <cellStyle name="표준 10 3 2 4 5 3 3" xfId="34057"/>
    <cellStyle name="표준 10 3 2 4 5 4" xfId="34058"/>
    <cellStyle name="표준 10 3 2 4 5 5" xfId="34059"/>
    <cellStyle name="표준 10 3 2 4 6" xfId="34060"/>
    <cellStyle name="표준 10 3 2 4 6 2" xfId="34061"/>
    <cellStyle name="표준 10 3 2 4 6 2 2" xfId="34062"/>
    <cellStyle name="표준 10 3 2 4 6 2 2 2" xfId="34063"/>
    <cellStyle name="표준 10 3 2 4 6 2 2 3" xfId="34064"/>
    <cellStyle name="표준 10 3 2 4 6 2 3" xfId="34065"/>
    <cellStyle name="표준 10 3 2 4 6 2 4" xfId="34066"/>
    <cellStyle name="표준 10 3 2 4 6 3" xfId="34067"/>
    <cellStyle name="표준 10 3 2 4 6 3 2" xfId="34068"/>
    <cellStyle name="표준 10 3 2 4 6 3 3" xfId="34069"/>
    <cellStyle name="표준 10 3 2 4 6 4" xfId="34070"/>
    <cellStyle name="표준 10 3 2 4 6 5" xfId="34071"/>
    <cellStyle name="표준 10 3 2 4 7" xfId="34072"/>
    <cellStyle name="표준 10 3 2 4 7 2" xfId="34073"/>
    <cellStyle name="표준 10 3 2 4 7 2 2" xfId="34074"/>
    <cellStyle name="표준 10 3 2 4 7 2 3" xfId="34075"/>
    <cellStyle name="표준 10 3 2 4 7 3" xfId="34076"/>
    <cellStyle name="표준 10 3 2 4 7 4" xfId="34077"/>
    <cellStyle name="표준 10 3 2 4 8" xfId="34078"/>
    <cellStyle name="표준 10 3 2 4 8 2" xfId="34079"/>
    <cellStyle name="표준 10 3 2 4 8 3" xfId="34080"/>
    <cellStyle name="표준 10 3 2 4 9" xfId="34081"/>
    <cellStyle name="표준 10 3 2 5" xfId="34082"/>
    <cellStyle name="표준 10 3 2 5 2" xfId="34083"/>
    <cellStyle name="표준 10 3 2 5 2 2" xfId="34084"/>
    <cellStyle name="표준 10 3 2 5 2 2 2" xfId="34085"/>
    <cellStyle name="표준 10 3 2 5 2 2 2 2" xfId="34086"/>
    <cellStyle name="표준 10 3 2 5 2 2 2 3" xfId="34087"/>
    <cellStyle name="표준 10 3 2 5 2 2 3" xfId="34088"/>
    <cellStyle name="표준 10 3 2 5 2 2 4" xfId="34089"/>
    <cellStyle name="표준 10 3 2 5 2 3" xfId="34090"/>
    <cellStyle name="표준 10 3 2 5 2 3 2" xfId="34091"/>
    <cellStyle name="표준 10 3 2 5 2 3 3" xfId="34092"/>
    <cellStyle name="표준 10 3 2 5 2 4" xfId="34093"/>
    <cellStyle name="표준 10 3 2 5 2 5" xfId="34094"/>
    <cellStyle name="표준 10 3 2 5 3" xfId="34095"/>
    <cellStyle name="표준 10 3 2 5 3 2" xfId="34096"/>
    <cellStyle name="표준 10 3 2 5 3 2 2" xfId="34097"/>
    <cellStyle name="표준 10 3 2 5 3 2 2 2" xfId="34098"/>
    <cellStyle name="표준 10 3 2 5 3 2 2 3" xfId="34099"/>
    <cellStyle name="표준 10 3 2 5 3 2 3" xfId="34100"/>
    <cellStyle name="표준 10 3 2 5 3 2 4" xfId="34101"/>
    <cellStyle name="표준 10 3 2 5 3 3" xfId="34102"/>
    <cellStyle name="표준 10 3 2 5 3 3 2" xfId="34103"/>
    <cellStyle name="표준 10 3 2 5 3 3 3" xfId="34104"/>
    <cellStyle name="표준 10 3 2 5 3 4" xfId="34105"/>
    <cellStyle name="표준 10 3 2 5 3 5" xfId="34106"/>
    <cellStyle name="표준 10 3 2 5 4" xfId="34107"/>
    <cellStyle name="표준 10 3 2 5 4 2" xfId="34108"/>
    <cellStyle name="표준 10 3 2 5 4 2 2" xfId="34109"/>
    <cellStyle name="표준 10 3 2 5 4 2 3" xfId="34110"/>
    <cellStyle name="표준 10 3 2 5 4 3" xfId="34111"/>
    <cellStyle name="표준 10 3 2 5 4 4" xfId="34112"/>
    <cellStyle name="표준 10 3 2 5 5" xfId="34113"/>
    <cellStyle name="표준 10 3 2 5 5 2" xfId="34114"/>
    <cellStyle name="표준 10 3 2 5 5 3" xfId="34115"/>
    <cellStyle name="표준 10 3 2 5 6" xfId="34116"/>
    <cellStyle name="표준 10 3 2 5 7" xfId="34117"/>
    <cellStyle name="표준 10 3 2 6" xfId="34118"/>
    <cellStyle name="표준 10 3 2 6 2" xfId="34119"/>
    <cellStyle name="표준 10 3 2 6 2 2" xfId="34120"/>
    <cellStyle name="표준 10 3 2 6 2 2 2" xfId="34121"/>
    <cellStyle name="표준 10 3 2 6 2 2 2 2" xfId="34122"/>
    <cellStyle name="표준 10 3 2 6 2 2 2 3" xfId="34123"/>
    <cellStyle name="표준 10 3 2 6 2 2 3" xfId="34124"/>
    <cellStyle name="표준 10 3 2 6 2 2 4" xfId="34125"/>
    <cellStyle name="표준 10 3 2 6 2 3" xfId="34126"/>
    <cellStyle name="표준 10 3 2 6 2 3 2" xfId="34127"/>
    <cellStyle name="표준 10 3 2 6 2 3 3" xfId="34128"/>
    <cellStyle name="표준 10 3 2 6 2 4" xfId="34129"/>
    <cellStyle name="표준 10 3 2 6 2 5" xfId="34130"/>
    <cellStyle name="표준 10 3 2 6 3" xfId="34131"/>
    <cellStyle name="표준 10 3 2 6 3 2" xfId="34132"/>
    <cellStyle name="표준 10 3 2 6 3 2 2" xfId="34133"/>
    <cellStyle name="표준 10 3 2 6 3 2 2 2" xfId="34134"/>
    <cellStyle name="표준 10 3 2 6 3 2 2 3" xfId="34135"/>
    <cellStyle name="표준 10 3 2 6 3 2 3" xfId="34136"/>
    <cellStyle name="표준 10 3 2 6 3 2 4" xfId="34137"/>
    <cellStyle name="표준 10 3 2 6 3 3" xfId="34138"/>
    <cellStyle name="표준 10 3 2 6 3 3 2" xfId="34139"/>
    <cellStyle name="표준 10 3 2 6 3 3 3" xfId="34140"/>
    <cellStyle name="표준 10 3 2 6 3 4" xfId="34141"/>
    <cellStyle name="표준 10 3 2 6 3 5" xfId="34142"/>
    <cellStyle name="표준 10 3 2 6 4" xfId="34143"/>
    <cellStyle name="표준 10 3 2 6 4 2" xfId="34144"/>
    <cellStyle name="표준 10 3 2 6 4 2 2" xfId="34145"/>
    <cellStyle name="표준 10 3 2 6 4 2 3" xfId="34146"/>
    <cellStyle name="표준 10 3 2 6 4 3" xfId="34147"/>
    <cellStyle name="표준 10 3 2 6 4 4" xfId="34148"/>
    <cellStyle name="표준 10 3 2 6 5" xfId="34149"/>
    <cellStyle name="표준 10 3 2 6 5 2" xfId="34150"/>
    <cellStyle name="표준 10 3 2 6 5 3" xfId="34151"/>
    <cellStyle name="표준 10 3 2 6 6" xfId="34152"/>
    <cellStyle name="표준 10 3 2 6 7" xfId="34153"/>
    <cellStyle name="표준 10 3 2 7" xfId="34154"/>
    <cellStyle name="표준 10 3 2 7 2" xfId="34155"/>
    <cellStyle name="표준 10 3 2 7 2 2" xfId="34156"/>
    <cellStyle name="표준 10 3 2 7 2 2 2" xfId="34157"/>
    <cellStyle name="표준 10 3 2 7 2 2 3" xfId="34158"/>
    <cellStyle name="표준 10 3 2 7 2 3" xfId="34159"/>
    <cellStyle name="표준 10 3 2 7 2 4" xfId="34160"/>
    <cellStyle name="표준 10 3 2 7 3" xfId="34161"/>
    <cellStyle name="표준 10 3 2 7 3 2" xfId="34162"/>
    <cellStyle name="표준 10 3 2 7 3 3" xfId="34163"/>
    <cellStyle name="표준 10 3 2 7 4" xfId="34164"/>
    <cellStyle name="표준 10 3 2 7 5" xfId="34165"/>
    <cellStyle name="표준 10 3 2 8" xfId="34166"/>
    <cellStyle name="표준 10 3 2 8 2" xfId="34167"/>
    <cellStyle name="표준 10 3 2 8 2 2" xfId="34168"/>
    <cellStyle name="표준 10 3 2 8 2 2 2" xfId="34169"/>
    <cellStyle name="표준 10 3 2 8 2 2 3" xfId="34170"/>
    <cellStyle name="표준 10 3 2 8 2 3" xfId="34171"/>
    <cellStyle name="표준 10 3 2 8 2 4" xfId="34172"/>
    <cellStyle name="표준 10 3 2 8 3" xfId="34173"/>
    <cellStyle name="표준 10 3 2 8 3 2" xfId="34174"/>
    <cellStyle name="표준 10 3 2 8 3 3" xfId="34175"/>
    <cellStyle name="표준 10 3 2 8 4" xfId="34176"/>
    <cellStyle name="표준 10 3 2 8 5" xfId="34177"/>
    <cellStyle name="표준 10 3 2 9" xfId="34178"/>
    <cellStyle name="표준 10 3 2 9 2" xfId="34179"/>
    <cellStyle name="표준 10 3 2 9 2 2" xfId="34180"/>
    <cellStyle name="표준 10 3 2 9 2 2 2" xfId="34181"/>
    <cellStyle name="표준 10 3 2 9 2 2 3" xfId="34182"/>
    <cellStyle name="표준 10 3 2 9 2 3" xfId="34183"/>
    <cellStyle name="표준 10 3 2 9 2 4" xfId="34184"/>
    <cellStyle name="표준 10 3 2 9 3" xfId="34185"/>
    <cellStyle name="표준 10 3 2 9 3 2" xfId="34186"/>
    <cellStyle name="표준 10 3 2 9 3 3" xfId="34187"/>
    <cellStyle name="표준 10 3 2 9 4" xfId="34188"/>
    <cellStyle name="표준 10 3 2 9 5" xfId="34189"/>
    <cellStyle name="표준 10 3 3" xfId="34190"/>
    <cellStyle name="표준 10 3 3 10" xfId="34191"/>
    <cellStyle name="표준 10 3 3 2" xfId="34192"/>
    <cellStyle name="표준 10 3 3 2 2" xfId="34193"/>
    <cellStyle name="표준 10 3 3 2 2 2" xfId="34194"/>
    <cellStyle name="표준 10 3 3 2 2 2 2" xfId="34195"/>
    <cellStyle name="표준 10 3 3 2 2 2 2 2" xfId="34196"/>
    <cellStyle name="표준 10 3 3 2 2 2 2 3" xfId="34197"/>
    <cellStyle name="표준 10 3 3 2 2 2 3" xfId="34198"/>
    <cellStyle name="표준 10 3 3 2 2 2 4" xfId="34199"/>
    <cellStyle name="표준 10 3 3 2 2 3" xfId="34200"/>
    <cellStyle name="표준 10 3 3 2 2 3 2" xfId="34201"/>
    <cellStyle name="표준 10 3 3 2 2 3 3" xfId="34202"/>
    <cellStyle name="표준 10 3 3 2 2 4" xfId="34203"/>
    <cellStyle name="표준 10 3 3 2 2 5" xfId="34204"/>
    <cellStyle name="표준 10 3 3 2 3" xfId="34205"/>
    <cellStyle name="표준 10 3 3 2 3 2" xfId="34206"/>
    <cellStyle name="표준 10 3 3 2 3 2 2" xfId="34207"/>
    <cellStyle name="표준 10 3 3 2 3 2 2 2" xfId="34208"/>
    <cellStyle name="표준 10 3 3 2 3 2 2 3" xfId="34209"/>
    <cellStyle name="표준 10 3 3 2 3 2 3" xfId="34210"/>
    <cellStyle name="표준 10 3 3 2 3 2 4" xfId="34211"/>
    <cellStyle name="표준 10 3 3 2 3 3" xfId="34212"/>
    <cellStyle name="표준 10 3 3 2 3 3 2" xfId="34213"/>
    <cellStyle name="표준 10 3 3 2 3 3 3" xfId="34214"/>
    <cellStyle name="표준 10 3 3 2 3 4" xfId="34215"/>
    <cellStyle name="표준 10 3 3 2 3 5" xfId="34216"/>
    <cellStyle name="표준 10 3 3 2 4" xfId="34217"/>
    <cellStyle name="표준 10 3 3 2 4 2" xfId="34218"/>
    <cellStyle name="표준 10 3 3 2 4 2 2" xfId="34219"/>
    <cellStyle name="표준 10 3 3 2 4 2 3" xfId="34220"/>
    <cellStyle name="표준 10 3 3 2 4 3" xfId="34221"/>
    <cellStyle name="표준 10 3 3 2 4 4" xfId="34222"/>
    <cellStyle name="표준 10 3 3 2 5" xfId="34223"/>
    <cellStyle name="표준 10 3 3 2 5 2" xfId="34224"/>
    <cellStyle name="표준 10 3 3 2 5 3" xfId="34225"/>
    <cellStyle name="표준 10 3 3 2 6" xfId="34226"/>
    <cellStyle name="표준 10 3 3 2 7" xfId="34227"/>
    <cellStyle name="표준 10 3 3 3" xfId="34228"/>
    <cellStyle name="표준 10 3 3 3 2" xfId="34229"/>
    <cellStyle name="표준 10 3 3 3 2 2" xfId="34230"/>
    <cellStyle name="표준 10 3 3 3 2 2 2" xfId="34231"/>
    <cellStyle name="표준 10 3 3 3 2 2 2 2" xfId="34232"/>
    <cellStyle name="표준 10 3 3 3 2 2 2 3" xfId="34233"/>
    <cellStyle name="표준 10 3 3 3 2 2 3" xfId="34234"/>
    <cellStyle name="표준 10 3 3 3 2 2 4" xfId="34235"/>
    <cellStyle name="표준 10 3 3 3 2 3" xfId="34236"/>
    <cellStyle name="표준 10 3 3 3 2 3 2" xfId="34237"/>
    <cellStyle name="표준 10 3 3 3 2 3 3" xfId="34238"/>
    <cellStyle name="표준 10 3 3 3 2 4" xfId="34239"/>
    <cellStyle name="표준 10 3 3 3 2 5" xfId="34240"/>
    <cellStyle name="표준 10 3 3 3 3" xfId="34241"/>
    <cellStyle name="표준 10 3 3 3 3 2" xfId="34242"/>
    <cellStyle name="표준 10 3 3 3 3 2 2" xfId="34243"/>
    <cellStyle name="표준 10 3 3 3 3 2 2 2" xfId="34244"/>
    <cellStyle name="표준 10 3 3 3 3 2 2 3" xfId="34245"/>
    <cellStyle name="표준 10 3 3 3 3 2 3" xfId="34246"/>
    <cellStyle name="표준 10 3 3 3 3 2 4" xfId="34247"/>
    <cellStyle name="표준 10 3 3 3 3 3" xfId="34248"/>
    <cellStyle name="표준 10 3 3 3 3 3 2" xfId="34249"/>
    <cellStyle name="표준 10 3 3 3 3 3 3" xfId="34250"/>
    <cellStyle name="표준 10 3 3 3 3 4" xfId="34251"/>
    <cellStyle name="표준 10 3 3 3 3 5" xfId="34252"/>
    <cellStyle name="표준 10 3 3 3 4" xfId="34253"/>
    <cellStyle name="표준 10 3 3 3 4 2" xfId="34254"/>
    <cellStyle name="표준 10 3 3 3 4 2 2" xfId="34255"/>
    <cellStyle name="표준 10 3 3 3 4 2 3" xfId="34256"/>
    <cellStyle name="표준 10 3 3 3 4 3" xfId="34257"/>
    <cellStyle name="표준 10 3 3 3 4 4" xfId="34258"/>
    <cellStyle name="표준 10 3 3 3 5" xfId="34259"/>
    <cellStyle name="표준 10 3 3 3 5 2" xfId="34260"/>
    <cellStyle name="표준 10 3 3 3 5 3" xfId="34261"/>
    <cellStyle name="표준 10 3 3 3 6" xfId="34262"/>
    <cellStyle name="표준 10 3 3 3 7" xfId="34263"/>
    <cellStyle name="표준 10 3 3 4" xfId="34264"/>
    <cellStyle name="표준 10 3 3 4 2" xfId="34265"/>
    <cellStyle name="표준 10 3 3 4 2 2" xfId="34266"/>
    <cellStyle name="표준 10 3 3 4 2 2 2" xfId="34267"/>
    <cellStyle name="표준 10 3 3 4 2 2 3" xfId="34268"/>
    <cellStyle name="표준 10 3 3 4 2 3" xfId="34269"/>
    <cellStyle name="표준 10 3 3 4 2 4" xfId="34270"/>
    <cellStyle name="표준 10 3 3 4 3" xfId="34271"/>
    <cellStyle name="표준 10 3 3 4 3 2" xfId="34272"/>
    <cellStyle name="표준 10 3 3 4 3 3" xfId="34273"/>
    <cellStyle name="표준 10 3 3 4 4" xfId="34274"/>
    <cellStyle name="표준 10 3 3 4 5" xfId="34275"/>
    <cellStyle name="표준 10 3 3 5" xfId="34276"/>
    <cellStyle name="표준 10 3 3 5 2" xfId="34277"/>
    <cellStyle name="표준 10 3 3 5 2 2" xfId="34278"/>
    <cellStyle name="표준 10 3 3 5 2 2 2" xfId="34279"/>
    <cellStyle name="표준 10 3 3 5 2 2 3" xfId="34280"/>
    <cellStyle name="표준 10 3 3 5 2 3" xfId="34281"/>
    <cellStyle name="표준 10 3 3 5 2 4" xfId="34282"/>
    <cellStyle name="표준 10 3 3 5 3" xfId="34283"/>
    <cellStyle name="표준 10 3 3 5 3 2" xfId="34284"/>
    <cellStyle name="표준 10 3 3 5 3 3" xfId="34285"/>
    <cellStyle name="표준 10 3 3 5 4" xfId="34286"/>
    <cellStyle name="표준 10 3 3 5 5" xfId="34287"/>
    <cellStyle name="표준 10 3 3 6" xfId="34288"/>
    <cellStyle name="표준 10 3 3 6 2" xfId="34289"/>
    <cellStyle name="표준 10 3 3 6 2 2" xfId="34290"/>
    <cellStyle name="표준 10 3 3 6 2 2 2" xfId="34291"/>
    <cellStyle name="표준 10 3 3 6 2 2 3" xfId="34292"/>
    <cellStyle name="표준 10 3 3 6 2 3" xfId="34293"/>
    <cellStyle name="표준 10 3 3 6 2 4" xfId="34294"/>
    <cellStyle name="표준 10 3 3 6 3" xfId="34295"/>
    <cellStyle name="표준 10 3 3 6 3 2" xfId="34296"/>
    <cellStyle name="표준 10 3 3 6 3 3" xfId="34297"/>
    <cellStyle name="표준 10 3 3 6 4" xfId="34298"/>
    <cellStyle name="표준 10 3 3 6 5" xfId="34299"/>
    <cellStyle name="표준 10 3 3 7" xfId="34300"/>
    <cellStyle name="표준 10 3 3 7 2" xfId="34301"/>
    <cellStyle name="표준 10 3 3 7 2 2" xfId="34302"/>
    <cellStyle name="표준 10 3 3 7 2 3" xfId="34303"/>
    <cellStyle name="표준 10 3 3 7 3" xfId="34304"/>
    <cellStyle name="표준 10 3 3 7 4" xfId="34305"/>
    <cellStyle name="표준 10 3 3 8" xfId="34306"/>
    <cellStyle name="표준 10 3 3 8 2" xfId="34307"/>
    <cellStyle name="표준 10 3 3 8 3" xfId="34308"/>
    <cellStyle name="표준 10 3 3 9" xfId="34309"/>
    <cellStyle name="표준 10 3 4" xfId="34310"/>
    <cellStyle name="표준 10 3 4 10" xfId="34311"/>
    <cellStyle name="표준 10 3 4 2" xfId="34312"/>
    <cellStyle name="표준 10 3 4 2 2" xfId="34313"/>
    <cellStyle name="표준 10 3 4 2 2 2" xfId="34314"/>
    <cellStyle name="표준 10 3 4 2 2 2 2" xfId="34315"/>
    <cellStyle name="표준 10 3 4 2 2 2 2 2" xfId="34316"/>
    <cellStyle name="표준 10 3 4 2 2 2 2 3" xfId="34317"/>
    <cellStyle name="표준 10 3 4 2 2 2 3" xfId="34318"/>
    <cellStyle name="표준 10 3 4 2 2 2 4" xfId="34319"/>
    <cellStyle name="표준 10 3 4 2 2 3" xfId="34320"/>
    <cellStyle name="표준 10 3 4 2 2 3 2" xfId="34321"/>
    <cellStyle name="표준 10 3 4 2 2 3 3" xfId="34322"/>
    <cellStyle name="표준 10 3 4 2 2 4" xfId="34323"/>
    <cellStyle name="표준 10 3 4 2 2 5" xfId="34324"/>
    <cellStyle name="표준 10 3 4 2 3" xfId="34325"/>
    <cellStyle name="표준 10 3 4 2 3 2" xfId="34326"/>
    <cellStyle name="표준 10 3 4 2 3 2 2" xfId="34327"/>
    <cellStyle name="표준 10 3 4 2 3 2 2 2" xfId="34328"/>
    <cellStyle name="표준 10 3 4 2 3 2 2 3" xfId="34329"/>
    <cellStyle name="표준 10 3 4 2 3 2 3" xfId="34330"/>
    <cellStyle name="표준 10 3 4 2 3 2 4" xfId="34331"/>
    <cellStyle name="표준 10 3 4 2 3 3" xfId="34332"/>
    <cellStyle name="표준 10 3 4 2 3 3 2" xfId="34333"/>
    <cellStyle name="표준 10 3 4 2 3 3 3" xfId="34334"/>
    <cellStyle name="표준 10 3 4 2 3 4" xfId="34335"/>
    <cellStyle name="표준 10 3 4 2 3 5" xfId="34336"/>
    <cellStyle name="표준 10 3 4 2 4" xfId="34337"/>
    <cellStyle name="표준 10 3 4 2 4 2" xfId="34338"/>
    <cellStyle name="표준 10 3 4 2 4 2 2" xfId="34339"/>
    <cellStyle name="표준 10 3 4 2 4 2 3" xfId="34340"/>
    <cellStyle name="표준 10 3 4 2 4 3" xfId="34341"/>
    <cellStyle name="표준 10 3 4 2 4 4" xfId="34342"/>
    <cellStyle name="표준 10 3 4 2 5" xfId="34343"/>
    <cellStyle name="표준 10 3 4 2 5 2" xfId="34344"/>
    <cellStyle name="표준 10 3 4 2 5 3" xfId="34345"/>
    <cellStyle name="표준 10 3 4 2 6" xfId="34346"/>
    <cellStyle name="표준 10 3 4 2 7" xfId="34347"/>
    <cellStyle name="표준 10 3 4 3" xfId="34348"/>
    <cellStyle name="표준 10 3 4 3 2" xfId="34349"/>
    <cellStyle name="표준 10 3 4 3 2 2" xfId="34350"/>
    <cellStyle name="표준 10 3 4 3 2 2 2" xfId="34351"/>
    <cellStyle name="표준 10 3 4 3 2 2 2 2" xfId="34352"/>
    <cellStyle name="표준 10 3 4 3 2 2 2 3" xfId="34353"/>
    <cellStyle name="표준 10 3 4 3 2 2 3" xfId="34354"/>
    <cellStyle name="표준 10 3 4 3 2 2 4" xfId="34355"/>
    <cellStyle name="표준 10 3 4 3 2 3" xfId="34356"/>
    <cellStyle name="표준 10 3 4 3 2 3 2" xfId="34357"/>
    <cellStyle name="표준 10 3 4 3 2 3 3" xfId="34358"/>
    <cellStyle name="표준 10 3 4 3 2 4" xfId="34359"/>
    <cellStyle name="표준 10 3 4 3 2 5" xfId="34360"/>
    <cellStyle name="표준 10 3 4 3 3" xfId="34361"/>
    <cellStyle name="표준 10 3 4 3 3 2" xfId="34362"/>
    <cellStyle name="표준 10 3 4 3 3 2 2" xfId="34363"/>
    <cellStyle name="표준 10 3 4 3 3 2 2 2" xfId="34364"/>
    <cellStyle name="표준 10 3 4 3 3 2 2 3" xfId="34365"/>
    <cellStyle name="표준 10 3 4 3 3 2 3" xfId="34366"/>
    <cellStyle name="표준 10 3 4 3 3 2 4" xfId="34367"/>
    <cellStyle name="표준 10 3 4 3 3 3" xfId="34368"/>
    <cellStyle name="표준 10 3 4 3 3 3 2" xfId="34369"/>
    <cellStyle name="표준 10 3 4 3 3 3 3" xfId="34370"/>
    <cellStyle name="표준 10 3 4 3 3 4" xfId="34371"/>
    <cellStyle name="표준 10 3 4 3 3 5" xfId="34372"/>
    <cellStyle name="표준 10 3 4 3 4" xfId="34373"/>
    <cellStyle name="표준 10 3 4 3 4 2" xfId="34374"/>
    <cellStyle name="표준 10 3 4 3 4 2 2" xfId="34375"/>
    <cellStyle name="표준 10 3 4 3 4 2 3" xfId="34376"/>
    <cellStyle name="표준 10 3 4 3 4 3" xfId="34377"/>
    <cellStyle name="표준 10 3 4 3 4 4" xfId="34378"/>
    <cellStyle name="표준 10 3 4 3 5" xfId="34379"/>
    <cellStyle name="표준 10 3 4 3 5 2" xfId="34380"/>
    <cellStyle name="표준 10 3 4 3 5 3" xfId="34381"/>
    <cellStyle name="표준 10 3 4 3 6" xfId="34382"/>
    <cellStyle name="표준 10 3 4 3 7" xfId="34383"/>
    <cellStyle name="표준 10 3 4 4" xfId="34384"/>
    <cellStyle name="표준 10 3 4 4 2" xfId="34385"/>
    <cellStyle name="표준 10 3 4 4 2 2" xfId="34386"/>
    <cellStyle name="표준 10 3 4 4 2 2 2" xfId="34387"/>
    <cellStyle name="표준 10 3 4 4 2 2 3" xfId="34388"/>
    <cellStyle name="표준 10 3 4 4 2 3" xfId="34389"/>
    <cellStyle name="표준 10 3 4 4 2 4" xfId="34390"/>
    <cellStyle name="표준 10 3 4 4 3" xfId="34391"/>
    <cellStyle name="표준 10 3 4 4 3 2" xfId="34392"/>
    <cellStyle name="표준 10 3 4 4 3 3" xfId="34393"/>
    <cellStyle name="표준 10 3 4 4 4" xfId="34394"/>
    <cellStyle name="표준 10 3 4 4 5" xfId="34395"/>
    <cellStyle name="표준 10 3 4 5" xfId="34396"/>
    <cellStyle name="표준 10 3 4 5 2" xfId="34397"/>
    <cellStyle name="표준 10 3 4 5 2 2" xfId="34398"/>
    <cellStyle name="표준 10 3 4 5 2 2 2" xfId="34399"/>
    <cellStyle name="표준 10 3 4 5 2 2 3" xfId="34400"/>
    <cellStyle name="표준 10 3 4 5 2 3" xfId="34401"/>
    <cellStyle name="표준 10 3 4 5 2 4" xfId="34402"/>
    <cellStyle name="표준 10 3 4 5 3" xfId="34403"/>
    <cellStyle name="표준 10 3 4 5 3 2" xfId="34404"/>
    <cellStyle name="표준 10 3 4 5 3 3" xfId="34405"/>
    <cellStyle name="표준 10 3 4 5 4" xfId="34406"/>
    <cellStyle name="표준 10 3 4 5 5" xfId="34407"/>
    <cellStyle name="표준 10 3 4 6" xfId="34408"/>
    <cellStyle name="표준 10 3 4 6 2" xfId="34409"/>
    <cellStyle name="표준 10 3 4 6 2 2" xfId="34410"/>
    <cellStyle name="표준 10 3 4 6 2 2 2" xfId="34411"/>
    <cellStyle name="표준 10 3 4 6 2 2 3" xfId="34412"/>
    <cellStyle name="표준 10 3 4 6 2 3" xfId="34413"/>
    <cellStyle name="표준 10 3 4 6 2 4" xfId="34414"/>
    <cellStyle name="표준 10 3 4 6 3" xfId="34415"/>
    <cellStyle name="표준 10 3 4 6 3 2" xfId="34416"/>
    <cellStyle name="표준 10 3 4 6 3 3" xfId="34417"/>
    <cellStyle name="표준 10 3 4 6 4" xfId="34418"/>
    <cellStyle name="표준 10 3 4 6 5" xfId="34419"/>
    <cellStyle name="표준 10 3 4 7" xfId="34420"/>
    <cellStyle name="표준 10 3 4 7 2" xfId="34421"/>
    <cellStyle name="표준 10 3 4 7 2 2" xfId="34422"/>
    <cellStyle name="표준 10 3 4 7 2 3" xfId="34423"/>
    <cellStyle name="표준 10 3 4 7 3" xfId="34424"/>
    <cellStyle name="표준 10 3 4 7 4" xfId="34425"/>
    <cellStyle name="표준 10 3 4 8" xfId="34426"/>
    <cellStyle name="표준 10 3 4 8 2" xfId="34427"/>
    <cellStyle name="표준 10 3 4 8 3" xfId="34428"/>
    <cellStyle name="표준 10 3 4 9" xfId="34429"/>
    <cellStyle name="표준 10 3 5" xfId="34430"/>
    <cellStyle name="표준 10 3 5 10" xfId="34431"/>
    <cellStyle name="표준 10 3 5 2" xfId="34432"/>
    <cellStyle name="표준 10 3 5 2 2" xfId="34433"/>
    <cellStyle name="표준 10 3 5 2 2 2" xfId="34434"/>
    <cellStyle name="표준 10 3 5 2 2 2 2" xfId="34435"/>
    <cellStyle name="표준 10 3 5 2 2 2 2 2" xfId="34436"/>
    <cellStyle name="표준 10 3 5 2 2 2 2 3" xfId="34437"/>
    <cellStyle name="표준 10 3 5 2 2 2 3" xfId="34438"/>
    <cellStyle name="표준 10 3 5 2 2 2 4" xfId="34439"/>
    <cellStyle name="표준 10 3 5 2 2 3" xfId="34440"/>
    <cellStyle name="표준 10 3 5 2 2 3 2" xfId="34441"/>
    <cellStyle name="표준 10 3 5 2 2 3 3" xfId="34442"/>
    <cellStyle name="표준 10 3 5 2 2 4" xfId="34443"/>
    <cellStyle name="표준 10 3 5 2 2 5" xfId="34444"/>
    <cellStyle name="표준 10 3 5 2 3" xfId="34445"/>
    <cellStyle name="표준 10 3 5 2 3 2" xfId="34446"/>
    <cellStyle name="표준 10 3 5 2 3 2 2" xfId="34447"/>
    <cellStyle name="표준 10 3 5 2 3 2 2 2" xfId="34448"/>
    <cellStyle name="표준 10 3 5 2 3 2 2 3" xfId="34449"/>
    <cellStyle name="표준 10 3 5 2 3 2 3" xfId="34450"/>
    <cellStyle name="표준 10 3 5 2 3 2 4" xfId="34451"/>
    <cellStyle name="표준 10 3 5 2 3 3" xfId="34452"/>
    <cellStyle name="표준 10 3 5 2 3 3 2" xfId="34453"/>
    <cellStyle name="표준 10 3 5 2 3 3 3" xfId="34454"/>
    <cellStyle name="표준 10 3 5 2 3 4" xfId="34455"/>
    <cellStyle name="표준 10 3 5 2 3 5" xfId="34456"/>
    <cellStyle name="표준 10 3 5 2 4" xfId="34457"/>
    <cellStyle name="표준 10 3 5 2 4 2" xfId="34458"/>
    <cellStyle name="표준 10 3 5 2 4 2 2" xfId="34459"/>
    <cellStyle name="표준 10 3 5 2 4 2 3" xfId="34460"/>
    <cellStyle name="표준 10 3 5 2 4 3" xfId="34461"/>
    <cellStyle name="표준 10 3 5 2 4 4" xfId="34462"/>
    <cellStyle name="표준 10 3 5 2 5" xfId="34463"/>
    <cellStyle name="표준 10 3 5 2 5 2" xfId="34464"/>
    <cellStyle name="표준 10 3 5 2 5 3" xfId="34465"/>
    <cellStyle name="표준 10 3 5 2 6" xfId="34466"/>
    <cellStyle name="표준 10 3 5 2 7" xfId="34467"/>
    <cellStyle name="표준 10 3 5 3" xfId="34468"/>
    <cellStyle name="표준 10 3 5 3 2" xfId="34469"/>
    <cellStyle name="표준 10 3 5 3 2 2" xfId="34470"/>
    <cellStyle name="표준 10 3 5 3 2 2 2" xfId="34471"/>
    <cellStyle name="표준 10 3 5 3 2 2 2 2" xfId="34472"/>
    <cellStyle name="표준 10 3 5 3 2 2 2 3" xfId="34473"/>
    <cellStyle name="표준 10 3 5 3 2 2 3" xfId="34474"/>
    <cellStyle name="표준 10 3 5 3 2 2 4" xfId="34475"/>
    <cellStyle name="표준 10 3 5 3 2 3" xfId="34476"/>
    <cellStyle name="표준 10 3 5 3 2 3 2" xfId="34477"/>
    <cellStyle name="표준 10 3 5 3 2 3 3" xfId="34478"/>
    <cellStyle name="표준 10 3 5 3 2 4" xfId="34479"/>
    <cellStyle name="표준 10 3 5 3 2 5" xfId="34480"/>
    <cellStyle name="표준 10 3 5 3 3" xfId="34481"/>
    <cellStyle name="표준 10 3 5 3 3 2" xfId="34482"/>
    <cellStyle name="표준 10 3 5 3 3 2 2" xfId="34483"/>
    <cellStyle name="표준 10 3 5 3 3 2 2 2" xfId="34484"/>
    <cellStyle name="표준 10 3 5 3 3 2 2 3" xfId="34485"/>
    <cellStyle name="표준 10 3 5 3 3 2 3" xfId="34486"/>
    <cellStyle name="표준 10 3 5 3 3 2 4" xfId="34487"/>
    <cellStyle name="표준 10 3 5 3 3 3" xfId="34488"/>
    <cellStyle name="표준 10 3 5 3 3 3 2" xfId="34489"/>
    <cellStyle name="표준 10 3 5 3 3 3 3" xfId="34490"/>
    <cellStyle name="표준 10 3 5 3 3 4" xfId="34491"/>
    <cellStyle name="표준 10 3 5 3 3 5" xfId="34492"/>
    <cellStyle name="표준 10 3 5 3 4" xfId="34493"/>
    <cellStyle name="표준 10 3 5 3 4 2" xfId="34494"/>
    <cellStyle name="표준 10 3 5 3 4 2 2" xfId="34495"/>
    <cellStyle name="표준 10 3 5 3 4 2 3" xfId="34496"/>
    <cellStyle name="표준 10 3 5 3 4 3" xfId="34497"/>
    <cellStyle name="표준 10 3 5 3 4 4" xfId="34498"/>
    <cellStyle name="표준 10 3 5 3 5" xfId="34499"/>
    <cellStyle name="표준 10 3 5 3 5 2" xfId="34500"/>
    <cellStyle name="표준 10 3 5 3 5 3" xfId="34501"/>
    <cellStyle name="표준 10 3 5 3 6" xfId="34502"/>
    <cellStyle name="표준 10 3 5 3 7" xfId="34503"/>
    <cellStyle name="표준 10 3 5 4" xfId="34504"/>
    <cellStyle name="표준 10 3 5 4 2" xfId="34505"/>
    <cellStyle name="표준 10 3 5 4 2 2" xfId="34506"/>
    <cellStyle name="표준 10 3 5 4 2 2 2" xfId="34507"/>
    <cellStyle name="표준 10 3 5 4 2 2 3" xfId="34508"/>
    <cellStyle name="표준 10 3 5 4 2 3" xfId="34509"/>
    <cellStyle name="표준 10 3 5 4 2 4" xfId="34510"/>
    <cellStyle name="표준 10 3 5 4 3" xfId="34511"/>
    <cellStyle name="표준 10 3 5 4 3 2" xfId="34512"/>
    <cellStyle name="표준 10 3 5 4 3 3" xfId="34513"/>
    <cellStyle name="표준 10 3 5 4 4" xfId="34514"/>
    <cellStyle name="표준 10 3 5 4 5" xfId="34515"/>
    <cellStyle name="표준 10 3 5 5" xfId="34516"/>
    <cellStyle name="표준 10 3 5 5 2" xfId="34517"/>
    <cellStyle name="표준 10 3 5 5 2 2" xfId="34518"/>
    <cellStyle name="표준 10 3 5 5 2 2 2" xfId="34519"/>
    <cellStyle name="표준 10 3 5 5 2 2 3" xfId="34520"/>
    <cellStyle name="표준 10 3 5 5 2 3" xfId="34521"/>
    <cellStyle name="표준 10 3 5 5 2 4" xfId="34522"/>
    <cellStyle name="표준 10 3 5 5 3" xfId="34523"/>
    <cellStyle name="표준 10 3 5 5 3 2" xfId="34524"/>
    <cellStyle name="표준 10 3 5 5 3 3" xfId="34525"/>
    <cellStyle name="표준 10 3 5 5 4" xfId="34526"/>
    <cellStyle name="표준 10 3 5 5 5" xfId="34527"/>
    <cellStyle name="표준 10 3 5 6" xfId="34528"/>
    <cellStyle name="표준 10 3 5 6 2" xfId="34529"/>
    <cellStyle name="표준 10 3 5 6 2 2" xfId="34530"/>
    <cellStyle name="표준 10 3 5 6 2 2 2" xfId="34531"/>
    <cellStyle name="표준 10 3 5 6 2 2 3" xfId="34532"/>
    <cellStyle name="표준 10 3 5 6 2 3" xfId="34533"/>
    <cellStyle name="표준 10 3 5 6 2 4" xfId="34534"/>
    <cellStyle name="표준 10 3 5 6 3" xfId="34535"/>
    <cellStyle name="표준 10 3 5 6 3 2" xfId="34536"/>
    <cellStyle name="표준 10 3 5 6 3 3" xfId="34537"/>
    <cellStyle name="표준 10 3 5 6 4" xfId="34538"/>
    <cellStyle name="표준 10 3 5 6 5" xfId="34539"/>
    <cellStyle name="표준 10 3 5 7" xfId="34540"/>
    <cellStyle name="표준 10 3 5 7 2" xfId="34541"/>
    <cellStyle name="표준 10 3 5 7 2 2" xfId="34542"/>
    <cellStyle name="표준 10 3 5 7 2 3" xfId="34543"/>
    <cellStyle name="표준 10 3 5 7 3" xfId="34544"/>
    <cellStyle name="표준 10 3 5 7 4" xfId="34545"/>
    <cellStyle name="표준 10 3 5 8" xfId="34546"/>
    <cellStyle name="표준 10 3 5 8 2" xfId="34547"/>
    <cellStyle name="표준 10 3 5 8 3" xfId="34548"/>
    <cellStyle name="표준 10 3 5 9" xfId="34549"/>
    <cellStyle name="표준 10 3 6" xfId="34550"/>
    <cellStyle name="표준 10 3 6 2" xfId="34551"/>
    <cellStyle name="표준 10 3 6 2 2" xfId="34552"/>
    <cellStyle name="표준 10 3 6 2 2 2" xfId="34553"/>
    <cellStyle name="표준 10 3 6 2 2 2 2" xfId="34554"/>
    <cellStyle name="표준 10 3 6 2 2 2 3" xfId="34555"/>
    <cellStyle name="표준 10 3 6 2 2 3" xfId="34556"/>
    <cellStyle name="표준 10 3 6 2 2 4" xfId="34557"/>
    <cellStyle name="표준 10 3 6 2 3" xfId="34558"/>
    <cellStyle name="표준 10 3 6 2 3 2" xfId="34559"/>
    <cellStyle name="표준 10 3 6 2 3 3" xfId="34560"/>
    <cellStyle name="표준 10 3 6 2 4" xfId="34561"/>
    <cellStyle name="표준 10 3 6 2 5" xfId="34562"/>
    <cellStyle name="표준 10 3 6 3" xfId="34563"/>
    <cellStyle name="표준 10 3 6 3 2" xfId="34564"/>
    <cellStyle name="표준 10 3 6 3 2 2" xfId="34565"/>
    <cellStyle name="표준 10 3 6 3 2 2 2" xfId="34566"/>
    <cellStyle name="표준 10 3 6 3 2 2 3" xfId="34567"/>
    <cellStyle name="표준 10 3 6 3 2 3" xfId="34568"/>
    <cellStyle name="표준 10 3 6 3 2 4" xfId="34569"/>
    <cellStyle name="표준 10 3 6 3 3" xfId="34570"/>
    <cellStyle name="표준 10 3 6 3 3 2" xfId="34571"/>
    <cellStyle name="표준 10 3 6 3 3 3" xfId="34572"/>
    <cellStyle name="표준 10 3 6 3 4" xfId="34573"/>
    <cellStyle name="표준 10 3 6 3 5" xfId="34574"/>
    <cellStyle name="표준 10 3 6 4" xfId="34575"/>
    <cellStyle name="표준 10 3 6 4 2" xfId="34576"/>
    <cellStyle name="표준 10 3 6 4 2 2" xfId="34577"/>
    <cellStyle name="표준 10 3 6 4 2 3" xfId="34578"/>
    <cellStyle name="표준 10 3 6 4 3" xfId="34579"/>
    <cellStyle name="표준 10 3 6 4 4" xfId="34580"/>
    <cellStyle name="표준 10 3 6 5" xfId="34581"/>
    <cellStyle name="표준 10 3 6 5 2" xfId="34582"/>
    <cellStyle name="표준 10 3 6 5 3" xfId="34583"/>
    <cellStyle name="표준 10 3 6 6" xfId="34584"/>
    <cellStyle name="표준 10 3 6 7" xfId="34585"/>
    <cellStyle name="표준 10 3 7" xfId="34586"/>
    <cellStyle name="표준 10 3 7 2" xfId="34587"/>
    <cellStyle name="표준 10 3 7 2 2" xfId="34588"/>
    <cellStyle name="표준 10 3 7 2 2 2" xfId="34589"/>
    <cellStyle name="표준 10 3 7 2 2 2 2" xfId="34590"/>
    <cellStyle name="표준 10 3 7 2 2 2 3" xfId="34591"/>
    <cellStyle name="표준 10 3 7 2 2 3" xfId="34592"/>
    <cellStyle name="표준 10 3 7 2 2 4" xfId="34593"/>
    <cellStyle name="표준 10 3 7 2 3" xfId="34594"/>
    <cellStyle name="표준 10 3 7 2 3 2" xfId="34595"/>
    <cellStyle name="표준 10 3 7 2 3 3" xfId="34596"/>
    <cellStyle name="표준 10 3 7 2 4" xfId="34597"/>
    <cellStyle name="표준 10 3 7 2 5" xfId="34598"/>
    <cellStyle name="표준 10 3 7 3" xfId="34599"/>
    <cellStyle name="표준 10 3 7 3 2" xfId="34600"/>
    <cellStyle name="표준 10 3 7 3 2 2" xfId="34601"/>
    <cellStyle name="표준 10 3 7 3 2 2 2" xfId="34602"/>
    <cellStyle name="표준 10 3 7 3 2 2 3" xfId="34603"/>
    <cellStyle name="표준 10 3 7 3 2 3" xfId="34604"/>
    <cellStyle name="표준 10 3 7 3 2 4" xfId="34605"/>
    <cellStyle name="표준 10 3 7 3 3" xfId="34606"/>
    <cellStyle name="표준 10 3 7 3 3 2" xfId="34607"/>
    <cellStyle name="표준 10 3 7 3 3 3" xfId="34608"/>
    <cellStyle name="표준 10 3 7 3 4" xfId="34609"/>
    <cellStyle name="표준 10 3 7 3 5" xfId="34610"/>
    <cellStyle name="표준 10 3 7 4" xfId="34611"/>
    <cellStyle name="표준 10 3 7 4 2" xfId="34612"/>
    <cellStyle name="표준 10 3 7 4 2 2" xfId="34613"/>
    <cellStyle name="표준 10 3 7 4 2 3" xfId="34614"/>
    <cellStyle name="표준 10 3 7 4 3" xfId="34615"/>
    <cellStyle name="표준 10 3 7 4 4" xfId="34616"/>
    <cellStyle name="표준 10 3 7 5" xfId="34617"/>
    <cellStyle name="표준 10 3 7 5 2" xfId="34618"/>
    <cellStyle name="표준 10 3 7 5 3" xfId="34619"/>
    <cellStyle name="표준 10 3 7 6" xfId="34620"/>
    <cellStyle name="표준 10 3 7 7" xfId="34621"/>
    <cellStyle name="표준 10 3 8" xfId="34622"/>
    <cellStyle name="표준 10 3 8 2" xfId="34623"/>
    <cellStyle name="표준 10 3 8 2 2" xfId="34624"/>
    <cellStyle name="표준 10 3 8 2 2 2" xfId="34625"/>
    <cellStyle name="표준 10 3 8 2 2 3" xfId="34626"/>
    <cellStyle name="표준 10 3 8 2 3" xfId="34627"/>
    <cellStyle name="표준 10 3 8 2 4" xfId="34628"/>
    <cellStyle name="표준 10 3 8 3" xfId="34629"/>
    <cellStyle name="표준 10 3 8 3 2" xfId="34630"/>
    <cellStyle name="표준 10 3 8 3 3" xfId="34631"/>
    <cellStyle name="표준 10 3 8 4" xfId="34632"/>
    <cellStyle name="표준 10 3 8 5" xfId="34633"/>
    <cellStyle name="표준 10 3 9" xfId="34634"/>
    <cellStyle name="표준 10 3 9 2" xfId="34635"/>
    <cellStyle name="표준 10 3 9 2 2" xfId="34636"/>
    <cellStyle name="표준 10 3 9 2 2 2" xfId="34637"/>
    <cellStyle name="표준 10 3 9 2 2 3" xfId="34638"/>
    <cellStyle name="표준 10 3 9 2 3" xfId="34639"/>
    <cellStyle name="표준 10 3 9 2 4" xfId="34640"/>
    <cellStyle name="표준 10 3 9 3" xfId="34641"/>
    <cellStyle name="표준 10 3 9 3 2" xfId="34642"/>
    <cellStyle name="표준 10 3 9 3 3" xfId="34643"/>
    <cellStyle name="표준 10 3 9 4" xfId="34644"/>
    <cellStyle name="표준 10 3 9 5" xfId="34645"/>
    <cellStyle name="표준 10 4" xfId="34646"/>
    <cellStyle name="표준 10 4 10" xfId="34647"/>
    <cellStyle name="표준 10 4 10 2" xfId="34648"/>
    <cellStyle name="표준 10 4 10 2 2" xfId="34649"/>
    <cellStyle name="표준 10 4 10 2 2 2" xfId="34650"/>
    <cellStyle name="표준 10 4 10 2 2 3" xfId="34651"/>
    <cellStyle name="표준 10 4 10 2 3" xfId="34652"/>
    <cellStyle name="표준 10 4 10 2 4" xfId="34653"/>
    <cellStyle name="표준 10 4 10 3" xfId="34654"/>
    <cellStyle name="표준 10 4 10 3 2" xfId="34655"/>
    <cellStyle name="표준 10 4 10 3 3" xfId="34656"/>
    <cellStyle name="표준 10 4 10 4" xfId="34657"/>
    <cellStyle name="표준 10 4 10 5" xfId="34658"/>
    <cellStyle name="표준 10 4 11" xfId="34659"/>
    <cellStyle name="표준 10 4 11 2" xfId="34660"/>
    <cellStyle name="표준 10 4 11 2 2" xfId="34661"/>
    <cellStyle name="표준 10 4 11 2 3" xfId="34662"/>
    <cellStyle name="표준 10 4 11 3" xfId="34663"/>
    <cellStyle name="표준 10 4 11 4" xfId="34664"/>
    <cellStyle name="표준 10 4 12" xfId="34665"/>
    <cellStyle name="표준 10 4 12 2" xfId="34666"/>
    <cellStyle name="표준 10 4 12 3" xfId="34667"/>
    <cellStyle name="표준 10 4 13" xfId="34668"/>
    <cellStyle name="표준 10 4 14" xfId="34669"/>
    <cellStyle name="표준 10 4 2" xfId="34670"/>
    <cellStyle name="표준 10 4 2 10" xfId="34671"/>
    <cellStyle name="표준 10 4 2 10 2" xfId="34672"/>
    <cellStyle name="표준 10 4 2 10 2 2" xfId="34673"/>
    <cellStyle name="표준 10 4 2 10 2 3" xfId="34674"/>
    <cellStyle name="표준 10 4 2 10 3" xfId="34675"/>
    <cellStyle name="표준 10 4 2 10 4" xfId="34676"/>
    <cellStyle name="표준 10 4 2 11" xfId="34677"/>
    <cellStyle name="표준 10 4 2 11 2" xfId="34678"/>
    <cellStyle name="표준 10 4 2 11 3" xfId="34679"/>
    <cellStyle name="표준 10 4 2 12" xfId="34680"/>
    <cellStyle name="표준 10 4 2 13" xfId="34681"/>
    <cellStyle name="표준 10 4 2 2" xfId="34682"/>
    <cellStyle name="표준 10 4 2 2 10" xfId="34683"/>
    <cellStyle name="표준 10 4 2 2 2" xfId="34684"/>
    <cellStyle name="표준 10 4 2 2 2 2" xfId="34685"/>
    <cellStyle name="표준 10 4 2 2 2 2 2" xfId="34686"/>
    <cellStyle name="표준 10 4 2 2 2 2 2 2" xfId="34687"/>
    <cellStyle name="표준 10 4 2 2 2 2 2 2 2" xfId="34688"/>
    <cellStyle name="표준 10 4 2 2 2 2 2 2 3" xfId="34689"/>
    <cellStyle name="표준 10 4 2 2 2 2 2 3" xfId="34690"/>
    <cellStyle name="표준 10 4 2 2 2 2 2 4" xfId="34691"/>
    <cellStyle name="표준 10 4 2 2 2 2 3" xfId="34692"/>
    <cellStyle name="표준 10 4 2 2 2 2 3 2" xfId="34693"/>
    <cellStyle name="표준 10 4 2 2 2 2 3 3" xfId="34694"/>
    <cellStyle name="표준 10 4 2 2 2 2 4" xfId="34695"/>
    <cellStyle name="표준 10 4 2 2 2 2 5" xfId="34696"/>
    <cellStyle name="표준 10 4 2 2 2 3" xfId="34697"/>
    <cellStyle name="표준 10 4 2 2 2 3 2" xfId="34698"/>
    <cellStyle name="표준 10 4 2 2 2 3 2 2" xfId="34699"/>
    <cellStyle name="표준 10 4 2 2 2 3 2 2 2" xfId="34700"/>
    <cellStyle name="표준 10 4 2 2 2 3 2 2 3" xfId="34701"/>
    <cellStyle name="표준 10 4 2 2 2 3 2 3" xfId="34702"/>
    <cellStyle name="표준 10 4 2 2 2 3 2 4" xfId="34703"/>
    <cellStyle name="표준 10 4 2 2 2 3 3" xfId="34704"/>
    <cellStyle name="표준 10 4 2 2 2 3 3 2" xfId="34705"/>
    <cellStyle name="표준 10 4 2 2 2 3 3 3" xfId="34706"/>
    <cellStyle name="표준 10 4 2 2 2 3 4" xfId="34707"/>
    <cellStyle name="표준 10 4 2 2 2 3 5" xfId="34708"/>
    <cellStyle name="표준 10 4 2 2 2 4" xfId="34709"/>
    <cellStyle name="표준 10 4 2 2 2 4 2" xfId="34710"/>
    <cellStyle name="표준 10 4 2 2 2 4 2 2" xfId="34711"/>
    <cellStyle name="표준 10 4 2 2 2 4 2 3" xfId="34712"/>
    <cellStyle name="표준 10 4 2 2 2 4 3" xfId="34713"/>
    <cellStyle name="표준 10 4 2 2 2 4 4" xfId="34714"/>
    <cellStyle name="표준 10 4 2 2 2 5" xfId="34715"/>
    <cellStyle name="표준 10 4 2 2 2 5 2" xfId="34716"/>
    <cellStyle name="표준 10 4 2 2 2 5 3" xfId="34717"/>
    <cellStyle name="표준 10 4 2 2 2 6" xfId="34718"/>
    <cellStyle name="표준 10 4 2 2 2 7" xfId="34719"/>
    <cellStyle name="표준 10 4 2 2 3" xfId="34720"/>
    <cellStyle name="표준 10 4 2 2 3 2" xfId="34721"/>
    <cellStyle name="표준 10 4 2 2 3 2 2" xfId="34722"/>
    <cellStyle name="표준 10 4 2 2 3 2 2 2" xfId="34723"/>
    <cellStyle name="표준 10 4 2 2 3 2 2 2 2" xfId="34724"/>
    <cellStyle name="표준 10 4 2 2 3 2 2 2 3" xfId="34725"/>
    <cellStyle name="표준 10 4 2 2 3 2 2 3" xfId="34726"/>
    <cellStyle name="표준 10 4 2 2 3 2 2 4" xfId="34727"/>
    <cellStyle name="표준 10 4 2 2 3 2 3" xfId="34728"/>
    <cellStyle name="표준 10 4 2 2 3 2 3 2" xfId="34729"/>
    <cellStyle name="표준 10 4 2 2 3 2 3 3" xfId="34730"/>
    <cellStyle name="표준 10 4 2 2 3 2 4" xfId="34731"/>
    <cellStyle name="표준 10 4 2 2 3 2 5" xfId="34732"/>
    <cellStyle name="표준 10 4 2 2 3 3" xfId="34733"/>
    <cellStyle name="표준 10 4 2 2 3 3 2" xfId="34734"/>
    <cellStyle name="표준 10 4 2 2 3 3 2 2" xfId="34735"/>
    <cellStyle name="표준 10 4 2 2 3 3 2 2 2" xfId="34736"/>
    <cellStyle name="표준 10 4 2 2 3 3 2 2 3" xfId="34737"/>
    <cellStyle name="표준 10 4 2 2 3 3 2 3" xfId="34738"/>
    <cellStyle name="표준 10 4 2 2 3 3 2 4" xfId="34739"/>
    <cellStyle name="표준 10 4 2 2 3 3 3" xfId="34740"/>
    <cellStyle name="표준 10 4 2 2 3 3 3 2" xfId="34741"/>
    <cellStyle name="표준 10 4 2 2 3 3 3 3" xfId="34742"/>
    <cellStyle name="표준 10 4 2 2 3 3 4" xfId="34743"/>
    <cellStyle name="표준 10 4 2 2 3 3 5" xfId="34744"/>
    <cellStyle name="표준 10 4 2 2 3 4" xfId="34745"/>
    <cellStyle name="표준 10 4 2 2 3 4 2" xfId="34746"/>
    <cellStyle name="표준 10 4 2 2 3 4 2 2" xfId="34747"/>
    <cellStyle name="표준 10 4 2 2 3 4 2 3" xfId="34748"/>
    <cellStyle name="표준 10 4 2 2 3 4 3" xfId="34749"/>
    <cellStyle name="표준 10 4 2 2 3 4 4" xfId="34750"/>
    <cellStyle name="표준 10 4 2 2 3 5" xfId="34751"/>
    <cellStyle name="표준 10 4 2 2 3 5 2" xfId="34752"/>
    <cellStyle name="표준 10 4 2 2 3 5 3" xfId="34753"/>
    <cellStyle name="표준 10 4 2 2 3 6" xfId="34754"/>
    <cellStyle name="표준 10 4 2 2 3 7" xfId="34755"/>
    <cellStyle name="표준 10 4 2 2 4" xfId="34756"/>
    <cellStyle name="표준 10 4 2 2 4 2" xfId="34757"/>
    <cellStyle name="표준 10 4 2 2 4 2 2" xfId="34758"/>
    <cellStyle name="표준 10 4 2 2 4 2 2 2" xfId="34759"/>
    <cellStyle name="표준 10 4 2 2 4 2 2 3" xfId="34760"/>
    <cellStyle name="표준 10 4 2 2 4 2 3" xfId="34761"/>
    <cellStyle name="표준 10 4 2 2 4 2 4" xfId="34762"/>
    <cellStyle name="표준 10 4 2 2 4 3" xfId="34763"/>
    <cellStyle name="표준 10 4 2 2 4 3 2" xfId="34764"/>
    <cellStyle name="표준 10 4 2 2 4 3 3" xfId="34765"/>
    <cellStyle name="표준 10 4 2 2 4 4" xfId="34766"/>
    <cellStyle name="표준 10 4 2 2 4 5" xfId="34767"/>
    <cellStyle name="표준 10 4 2 2 5" xfId="34768"/>
    <cellStyle name="표준 10 4 2 2 5 2" xfId="34769"/>
    <cellStyle name="표준 10 4 2 2 5 2 2" xfId="34770"/>
    <cellStyle name="표준 10 4 2 2 5 2 2 2" xfId="34771"/>
    <cellStyle name="표준 10 4 2 2 5 2 2 3" xfId="34772"/>
    <cellStyle name="표준 10 4 2 2 5 2 3" xfId="34773"/>
    <cellStyle name="표준 10 4 2 2 5 2 4" xfId="34774"/>
    <cellStyle name="표준 10 4 2 2 5 3" xfId="34775"/>
    <cellStyle name="표준 10 4 2 2 5 3 2" xfId="34776"/>
    <cellStyle name="표준 10 4 2 2 5 3 3" xfId="34777"/>
    <cellStyle name="표준 10 4 2 2 5 4" xfId="34778"/>
    <cellStyle name="표준 10 4 2 2 5 5" xfId="34779"/>
    <cellStyle name="표준 10 4 2 2 6" xfId="34780"/>
    <cellStyle name="표준 10 4 2 2 6 2" xfId="34781"/>
    <cellStyle name="표준 10 4 2 2 6 2 2" xfId="34782"/>
    <cellStyle name="표준 10 4 2 2 6 2 2 2" xfId="34783"/>
    <cellStyle name="표준 10 4 2 2 6 2 2 3" xfId="34784"/>
    <cellStyle name="표준 10 4 2 2 6 2 3" xfId="34785"/>
    <cellStyle name="표준 10 4 2 2 6 2 4" xfId="34786"/>
    <cellStyle name="표준 10 4 2 2 6 3" xfId="34787"/>
    <cellStyle name="표준 10 4 2 2 6 3 2" xfId="34788"/>
    <cellStyle name="표준 10 4 2 2 6 3 3" xfId="34789"/>
    <cellStyle name="표준 10 4 2 2 6 4" xfId="34790"/>
    <cellStyle name="표준 10 4 2 2 6 5" xfId="34791"/>
    <cellStyle name="표준 10 4 2 2 7" xfId="34792"/>
    <cellStyle name="표준 10 4 2 2 7 2" xfId="34793"/>
    <cellStyle name="표준 10 4 2 2 7 2 2" xfId="34794"/>
    <cellStyle name="표준 10 4 2 2 7 2 3" xfId="34795"/>
    <cellStyle name="표준 10 4 2 2 7 3" xfId="34796"/>
    <cellStyle name="표준 10 4 2 2 7 4" xfId="34797"/>
    <cellStyle name="표준 10 4 2 2 8" xfId="34798"/>
    <cellStyle name="표준 10 4 2 2 8 2" xfId="34799"/>
    <cellStyle name="표준 10 4 2 2 8 3" xfId="34800"/>
    <cellStyle name="표준 10 4 2 2 9" xfId="34801"/>
    <cellStyle name="표준 10 4 2 3" xfId="34802"/>
    <cellStyle name="표준 10 4 2 3 10" xfId="34803"/>
    <cellStyle name="표준 10 4 2 3 2" xfId="34804"/>
    <cellStyle name="표준 10 4 2 3 2 2" xfId="34805"/>
    <cellStyle name="표준 10 4 2 3 2 2 2" xfId="34806"/>
    <cellStyle name="표준 10 4 2 3 2 2 2 2" xfId="34807"/>
    <cellStyle name="표준 10 4 2 3 2 2 2 2 2" xfId="34808"/>
    <cellStyle name="표준 10 4 2 3 2 2 2 2 3" xfId="34809"/>
    <cellStyle name="표준 10 4 2 3 2 2 2 3" xfId="34810"/>
    <cellStyle name="표준 10 4 2 3 2 2 2 4" xfId="34811"/>
    <cellStyle name="표준 10 4 2 3 2 2 3" xfId="34812"/>
    <cellStyle name="표준 10 4 2 3 2 2 3 2" xfId="34813"/>
    <cellStyle name="표준 10 4 2 3 2 2 3 3" xfId="34814"/>
    <cellStyle name="표준 10 4 2 3 2 2 4" xfId="34815"/>
    <cellStyle name="표준 10 4 2 3 2 2 5" xfId="34816"/>
    <cellStyle name="표준 10 4 2 3 2 3" xfId="34817"/>
    <cellStyle name="표준 10 4 2 3 2 3 2" xfId="34818"/>
    <cellStyle name="표준 10 4 2 3 2 3 2 2" xfId="34819"/>
    <cellStyle name="표준 10 4 2 3 2 3 2 2 2" xfId="34820"/>
    <cellStyle name="표준 10 4 2 3 2 3 2 2 3" xfId="34821"/>
    <cellStyle name="표준 10 4 2 3 2 3 2 3" xfId="34822"/>
    <cellStyle name="표준 10 4 2 3 2 3 2 4" xfId="34823"/>
    <cellStyle name="표준 10 4 2 3 2 3 3" xfId="34824"/>
    <cellStyle name="표준 10 4 2 3 2 3 3 2" xfId="34825"/>
    <cellStyle name="표준 10 4 2 3 2 3 3 3" xfId="34826"/>
    <cellStyle name="표준 10 4 2 3 2 3 4" xfId="34827"/>
    <cellStyle name="표준 10 4 2 3 2 3 5" xfId="34828"/>
    <cellStyle name="표준 10 4 2 3 2 4" xfId="34829"/>
    <cellStyle name="표준 10 4 2 3 2 4 2" xfId="34830"/>
    <cellStyle name="표준 10 4 2 3 2 4 2 2" xfId="34831"/>
    <cellStyle name="표준 10 4 2 3 2 4 2 3" xfId="34832"/>
    <cellStyle name="표준 10 4 2 3 2 4 3" xfId="34833"/>
    <cellStyle name="표준 10 4 2 3 2 4 4" xfId="34834"/>
    <cellStyle name="표준 10 4 2 3 2 5" xfId="34835"/>
    <cellStyle name="표준 10 4 2 3 2 5 2" xfId="34836"/>
    <cellStyle name="표준 10 4 2 3 2 5 3" xfId="34837"/>
    <cellStyle name="표준 10 4 2 3 2 6" xfId="34838"/>
    <cellStyle name="표준 10 4 2 3 2 7" xfId="34839"/>
    <cellStyle name="표준 10 4 2 3 3" xfId="34840"/>
    <cellStyle name="표준 10 4 2 3 3 2" xfId="34841"/>
    <cellStyle name="표준 10 4 2 3 3 2 2" xfId="34842"/>
    <cellStyle name="표준 10 4 2 3 3 2 2 2" xfId="34843"/>
    <cellStyle name="표준 10 4 2 3 3 2 2 2 2" xfId="34844"/>
    <cellStyle name="표준 10 4 2 3 3 2 2 2 3" xfId="34845"/>
    <cellStyle name="표준 10 4 2 3 3 2 2 3" xfId="34846"/>
    <cellStyle name="표준 10 4 2 3 3 2 2 4" xfId="34847"/>
    <cellStyle name="표준 10 4 2 3 3 2 3" xfId="34848"/>
    <cellStyle name="표준 10 4 2 3 3 2 3 2" xfId="34849"/>
    <cellStyle name="표준 10 4 2 3 3 2 3 3" xfId="34850"/>
    <cellStyle name="표준 10 4 2 3 3 2 4" xfId="34851"/>
    <cellStyle name="표준 10 4 2 3 3 2 5" xfId="34852"/>
    <cellStyle name="표준 10 4 2 3 3 3" xfId="34853"/>
    <cellStyle name="표준 10 4 2 3 3 3 2" xfId="34854"/>
    <cellStyle name="표준 10 4 2 3 3 3 2 2" xfId="34855"/>
    <cellStyle name="표준 10 4 2 3 3 3 2 2 2" xfId="34856"/>
    <cellStyle name="표준 10 4 2 3 3 3 2 2 3" xfId="34857"/>
    <cellStyle name="표준 10 4 2 3 3 3 2 3" xfId="34858"/>
    <cellStyle name="표준 10 4 2 3 3 3 2 4" xfId="34859"/>
    <cellStyle name="표준 10 4 2 3 3 3 3" xfId="34860"/>
    <cellStyle name="표준 10 4 2 3 3 3 3 2" xfId="34861"/>
    <cellStyle name="표준 10 4 2 3 3 3 3 3" xfId="34862"/>
    <cellStyle name="표준 10 4 2 3 3 3 4" xfId="34863"/>
    <cellStyle name="표준 10 4 2 3 3 3 5" xfId="34864"/>
    <cellStyle name="표준 10 4 2 3 3 4" xfId="34865"/>
    <cellStyle name="표준 10 4 2 3 3 4 2" xfId="34866"/>
    <cellStyle name="표준 10 4 2 3 3 4 2 2" xfId="34867"/>
    <cellStyle name="표준 10 4 2 3 3 4 2 3" xfId="34868"/>
    <cellStyle name="표준 10 4 2 3 3 4 3" xfId="34869"/>
    <cellStyle name="표준 10 4 2 3 3 4 4" xfId="34870"/>
    <cellStyle name="표준 10 4 2 3 3 5" xfId="34871"/>
    <cellStyle name="표준 10 4 2 3 3 5 2" xfId="34872"/>
    <cellStyle name="표준 10 4 2 3 3 5 3" xfId="34873"/>
    <cellStyle name="표준 10 4 2 3 3 6" xfId="34874"/>
    <cellStyle name="표준 10 4 2 3 3 7" xfId="34875"/>
    <cellStyle name="표준 10 4 2 3 4" xfId="34876"/>
    <cellStyle name="표준 10 4 2 3 4 2" xfId="34877"/>
    <cellStyle name="표준 10 4 2 3 4 2 2" xfId="34878"/>
    <cellStyle name="표준 10 4 2 3 4 2 2 2" xfId="34879"/>
    <cellStyle name="표준 10 4 2 3 4 2 2 3" xfId="34880"/>
    <cellStyle name="표준 10 4 2 3 4 2 3" xfId="34881"/>
    <cellStyle name="표준 10 4 2 3 4 2 4" xfId="34882"/>
    <cellStyle name="표준 10 4 2 3 4 3" xfId="34883"/>
    <cellStyle name="표준 10 4 2 3 4 3 2" xfId="34884"/>
    <cellStyle name="표준 10 4 2 3 4 3 3" xfId="34885"/>
    <cellStyle name="표준 10 4 2 3 4 4" xfId="34886"/>
    <cellStyle name="표준 10 4 2 3 4 5" xfId="34887"/>
    <cellStyle name="표준 10 4 2 3 5" xfId="34888"/>
    <cellStyle name="표준 10 4 2 3 5 2" xfId="34889"/>
    <cellStyle name="표준 10 4 2 3 5 2 2" xfId="34890"/>
    <cellStyle name="표준 10 4 2 3 5 2 2 2" xfId="34891"/>
    <cellStyle name="표준 10 4 2 3 5 2 2 3" xfId="34892"/>
    <cellStyle name="표준 10 4 2 3 5 2 3" xfId="34893"/>
    <cellStyle name="표준 10 4 2 3 5 2 4" xfId="34894"/>
    <cellStyle name="표준 10 4 2 3 5 3" xfId="34895"/>
    <cellStyle name="표준 10 4 2 3 5 3 2" xfId="34896"/>
    <cellStyle name="표준 10 4 2 3 5 3 3" xfId="34897"/>
    <cellStyle name="표준 10 4 2 3 5 4" xfId="34898"/>
    <cellStyle name="표준 10 4 2 3 5 5" xfId="34899"/>
    <cellStyle name="표준 10 4 2 3 6" xfId="34900"/>
    <cellStyle name="표준 10 4 2 3 6 2" xfId="34901"/>
    <cellStyle name="표준 10 4 2 3 6 2 2" xfId="34902"/>
    <cellStyle name="표준 10 4 2 3 6 2 2 2" xfId="34903"/>
    <cellStyle name="표준 10 4 2 3 6 2 2 3" xfId="34904"/>
    <cellStyle name="표준 10 4 2 3 6 2 3" xfId="34905"/>
    <cellStyle name="표준 10 4 2 3 6 2 4" xfId="34906"/>
    <cellStyle name="표준 10 4 2 3 6 3" xfId="34907"/>
    <cellStyle name="표준 10 4 2 3 6 3 2" xfId="34908"/>
    <cellStyle name="표준 10 4 2 3 6 3 3" xfId="34909"/>
    <cellStyle name="표준 10 4 2 3 6 4" xfId="34910"/>
    <cellStyle name="표준 10 4 2 3 6 5" xfId="34911"/>
    <cellStyle name="표준 10 4 2 3 7" xfId="34912"/>
    <cellStyle name="표준 10 4 2 3 7 2" xfId="34913"/>
    <cellStyle name="표준 10 4 2 3 7 2 2" xfId="34914"/>
    <cellStyle name="표준 10 4 2 3 7 2 3" xfId="34915"/>
    <cellStyle name="표준 10 4 2 3 7 3" xfId="34916"/>
    <cellStyle name="표준 10 4 2 3 7 4" xfId="34917"/>
    <cellStyle name="표준 10 4 2 3 8" xfId="34918"/>
    <cellStyle name="표준 10 4 2 3 8 2" xfId="34919"/>
    <cellStyle name="표준 10 4 2 3 8 3" xfId="34920"/>
    <cellStyle name="표준 10 4 2 3 9" xfId="34921"/>
    <cellStyle name="표준 10 4 2 4" xfId="34922"/>
    <cellStyle name="표준 10 4 2 4 10" xfId="34923"/>
    <cellStyle name="표준 10 4 2 4 2" xfId="34924"/>
    <cellStyle name="표준 10 4 2 4 2 2" xfId="34925"/>
    <cellStyle name="표준 10 4 2 4 2 2 2" xfId="34926"/>
    <cellStyle name="표준 10 4 2 4 2 2 2 2" xfId="34927"/>
    <cellStyle name="표준 10 4 2 4 2 2 2 2 2" xfId="34928"/>
    <cellStyle name="표준 10 4 2 4 2 2 2 2 3" xfId="34929"/>
    <cellStyle name="표준 10 4 2 4 2 2 2 3" xfId="34930"/>
    <cellStyle name="표준 10 4 2 4 2 2 2 4" xfId="34931"/>
    <cellStyle name="표준 10 4 2 4 2 2 3" xfId="34932"/>
    <cellStyle name="표준 10 4 2 4 2 2 3 2" xfId="34933"/>
    <cellStyle name="표준 10 4 2 4 2 2 3 3" xfId="34934"/>
    <cellStyle name="표준 10 4 2 4 2 2 4" xfId="34935"/>
    <cellStyle name="표준 10 4 2 4 2 2 5" xfId="34936"/>
    <cellStyle name="표준 10 4 2 4 2 3" xfId="34937"/>
    <cellStyle name="표준 10 4 2 4 2 3 2" xfId="34938"/>
    <cellStyle name="표준 10 4 2 4 2 3 2 2" xfId="34939"/>
    <cellStyle name="표준 10 4 2 4 2 3 2 2 2" xfId="34940"/>
    <cellStyle name="표준 10 4 2 4 2 3 2 2 3" xfId="34941"/>
    <cellStyle name="표준 10 4 2 4 2 3 2 3" xfId="34942"/>
    <cellStyle name="표준 10 4 2 4 2 3 2 4" xfId="34943"/>
    <cellStyle name="표준 10 4 2 4 2 3 3" xfId="34944"/>
    <cellStyle name="표준 10 4 2 4 2 3 3 2" xfId="34945"/>
    <cellStyle name="표준 10 4 2 4 2 3 3 3" xfId="34946"/>
    <cellStyle name="표준 10 4 2 4 2 3 4" xfId="34947"/>
    <cellStyle name="표준 10 4 2 4 2 3 5" xfId="34948"/>
    <cellStyle name="표준 10 4 2 4 2 4" xfId="34949"/>
    <cellStyle name="표준 10 4 2 4 2 4 2" xfId="34950"/>
    <cellStyle name="표준 10 4 2 4 2 4 2 2" xfId="34951"/>
    <cellStyle name="표준 10 4 2 4 2 4 2 3" xfId="34952"/>
    <cellStyle name="표준 10 4 2 4 2 4 3" xfId="34953"/>
    <cellStyle name="표준 10 4 2 4 2 4 4" xfId="34954"/>
    <cellStyle name="표준 10 4 2 4 2 5" xfId="34955"/>
    <cellStyle name="표준 10 4 2 4 2 5 2" xfId="34956"/>
    <cellStyle name="표준 10 4 2 4 2 5 3" xfId="34957"/>
    <cellStyle name="표준 10 4 2 4 2 6" xfId="34958"/>
    <cellStyle name="표준 10 4 2 4 2 7" xfId="34959"/>
    <cellStyle name="표준 10 4 2 4 3" xfId="34960"/>
    <cellStyle name="표준 10 4 2 4 3 2" xfId="34961"/>
    <cellStyle name="표준 10 4 2 4 3 2 2" xfId="34962"/>
    <cellStyle name="표준 10 4 2 4 3 2 2 2" xfId="34963"/>
    <cellStyle name="표준 10 4 2 4 3 2 2 2 2" xfId="34964"/>
    <cellStyle name="표준 10 4 2 4 3 2 2 2 3" xfId="34965"/>
    <cellStyle name="표준 10 4 2 4 3 2 2 3" xfId="34966"/>
    <cellStyle name="표준 10 4 2 4 3 2 2 4" xfId="34967"/>
    <cellStyle name="표준 10 4 2 4 3 2 3" xfId="34968"/>
    <cellStyle name="표준 10 4 2 4 3 2 3 2" xfId="34969"/>
    <cellStyle name="표준 10 4 2 4 3 2 3 3" xfId="34970"/>
    <cellStyle name="표준 10 4 2 4 3 2 4" xfId="34971"/>
    <cellStyle name="표준 10 4 2 4 3 2 5" xfId="34972"/>
    <cellStyle name="표준 10 4 2 4 3 3" xfId="34973"/>
    <cellStyle name="표준 10 4 2 4 3 3 2" xfId="34974"/>
    <cellStyle name="표준 10 4 2 4 3 3 2 2" xfId="34975"/>
    <cellStyle name="표준 10 4 2 4 3 3 2 2 2" xfId="34976"/>
    <cellStyle name="표준 10 4 2 4 3 3 2 2 3" xfId="34977"/>
    <cellStyle name="표준 10 4 2 4 3 3 2 3" xfId="34978"/>
    <cellStyle name="표준 10 4 2 4 3 3 2 4" xfId="34979"/>
    <cellStyle name="표준 10 4 2 4 3 3 3" xfId="34980"/>
    <cellStyle name="표준 10 4 2 4 3 3 3 2" xfId="34981"/>
    <cellStyle name="표준 10 4 2 4 3 3 3 3" xfId="34982"/>
    <cellStyle name="표준 10 4 2 4 3 3 4" xfId="34983"/>
    <cellStyle name="표준 10 4 2 4 3 3 5" xfId="34984"/>
    <cellStyle name="표준 10 4 2 4 3 4" xfId="34985"/>
    <cellStyle name="표준 10 4 2 4 3 4 2" xfId="34986"/>
    <cellStyle name="표준 10 4 2 4 3 4 2 2" xfId="34987"/>
    <cellStyle name="표준 10 4 2 4 3 4 2 3" xfId="34988"/>
    <cellStyle name="표준 10 4 2 4 3 4 3" xfId="34989"/>
    <cellStyle name="표준 10 4 2 4 3 4 4" xfId="34990"/>
    <cellStyle name="표준 10 4 2 4 3 5" xfId="34991"/>
    <cellStyle name="표준 10 4 2 4 3 5 2" xfId="34992"/>
    <cellStyle name="표준 10 4 2 4 3 5 3" xfId="34993"/>
    <cellStyle name="표준 10 4 2 4 3 6" xfId="34994"/>
    <cellStyle name="표준 10 4 2 4 3 7" xfId="34995"/>
    <cellStyle name="표준 10 4 2 4 4" xfId="34996"/>
    <cellStyle name="표준 10 4 2 4 4 2" xfId="34997"/>
    <cellStyle name="표준 10 4 2 4 4 2 2" xfId="34998"/>
    <cellStyle name="표준 10 4 2 4 4 2 2 2" xfId="34999"/>
    <cellStyle name="표준 10 4 2 4 4 2 2 3" xfId="35000"/>
    <cellStyle name="표준 10 4 2 4 4 2 3" xfId="35001"/>
    <cellStyle name="표준 10 4 2 4 4 2 4" xfId="35002"/>
    <cellStyle name="표준 10 4 2 4 4 3" xfId="35003"/>
    <cellStyle name="표준 10 4 2 4 4 3 2" xfId="35004"/>
    <cellStyle name="표준 10 4 2 4 4 3 3" xfId="35005"/>
    <cellStyle name="표준 10 4 2 4 4 4" xfId="35006"/>
    <cellStyle name="표준 10 4 2 4 4 5" xfId="35007"/>
    <cellStyle name="표준 10 4 2 4 5" xfId="35008"/>
    <cellStyle name="표준 10 4 2 4 5 2" xfId="35009"/>
    <cellStyle name="표준 10 4 2 4 5 2 2" xfId="35010"/>
    <cellStyle name="표준 10 4 2 4 5 2 2 2" xfId="35011"/>
    <cellStyle name="표준 10 4 2 4 5 2 2 3" xfId="35012"/>
    <cellStyle name="표준 10 4 2 4 5 2 3" xfId="35013"/>
    <cellStyle name="표준 10 4 2 4 5 2 4" xfId="35014"/>
    <cellStyle name="표준 10 4 2 4 5 3" xfId="35015"/>
    <cellStyle name="표준 10 4 2 4 5 3 2" xfId="35016"/>
    <cellStyle name="표준 10 4 2 4 5 3 3" xfId="35017"/>
    <cellStyle name="표준 10 4 2 4 5 4" xfId="35018"/>
    <cellStyle name="표준 10 4 2 4 5 5" xfId="35019"/>
    <cellStyle name="표준 10 4 2 4 6" xfId="35020"/>
    <cellStyle name="표준 10 4 2 4 6 2" xfId="35021"/>
    <cellStyle name="표준 10 4 2 4 6 2 2" xfId="35022"/>
    <cellStyle name="표준 10 4 2 4 6 2 2 2" xfId="35023"/>
    <cellStyle name="표준 10 4 2 4 6 2 2 3" xfId="35024"/>
    <cellStyle name="표준 10 4 2 4 6 2 3" xfId="35025"/>
    <cellStyle name="표준 10 4 2 4 6 2 4" xfId="35026"/>
    <cellStyle name="표준 10 4 2 4 6 3" xfId="35027"/>
    <cellStyle name="표준 10 4 2 4 6 3 2" xfId="35028"/>
    <cellStyle name="표준 10 4 2 4 6 3 3" xfId="35029"/>
    <cellStyle name="표준 10 4 2 4 6 4" xfId="35030"/>
    <cellStyle name="표준 10 4 2 4 6 5" xfId="35031"/>
    <cellStyle name="표준 10 4 2 4 7" xfId="35032"/>
    <cellStyle name="표준 10 4 2 4 7 2" xfId="35033"/>
    <cellStyle name="표준 10 4 2 4 7 2 2" xfId="35034"/>
    <cellStyle name="표준 10 4 2 4 7 2 3" xfId="35035"/>
    <cellStyle name="표준 10 4 2 4 7 3" xfId="35036"/>
    <cellStyle name="표준 10 4 2 4 7 4" xfId="35037"/>
    <cellStyle name="표준 10 4 2 4 8" xfId="35038"/>
    <cellStyle name="표준 10 4 2 4 8 2" xfId="35039"/>
    <cellStyle name="표준 10 4 2 4 8 3" xfId="35040"/>
    <cellStyle name="표준 10 4 2 4 9" xfId="35041"/>
    <cellStyle name="표준 10 4 2 5" xfId="35042"/>
    <cellStyle name="표준 10 4 2 5 2" xfId="35043"/>
    <cellStyle name="표준 10 4 2 5 2 2" xfId="35044"/>
    <cellStyle name="표준 10 4 2 5 2 2 2" xfId="35045"/>
    <cellStyle name="표준 10 4 2 5 2 2 2 2" xfId="35046"/>
    <cellStyle name="표준 10 4 2 5 2 2 2 3" xfId="35047"/>
    <cellStyle name="표준 10 4 2 5 2 2 3" xfId="35048"/>
    <cellStyle name="표준 10 4 2 5 2 2 4" xfId="35049"/>
    <cellStyle name="표준 10 4 2 5 2 3" xfId="35050"/>
    <cellStyle name="표준 10 4 2 5 2 3 2" xfId="35051"/>
    <cellStyle name="표준 10 4 2 5 2 3 3" xfId="35052"/>
    <cellStyle name="표준 10 4 2 5 2 4" xfId="35053"/>
    <cellStyle name="표준 10 4 2 5 2 5" xfId="35054"/>
    <cellStyle name="표준 10 4 2 5 3" xfId="35055"/>
    <cellStyle name="표준 10 4 2 5 3 2" xfId="35056"/>
    <cellStyle name="표준 10 4 2 5 3 2 2" xfId="35057"/>
    <cellStyle name="표준 10 4 2 5 3 2 2 2" xfId="35058"/>
    <cellStyle name="표준 10 4 2 5 3 2 2 3" xfId="35059"/>
    <cellStyle name="표준 10 4 2 5 3 2 3" xfId="35060"/>
    <cellStyle name="표준 10 4 2 5 3 2 4" xfId="35061"/>
    <cellStyle name="표준 10 4 2 5 3 3" xfId="35062"/>
    <cellStyle name="표준 10 4 2 5 3 3 2" xfId="35063"/>
    <cellStyle name="표준 10 4 2 5 3 3 3" xfId="35064"/>
    <cellStyle name="표준 10 4 2 5 3 4" xfId="35065"/>
    <cellStyle name="표준 10 4 2 5 3 5" xfId="35066"/>
    <cellStyle name="표준 10 4 2 5 4" xfId="35067"/>
    <cellStyle name="표준 10 4 2 5 4 2" xfId="35068"/>
    <cellStyle name="표준 10 4 2 5 4 2 2" xfId="35069"/>
    <cellStyle name="표준 10 4 2 5 4 2 3" xfId="35070"/>
    <cellStyle name="표준 10 4 2 5 4 3" xfId="35071"/>
    <cellStyle name="표준 10 4 2 5 4 4" xfId="35072"/>
    <cellStyle name="표준 10 4 2 5 5" xfId="35073"/>
    <cellStyle name="표준 10 4 2 5 5 2" xfId="35074"/>
    <cellStyle name="표준 10 4 2 5 5 3" xfId="35075"/>
    <cellStyle name="표준 10 4 2 5 6" xfId="35076"/>
    <cellStyle name="표준 10 4 2 5 7" xfId="35077"/>
    <cellStyle name="표준 10 4 2 6" xfId="35078"/>
    <cellStyle name="표준 10 4 2 6 2" xfId="35079"/>
    <cellStyle name="표준 10 4 2 6 2 2" xfId="35080"/>
    <cellStyle name="표준 10 4 2 6 2 2 2" xfId="35081"/>
    <cellStyle name="표준 10 4 2 6 2 2 2 2" xfId="35082"/>
    <cellStyle name="표준 10 4 2 6 2 2 2 3" xfId="35083"/>
    <cellStyle name="표준 10 4 2 6 2 2 3" xfId="35084"/>
    <cellStyle name="표준 10 4 2 6 2 2 4" xfId="35085"/>
    <cellStyle name="표준 10 4 2 6 2 3" xfId="35086"/>
    <cellStyle name="표준 10 4 2 6 2 3 2" xfId="35087"/>
    <cellStyle name="표준 10 4 2 6 2 3 3" xfId="35088"/>
    <cellStyle name="표준 10 4 2 6 2 4" xfId="35089"/>
    <cellStyle name="표준 10 4 2 6 2 5" xfId="35090"/>
    <cellStyle name="표준 10 4 2 6 3" xfId="35091"/>
    <cellStyle name="표준 10 4 2 6 3 2" xfId="35092"/>
    <cellStyle name="표준 10 4 2 6 3 2 2" xfId="35093"/>
    <cellStyle name="표준 10 4 2 6 3 2 2 2" xfId="35094"/>
    <cellStyle name="표준 10 4 2 6 3 2 2 3" xfId="35095"/>
    <cellStyle name="표준 10 4 2 6 3 2 3" xfId="35096"/>
    <cellStyle name="표준 10 4 2 6 3 2 4" xfId="35097"/>
    <cellStyle name="표준 10 4 2 6 3 3" xfId="35098"/>
    <cellStyle name="표준 10 4 2 6 3 3 2" xfId="35099"/>
    <cellStyle name="표준 10 4 2 6 3 3 3" xfId="35100"/>
    <cellStyle name="표준 10 4 2 6 3 4" xfId="35101"/>
    <cellStyle name="표준 10 4 2 6 3 5" xfId="35102"/>
    <cellStyle name="표준 10 4 2 6 4" xfId="35103"/>
    <cellStyle name="표준 10 4 2 6 4 2" xfId="35104"/>
    <cellStyle name="표준 10 4 2 6 4 2 2" xfId="35105"/>
    <cellStyle name="표준 10 4 2 6 4 2 3" xfId="35106"/>
    <cellStyle name="표준 10 4 2 6 4 3" xfId="35107"/>
    <cellStyle name="표준 10 4 2 6 4 4" xfId="35108"/>
    <cellStyle name="표준 10 4 2 6 5" xfId="35109"/>
    <cellStyle name="표준 10 4 2 6 5 2" xfId="35110"/>
    <cellStyle name="표준 10 4 2 6 5 3" xfId="35111"/>
    <cellStyle name="표준 10 4 2 6 6" xfId="35112"/>
    <cellStyle name="표준 10 4 2 6 7" xfId="35113"/>
    <cellStyle name="표준 10 4 2 7" xfId="35114"/>
    <cellStyle name="표준 10 4 2 7 2" xfId="35115"/>
    <cellStyle name="표준 10 4 2 7 2 2" xfId="35116"/>
    <cellStyle name="표준 10 4 2 7 2 2 2" xfId="35117"/>
    <cellStyle name="표준 10 4 2 7 2 2 3" xfId="35118"/>
    <cellStyle name="표준 10 4 2 7 2 3" xfId="35119"/>
    <cellStyle name="표준 10 4 2 7 2 4" xfId="35120"/>
    <cellStyle name="표준 10 4 2 7 3" xfId="35121"/>
    <cellStyle name="표준 10 4 2 7 3 2" xfId="35122"/>
    <cellStyle name="표준 10 4 2 7 3 3" xfId="35123"/>
    <cellStyle name="표준 10 4 2 7 4" xfId="35124"/>
    <cellStyle name="표준 10 4 2 7 5" xfId="35125"/>
    <cellStyle name="표준 10 4 2 8" xfId="35126"/>
    <cellStyle name="표준 10 4 2 8 2" xfId="35127"/>
    <cellStyle name="표준 10 4 2 8 2 2" xfId="35128"/>
    <cellStyle name="표준 10 4 2 8 2 2 2" xfId="35129"/>
    <cellStyle name="표준 10 4 2 8 2 2 3" xfId="35130"/>
    <cellStyle name="표준 10 4 2 8 2 3" xfId="35131"/>
    <cellStyle name="표준 10 4 2 8 2 4" xfId="35132"/>
    <cellStyle name="표준 10 4 2 8 3" xfId="35133"/>
    <cellStyle name="표준 10 4 2 8 3 2" xfId="35134"/>
    <cellStyle name="표준 10 4 2 8 3 3" xfId="35135"/>
    <cellStyle name="표준 10 4 2 8 4" xfId="35136"/>
    <cellStyle name="표준 10 4 2 8 5" xfId="35137"/>
    <cellStyle name="표준 10 4 2 9" xfId="35138"/>
    <cellStyle name="표준 10 4 2 9 2" xfId="35139"/>
    <cellStyle name="표준 10 4 2 9 2 2" xfId="35140"/>
    <cellStyle name="표준 10 4 2 9 2 2 2" xfId="35141"/>
    <cellStyle name="표준 10 4 2 9 2 2 3" xfId="35142"/>
    <cellStyle name="표준 10 4 2 9 2 3" xfId="35143"/>
    <cellStyle name="표준 10 4 2 9 2 4" xfId="35144"/>
    <cellStyle name="표준 10 4 2 9 3" xfId="35145"/>
    <cellStyle name="표준 10 4 2 9 3 2" xfId="35146"/>
    <cellStyle name="표준 10 4 2 9 3 3" xfId="35147"/>
    <cellStyle name="표준 10 4 2 9 4" xfId="35148"/>
    <cellStyle name="표준 10 4 2 9 5" xfId="35149"/>
    <cellStyle name="표준 10 4 3" xfId="35150"/>
    <cellStyle name="표준 10 4 3 10" xfId="35151"/>
    <cellStyle name="표준 10 4 3 2" xfId="35152"/>
    <cellStyle name="표준 10 4 3 2 2" xfId="35153"/>
    <cellStyle name="표준 10 4 3 2 2 2" xfId="35154"/>
    <cellStyle name="표준 10 4 3 2 2 2 2" xfId="35155"/>
    <cellStyle name="표준 10 4 3 2 2 2 2 2" xfId="35156"/>
    <cellStyle name="표준 10 4 3 2 2 2 2 3" xfId="35157"/>
    <cellStyle name="표준 10 4 3 2 2 2 3" xfId="35158"/>
    <cellStyle name="표준 10 4 3 2 2 2 4" xfId="35159"/>
    <cellStyle name="표준 10 4 3 2 2 3" xfId="35160"/>
    <cellStyle name="표준 10 4 3 2 2 3 2" xfId="35161"/>
    <cellStyle name="표준 10 4 3 2 2 3 3" xfId="35162"/>
    <cellStyle name="표준 10 4 3 2 2 4" xfId="35163"/>
    <cellStyle name="표준 10 4 3 2 2 5" xfId="35164"/>
    <cellStyle name="표준 10 4 3 2 3" xfId="35165"/>
    <cellStyle name="표준 10 4 3 2 3 2" xfId="35166"/>
    <cellStyle name="표준 10 4 3 2 3 2 2" xfId="35167"/>
    <cellStyle name="표준 10 4 3 2 3 2 2 2" xfId="35168"/>
    <cellStyle name="표준 10 4 3 2 3 2 2 3" xfId="35169"/>
    <cellStyle name="표준 10 4 3 2 3 2 3" xfId="35170"/>
    <cellStyle name="표준 10 4 3 2 3 2 4" xfId="35171"/>
    <cellStyle name="표준 10 4 3 2 3 3" xfId="35172"/>
    <cellStyle name="표준 10 4 3 2 3 3 2" xfId="35173"/>
    <cellStyle name="표준 10 4 3 2 3 3 3" xfId="35174"/>
    <cellStyle name="표준 10 4 3 2 3 4" xfId="35175"/>
    <cellStyle name="표준 10 4 3 2 3 5" xfId="35176"/>
    <cellStyle name="표준 10 4 3 2 4" xfId="35177"/>
    <cellStyle name="표준 10 4 3 2 4 2" xfId="35178"/>
    <cellStyle name="표준 10 4 3 2 4 2 2" xfId="35179"/>
    <cellStyle name="표준 10 4 3 2 4 2 3" xfId="35180"/>
    <cellStyle name="표준 10 4 3 2 4 3" xfId="35181"/>
    <cellStyle name="표준 10 4 3 2 4 4" xfId="35182"/>
    <cellStyle name="표준 10 4 3 2 5" xfId="35183"/>
    <cellStyle name="표준 10 4 3 2 5 2" xfId="35184"/>
    <cellStyle name="표준 10 4 3 2 5 3" xfId="35185"/>
    <cellStyle name="표준 10 4 3 2 6" xfId="35186"/>
    <cellStyle name="표준 10 4 3 2 7" xfId="35187"/>
    <cellStyle name="표준 10 4 3 3" xfId="35188"/>
    <cellStyle name="표준 10 4 3 3 2" xfId="35189"/>
    <cellStyle name="표준 10 4 3 3 2 2" xfId="35190"/>
    <cellStyle name="표준 10 4 3 3 2 2 2" xfId="35191"/>
    <cellStyle name="표준 10 4 3 3 2 2 2 2" xfId="35192"/>
    <cellStyle name="표준 10 4 3 3 2 2 2 3" xfId="35193"/>
    <cellStyle name="표준 10 4 3 3 2 2 3" xfId="35194"/>
    <cellStyle name="표준 10 4 3 3 2 2 4" xfId="35195"/>
    <cellStyle name="표준 10 4 3 3 2 3" xfId="35196"/>
    <cellStyle name="표준 10 4 3 3 2 3 2" xfId="35197"/>
    <cellStyle name="표준 10 4 3 3 2 3 3" xfId="35198"/>
    <cellStyle name="표준 10 4 3 3 2 4" xfId="35199"/>
    <cellStyle name="표준 10 4 3 3 2 5" xfId="35200"/>
    <cellStyle name="표준 10 4 3 3 3" xfId="35201"/>
    <cellStyle name="표준 10 4 3 3 3 2" xfId="35202"/>
    <cellStyle name="표준 10 4 3 3 3 2 2" xfId="35203"/>
    <cellStyle name="표준 10 4 3 3 3 2 2 2" xfId="35204"/>
    <cellStyle name="표준 10 4 3 3 3 2 2 3" xfId="35205"/>
    <cellStyle name="표준 10 4 3 3 3 2 3" xfId="35206"/>
    <cellStyle name="표준 10 4 3 3 3 2 4" xfId="35207"/>
    <cellStyle name="표준 10 4 3 3 3 3" xfId="35208"/>
    <cellStyle name="표준 10 4 3 3 3 3 2" xfId="35209"/>
    <cellStyle name="표준 10 4 3 3 3 3 3" xfId="35210"/>
    <cellStyle name="표준 10 4 3 3 3 4" xfId="35211"/>
    <cellStyle name="표준 10 4 3 3 3 5" xfId="35212"/>
    <cellStyle name="표준 10 4 3 3 4" xfId="35213"/>
    <cellStyle name="표준 10 4 3 3 4 2" xfId="35214"/>
    <cellStyle name="표준 10 4 3 3 4 2 2" xfId="35215"/>
    <cellStyle name="표준 10 4 3 3 4 2 3" xfId="35216"/>
    <cellStyle name="표준 10 4 3 3 4 3" xfId="35217"/>
    <cellStyle name="표준 10 4 3 3 4 4" xfId="35218"/>
    <cellStyle name="표준 10 4 3 3 5" xfId="35219"/>
    <cellStyle name="표준 10 4 3 3 5 2" xfId="35220"/>
    <cellStyle name="표준 10 4 3 3 5 3" xfId="35221"/>
    <cellStyle name="표준 10 4 3 3 6" xfId="35222"/>
    <cellStyle name="표준 10 4 3 3 7" xfId="35223"/>
    <cellStyle name="표준 10 4 3 4" xfId="35224"/>
    <cellStyle name="표준 10 4 3 4 2" xfId="35225"/>
    <cellStyle name="표준 10 4 3 4 2 2" xfId="35226"/>
    <cellStyle name="표준 10 4 3 4 2 2 2" xfId="35227"/>
    <cellStyle name="표준 10 4 3 4 2 2 3" xfId="35228"/>
    <cellStyle name="표준 10 4 3 4 2 3" xfId="35229"/>
    <cellStyle name="표준 10 4 3 4 2 4" xfId="35230"/>
    <cellStyle name="표준 10 4 3 4 3" xfId="35231"/>
    <cellStyle name="표준 10 4 3 4 3 2" xfId="35232"/>
    <cellStyle name="표준 10 4 3 4 3 3" xfId="35233"/>
    <cellStyle name="표준 10 4 3 4 4" xfId="35234"/>
    <cellStyle name="표준 10 4 3 4 5" xfId="35235"/>
    <cellStyle name="표준 10 4 3 5" xfId="35236"/>
    <cellStyle name="표준 10 4 3 5 2" xfId="35237"/>
    <cellStyle name="표준 10 4 3 5 2 2" xfId="35238"/>
    <cellStyle name="표준 10 4 3 5 2 2 2" xfId="35239"/>
    <cellStyle name="표준 10 4 3 5 2 2 3" xfId="35240"/>
    <cellStyle name="표준 10 4 3 5 2 3" xfId="35241"/>
    <cellStyle name="표준 10 4 3 5 2 4" xfId="35242"/>
    <cellStyle name="표준 10 4 3 5 3" xfId="35243"/>
    <cellStyle name="표준 10 4 3 5 3 2" xfId="35244"/>
    <cellStyle name="표준 10 4 3 5 3 3" xfId="35245"/>
    <cellStyle name="표준 10 4 3 5 4" xfId="35246"/>
    <cellStyle name="표준 10 4 3 5 5" xfId="35247"/>
    <cellStyle name="표준 10 4 3 6" xfId="35248"/>
    <cellStyle name="표준 10 4 3 6 2" xfId="35249"/>
    <cellStyle name="표준 10 4 3 6 2 2" xfId="35250"/>
    <cellStyle name="표준 10 4 3 6 2 2 2" xfId="35251"/>
    <cellStyle name="표준 10 4 3 6 2 2 3" xfId="35252"/>
    <cellStyle name="표준 10 4 3 6 2 3" xfId="35253"/>
    <cellStyle name="표준 10 4 3 6 2 4" xfId="35254"/>
    <cellStyle name="표준 10 4 3 6 3" xfId="35255"/>
    <cellStyle name="표준 10 4 3 6 3 2" xfId="35256"/>
    <cellStyle name="표준 10 4 3 6 3 3" xfId="35257"/>
    <cellStyle name="표준 10 4 3 6 4" xfId="35258"/>
    <cellStyle name="표준 10 4 3 6 5" xfId="35259"/>
    <cellStyle name="표준 10 4 3 7" xfId="35260"/>
    <cellStyle name="표준 10 4 3 7 2" xfId="35261"/>
    <cellStyle name="표준 10 4 3 7 2 2" xfId="35262"/>
    <cellStyle name="표준 10 4 3 7 2 3" xfId="35263"/>
    <cellStyle name="표준 10 4 3 7 3" xfId="35264"/>
    <cellStyle name="표준 10 4 3 7 4" xfId="35265"/>
    <cellStyle name="표준 10 4 3 8" xfId="35266"/>
    <cellStyle name="표준 10 4 3 8 2" xfId="35267"/>
    <cellStyle name="표준 10 4 3 8 3" xfId="35268"/>
    <cellStyle name="표준 10 4 3 9" xfId="35269"/>
    <cellStyle name="표준 10 4 4" xfId="35270"/>
    <cellStyle name="표준 10 4 4 10" xfId="35271"/>
    <cellStyle name="표준 10 4 4 2" xfId="35272"/>
    <cellStyle name="표준 10 4 4 2 2" xfId="35273"/>
    <cellStyle name="표준 10 4 4 2 2 2" xfId="35274"/>
    <cellStyle name="표준 10 4 4 2 2 2 2" xfId="35275"/>
    <cellStyle name="표준 10 4 4 2 2 2 2 2" xfId="35276"/>
    <cellStyle name="표준 10 4 4 2 2 2 2 3" xfId="35277"/>
    <cellStyle name="표준 10 4 4 2 2 2 3" xfId="35278"/>
    <cellStyle name="표준 10 4 4 2 2 2 4" xfId="35279"/>
    <cellStyle name="표준 10 4 4 2 2 3" xfId="35280"/>
    <cellStyle name="표준 10 4 4 2 2 3 2" xfId="35281"/>
    <cellStyle name="표준 10 4 4 2 2 3 3" xfId="35282"/>
    <cellStyle name="표준 10 4 4 2 2 4" xfId="35283"/>
    <cellStyle name="표준 10 4 4 2 2 5" xfId="35284"/>
    <cellStyle name="표준 10 4 4 2 3" xfId="35285"/>
    <cellStyle name="표준 10 4 4 2 3 2" xfId="35286"/>
    <cellStyle name="표준 10 4 4 2 3 2 2" xfId="35287"/>
    <cellStyle name="표준 10 4 4 2 3 2 2 2" xfId="35288"/>
    <cellStyle name="표준 10 4 4 2 3 2 2 3" xfId="35289"/>
    <cellStyle name="표준 10 4 4 2 3 2 3" xfId="35290"/>
    <cellStyle name="표준 10 4 4 2 3 2 4" xfId="35291"/>
    <cellStyle name="표준 10 4 4 2 3 3" xfId="35292"/>
    <cellStyle name="표준 10 4 4 2 3 3 2" xfId="35293"/>
    <cellStyle name="표준 10 4 4 2 3 3 3" xfId="35294"/>
    <cellStyle name="표준 10 4 4 2 3 4" xfId="35295"/>
    <cellStyle name="표준 10 4 4 2 3 5" xfId="35296"/>
    <cellStyle name="표준 10 4 4 2 4" xfId="35297"/>
    <cellStyle name="표준 10 4 4 2 4 2" xfId="35298"/>
    <cellStyle name="표준 10 4 4 2 4 2 2" xfId="35299"/>
    <cellStyle name="표준 10 4 4 2 4 2 3" xfId="35300"/>
    <cellStyle name="표준 10 4 4 2 4 3" xfId="35301"/>
    <cellStyle name="표준 10 4 4 2 4 4" xfId="35302"/>
    <cellStyle name="표준 10 4 4 2 5" xfId="35303"/>
    <cellStyle name="표준 10 4 4 2 5 2" xfId="35304"/>
    <cellStyle name="표준 10 4 4 2 5 3" xfId="35305"/>
    <cellStyle name="표준 10 4 4 2 6" xfId="35306"/>
    <cellStyle name="표준 10 4 4 2 7" xfId="35307"/>
    <cellStyle name="표준 10 4 4 3" xfId="35308"/>
    <cellStyle name="표준 10 4 4 3 2" xfId="35309"/>
    <cellStyle name="표준 10 4 4 3 2 2" xfId="35310"/>
    <cellStyle name="표준 10 4 4 3 2 2 2" xfId="35311"/>
    <cellStyle name="표준 10 4 4 3 2 2 2 2" xfId="35312"/>
    <cellStyle name="표준 10 4 4 3 2 2 2 3" xfId="35313"/>
    <cellStyle name="표준 10 4 4 3 2 2 3" xfId="35314"/>
    <cellStyle name="표준 10 4 4 3 2 2 4" xfId="35315"/>
    <cellStyle name="표준 10 4 4 3 2 3" xfId="35316"/>
    <cellStyle name="표준 10 4 4 3 2 3 2" xfId="35317"/>
    <cellStyle name="표준 10 4 4 3 2 3 3" xfId="35318"/>
    <cellStyle name="표준 10 4 4 3 2 4" xfId="35319"/>
    <cellStyle name="표준 10 4 4 3 2 5" xfId="35320"/>
    <cellStyle name="표준 10 4 4 3 3" xfId="35321"/>
    <cellStyle name="표준 10 4 4 3 3 2" xfId="35322"/>
    <cellStyle name="표준 10 4 4 3 3 2 2" xfId="35323"/>
    <cellStyle name="표준 10 4 4 3 3 2 2 2" xfId="35324"/>
    <cellStyle name="표준 10 4 4 3 3 2 2 3" xfId="35325"/>
    <cellStyle name="표준 10 4 4 3 3 2 3" xfId="35326"/>
    <cellStyle name="표준 10 4 4 3 3 2 4" xfId="35327"/>
    <cellStyle name="표준 10 4 4 3 3 3" xfId="35328"/>
    <cellStyle name="표준 10 4 4 3 3 3 2" xfId="35329"/>
    <cellStyle name="표준 10 4 4 3 3 3 3" xfId="35330"/>
    <cellStyle name="표준 10 4 4 3 3 4" xfId="35331"/>
    <cellStyle name="표준 10 4 4 3 3 5" xfId="35332"/>
    <cellStyle name="표준 10 4 4 3 4" xfId="35333"/>
    <cellStyle name="표준 10 4 4 3 4 2" xfId="35334"/>
    <cellStyle name="표준 10 4 4 3 4 2 2" xfId="35335"/>
    <cellStyle name="표준 10 4 4 3 4 2 3" xfId="35336"/>
    <cellStyle name="표준 10 4 4 3 4 3" xfId="35337"/>
    <cellStyle name="표준 10 4 4 3 4 4" xfId="35338"/>
    <cellStyle name="표준 10 4 4 3 5" xfId="35339"/>
    <cellStyle name="표준 10 4 4 3 5 2" xfId="35340"/>
    <cellStyle name="표준 10 4 4 3 5 3" xfId="35341"/>
    <cellStyle name="표준 10 4 4 3 6" xfId="35342"/>
    <cellStyle name="표준 10 4 4 3 7" xfId="35343"/>
    <cellStyle name="표준 10 4 4 4" xfId="35344"/>
    <cellStyle name="표준 10 4 4 4 2" xfId="35345"/>
    <cellStyle name="표준 10 4 4 4 2 2" xfId="35346"/>
    <cellStyle name="표준 10 4 4 4 2 2 2" xfId="35347"/>
    <cellStyle name="표준 10 4 4 4 2 2 3" xfId="35348"/>
    <cellStyle name="표준 10 4 4 4 2 3" xfId="35349"/>
    <cellStyle name="표준 10 4 4 4 2 4" xfId="35350"/>
    <cellStyle name="표준 10 4 4 4 3" xfId="35351"/>
    <cellStyle name="표준 10 4 4 4 3 2" xfId="35352"/>
    <cellStyle name="표준 10 4 4 4 3 3" xfId="35353"/>
    <cellStyle name="표준 10 4 4 4 4" xfId="35354"/>
    <cellStyle name="표준 10 4 4 4 5" xfId="35355"/>
    <cellStyle name="표준 10 4 4 5" xfId="35356"/>
    <cellStyle name="표준 10 4 4 5 2" xfId="35357"/>
    <cellStyle name="표준 10 4 4 5 2 2" xfId="35358"/>
    <cellStyle name="표준 10 4 4 5 2 2 2" xfId="35359"/>
    <cellStyle name="표준 10 4 4 5 2 2 3" xfId="35360"/>
    <cellStyle name="표준 10 4 4 5 2 3" xfId="35361"/>
    <cellStyle name="표준 10 4 4 5 2 4" xfId="35362"/>
    <cellStyle name="표준 10 4 4 5 3" xfId="35363"/>
    <cellStyle name="표준 10 4 4 5 3 2" xfId="35364"/>
    <cellStyle name="표준 10 4 4 5 3 3" xfId="35365"/>
    <cellStyle name="표준 10 4 4 5 4" xfId="35366"/>
    <cellStyle name="표준 10 4 4 5 5" xfId="35367"/>
    <cellStyle name="표준 10 4 4 6" xfId="35368"/>
    <cellStyle name="표준 10 4 4 6 2" xfId="35369"/>
    <cellStyle name="표준 10 4 4 6 2 2" xfId="35370"/>
    <cellStyle name="표준 10 4 4 6 2 2 2" xfId="35371"/>
    <cellStyle name="표준 10 4 4 6 2 2 3" xfId="35372"/>
    <cellStyle name="표준 10 4 4 6 2 3" xfId="35373"/>
    <cellStyle name="표준 10 4 4 6 2 4" xfId="35374"/>
    <cellStyle name="표준 10 4 4 6 3" xfId="35375"/>
    <cellStyle name="표준 10 4 4 6 3 2" xfId="35376"/>
    <cellStyle name="표준 10 4 4 6 3 3" xfId="35377"/>
    <cellStyle name="표준 10 4 4 6 4" xfId="35378"/>
    <cellStyle name="표준 10 4 4 6 5" xfId="35379"/>
    <cellStyle name="표준 10 4 4 7" xfId="35380"/>
    <cellStyle name="표준 10 4 4 7 2" xfId="35381"/>
    <cellStyle name="표준 10 4 4 7 2 2" xfId="35382"/>
    <cellStyle name="표준 10 4 4 7 2 3" xfId="35383"/>
    <cellStyle name="표준 10 4 4 7 3" xfId="35384"/>
    <cellStyle name="표준 10 4 4 7 4" xfId="35385"/>
    <cellStyle name="표준 10 4 4 8" xfId="35386"/>
    <cellStyle name="표준 10 4 4 8 2" xfId="35387"/>
    <cellStyle name="표준 10 4 4 8 3" xfId="35388"/>
    <cellStyle name="표준 10 4 4 9" xfId="35389"/>
    <cellStyle name="표준 10 4 5" xfId="35390"/>
    <cellStyle name="표준 10 4 5 10" xfId="35391"/>
    <cellStyle name="표준 10 4 5 2" xfId="35392"/>
    <cellStyle name="표준 10 4 5 2 2" xfId="35393"/>
    <cellStyle name="표준 10 4 5 2 2 2" xfId="35394"/>
    <cellStyle name="표준 10 4 5 2 2 2 2" xfId="35395"/>
    <cellStyle name="표준 10 4 5 2 2 2 2 2" xfId="35396"/>
    <cellStyle name="표준 10 4 5 2 2 2 2 3" xfId="35397"/>
    <cellStyle name="표준 10 4 5 2 2 2 3" xfId="35398"/>
    <cellStyle name="표준 10 4 5 2 2 2 4" xfId="35399"/>
    <cellStyle name="표준 10 4 5 2 2 3" xfId="35400"/>
    <cellStyle name="표준 10 4 5 2 2 3 2" xfId="35401"/>
    <cellStyle name="표준 10 4 5 2 2 3 3" xfId="35402"/>
    <cellStyle name="표준 10 4 5 2 2 4" xfId="35403"/>
    <cellStyle name="표준 10 4 5 2 2 5" xfId="35404"/>
    <cellStyle name="표준 10 4 5 2 3" xfId="35405"/>
    <cellStyle name="표준 10 4 5 2 3 2" xfId="35406"/>
    <cellStyle name="표준 10 4 5 2 3 2 2" xfId="35407"/>
    <cellStyle name="표준 10 4 5 2 3 2 2 2" xfId="35408"/>
    <cellStyle name="표준 10 4 5 2 3 2 2 3" xfId="35409"/>
    <cellStyle name="표준 10 4 5 2 3 2 3" xfId="35410"/>
    <cellStyle name="표준 10 4 5 2 3 2 4" xfId="35411"/>
    <cellStyle name="표준 10 4 5 2 3 3" xfId="35412"/>
    <cellStyle name="표준 10 4 5 2 3 3 2" xfId="35413"/>
    <cellStyle name="표준 10 4 5 2 3 3 3" xfId="35414"/>
    <cellStyle name="표준 10 4 5 2 3 4" xfId="35415"/>
    <cellStyle name="표준 10 4 5 2 3 5" xfId="35416"/>
    <cellStyle name="표준 10 4 5 2 4" xfId="35417"/>
    <cellStyle name="표준 10 4 5 2 4 2" xfId="35418"/>
    <cellStyle name="표준 10 4 5 2 4 2 2" xfId="35419"/>
    <cellStyle name="표준 10 4 5 2 4 2 3" xfId="35420"/>
    <cellStyle name="표준 10 4 5 2 4 3" xfId="35421"/>
    <cellStyle name="표준 10 4 5 2 4 4" xfId="35422"/>
    <cellStyle name="표준 10 4 5 2 5" xfId="35423"/>
    <cellStyle name="표준 10 4 5 2 5 2" xfId="35424"/>
    <cellStyle name="표준 10 4 5 2 5 3" xfId="35425"/>
    <cellStyle name="표준 10 4 5 2 6" xfId="35426"/>
    <cellStyle name="표준 10 4 5 2 7" xfId="35427"/>
    <cellStyle name="표준 10 4 5 3" xfId="35428"/>
    <cellStyle name="표준 10 4 5 3 2" xfId="35429"/>
    <cellStyle name="표준 10 4 5 3 2 2" xfId="35430"/>
    <cellStyle name="표준 10 4 5 3 2 2 2" xfId="35431"/>
    <cellStyle name="표준 10 4 5 3 2 2 2 2" xfId="35432"/>
    <cellStyle name="표준 10 4 5 3 2 2 2 3" xfId="35433"/>
    <cellStyle name="표준 10 4 5 3 2 2 3" xfId="35434"/>
    <cellStyle name="표준 10 4 5 3 2 2 4" xfId="35435"/>
    <cellStyle name="표준 10 4 5 3 2 3" xfId="35436"/>
    <cellStyle name="표준 10 4 5 3 2 3 2" xfId="35437"/>
    <cellStyle name="표준 10 4 5 3 2 3 3" xfId="35438"/>
    <cellStyle name="표준 10 4 5 3 2 4" xfId="35439"/>
    <cellStyle name="표준 10 4 5 3 2 5" xfId="35440"/>
    <cellStyle name="표준 10 4 5 3 3" xfId="35441"/>
    <cellStyle name="표준 10 4 5 3 3 2" xfId="35442"/>
    <cellStyle name="표준 10 4 5 3 3 2 2" xfId="35443"/>
    <cellStyle name="표준 10 4 5 3 3 2 2 2" xfId="35444"/>
    <cellStyle name="표준 10 4 5 3 3 2 2 3" xfId="35445"/>
    <cellStyle name="표준 10 4 5 3 3 2 3" xfId="35446"/>
    <cellStyle name="표준 10 4 5 3 3 2 4" xfId="35447"/>
    <cellStyle name="표준 10 4 5 3 3 3" xfId="35448"/>
    <cellStyle name="표준 10 4 5 3 3 3 2" xfId="35449"/>
    <cellStyle name="표준 10 4 5 3 3 3 3" xfId="35450"/>
    <cellStyle name="표준 10 4 5 3 3 4" xfId="35451"/>
    <cellStyle name="표준 10 4 5 3 3 5" xfId="35452"/>
    <cellStyle name="표준 10 4 5 3 4" xfId="35453"/>
    <cellStyle name="표준 10 4 5 3 4 2" xfId="35454"/>
    <cellStyle name="표준 10 4 5 3 4 2 2" xfId="35455"/>
    <cellStyle name="표준 10 4 5 3 4 2 3" xfId="35456"/>
    <cellStyle name="표준 10 4 5 3 4 3" xfId="35457"/>
    <cellStyle name="표준 10 4 5 3 4 4" xfId="35458"/>
    <cellStyle name="표준 10 4 5 3 5" xfId="35459"/>
    <cellStyle name="표준 10 4 5 3 5 2" xfId="35460"/>
    <cellStyle name="표준 10 4 5 3 5 3" xfId="35461"/>
    <cellStyle name="표준 10 4 5 3 6" xfId="35462"/>
    <cellStyle name="표준 10 4 5 3 7" xfId="35463"/>
    <cellStyle name="표준 10 4 5 4" xfId="35464"/>
    <cellStyle name="표준 10 4 5 4 2" xfId="35465"/>
    <cellStyle name="표준 10 4 5 4 2 2" xfId="35466"/>
    <cellStyle name="표준 10 4 5 4 2 2 2" xfId="35467"/>
    <cellStyle name="표준 10 4 5 4 2 2 3" xfId="35468"/>
    <cellStyle name="표준 10 4 5 4 2 3" xfId="35469"/>
    <cellStyle name="표준 10 4 5 4 2 4" xfId="35470"/>
    <cellStyle name="표준 10 4 5 4 3" xfId="35471"/>
    <cellStyle name="표준 10 4 5 4 3 2" xfId="35472"/>
    <cellStyle name="표준 10 4 5 4 3 3" xfId="35473"/>
    <cellStyle name="표준 10 4 5 4 4" xfId="35474"/>
    <cellStyle name="표준 10 4 5 4 5" xfId="35475"/>
    <cellStyle name="표준 10 4 5 5" xfId="35476"/>
    <cellStyle name="표준 10 4 5 5 2" xfId="35477"/>
    <cellStyle name="표준 10 4 5 5 2 2" xfId="35478"/>
    <cellStyle name="표준 10 4 5 5 2 2 2" xfId="35479"/>
    <cellStyle name="표준 10 4 5 5 2 2 3" xfId="35480"/>
    <cellStyle name="표준 10 4 5 5 2 3" xfId="35481"/>
    <cellStyle name="표준 10 4 5 5 2 4" xfId="35482"/>
    <cellStyle name="표준 10 4 5 5 3" xfId="35483"/>
    <cellStyle name="표준 10 4 5 5 3 2" xfId="35484"/>
    <cellStyle name="표준 10 4 5 5 3 3" xfId="35485"/>
    <cellStyle name="표준 10 4 5 5 4" xfId="35486"/>
    <cellStyle name="표준 10 4 5 5 5" xfId="35487"/>
    <cellStyle name="표준 10 4 5 6" xfId="35488"/>
    <cellStyle name="표준 10 4 5 6 2" xfId="35489"/>
    <cellStyle name="표준 10 4 5 6 2 2" xfId="35490"/>
    <cellStyle name="표준 10 4 5 6 2 2 2" xfId="35491"/>
    <cellStyle name="표준 10 4 5 6 2 2 3" xfId="35492"/>
    <cellStyle name="표준 10 4 5 6 2 3" xfId="35493"/>
    <cellStyle name="표준 10 4 5 6 2 4" xfId="35494"/>
    <cellStyle name="표준 10 4 5 6 3" xfId="35495"/>
    <cellStyle name="표준 10 4 5 6 3 2" xfId="35496"/>
    <cellStyle name="표준 10 4 5 6 3 3" xfId="35497"/>
    <cellStyle name="표준 10 4 5 6 4" xfId="35498"/>
    <cellStyle name="표준 10 4 5 6 5" xfId="35499"/>
    <cellStyle name="표준 10 4 5 7" xfId="35500"/>
    <cellStyle name="표준 10 4 5 7 2" xfId="35501"/>
    <cellStyle name="표준 10 4 5 7 2 2" xfId="35502"/>
    <cellStyle name="표준 10 4 5 7 2 3" xfId="35503"/>
    <cellStyle name="표준 10 4 5 7 3" xfId="35504"/>
    <cellStyle name="표준 10 4 5 7 4" xfId="35505"/>
    <cellStyle name="표준 10 4 5 8" xfId="35506"/>
    <cellStyle name="표준 10 4 5 8 2" xfId="35507"/>
    <cellStyle name="표준 10 4 5 8 3" xfId="35508"/>
    <cellStyle name="표준 10 4 5 9" xfId="35509"/>
    <cellStyle name="표준 10 4 6" xfId="35510"/>
    <cellStyle name="표준 10 4 6 2" xfId="35511"/>
    <cellStyle name="표준 10 4 6 2 2" xfId="35512"/>
    <cellStyle name="표준 10 4 6 2 2 2" xfId="35513"/>
    <cellStyle name="표준 10 4 6 2 2 2 2" xfId="35514"/>
    <cellStyle name="표준 10 4 6 2 2 2 3" xfId="35515"/>
    <cellStyle name="표준 10 4 6 2 2 3" xfId="35516"/>
    <cellStyle name="표준 10 4 6 2 2 4" xfId="35517"/>
    <cellStyle name="표준 10 4 6 2 3" xfId="35518"/>
    <cellStyle name="표준 10 4 6 2 3 2" xfId="35519"/>
    <cellStyle name="표준 10 4 6 2 3 3" xfId="35520"/>
    <cellStyle name="표준 10 4 6 2 4" xfId="35521"/>
    <cellStyle name="표준 10 4 6 2 5" xfId="35522"/>
    <cellStyle name="표준 10 4 6 3" xfId="35523"/>
    <cellStyle name="표준 10 4 6 3 2" xfId="35524"/>
    <cellStyle name="표준 10 4 6 3 2 2" xfId="35525"/>
    <cellStyle name="표준 10 4 6 3 2 2 2" xfId="35526"/>
    <cellStyle name="표준 10 4 6 3 2 2 3" xfId="35527"/>
    <cellStyle name="표준 10 4 6 3 2 3" xfId="35528"/>
    <cellStyle name="표준 10 4 6 3 2 4" xfId="35529"/>
    <cellStyle name="표준 10 4 6 3 3" xfId="35530"/>
    <cellStyle name="표준 10 4 6 3 3 2" xfId="35531"/>
    <cellStyle name="표준 10 4 6 3 3 3" xfId="35532"/>
    <cellStyle name="표준 10 4 6 3 4" xfId="35533"/>
    <cellStyle name="표준 10 4 6 3 5" xfId="35534"/>
    <cellStyle name="표준 10 4 6 4" xfId="35535"/>
    <cellStyle name="표준 10 4 6 4 2" xfId="35536"/>
    <cellStyle name="표준 10 4 6 4 2 2" xfId="35537"/>
    <cellStyle name="표준 10 4 6 4 2 3" xfId="35538"/>
    <cellStyle name="표준 10 4 6 4 3" xfId="35539"/>
    <cellStyle name="표준 10 4 6 4 4" xfId="35540"/>
    <cellStyle name="표준 10 4 6 5" xfId="35541"/>
    <cellStyle name="표준 10 4 6 5 2" xfId="35542"/>
    <cellStyle name="표준 10 4 6 5 3" xfId="35543"/>
    <cellStyle name="표준 10 4 6 6" xfId="35544"/>
    <cellStyle name="표준 10 4 6 7" xfId="35545"/>
    <cellStyle name="표준 10 4 7" xfId="35546"/>
    <cellStyle name="표준 10 4 7 2" xfId="35547"/>
    <cellStyle name="표준 10 4 7 2 2" xfId="35548"/>
    <cellStyle name="표준 10 4 7 2 2 2" xfId="35549"/>
    <cellStyle name="표준 10 4 7 2 2 2 2" xfId="35550"/>
    <cellStyle name="표준 10 4 7 2 2 2 3" xfId="35551"/>
    <cellStyle name="표준 10 4 7 2 2 3" xfId="35552"/>
    <cellStyle name="표준 10 4 7 2 2 4" xfId="35553"/>
    <cellStyle name="표준 10 4 7 2 3" xfId="35554"/>
    <cellStyle name="표준 10 4 7 2 3 2" xfId="35555"/>
    <cellStyle name="표준 10 4 7 2 3 3" xfId="35556"/>
    <cellStyle name="표준 10 4 7 2 4" xfId="35557"/>
    <cellStyle name="표준 10 4 7 2 5" xfId="35558"/>
    <cellStyle name="표준 10 4 7 3" xfId="35559"/>
    <cellStyle name="표준 10 4 7 3 2" xfId="35560"/>
    <cellStyle name="표준 10 4 7 3 2 2" xfId="35561"/>
    <cellStyle name="표준 10 4 7 3 2 2 2" xfId="35562"/>
    <cellStyle name="표준 10 4 7 3 2 2 3" xfId="35563"/>
    <cellStyle name="표준 10 4 7 3 2 3" xfId="35564"/>
    <cellStyle name="표준 10 4 7 3 2 4" xfId="35565"/>
    <cellStyle name="표준 10 4 7 3 3" xfId="35566"/>
    <cellStyle name="표준 10 4 7 3 3 2" xfId="35567"/>
    <cellStyle name="표준 10 4 7 3 3 3" xfId="35568"/>
    <cellStyle name="표준 10 4 7 3 4" xfId="35569"/>
    <cellStyle name="표준 10 4 7 3 5" xfId="35570"/>
    <cellStyle name="표준 10 4 7 4" xfId="35571"/>
    <cellStyle name="표준 10 4 7 4 2" xfId="35572"/>
    <cellStyle name="표준 10 4 7 4 2 2" xfId="35573"/>
    <cellStyle name="표준 10 4 7 4 2 3" xfId="35574"/>
    <cellStyle name="표준 10 4 7 4 3" xfId="35575"/>
    <cellStyle name="표준 10 4 7 4 4" xfId="35576"/>
    <cellStyle name="표준 10 4 7 5" xfId="35577"/>
    <cellStyle name="표준 10 4 7 5 2" xfId="35578"/>
    <cellStyle name="표준 10 4 7 5 3" xfId="35579"/>
    <cellStyle name="표준 10 4 7 6" xfId="35580"/>
    <cellStyle name="표준 10 4 7 7" xfId="35581"/>
    <cellStyle name="표준 10 4 8" xfId="35582"/>
    <cellStyle name="표준 10 4 8 2" xfId="35583"/>
    <cellStyle name="표준 10 4 8 2 2" xfId="35584"/>
    <cellStyle name="표준 10 4 8 2 2 2" xfId="35585"/>
    <cellStyle name="표준 10 4 8 2 2 3" xfId="35586"/>
    <cellStyle name="표준 10 4 8 2 3" xfId="35587"/>
    <cellStyle name="표준 10 4 8 2 4" xfId="35588"/>
    <cellStyle name="표준 10 4 8 3" xfId="35589"/>
    <cellStyle name="표준 10 4 8 3 2" xfId="35590"/>
    <cellStyle name="표준 10 4 8 3 3" xfId="35591"/>
    <cellStyle name="표준 10 4 8 4" xfId="35592"/>
    <cellStyle name="표준 10 4 8 5" xfId="35593"/>
    <cellStyle name="표준 10 4 9" xfId="35594"/>
    <cellStyle name="표준 10 4 9 2" xfId="35595"/>
    <cellStyle name="표준 10 4 9 2 2" xfId="35596"/>
    <cellStyle name="표준 10 4 9 2 2 2" xfId="35597"/>
    <cellStyle name="표준 10 4 9 2 2 3" xfId="35598"/>
    <cellStyle name="표준 10 4 9 2 3" xfId="35599"/>
    <cellStyle name="표준 10 4 9 2 4" xfId="35600"/>
    <cellStyle name="표준 10 4 9 3" xfId="35601"/>
    <cellStyle name="표준 10 4 9 3 2" xfId="35602"/>
    <cellStyle name="표준 10 4 9 3 3" xfId="35603"/>
    <cellStyle name="표준 10 4 9 4" xfId="35604"/>
    <cellStyle name="표준 10 4 9 5" xfId="35605"/>
    <cellStyle name="표준 10 5" xfId="35606"/>
    <cellStyle name="표준 10 5 10" xfId="35607"/>
    <cellStyle name="표준 10 5 10 2" xfId="35608"/>
    <cellStyle name="표준 10 5 10 2 2" xfId="35609"/>
    <cellStyle name="표준 10 5 10 2 3" xfId="35610"/>
    <cellStyle name="표준 10 5 10 3" xfId="35611"/>
    <cellStyle name="표준 10 5 10 4" xfId="35612"/>
    <cellStyle name="표준 10 5 11" xfId="35613"/>
    <cellStyle name="표준 10 5 11 2" xfId="35614"/>
    <cellStyle name="표준 10 5 11 3" xfId="35615"/>
    <cellStyle name="표준 10 5 12" xfId="35616"/>
    <cellStyle name="표준 10 5 13" xfId="35617"/>
    <cellStyle name="표준 10 5 2" xfId="35618"/>
    <cellStyle name="표준 10 5 2 10" xfId="35619"/>
    <cellStyle name="표준 10 5 2 2" xfId="35620"/>
    <cellStyle name="표준 10 5 2 2 2" xfId="35621"/>
    <cellStyle name="표준 10 5 2 2 2 2" xfId="35622"/>
    <cellStyle name="표준 10 5 2 2 2 2 2" xfId="35623"/>
    <cellStyle name="표준 10 5 2 2 2 2 2 2" xfId="35624"/>
    <cellStyle name="표준 10 5 2 2 2 2 2 3" xfId="35625"/>
    <cellStyle name="표준 10 5 2 2 2 2 3" xfId="35626"/>
    <cellStyle name="표준 10 5 2 2 2 2 4" xfId="35627"/>
    <cellStyle name="표준 10 5 2 2 2 3" xfId="35628"/>
    <cellStyle name="표준 10 5 2 2 2 3 2" xfId="35629"/>
    <cellStyle name="표준 10 5 2 2 2 3 3" xfId="35630"/>
    <cellStyle name="표준 10 5 2 2 2 4" xfId="35631"/>
    <cellStyle name="표준 10 5 2 2 2 5" xfId="35632"/>
    <cellStyle name="표준 10 5 2 2 3" xfId="35633"/>
    <cellStyle name="표준 10 5 2 2 3 2" xfId="35634"/>
    <cellStyle name="표준 10 5 2 2 3 2 2" xfId="35635"/>
    <cellStyle name="표준 10 5 2 2 3 2 2 2" xfId="35636"/>
    <cellStyle name="표준 10 5 2 2 3 2 2 3" xfId="35637"/>
    <cellStyle name="표준 10 5 2 2 3 2 3" xfId="35638"/>
    <cellStyle name="표준 10 5 2 2 3 2 4" xfId="35639"/>
    <cellStyle name="표준 10 5 2 2 3 3" xfId="35640"/>
    <cellStyle name="표준 10 5 2 2 3 3 2" xfId="35641"/>
    <cellStyle name="표준 10 5 2 2 3 3 3" xfId="35642"/>
    <cellStyle name="표준 10 5 2 2 3 4" xfId="35643"/>
    <cellStyle name="표준 10 5 2 2 3 5" xfId="35644"/>
    <cellStyle name="표준 10 5 2 2 4" xfId="35645"/>
    <cellStyle name="표준 10 5 2 2 4 2" xfId="35646"/>
    <cellStyle name="표준 10 5 2 2 4 2 2" xfId="35647"/>
    <cellStyle name="표준 10 5 2 2 4 2 3" xfId="35648"/>
    <cellStyle name="표준 10 5 2 2 4 3" xfId="35649"/>
    <cellStyle name="표준 10 5 2 2 4 4" xfId="35650"/>
    <cellStyle name="표준 10 5 2 2 5" xfId="35651"/>
    <cellStyle name="표준 10 5 2 2 5 2" xfId="35652"/>
    <cellStyle name="표준 10 5 2 2 5 3" xfId="35653"/>
    <cellStyle name="표준 10 5 2 2 6" xfId="35654"/>
    <cellStyle name="표준 10 5 2 2 7" xfId="35655"/>
    <cellStyle name="표준 10 5 2 3" xfId="35656"/>
    <cellStyle name="표준 10 5 2 3 2" xfId="35657"/>
    <cellStyle name="표준 10 5 2 3 2 2" xfId="35658"/>
    <cellStyle name="표준 10 5 2 3 2 2 2" xfId="35659"/>
    <cellStyle name="표준 10 5 2 3 2 2 2 2" xfId="35660"/>
    <cellStyle name="표준 10 5 2 3 2 2 2 3" xfId="35661"/>
    <cellStyle name="표준 10 5 2 3 2 2 3" xfId="35662"/>
    <cellStyle name="표준 10 5 2 3 2 2 4" xfId="35663"/>
    <cellStyle name="표준 10 5 2 3 2 3" xfId="35664"/>
    <cellStyle name="표준 10 5 2 3 2 3 2" xfId="35665"/>
    <cellStyle name="표준 10 5 2 3 2 3 3" xfId="35666"/>
    <cellStyle name="표준 10 5 2 3 2 4" xfId="35667"/>
    <cellStyle name="표준 10 5 2 3 2 5" xfId="35668"/>
    <cellStyle name="표준 10 5 2 3 3" xfId="35669"/>
    <cellStyle name="표준 10 5 2 3 3 2" xfId="35670"/>
    <cellStyle name="표준 10 5 2 3 3 2 2" xfId="35671"/>
    <cellStyle name="표준 10 5 2 3 3 2 2 2" xfId="35672"/>
    <cellStyle name="표준 10 5 2 3 3 2 2 3" xfId="35673"/>
    <cellStyle name="표준 10 5 2 3 3 2 3" xfId="35674"/>
    <cellStyle name="표준 10 5 2 3 3 2 4" xfId="35675"/>
    <cellStyle name="표준 10 5 2 3 3 3" xfId="35676"/>
    <cellStyle name="표준 10 5 2 3 3 3 2" xfId="35677"/>
    <cellStyle name="표준 10 5 2 3 3 3 3" xfId="35678"/>
    <cellStyle name="표준 10 5 2 3 3 4" xfId="35679"/>
    <cellStyle name="표준 10 5 2 3 3 5" xfId="35680"/>
    <cellStyle name="표준 10 5 2 3 4" xfId="35681"/>
    <cellStyle name="표준 10 5 2 3 4 2" xfId="35682"/>
    <cellStyle name="표준 10 5 2 3 4 2 2" xfId="35683"/>
    <cellStyle name="표준 10 5 2 3 4 2 3" xfId="35684"/>
    <cellStyle name="표준 10 5 2 3 4 3" xfId="35685"/>
    <cellStyle name="표준 10 5 2 3 4 4" xfId="35686"/>
    <cellStyle name="표준 10 5 2 3 5" xfId="35687"/>
    <cellStyle name="표준 10 5 2 3 5 2" xfId="35688"/>
    <cellStyle name="표준 10 5 2 3 5 3" xfId="35689"/>
    <cellStyle name="표준 10 5 2 3 6" xfId="35690"/>
    <cellStyle name="표준 10 5 2 3 7" xfId="35691"/>
    <cellStyle name="표준 10 5 2 4" xfId="35692"/>
    <cellStyle name="표준 10 5 2 4 2" xfId="35693"/>
    <cellStyle name="표준 10 5 2 4 2 2" xfId="35694"/>
    <cellStyle name="표준 10 5 2 4 2 2 2" xfId="35695"/>
    <cellStyle name="표준 10 5 2 4 2 2 3" xfId="35696"/>
    <cellStyle name="표준 10 5 2 4 2 3" xfId="35697"/>
    <cellStyle name="표준 10 5 2 4 2 4" xfId="35698"/>
    <cellStyle name="표준 10 5 2 4 3" xfId="35699"/>
    <cellStyle name="표준 10 5 2 4 3 2" xfId="35700"/>
    <cellStyle name="표준 10 5 2 4 3 3" xfId="35701"/>
    <cellStyle name="표준 10 5 2 4 4" xfId="35702"/>
    <cellStyle name="표준 10 5 2 4 5" xfId="35703"/>
    <cellStyle name="표준 10 5 2 5" xfId="35704"/>
    <cellStyle name="표준 10 5 2 5 2" xfId="35705"/>
    <cellStyle name="표준 10 5 2 5 2 2" xfId="35706"/>
    <cellStyle name="표준 10 5 2 5 2 2 2" xfId="35707"/>
    <cellStyle name="표준 10 5 2 5 2 2 3" xfId="35708"/>
    <cellStyle name="표준 10 5 2 5 2 3" xfId="35709"/>
    <cellStyle name="표준 10 5 2 5 2 4" xfId="35710"/>
    <cellStyle name="표준 10 5 2 5 3" xfId="35711"/>
    <cellStyle name="표준 10 5 2 5 3 2" xfId="35712"/>
    <cellStyle name="표준 10 5 2 5 3 3" xfId="35713"/>
    <cellStyle name="표준 10 5 2 5 4" xfId="35714"/>
    <cellStyle name="표준 10 5 2 5 5" xfId="35715"/>
    <cellStyle name="표준 10 5 2 6" xfId="35716"/>
    <cellStyle name="표준 10 5 2 6 2" xfId="35717"/>
    <cellStyle name="표준 10 5 2 6 2 2" xfId="35718"/>
    <cellStyle name="표준 10 5 2 6 2 2 2" xfId="35719"/>
    <cellStyle name="표준 10 5 2 6 2 2 3" xfId="35720"/>
    <cellStyle name="표준 10 5 2 6 2 3" xfId="35721"/>
    <cellStyle name="표준 10 5 2 6 2 4" xfId="35722"/>
    <cellStyle name="표준 10 5 2 6 3" xfId="35723"/>
    <cellStyle name="표준 10 5 2 6 3 2" xfId="35724"/>
    <cellStyle name="표준 10 5 2 6 3 3" xfId="35725"/>
    <cellStyle name="표준 10 5 2 6 4" xfId="35726"/>
    <cellStyle name="표준 10 5 2 6 5" xfId="35727"/>
    <cellStyle name="표준 10 5 2 7" xfId="35728"/>
    <cellStyle name="표준 10 5 2 7 2" xfId="35729"/>
    <cellStyle name="표준 10 5 2 7 2 2" xfId="35730"/>
    <cellStyle name="표준 10 5 2 7 2 3" xfId="35731"/>
    <cellStyle name="표준 10 5 2 7 3" xfId="35732"/>
    <cellStyle name="표준 10 5 2 7 4" xfId="35733"/>
    <cellStyle name="표준 10 5 2 8" xfId="35734"/>
    <cellStyle name="표준 10 5 2 8 2" xfId="35735"/>
    <cellStyle name="표준 10 5 2 8 3" xfId="35736"/>
    <cellStyle name="표준 10 5 2 9" xfId="35737"/>
    <cellStyle name="표준 10 5 3" xfId="35738"/>
    <cellStyle name="표준 10 5 3 10" xfId="35739"/>
    <cellStyle name="표준 10 5 3 2" xfId="35740"/>
    <cellStyle name="표준 10 5 3 2 2" xfId="35741"/>
    <cellStyle name="표준 10 5 3 2 2 2" xfId="35742"/>
    <cellStyle name="표준 10 5 3 2 2 2 2" xfId="35743"/>
    <cellStyle name="표준 10 5 3 2 2 2 2 2" xfId="35744"/>
    <cellStyle name="표준 10 5 3 2 2 2 2 3" xfId="35745"/>
    <cellStyle name="표준 10 5 3 2 2 2 3" xfId="35746"/>
    <cellStyle name="표준 10 5 3 2 2 2 4" xfId="35747"/>
    <cellStyle name="표준 10 5 3 2 2 3" xfId="35748"/>
    <cellStyle name="표준 10 5 3 2 2 3 2" xfId="35749"/>
    <cellStyle name="표준 10 5 3 2 2 3 3" xfId="35750"/>
    <cellStyle name="표준 10 5 3 2 2 4" xfId="35751"/>
    <cellStyle name="표준 10 5 3 2 2 5" xfId="35752"/>
    <cellStyle name="표준 10 5 3 2 3" xfId="35753"/>
    <cellStyle name="표준 10 5 3 2 3 2" xfId="35754"/>
    <cellStyle name="표준 10 5 3 2 3 2 2" xfId="35755"/>
    <cellStyle name="표준 10 5 3 2 3 2 2 2" xfId="35756"/>
    <cellStyle name="표준 10 5 3 2 3 2 2 3" xfId="35757"/>
    <cellStyle name="표준 10 5 3 2 3 2 3" xfId="35758"/>
    <cellStyle name="표준 10 5 3 2 3 2 4" xfId="35759"/>
    <cellStyle name="표준 10 5 3 2 3 3" xfId="35760"/>
    <cellStyle name="표준 10 5 3 2 3 3 2" xfId="35761"/>
    <cellStyle name="표준 10 5 3 2 3 3 3" xfId="35762"/>
    <cellStyle name="표준 10 5 3 2 3 4" xfId="35763"/>
    <cellStyle name="표준 10 5 3 2 3 5" xfId="35764"/>
    <cellStyle name="표준 10 5 3 2 4" xfId="35765"/>
    <cellStyle name="표준 10 5 3 2 4 2" xfId="35766"/>
    <cellStyle name="표준 10 5 3 2 4 2 2" xfId="35767"/>
    <cellStyle name="표준 10 5 3 2 4 2 3" xfId="35768"/>
    <cellStyle name="표준 10 5 3 2 4 3" xfId="35769"/>
    <cellStyle name="표준 10 5 3 2 4 4" xfId="35770"/>
    <cellStyle name="표준 10 5 3 2 5" xfId="35771"/>
    <cellStyle name="표준 10 5 3 2 5 2" xfId="35772"/>
    <cellStyle name="표준 10 5 3 2 5 3" xfId="35773"/>
    <cellStyle name="표준 10 5 3 2 6" xfId="35774"/>
    <cellStyle name="표준 10 5 3 2 7" xfId="35775"/>
    <cellStyle name="표준 10 5 3 3" xfId="35776"/>
    <cellStyle name="표준 10 5 3 3 2" xfId="35777"/>
    <cellStyle name="표준 10 5 3 3 2 2" xfId="35778"/>
    <cellStyle name="표준 10 5 3 3 2 2 2" xfId="35779"/>
    <cellStyle name="표준 10 5 3 3 2 2 2 2" xfId="35780"/>
    <cellStyle name="표준 10 5 3 3 2 2 2 3" xfId="35781"/>
    <cellStyle name="표준 10 5 3 3 2 2 3" xfId="35782"/>
    <cellStyle name="표준 10 5 3 3 2 2 4" xfId="35783"/>
    <cellStyle name="표준 10 5 3 3 2 3" xfId="35784"/>
    <cellStyle name="표준 10 5 3 3 2 3 2" xfId="35785"/>
    <cellStyle name="표준 10 5 3 3 2 3 3" xfId="35786"/>
    <cellStyle name="표준 10 5 3 3 2 4" xfId="35787"/>
    <cellStyle name="표준 10 5 3 3 2 5" xfId="35788"/>
    <cellStyle name="표준 10 5 3 3 3" xfId="35789"/>
    <cellStyle name="표준 10 5 3 3 3 2" xfId="35790"/>
    <cellStyle name="표준 10 5 3 3 3 2 2" xfId="35791"/>
    <cellStyle name="표준 10 5 3 3 3 2 2 2" xfId="35792"/>
    <cellStyle name="표준 10 5 3 3 3 2 2 3" xfId="35793"/>
    <cellStyle name="표준 10 5 3 3 3 2 3" xfId="35794"/>
    <cellStyle name="표준 10 5 3 3 3 2 4" xfId="35795"/>
    <cellStyle name="표준 10 5 3 3 3 3" xfId="35796"/>
    <cellStyle name="표준 10 5 3 3 3 3 2" xfId="35797"/>
    <cellStyle name="표준 10 5 3 3 3 3 3" xfId="35798"/>
    <cellStyle name="표준 10 5 3 3 3 4" xfId="35799"/>
    <cellStyle name="표준 10 5 3 3 3 5" xfId="35800"/>
    <cellStyle name="표준 10 5 3 3 4" xfId="35801"/>
    <cellStyle name="표준 10 5 3 3 4 2" xfId="35802"/>
    <cellStyle name="표준 10 5 3 3 4 2 2" xfId="35803"/>
    <cellStyle name="표준 10 5 3 3 4 2 3" xfId="35804"/>
    <cellStyle name="표준 10 5 3 3 4 3" xfId="35805"/>
    <cellStyle name="표준 10 5 3 3 4 4" xfId="35806"/>
    <cellStyle name="표준 10 5 3 3 5" xfId="35807"/>
    <cellStyle name="표준 10 5 3 3 5 2" xfId="35808"/>
    <cellStyle name="표준 10 5 3 3 5 3" xfId="35809"/>
    <cellStyle name="표준 10 5 3 3 6" xfId="35810"/>
    <cellStyle name="표준 10 5 3 3 7" xfId="35811"/>
    <cellStyle name="표준 10 5 3 4" xfId="35812"/>
    <cellStyle name="표준 10 5 3 4 2" xfId="35813"/>
    <cellStyle name="표준 10 5 3 4 2 2" xfId="35814"/>
    <cellStyle name="표준 10 5 3 4 2 2 2" xfId="35815"/>
    <cellStyle name="표준 10 5 3 4 2 2 3" xfId="35816"/>
    <cellStyle name="표준 10 5 3 4 2 3" xfId="35817"/>
    <cellStyle name="표준 10 5 3 4 2 4" xfId="35818"/>
    <cellStyle name="표준 10 5 3 4 3" xfId="35819"/>
    <cellStyle name="표준 10 5 3 4 3 2" xfId="35820"/>
    <cellStyle name="표준 10 5 3 4 3 3" xfId="35821"/>
    <cellStyle name="표준 10 5 3 4 4" xfId="35822"/>
    <cellStyle name="표준 10 5 3 4 5" xfId="35823"/>
    <cellStyle name="표준 10 5 3 5" xfId="35824"/>
    <cellStyle name="표준 10 5 3 5 2" xfId="35825"/>
    <cellStyle name="표준 10 5 3 5 2 2" xfId="35826"/>
    <cellStyle name="표준 10 5 3 5 2 2 2" xfId="35827"/>
    <cellStyle name="표준 10 5 3 5 2 2 3" xfId="35828"/>
    <cellStyle name="표준 10 5 3 5 2 3" xfId="35829"/>
    <cellStyle name="표준 10 5 3 5 2 4" xfId="35830"/>
    <cellStyle name="표준 10 5 3 5 3" xfId="35831"/>
    <cellStyle name="표준 10 5 3 5 3 2" xfId="35832"/>
    <cellStyle name="표준 10 5 3 5 3 3" xfId="35833"/>
    <cellStyle name="표준 10 5 3 5 4" xfId="35834"/>
    <cellStyle name="표준 10 5 3 5 5" xfId="35835"/>
    <cellStyle name="표준 10 5 3 6" xfId="35836"/>
    <cellStyle name="표준 10 5 3 6 2" xfId="35837"/>
    <cellStyle name="표준 10 5 3 6 2 2" xfId="35838"/>
    <cellStyle name="표준 10 5 3 6 2 2 2" xfId="35839"/>
    <cellStyle name="표준 10 5 3 6 2 2 3" xfId="35840"/>
    <cellStyle name="표준 10 5 3 6 2 3" xfId="35841"/>
    <cellStyle name="표준 10 5 3 6 2 4" xfId="35842"/>
    <cellStyle name="표준 10 5 3 6 3" xfId="35843"/>
    <cellStyle name="표준 10 5 3 6 3 2" xfId="35844"/>
    <cellStyle name="표준 10 5 3 6 3 3" xfId="35845"/>
    <cellStyle name="표준 10 5 3 6 4" xfId="35846"/>
    <cellStyle name="표준 10 5 3 6 5" xfId="35847"/>
    <cellStyle name="표준 10 5 3 7" xfId="35848"/>
    <cellStyle name="표준 10 5 3 7 2" xfId="35849"/>
    <cellStyle name="표준 10 5 3 7 2 2" xfId="35850"/>
    <cellStyle name="표준 10 5 3 7 2 3" xfId="35851"/>
    <cellStyle name="표준 10 5 3 7 3" xfId="35852"/>
    <cellStyle name="표준 10 5 3 7 4" xfId="35853"/>
    <cellStyle name="표준 10 5 3 8" xfId="35854"/>
    <cellStyle name="표준 10 5 3 8 2" xfId="35855"/>
    <cellStyle name="표준 10 5 3 8 3" xfId="35856"/>
    <cellStyle name="표준 10 5 3 9" xfId="35857"/>
    <cellStyle name="표준 10 5 4" xfId="35858"/>
    <cellStyle name="표준 10 5 4 10" xfId="35859"/>
    <cellStyle name="표준 10 5 4 2" xfId="35860"/>
    <cellStyle name="표준 10 5 4 2 2" xfId="35861"/>
    <cellStyle name="표준 10 5 4 2 2 2" xfId="35862"/>
    <cellStyle name="표준 10 5 4 2 2 2 2" xfId="35863"/>
    <cellStyle name="표준 10 5 4 2 2 2 2 2" xfId="35864"/>
    <cellStyle name="표준 10 5 4 2 2 2 2 3" xfId="35865"/>
    <cellStyle name="표준 10 5 4 2 2 2 3" xfId="35866"/>
    <cellStyle name="표준 10 5 4 2 2 2 4" xfId="35867"/>
    <cellStyle name="표준 10 5 4 2 2 3" xfId="35868"/>
    <cellStyle name="표준 10 5 4 2 2 3 2" xfId="35869"/>
    <cellStyle name="표준 10 5 4 2 2 3 3" xfId="35870"/>
    <cellStyle name="표준 10 5 4 2 2 4" xfId="35871"/>
    <cellStyle name="표준 10 5 4 2 2 5" xfId="35872"/>
    <cellStyle name="표준 10 5 4 2 3" xfId="35873"/>
    <cellStyle name="표준 10 5 4 2 3 2" xfId="35874"/>
    <cellStyle name="표준 10 5 4 2 3 2 2" xfId="35875"/>
    <cellStyle name="표준 10 5 4 2 3 2 2 2" xfId="35876"/>
    <cellStyle name="표준 10 5 4 2 3 2 2 3" xfId="35877"/>
    <cellStyle name="표준 10 5 4 2 3 2 3" xfId="35878"/>
    <cellStyle name="표준 10 5 4 2 3 2 4" xfId="35879"/>
    <cellStyle name="표준 10 5 4 2 3 3" xfId="35880"/>
    <cellStyle name="표준 10 5 4 2 3 3 2" xfId="35881"/>
    <cellStyle name="표준 10 5 4 2 3 3 3" xfId="35882"/>
    <cellStyle name="표준 10 5 4 2 3 4" xfId="35883"/>
    <cellStyle name="표준 10 5 4 2 3 5" xfId="35884"/>
    <cellStyle name="표준 10 5 4 2 4" xfId="35885"/>
    <cellStyle name="표준 10 5 4 2 4 2" xfId="35886"/>
    <cellStyle name="표준 10 5 4 2 4 2 2" xfId="35887"/>
    <cellStyle name="표준 10 5 4 2 4 2 3" xfId="35888"/>
    <cellStyle name="표준 10 5 4 2 4 3" xfId="35889"/>
    <cellStyle name="표준 10 5 4 2 4 4" xfId="35890"/>
    <cellStyle name="표준 10 5 4 2 5" xfId="35891"/>
    <cellStyle name="표준 10 5 4 2 5 2" xfId="35892"/>
    <cellStyle name="표준 10 5 4 2 5 3" xfId="35893"/>
    <cellStyle name="표준 10 5 4 2 6" xfId="35894"/>
    <cellStyle name="표준 10 5 4 2 7" xfId="35895"/>
    <cellStyle name="표준 10 5 4 3" xfId="35896"/>
    <cellStyle name="표준 10 5 4 3 2" xfId="35897"/>
    <cellStyle name="표준 10 5 4 3 2 2" xfId="35898"/>
    <cellStyle name="표준 10 5 4 3 2 2 2" xfId="35899"/>
    <cellStyle name="표준 10 5 4 3 2 2 2 2" xfId="35900"/>
    <cellStyle name="표준 10 5 4 3 2 2 2 3" xfId="35901"/>
    <cellStyle name="표준 10 5 4 3 2 2 3" xfId="35902"/>
    <cellStyle name="표준 10 5 4 3 2 2 4" xfId="35903"/>
    <cellStyle name="표준 10 5 4 3 2 3" xfId="35904"/>
    <cellStyle name="표준 10 5 4 3 2 3 2" xfId="35905"/>
    <cellStyle name="표준 10 5 4 3 2 3 3" xfId="35906"/>
    <cellStyle name="표준 10 5 4 3 2 4" xfId="35907"/>
    <cellStyle name="표준 10 5 4 3 2 5" xfId="35908"/>
    <cellStyle name="표준 10 5 4 3 3" xfId="35909"/>
    <cellStyle name="표준 10 5 4 3 3 2" xfId="35910"/>
    <cellStyle name="표준 10 5 4 3 3 2 2" xfId="35911"/>
    <cellStyle name="표준 10 5 4 3 3 2 2 2" xfId="35912"/>
    <cellStyle name="표준 10 5 4 3 3 2 2 3" xfId="35913"/>
    <cellStyle name="표준 10 5 4 3 3 2 3" xfId="35914"/>
    <cellStyle name="표준 10 5 4 3 3 2 4" xfId="35915"/>
    <cellStyle name="표준 10 5 4 3 3 3" xfId="35916"/>
    <cellStyle name="표준 10 5 4 3 3 3 2" xfId="35917"/>
    <cellStyle name="표준 10 5 4 3 3 3 3" xfId="35918"/>
    <cellStyle name="표준 10 5 4 3 3 4" xfId="35919"/>
    <cellStyle name="표준 10 5 4 3 3 5" xfId="35920"/>
    <cellStyle name="표준 10 5 4 3 4" xfId="35921"/>
    <cellStyle name="표준 10 5 4 3 4 2" xfId="35922"/>
    <cellStyle name="표준 10 5 4 3 4 2 2" xfId="35923"/>
    <cellStyle name="표준 10 5 4 3 4 2 3" xfId="35924"/>
    <cellStyle name="표준 10 5 4 3 4 3" xfId="35925"/>
    <cellStyle name="표준 10 5 4 3 4 4" xfId="35926"/>
    <cellStyle name="표준 10 5 4 3 5" xfId="35927"/>
    <cellStyle name="표준 10 5 4 3 5 2" xfId="35928"/>
    <cellStyle name="표준 10 5 4 3 5 3" xfId="35929"/>
    <cellStyle name="표준 10 5 4 3 6" xfId="35930"/>
    <cellStyle name="표준 10 5 4 3 7" xfId="35931"/>
    <cellStyle name="표준 10 5 4 4" xfId="35932"/>
    <cellStyle name="표준 10 5 4 4 2" xfId="35933"/>
    <cellStyle name="표준 10 5 4 4 2 2" xfId="35934"/>
    <cellStyle name="표준 10 5 4 4 2 2 2" xfId="35935"/>
    <cellStyle name="표준 10 5 4 4 2 2 3" xfId="35936"/>
    <cellStyle name="표준 10 5 4 4 2 3" xfId="35937"/>
    <cellStyle name="표준 10 5 4 4 2 4" xfId="35938"/>
    <cellStyle name="표준 10 5 4 4 3" xfId="35939"/>
    <cellStyle name="표준 10 5 4 4 3 2" xfId="35940"/>
    <cellStyle name="표준 10 5 4 4 3 3" xfId="35941"/>
    <cellStyle name="표준 10 5 4 4 4" xfId="35942"/>
    <cellStyle name="표준 10 5 4 4 5" xfId="35943"/>
    <cellStyle name="표준 10 5 4 5" xfId="35944"/>
    <cellStyle name="표준 10 5 4 5 2" xfId="35945"/>
    <cellStyle name="표준 10 5 4 5 2 2" xfId="35946"/>
    <cellStyle name="표준 10 5 4 5 2 2 2" xfId="35947"/>
    <cellStyle name="표준 10 5 4 5 2 2 3" xfId="35948"/>
    <cellStyle name="표준 10 5 4 5 2 3" xfId="35949"/>
    <cellStyle name="표준 10 5 4 5 2 4" xfId="35950"/>
    <cellStyle name="표준 10 5 4 5 3" xfId="35951"/>
    <cellStyle name="표준 10 5 4 5 3 2" xfId="35952"/>
    <cellStyle name="표준 10 5 4 5 3 3" xfId="35953"/>
    <cellStyle name="표준 10 5 4 5 4" xfId="35954"/>
    <cellStyle name="표준 10 5 4 5 5" xfId="35955"/>
    <cellStyle name="표준 10 5 4 6" xfId="35956"/>
    <cellStyle name="표준 10 5 4 6 2" xfId="35957"/>
    <cellStyle name="표준 10 5 4 6 2 2" xfId="35958"/>
    <cellStyle name="표준 10 5 4 6 2 2 2" xfId="35959"/>
    <cellStyle name="표준 10 5 4 6 2 2 3" xfId="35960"/>
    <cellStyle name="표준 10 5 4 6 2 3" xfId="35961"/>
    <cellStyle name="표준 10 5 4 6 2 4" xfId="35962"/>
    <cellStyle name="표준 10 5 4 6 3" xfId="35963"/>
    <cellStyle name="표준 10 5 4 6 3 2" xfId="35964"/>
    <cellStyle name="표준 10 5 4 6 3 3" xfId="35965"/>
    <cellStyle name="표준 10 5 4 6 4" xfId="35966"/>
    <cellStyle name="표준 10 5 4 6 5" xfId="35967"/>
    <cellStyle name="표준 10 5 4 7" xfId="35968"/>
    <cellStyle name="표준 10 5 4 7 2" xfId="35969"/>
    <cellStyle name="표준 10 5 4 7 2 2" xfId="35970"/>
    <cellStyle name="표준 10 5 4 7 2 3" xfId="35971"/>
    <cellStyle name="표준 10 5 4 7 3" xfId="35972"/>
    <cellStyle name="표준 10 5 4 7 4" xfId="35973"/>
    <cellStyle name="표준 10 5 4 8" xfId="35974"/>
    <cellStyle name="표준 10 5 4 8 2" xfId="35975"/>
    <cellStyle name="표준 10 5 4 8 3" xfId="35976"/>
    <cellStyle name="표준 10 5 4 9" xfId="35977"/>
    <cellStyle name="표준 10 5 5" xfId="35978"/>
    <cellStyle name="표준 10 5 5 2" xfId="35979"/>
    <cellStyle name="표준 10 5 5 2 2" xfId="35980"/>
    <cellStyle name="표준 10 5 5 2 2 2" xfId="35981"/>
    <cellStyle name="표준 10 5 5 2 2 2 2" xfId="35982"/>
    <cellStyle name="표준 10 5 5 2 2 2 3" xfId="35983"/>
    <cellStyle name="표준 10 5 5 2 2 3" xfId="35984"/>
    <cellStyle name="표준 10 5 5 2 2 4" xfId="35985"/>
    <cellStyle name="표준 10 5 5 2 3" xfId="35986"/>
    <cellStyle name="표준 10 5 5 2 3 2" xfId="35987"/>
    <cellStyle name="표준 10 5 5 2 3 3" xfId="35988"/>
    <cellStyle name="표준 10 5 5 2 4" xfId="35989"/>
    <cellStyle name="표준 10 5 5 2 5" xfId="35990"/>
    <cellStyle name="표준 10 5 5 3" xfId="35991"/>
    <cellStyle name="표준 10 5 5 3 2" xfId="35992"/>
    <cellStyle name="표준 10 5 5 3 2 2" xfId="35993"/>
    <cellStyle name="표준 10 5 5 3 2 2 2" xfId="35994"/>
    <cellStyle name="표준 10 5 5 3 2 2 3" xfId="35995"/>
    <cellStyle name="표준 10 5 5 3 2 3" xfId="35996"/>
    <cellStyle name="표준 10 5 5 3 2 4" xfId="35997"/>
    <cellStyle name="표준 10 5 5 3 3" xfId="35998"/>
    <cellStyle name="표준 10 5 5 3 3 2" xfId="35999"/>
    <cellStyle name="표준 10 5 5 3 3 3" xfId="36000"/>
    <cellStyle name="표준 10 5 5 3 4" xfId="36001"/>
    <cellStyle name="표준 10 5 5 3 5" xfId="36002"/>
    <cellStyle name="표준 10 5 5 4" xfId="36003"/>
    <cellStyle name="표준 10 5 5 4 2" xfId="36004"/>
    <cellStyle name="표준 10 5 5 4 2 2" xfId="36005"/>
    <cellStyle name="표준 10 5 5 4 2 3" xfId="36006"/>
    <cellStyle name="표준 10 5 5 4 3" xfId="36007"/>
    <cellStyle name="표준 10 5 5 4 4" xfId="36008"/>
    <cellStyle name="표준 10 5 5 5" xfId="36009"/>
    <cellStyle name="표준 10 5 5 5 2" xfId="36010"/>
    <cellStyle name="표준 10 5 5 5 3" xfId="36011"/>
    <cellStyle name="표준 10 5 5 6" xfId="36012"/>
    <cellStyle name="표준 10 5 5 7" xfId="36013"/>
    <cellStyle name="표준 10 5 6" xfId="36014"/>
    <cellStyle name="표준 10 5 6 2" xfId="36015"/>
    <cellStyle name="표준 10 5 6 2 2" xfId="36016"/>
    <cellStyle name="표준 10 5 6 2 2 2" xfId="36017"/>
    <cellStyle name="표준 10 5 6 2 2 2 2" xfId="36018"/>
    <cellStyle name="표준 10 5 6 2 2 2 3" xfId="36019"/>
    <cellStyle name="표준 10 5 6 2 2 3" xfId="36020"/>
    <cellStyle name="표준 10 5 6 2 2 4" xfId="36021"/>
    <cellStyle name="표준 10 5 6 2 3" xfId="36022"/>
    <cellStyle name="표준 10 5 6 2 3 2" xfId="36023"/>
    <cellStyle name="표준 10 5 6 2 3 3" xfId="36024"/>
    <cellStyle name="표준 10 5 6 2 4" xfId="36025"/>
    <cellStyle name="표준 10 5 6 2 5" xfId="36026"/>
    <cellStyle name="표준 10 5 6 3" xfId="36027"/>
    <cellStyle name="표준 10 5 6 3 2" xfId="36028"/>
    <cellStyle name="표준 10 5 6 3 2 2" xfId="36029"/>
    <cellStyle name="표준 10 5 6 3 2 2 2" xfId="36030"/>
    <cellStyle name="표준 10 5 6 3 2 2 3" xfId="36031"/>
    <cellStyle name="표준 10 5 6 3 2 3" xfId="36032"/>
    <cellStyle name="표준 10 5 6 3 2 4" xfId="36033"/>
    <cellStyle name="표준 10 5 6 3 3" xfId="36034"/>
    <cellStyle name="표준 10 5 6 3 3 2" xfId="36035"/>
    <cellStyle name="표준 10 5 6 3 3 3" xfId="36036"/>
    <cellStyle name="표준 10 5 6 3 4" xfId="36037"/>
    <cellStyle name="표준 10 5 6 3 5" xfId="36038"/>
    <cellStyle name="표준 10 5 6 4" xfId="36039"/>
    <cellStyle name="표준 10 5 6 4 2" xfId="36040"/>
    <cellStyle name="표준 10 5 6 4 2 2" xfId="36041"/>
    <cellStyle name="표준 10 5 6 4 2 3" xfId="36042"/>
    <cellStyle name="표준 10 5 6 4 3" xfId="36043"/>
    <cellStyle name="표준 10 5 6 4 4" xfId="36044"/>
    <cellStyle name="표준 10 5 6 5" xfId="36045"/>
    <cellStyle name="표준 10 5 6 5 2" xfId="36046"/>
    <cellStyle name="표준 10 5 6 5 3" xfId="36047"/>
    <cellStyle name="표준 10 5 6 6" xfId="36048"/>
    <cellStyle name="표준 10 5 6 7" xfId="36049"/>
    <cellStyle name="표준 10 5 7" xfId="36050"/>
    <cellStyle name="표준 10 5 7 2" xfId="36051"/>
    <cellStyle name="표준 10 5 7 2 2" xfId="36052"/>
    <cellStyle name="표준 10 5 7 2 2 2" xfId="36053"/>
    <cellStyle name="표준 10 5 7 2 2 3" xfId="36054"/>
    <cellStyle name="표준 10 5 7 2 3" xfId="36055"/>
    <cellStyle name="표준 10 5 7 2 4" xfId="36056"/>
    <cellStyle name="표준 10 5 7 3" xfId="36057"/>
    <cellStyle name="표준 10 5 7 3 2" xfId="36058"/>
    <cellStyle name="표준 10 5 7 3 3" xfId="36059"/>
    <cellStyle name="표준 10 5 7 4" xfId="36060"/>
    <cellStyle name="표준 10 5 7 5" xfId="36061"/>
    <cellStyle name="표준 10 5 8" xfId="36062"/>
    <cellStyle name="표준 10 5 8 2" xfId="36063"/>
    <cellStyle name="표준 10 5 8 2 2" xfId="36064"/>
    <cellStyle name="표준 10 5 8 2 2 2" xfId="36065"/>
    <cellStyle name="표준 10 5 8 2 2 3" xfId="36066"/>
    <cellStyle name="표준 10 5 8 2 3" xfId="36067"/>
    <cellStyle name="표준 10 5 8 2 4" xfId="36068"/>
    <cellStyle name="표준 10 5 8 3" xfId="36069"/>
    <cellStyle name="표준 10 5 8 3 2" xfId="36070"/>
    <cellStyle name="표준 10 5 8 3 3" xfId="36071"/>
    <cellStyle name="표준 10 5 8 4" xfId="36072"/>
    <cellStyle name="표준 10 5 8 5" xfId="36073"/>
    <cellStyle name="표준 10 5 9" xfId="36074"/>
    <cellStyle name="표준 10 5 9 2" xfId="36075"/>
    <cellStyle name="표준 10 5 9 2 2" xfId="36076"/>
    <cellStyle name="표준 10 5 9 2 2 2" xfId="36077"/>
    <cellStyle name="표준 10 5 9 2 2 3" xfId="36078"/>
    <cellStyle name="표준 10 5 9 2 3" xfId="36079"/>
    <cellStyle name="표준 10 5 9 2 4" xfId="36080"/>
    <cellStyle name="표준 10 5 9 3" xfId="36081"/>
    <cellStyle name="표준 10 5 9 3 2" xfId="36082"/>
    <cellStyle name="표준 10 5 9 3 3" xfId="36083"/>
    <cellStyle name="표준 10 5 9 4" xfId="36084"/>
    <cellStyle name="표준 10 5 9 5" xfId="36085"/>
    <cellStyle name="표준 10 6" xfId="36086"/>
    <cellStyle name="표준 10 6 10" xfId="36087"/>
    <cellStyle name="표준 10 6 2" xfId="36088"/>
    <cellStyle name="표준 10 6 2 2" xfId="36089"/>
    <cellStyle name="표준 10 6 2 2 2" xfId="36090"/>
    <cellStyle name="표준 10 6 2 2 2 2" xfId="36091"/>
    <cellStyle name="표준 10 6 2 2 2 2 2" xfId="36092"/>
    <cellStyle name="표준 10 6 2 2 2 2 3" xfId="36093"/>
    <cellStyle name="표준 10 6 2 2 2 3" xfId="36094"/>
    <cellStyle name="표준 10 6 2 2 2 4" xfId="36095"/>
    <cellStyle name="표준 10 6 2 2 3" xfId="36096"/>
    <cellStyle name="표준 10 6 2 2 3 2" xfId="36097"/>
    <cellStyle name="표준 10 6 2 2 3 3" xfId="36098"/>
    <cellStyle name="표준 10 6 2 2 4" xfId="36099"/>
    <cellStyle name="표준 10 6 2 2 5" xfId="36100"/>
    <cellStyle name="표준 10 6 2 3" xfId="36101"/>
    <cellStyle name="표준 10 6 2 3 2" xfId="36102"/>
    <cellStyle name="표준 10 6 2 3 2 2" xfId="36103"/>
    <cellStyle name="표준 10 6 2 3 2 2 2" xfId="36104"/>
    <cellStyle name="표준 10 6 2 3 2 2 3" xfId="36105"/>
    <cellStyle name="표준 10 6 2 3 2 3" xfId="36106"/>
    <cellStyle name="표준 10 6 2 3 2 4" xfId="36107"/>
    <cellStyle name="표준 10 6 2 3 3" xfId="36108"/>
    <cellStyle name="표준 10 6 2 3 3 2" xfId="36109"/>
    <cellStyle name="표준 10 6 2 3 3 3" xfId="36110"/>
    <cellStyle name="표준 10 6 2 3 4" xfId="36111"/>
    <cellStyle name="표준 10 6 2 3 5" xfId="36112"/>
    <cellStyle name="표준 10 6 2 4" xfId="36113"/>
    <cellStyle name="표준 10 6 2 4 2" xfId="36114"/>
    <cellStyle name="표준 10 6 2 4 2 2" xfId="36115"/>
    <cellStyle name="표준 10 6 2 4 2 3" xfId="36116"/>
    <cellStyle name="표준 10 6 2 4 3" xfId="36117"/>
    <cellStyle name="표준 10 6 2 4 4" xfId="36118"/>
    <cellStyle name="표준 10 6 2 5" xfId="36119"/>
    <cellStyle name="표준 10 6 2 5 2" xfId="36120"/>
    <cellStyle name="표준 10 6 2 5 3" xfId="36121"/>
    <cellStyle name="표준 10 6 2 6" xfId="36122"/>
    <cellStyle name="표준 10 6 2 7" xfId="36123"/>
    <cellStyle name="표준 10 6 3" xfId="36124"/>
    <cellStyle name="표준 10 6 3 2" xfId="36125"/>
    <cellStyle name="표준 10 6 3 2 2" xfId="36126"/>
    <cellStyle name="표준 10 6 3 2 2 2" xfId="36127"/>
    <cellStyle name="표준 10 6 3 2 2 2 2" xfId="36128"/>
    <cellStyle name="표준 10 6 3 2 2 2 3" xfId="36129"/>
    <cellStyle name="표준 10 6 3 2 2 3" xfId="36130"/>
    <cellStyle name="표준 10 6 3 2 2 4" xfId="36131"/>
    <cellStyle name="표준 10 6 3 2 3" xfId="36132"/>
    <cellStyle name="표준 10 6 3 2 3 2" xfId="36133"/>
    <cellStyle name="표준 10 6 3 2 3 3" xfId="36134"/>
    <cellStyle name="표준 10 6 3 2 4" xfId="36135"/>
    <cellStyle name="표준 10 6 3 2 5" xfId="36136"/>
    <cellStyle name="표준 10 6 3 3" xfId="36137"/>
    <cellStyle name="표준 10 6 3 3 2" xfId="36138"/>
    <cellStyle name="표준 10 6 3 3 2 2" xfId="36139"/>
    <cellStyle name="표준 10 6 3 3 2 2 2" xfId="36140"/>
    <cellStyle name="표준 10 6 3 3 2 2 3" xfId="36141"/>
    <cellStyle name="표준 10 6 3 3 2 3" xfId="36142"/>
    <cellStyle name="표준 10 6 3 3 2 4" xfId="36143"/>
    <cellStyle name="표준 10 6 3 3 3" xfId="36144"/>
    <cellStyle name="표준 10 6 3 3 3 2" xfId="36145"/>
    <cellStyle name="표준 10 6 3 3 3 3" xfId="36146"/>
    <cellStyle name="표준 10 6 3 3 4" xfId="36147"/>
    <cellStyle name="표준 10 6 3 3 5" xfId="36148"/>
    <cellStyle name="표준 10 6 3 4" xfId="36149"/>
    <cellStyle name="표준 10 6 3 4 2" xfId="36150"/>
    <cellStyle name="표준 10 6 3 4 2 2" xfId="36151"/>
    <cellStyle name="표준 10 6 3 4 2 3" xfId="36152"/>
    <cellStyle name="표준 10 6 3 4 3" xfId="36153"/>
    <cellStyle name="표준 10 6 3 4 4" xfId="36154"/>
    <cellStyle name="표준 10 6 3 5" xfId="36155"/>
    <cellStyle name="표준 10 6 3 5 2" xfId="36156"/>
    <cellStyle name="표준 10 6 3 5 3" xfId="36157"/>
    <cellStyle name="표준 10 6 3 6" xfId="36158"/>
    <cellStyle name="표준 10 6 3 7" xfId="36159"/>
    <cellStyle name="표준 10 6 4" xfId="36160"/>
    <cellStyle name="표준 10 6 4 2" xfId="36161"/>
    <cellStyle name="표준 10 6 4 2 2" xfId="36162"/>
    <cellStyle name="표준 10 6 4 2 2 2" xfId="36163"/>
    <cellStyle name="표준 10 6 4 2 2 3" xfId="36164"/>
    <cellStyle name="표준 10 6 4 2 3" xfId="36165"/>
    <cellStyle name="표준 10 6 4 2 4" xfId="36166"/>
    <cellStyle name="표준 10 6 4 3" xfId="36167"/>
    <cellStyle name="표준 10 6 4 3 2" xfId="36168"/>
    <cellStyle name="표준 10 6 4 3 3" xfId="36169"/>
    <cellStyle name="표준 10 6 4 4" xfId="36170"/>
    <cellStyle name="표준 10 6 4 5" xfId="36171"/>
    <cellStyle name="표준 10 6 5" xfId="36172"/>
    <cellStyle name="표준 10 6 5 2" xfId="36173"/>
    <cellStyle name="표준 10 6 5 2 2" xfId="36174"/>
    <cellStyle name="표준 10 6 5 2 2 2" xfId="36175"/>
    <cellStyle name="표준 10 6 5 2 2 3" xfId="36176"/>
    <cellStyle name="표준 10 6 5 2 3" xfId="36177"/>
    <cellStyle name="표준 10 6 5 2 4" xfId="36178"/>
    <cellStyle name="표준 10 6 5 3" xfId="36179"/>
    <cellStyle name="표준 10 6 5 3 2" xfId="36180"/>
    <cellStyle name="표준 10 6 5 3 3" xfId="36181"/>
    <cellStyle name="표준 10 6 5 4" xfId="36182"/>
    <cellStyle name="표준 10 6 5 5" xfId="36183"/>
    <cellStyle name="표준 10 6 6" xfId="36184"/>
    <cellStyle name="표준 10 6 6 2" xfId="36185"/>
    <cellStyle name="표준 10 6 6 2 2" xfId="36186"/>
    <cellStyle name="표준 10 6 6 2 2 2" xfId="36187"/>
    <cellStyle name="표준 10 6 6 2 2 3" xfId="36188"/>
    <cellStyle name="표준 10 6 6 2 3" xfId="36189"/>
    <cellStyle name="표준 10 6 6 2 4" xfId="36190"/>
    <cellStyle name="표준 10 6 6 3" xfId="36191"/>
    <cellStyle name="표준 10 6 6 3 2" xfId="36192"/>
    <cellStyle name="표준 10 6 6 3 3" xfId="36193"/>
    <cellStyle name="표준 10 6 6 4" xfId="36194"/>
    <cellStyle name="표준 10 6 6 5" xfId="36195"/>
    <cellStyle name="표준 10 6 7" xfId="36196"/>
    <cellStyle name="표준 10 6 7 2" xfId="36197"/>
    <cellStyle name="표준 10 6 7 2 2" xfId="36198"/>
    <cellStyle name="표준 10 6 7 2 3" xfId="36199"/>
    <cellStyle name="표준 10 6 7 3" xfId="36200"/>
    <cellStyle name="표준 10 6 7 4" xfId="36201"/>
    <cellStyle name="표준 10 6 8" xfId="36202"/>
    <cellStyle name="표준 10 6 8 2" xfId="36203"/>
    <cellStyle name="표준 10 6 8 3" xfId="36204"/>
    <cellStyle name="표준 10 6 9" xfId="36205"/>
    <cellStyle name="표준 10 7" xfId="36206"/>
    <cellStyle name="표준 10 7 10" xfId="36207"/>
    <cellStyle name="표준 10 7 2" xfId="36208"/>
    <cellStyle name="표준 10 7 2 2" xfId="36209"/>
    <cellStyle name="표준 10 7 2 2 2" xfId="36210"/>
    <cellStyle name="표준 10 7 2 2 2 2" xfId="36211"/>
    <cellStyle name="표준 10 7 2 2 2 2 2" xfId="36212"/>
    <cellStyle name="표준 10 7 2 2 2 2 3" xfId="36213"/>
    <cellStyle name="표준 10 7 2 2 2 3" xfId="36214"/>
    <cellStyle name="표준 10 7 2 2 2 4" xfId="36215"/>
    <cellStyle name="표준 10 7 2 2 3" xfId="36216"/>
    <cellStyle name="표준 10 7 2 2 3 2" xfId="36217"/>
    <cellStyle name="표준 10 7 2 2 3 3" xfId="36218"/>
    <cellStyle name="표준 10 7 2 2 4" xfId="36219"/>
    <cellStyle name="표준 10 7 2 2 5" xfId="36220"/>
    <cellStyle name="표준 10 7 2 3" xfId="36221"/>
    <cellStyle name="표준 10 7 2 3 2" xfId="36222"/>
    <cellStyle name="표준 10 7 2 3 2 2" xfId="36223"/>
    <cellStyle name="표준 10 7 2 3 2 2 2" xfId="36224"/>
    <cellStyle name="표준 10 7 2 3 2 2 3" xfId="36225"/>
    <cellStyle name="표준 10 7 2 3 2 3" xfId="36226"/>
    <cellStyle name="표준 10 7 2 3 2 4" xfId="36227"/>
    <cellStyle name="표준 10 7 2 3 3" xfId="36228"/>
    <cellStyle name="표준 10 7 2 3 3 2" xfId="36229"/>
    <cellStyle name="표준 10 7 2 3 3 3" xfId="36230"/>
    <cellStyle name="표준 10 7 2 3 4" xfId="36231"/>
    <cellStyle name="표준 10 7 2 3 5" xfId="36232"/>
    <cellStyle name="표준 10 7 2 4" xfId="36233"/>
    <cellStyle name="표준 10 7 2 4 2" xfId="36234"/>
    <cellStyle name="표준 10 7 2 4 2 2" xfId="36235"/>
    <cellStyle name="표준 10 7 2 4 2 3" xfId="36236"/>
    <cellStyle name="표준 10 7 2 4 3" xfId="36237"/>
    <cellStyle name="표준 10 7 2 4 4" xfId="36238"/>
    <cellStyle name="표준 10 7 2 5" xfId="36239"/>
    <cellStyle name="표준 10 7 2 5 2" xfId="36240"/>
    <cellStyle name="표준 10 7 2 5 3" xfId="36241"/>
    <cellStyle name="표준 10 7 2 6" xfId="36242"/>
    <cellStyle name="표준 10 7 2 7" xfId="36243"/>
    <cellStyle name="표준 10 7 3" xfId="36244"/>
    <cellStyle name="표준 10 7 3 2" xfId="36245"/>
    <cellStyle name="표준 10 7 3 2 2" xfId="36246"/>
    <cellStyle name="표준 10 7 3 2 2 2" xfId="36247"/>
    <cellStyle name="표준 10 7 3 2 2 2 2" xfId="36248"/>
    <cellStyle name="표준 10 7 3 2 2 2 3" xfId="36249"/>
    <cellStyle name="표준 10 7 3 2 2 3" xfId="36250"/>
    <cellStyle name="표준 10 7 3 2 2 4" xfId="36251"/>
    <cellStyle name="표준 10 7 3 2 3" xfId="36252"/>
    <cellStyle name="표준 10 7 3 2 3 2" xfId="36253"/>
    <cellStyle name="표준 10 7 3 2 3 3" xfId="36254"/>
    <cellStyle name="표준 10 7 3 2 4" xfId="36255"/>
    <cellStyle name="표준 10 7 3 2 5" xfId="36256"/>
    <cellStyle name="표준 10 7 3 3" xfId="36257"/>
    <cellStyle name="표준 10 7 3 3 2" xfId="36258"/>
    <cellStyle name="표준 10 7 3 3 2 2" xfId="36259"/>
    <cellStyle name="표준 10 7 3 3 2 2 2" xfId="36260"/>
    <cellStyle name="표준 10 7 3 3 2 2 3" xfId="36261"/>
    <cellStyle name="표준 10 7 3 3 2 3" xfId="36262"/>
    <cellStyle name="표준 10 7 3 3 2 4" xfId="36263"/>
    <cellStyle name="표준 10 7 3 3 3" xfId="36264"/>
    <cellStyle name="표준 10 7 3 3 3 2" xfId="36265"/>
    <cellStyle name="표준 10 7 3 3 3 3" xfId="36266"/>
    <cellStyle name="표준 10 7 3 3 4" xfId="36267"/>
    <cellStyle name="표준 10 7 3 3 5" xfId="36268"/>
    <cellStyle name="표준 10 7 3 4" xfId="36269"/>
    <cellStyle name="표준 10 7 3 4 2" xfId="36270"/>
    <cellStyle name="표준 10 7 3 4 2 2" xfId="36271"/>
    <cellStyle name="표준 10 7 3 4 2 3" xfId="36272"/>
    <cellStyle name="표준 10 7 3 4 3" xfId="36273"/>
    <cellStyle name="표준 10 7 3 4 4" xfId="36274"/>
    <cellStyle name="표준 10 7 3 5" xfId="36275"/>
    <cellStyle name="표준 10 7 3 5 2" xfId="36276"/>
    <cellStyle name="표준 10 7 3 5 3" xfId="36277"/>
    <cellStyle name="표준 10 7 3 6" xfId="36278"/>
    <cellStyle name="표준 10 7 3 7" xfId="36279"/>
    <cellStyle name="표준 10 7 4" xfId="36280"/>
    <cellStyle name="표준 10 7 4 2" xfId="36281"/>
    <cellStyle name="표준 10 7 4 2 2" xfId="36282"/>
    <cellStyle name="표준 10 7 4 2 2 2" xfId="36283"/>
    <cellStyle name="표준 10 7 4 2 2 3" xfId="36284"/>
    <cellStyle name="표준 10 7 4 2 3" xfId="36285"/>
    <cellStyle name="표준 10 7 4 2 4" xfId="36286"/>
    <cellStyle name="표준 10 7 4 3" xfId="36287"/>
    <cellStyle name="표준 10 7 4 3 2" xfId="36288"/>
    <cellStyle name="표준 10 7 4 3 3" xfId="36289"/>
    <cellStyle name="표준 10 7 4 4" xfId="36290"/>
    <cellStyle name="표준 10 7 4 5" xfId="36291"/>
    <cellStyle name="표준 10 7 5" xfId="36292"/>
    <cellStyle name="표준 10 7 5 2" xfId="36293"/>
    <cellStyle name="표준 10 7 5 2 2" xfId="36294"/>
    <cellStyle name="표준 10 7 5 2 2 2" xfId="36295"/>
    <cellStyle name="표준 10 7 5 2 2 3" xfId="36296"/>
    <cellStyle name="표준 10 7 5 2 3" xfId="36297"/>
    <cellStyle name="표준 10 7 5 2 4" xfId="36298"/>
    <cellStyle name="표준 10 7 5 3" xfId="36299"/>
    <cellStyle name="표준 10 7 5 3 2" xfId="36300"/>
    <cellStyle name="표준 10 7 5 3 3" xfId="36301"/>
    <cellStyle name="표준 10 7 5 4" xfId="36302"/>
    <cellStyle name="표준 10 7 5 5" xfId="36303"/>
    <cellStyle name="표준 10 7 6" xfId="36304"/>
    <cellStyle name="표준 10 7 6 2" xfId="36305"/>
    <cellStyle name="표준 10 7 6 2 2" xfId="36306"/>
    <cellStyle name="표준 10 7 6 2 2 2" xfId="36307"/>
    <cellStyle name="표준 10 7 6 2 2 3" xfId="36308"/>
    <cellStyle name="표준 10 7 6 2 3" xfId="36309"/>
    <cellStyle name="표준 10 7 6 2 4" xfId="36310"/>
    <cellStyle name="표준 10 7 6 3" xfId="36311"/>
    <cellStyle name="표준 10 7 6 3 2" xfId="36312"/>
    <cellStyle name="표준 10 7 6 3 3" xfId="36313"/>
    <cellStyle name="표준 10 7 6 4" xfId="36314"/>
    <cellStyle name="표준 10 7 6 5" xfId="36315"/>
    <cellStyle name="표준 10 7 7" xfId="36316"/>
    <cellStyle name="표준 10 7 7 2" xfId="36317"/>
    <cellStyle name="표준 10 7 7 2 2" xfId="36318"/>
    <cellStyle name="표준 10 7 7 2 3" xfId="36319"/>
    <cellStyle name="표준 10 7 7 3" xfId="36320"/>
    <cellStyle name="표준 10 7 7 4" xfId="36321"/>
    <cellStyle name="표준 10 7 8" xfId="36322"/>
    <cellStyle name="표준 10 7 8 2" xfId="36323"/>
    <cellStyle name="표준 10 7 8 3" xfId="36324"/>
    <cellStyle name="표준 10 7 9" xfId="36325"/>
    <cellStyle name="표준 10 8" xfId="36326"/>
    <cellStyle name="표준 10 8 10" xfId="36327"/>
    <cellStyle name="표준 10 8 2" xfId="36328"/>
    <cellStyle name="표준 10 8 2 2" xfId="36329"/>
    <cellStyle name="표준 10 8 2 2 2" xfId="36330"/>
    <cellStyle name="표준 10 8 2 2 2 2" xfId="36331"/>
    <cellStyle name="표준 10 8 2 2 2 2 2" xfId="36332"/>
    <cellStyle name="표준 10 8 2 2 2 2 3" xfId="36333"/>
    <cellStyle name="표준 10 8 2 2 2 3" xfId="36334"/>
    <cellStyle name="표준 10 8 2 2 2 4" xfId="36335"/>
    <cellStyle name="표준 10 8 2 2 3" xfId="36336"/>
    <cellStyle name="표준 10 8 2 2 3 2" xfId="36337"/>
    <cellStyle name="표준 10 8 2 2 3 3" xfId="36338"/>
    <cellStyle name="표준 10 8 2 2 4" xfId="36339"/>
    <cellStyle name="표준 10 8 2 2 5" xfId="36340"/>
    <cellStyle name="표준 10 8 2 3" xfId="36341"/>
    <cellStyle name="표준 10 8 2 3 2" xfId="36342"/>
    <cellStyle name="표준 10 8 2 3 2 2" xfId="36343"/>
    <cellStyle name="표준 10 8 2 3 2 2 2" xfId="36344"/>
    <cellStyle name="표준 10 8 2 3 2 2 3" xfId="36345"/>
    <cellStyle name="표준 10 8 2 3 2 3" xfId="36346"/>
    <cellStyle name="표준 10 8 2 3 2 4" xfId="36347"/>
    <cellStyle name="표준 10 8 2 3 3" xfId="36348"/>
    <cellStyle name="표준 10 8 2 3 3 2" xfId="36349"/>
    <cellStyle name="표준 10 8 2 3 3 3" xfId="36350"/>
    <cellStyle name="표준 10 8 2 3 4" xfId="36351"/>
    <cellStyle name="표준 10 8 2 3 5" xfId="36352"/>
    <cellStyle name="표준 10 8 2 4" xfId="36353"/>
    <cellStyle name="표준 10 8 2 4 2" xfId="36354"/>
    <cellStyle name="표준 10 8 2 4 2 2" xfId="36355"/>
    <cellStyle name="표준 10 8 2 4 2 3" xfId="36356"/>
    <cellStyle name="표준 10 8 2 4 3" xfId="36357"/>
    <cellStyle name="표준 10 8 2 4 4" xfId="36358"/>
    <cellStyle name="표준 10 8 2 5" xfId="36359"/>
    <cellStyle name="표준 10 8 2 5 2" xfId="36360"/>
    <cellStyle name="표준 10 8 2 5 3" xfId="36361"/>
    <cellStyle name="표준 10 8 2 6" xfId="36362"/>
    <cellStyle name="표준 10 8 2 7" xfId="36363"/>
    <cellStyle name="표준 10 8 3" xfId="36364"/>
    <cellStyle name="표준 10 8 3 2" xfId="36365"/>
    <cellStyle name="표준 10 8 3 2 2" xfId="36366"/>
    <cellStyle name="표준 10 8 3 2 2 2" xfId="36367"/>
    <cellStyle name="표준 10 8 3 2 2 2 2" xfId="36368"/>
    <cellStyle name="표준 10 8 3 2 2 2 3" xfId="36369"/>
    <cellStyle name="표준 10 8 3 2 2 3" xfId="36370"/>
    <cellStyle name="표준 10 8 3 2 2 4" xfId="36371"/>
    <cellStyle name="표준 10 8 3 2 3" xfId="36372"/>
    <cellStyle name="표준 10 8 3 2 3 2" xfId="36373"/>
    <cellStyle name="표준 10 8 3 2 3 3" xfId="36374"/>
    <cellStyle name="표준 10 8 3 2 4" xfId="36375"/>
    <cellStyle name="표준 10 8 3 2 5" xfId="36376"/>
    <cellStyle name="표준 10 8 3 3" xfId="36377"/>
    <cellStyle name="표준 10 8 3 3 2" xfId="36378"/>
    <cellStyle name="표준 10 8 3 3 2 2" xfId="36379"/>
    <cellStyle name="표준 10 8 3 3 2 2 2" xfId="36380"/>
    <cellStyle name="표준 10 8 3 3 2 2 3" xfId="36381"/>
    <cellStyle name="표준 10 8 3 3 2 3" xfId="36382"/>
    <cellStyle name="표준 10 8 3 3 2 4" xfId="36383"/>
    <cellStyle name="표준 10 8 3 3 3" xfId="36384"/>
    <cellStyle name="표준 10 8 3 3 3 2" xfId="36385"/>
    <cellStyle name="표준 10 8 3 3 3 3" xfId="36386"/>
    <cellStyle name="표준 10 8 3 3 4" xfId="36387"/>
    <cellStyle name="표준 10 8 3 3 5" xfId="36388"/>
    <cellStyle name="표준 10 8 3 4" xfId="36389"/>
    <cellStyle name="표준 10 8 3 4 2" xfId="36390"/>
    <cellStyle name="표준 10 8 3 4 2 2" xfId="36391"/>
    <cellStyle name="표준 10 8 3 4 2 3" xfId="36392"/>
    <cellStyle name="표준 10 8 3 4 3" xfId="36393"/>
    <cellStyle name="표준 10 8 3 4 4" xfId="36394"/>
    <cellStyle name="표준 10 8 3 5" xfId="36395"/>
    <cellStyle name="표준 10 8 3 5 2" xfId="36396"/>
    <cellStyle name="표준 10 8 3 5 3" xfId="36397"/>
    <cellStyle name="표준 10 8 3 6" xfId="36398"/>
    <cellStyle name="표준 10 8 3 7" xfId="36399"/>
    <cellStyle name="표준 10 8 4" xfId="36400"/>
    <cellStyle name="표준 10 8 4 2" xfId="36401"/>
    <cellStyle name="표준 10 8 4 2 2" xfId="36402"/>
    <cellStyle name="표준 10 8 4 2 2 2" xfId="36403"/>
    <cellStyle name="표준 10 8 4 2 2 3" xfId="36404"/>
    <cellStyle name="표준 10 8 4 2 3" xfId="36405"/>
    <cellStyle name="표준 10 8 4 2 4" xfId="36406"/>
    <cellStyle name="표준 10 8 4 3" xfId="36407"/>
    <cellStyle name="표준 10 8 4 3 2" xfId="36408"/>
    <cellStyle name="표준 10 8 4 3 3" xfId="36409"/>
    <cellStyle name="표준 10 8 4 4" xfId="36410"/>
    <cellStyle name="표준 10 8 4 5" xfId="36411"/>
    <cellStyle name="표준 10 8 5" xfId="36412"/>
    <cellStyle name="표준 10 8 5 2" xfId="36413"/>
    <cellStyle name="표준 10 8 5 2 2" xfId="36414"/>
    <cellStyle name="표준 10 8 5 2 2 2" xfId="36415"/>
    <cellStyle name="표준 10 8 5 2 2 3" xfId="36416"/>
    <cellStyle name="표준 10 8 5 2 3" xfId="36417"/>
    <cellStyle name="표준 10 8 5 2 4" xfId="36418"/>
    <cellStyle name="표준 10 8 5 3" xfId="36419"/>
    <cellStyle name="표준 10 8 5 3 2" xfId="36420"/>
    <cellStyle name="표준 10 8 5 3 3" xfId="36421"/>
    <cellStyle name="표준 10 8 5 4" xfId="36422"/>
    <cellStyle name="표준 10 8 5 5" xfId="36423"/>
    <cellStyle name="표준 10 8 6" xfId="36424"/>
    <cellStyle name="표준 10 8 6 2" xfId="36425"/>
    <cellStyle name="표준 10 8 6 2 2" xfId="36426"/>
    <cellStyle name="표준 10 8 6 2 2 2" xfId="36427"/>
    <cellStyle name="표준 10 8 6 2 2 3" xfId="36428"/>
    <cellStyle name="표준 10 8 6 2 3" xfId="36429"/>
    <cellStyle name="표준 10 8 6 2 4" xfId="36430"/>
    <cellStyle name="표준 10 8 6 3" xfId="36431"/>
    <cellStyle name="표준 10 8 6 3 2" xfId="36432"/>
    <cellStyle name="표준 10 8 6 3 3" xfId="36433"/>
    <cellStyle name="표준 10 8 6 4" xfId="36434"/>
    <cellStyle name="표준 10 8 6 5" xfId="36435"/>
    <cellStyle name="표준 10 8 7" xfId="36436"/>
    <cellStyle name="표준 10 8 7 2" xfId="36437"/>
    <cellStyle name="표준 10 8 7 2 2" xfId="36438"/>
    <cellStyle name="표준 10 8 7 2 3" xfId="36439"/>
    <cellStyle name="표준 10 8 7 3" xfId="36440"/>
    <cellStyle name="표준 10 8 7 4" xfId="36441"/>
    <cellStyle name="표준 10 8 8" xfId="36442"/>
    <cellStyle name="표준 10 8 8 2" xfId="36443"/>
    <cellStyle name="표준 10 8 8 3" xfId="36444"/>
    <cellStyle name="표준 10 8 9" xfId="36445"/>
    <cellStyle name="표준 10 9" xfId="36446"/>
    <cellStyle name="표준 10 9 2" xfId="36447"/>
    <cellStyle name="표준 10 9 2 2" xfId="36448"/>
    <cellStyle name="표준 10 9 2 2 2" xfId="36449"/>
    <cellStyle name="표준 10 9 2 2 2 2" xfId="36450"/>
    <cellStyle name="표준 10 9 2 2 2 3" xfId="36451"/>
    <cellStyle name="표준 10 9 2 2 3" xfId="36452"/>
    <cellStyle name="표준 10 9 2 2 4" xfId="36453"/>
    <cellStyle name="표준 10 9 2 3" xfId="36454"/>
    <cellStyle name="표준 10 9 2 3 2" xfId="36455"/>
    <cellStyle name="표준 10 9 2 3 3" xfId="36456"/>
    <cellStyle name="표준 10 9 2 4" xfId="36457"/>
    <cellStyle name="표준 10 9 2 5" xfId="36458"/>
    <cellStyle name="표준 10 9 3" xfId="36459"/>
    <cellStyle name="표준 10 9 3 2" xfId="36460"/>
    <cellStyle name="표준 10 9 3 2 2" xfId="36461"/>
    <cellStyle name="표준 10 9 3 2 2 2" xfId="36462"/>
    <cellStyle name="표준 10 9 3 2 2 3" xfId="36463"/>
    <cellStyle name="표준 10 9 3 2 3" xfId="36464"/>
    <cellStyle name="표준 10 9 3 2 4" xfId="36465"/>
    <cellStyle name="표준 10 9 3 3" xfId="36466"/>
    <cellStyle name="표준 10 9 3 3 2" xfId="36467"/>
    <cellStyle name="표준 10 9 3 3 3" xfId="36468"/>
    <cellStyle name="표준 10 9 3 4" xfId="36469"/>
    <cellStyle name="표준 10 9 3 5" xfId="36470"/>
    <cellStyle name="표준 10 9 4" xfId="36471"/>
    <cellStyle name="표준 10 9 4 2" xfId="36472"/>
    <cellStyle name="표준 10 9 4 2 2" xfId="36473"/>
    <cellStyle name="표준 10 9 4 2 3" xfId="36474"/>
    <cellStyle name="표준 10 9 4 3" xfId="36475"/>
    <cellStyle name="표준 10 9 4 4" xfId="36476"/>
    <cellStyle name="표준 10 9 5" xfId="36477"/>
    <cellStyle name="표준 10 9 5 2" xfId="36478"/>
    <cellStyle name="표준 10 9 5 3" xfId="36479"/>
    <cellStyle name="표준 10 9 6" xfId="36480"/>
    <cellStyle name="표준 10 9 7" xfId="36481"/>
    <cellStyle name="표준 10_Sheet3" xfId="36482"/>
    <cellStyle name="표준 100" xfId="36483"/>
    <cellStyle name="표준 101" xfId="36484"/>
    <cellStyle name="표준 102" xfId="36485"/>
    <cellStyle name="표준 103" xfId="36486"/>
    <cellStyle name="표준 104" xfId="36487"/>
    <cellStyle name="표준 105" xfId="36488"/>
    <cellStyle name="표준 106" xfId="36489"/>
    <cellStyle name="표준 107" xfId="36490"/>
    <cellStyle name="표준 108" xfId="36491"/>
    <cellStyle name="표준 109" xfId="36492"/>
    <cellStyle name="표준 11" xfId="36493"/>
    <cellStyle name="표준 11 10" xfId="36494"/>
    <cellStyle name="표준 11 10 2" xfId="36495"/>
    <cellStyle name="표준 11 10 2 2" xfId="36496"/>
    <cellStyle name="표준 11 10 2 2 2" xfId="36497"/>
    <cellStyle name="표준 11 10 2 2 3" xfId="36498"/>
    <cellStyle name="표준 11 10 2 3" xfId="36499"/>
    <cellStyle name="표준 11 10 2 4" xfId="36500"/>
    <cellStyle name="표준 11 10 3" xfId="36501"/>
    <cellStyle name="표준 11 10 3 2" xfId="36502"/>
    <cellStyle name="표준 11 10 3 3" xfId="36503"/>
    <cellStyle name="표준 11 10 4" xfId="36504"/>
    <cellStyle name="표준 11 10 5" xfId="36505"/>
    <cellStyle name="표준 11 11" xfId="36506"/>
    <cellStyle name="표준 11 11 2" xfId="36507"/>
    <cellStyle name="표준 11 11 2 2" xfId="36508"/>
    <cellStyle name="표준 11 11 2 3" xfId="36509"/>
    <cellStyle name="표준 11 11 3" xfId="36510"/>
    <cellStyle name="표준 11 11 4" xfId="36511"/>
    <cellStyle name="표준 11 12" xfId="36512"/>
    <cellStyle name="표준 11 12 2" xfId="36513"/>
    <cellStyle name="표준 11 12 3" xfId="36514"/>
    <cellStyle name="표준 11 13" xfId="36515"/>
    <cellStyle name="표준 11 14" xfId="36516"/>
    <cellStyle name="표준 11 2" xfId="36517"/>
    <cellStyle name="표준 11 2 10" xfId="36518"/>
    <cellStyle name="표준 11 2 10 2" xfId="36519"/>
    <cellStyle name="표준 11 2 10 2 2" xfId="36520"/>
    <cellStyle name="표준 11 2 10 2 3" xfId="36521"/>
    <cellStyle name="표준 11 2 10 3" xfId="36522"/>
    <cellStyle name="표준 11 2 10 4" xfId="36523"/>
    <cellStyle name="표준 11 2 11" xfId="36524"/>
    <cellStyle name="표준 11 2 11 2" xfId="36525"/>
    <cellStyle name="표준 11 2 11 3" xfId="36526"/>
    <cellStyle name="표준 11 2 12" xfId="36527"/>
    <cellStyle name="표준 11 2 13" xfId="36528"/>
    <cellStyle name="표준 11 2 2" xfId="36529"/>
    <cellStyle name="표준 11 2 2 10" xfId="36530"/>
    <cellStyle name="표준 11 2 2 2" xfId="36531"/>
    <cellStyle name="표준 11 2 2 2 2" xfId="36532"/>
    <cellStyle name="표준 11 2 2 2 2 2" xfId="36533"/>
    <cellStyle name="표준 11 2 2 2 2 2 2" xfId="36534"/>
    <cellStyle name="표준 11 2 2 2 2 2 2 2" xfId="36535"/>
    <cellStyle name="표준 11 2 2 2 2 2 2 3" xfId="36536"/>
    <cellStyle name="표준 11 2 2 2 2 2 3" xfId="36537"/>
    <cellStyle name="표준 11 2 2 2 2 2 4" xfId="36538"/>
    <cellStyle name="표준 11 2 2 2 2 3" xfId="36539"/>
    <cellStyle name="표준 11 2 2 2 2 3 2" xfId="36540"/>
    <cellStyle name="표준 11 2 2 2 2 3 3" xfId="36541"/>
    <cellStyle name="표준 11 2 2 2 2 4" xfId="36542"/>
    <cellStyle name="표준 11 2 2 2 2 5" xfId="36543"/>
    <cellStyle name="표준 11 2 2 2 3" xfId="36544"/>
    <cellStyle name="표준 11 2 2 2 3 2" xfId="36545"/>
    <cellStyle name="표준 11 2 2 2 3 2 2" xfId="36546"/>
    <cellStyle name="표준 11 2 2 2 3 2 2 2" xfId="36547"/>
    <cellStyle name="표준 11 2 2 2 3 2 2 3" xfId="36548"/>
    <cellStyle name="표준 11 2 2 2 3 2 3" xfId="36549"/>
    <cellStyle name="표준 11 2 2 2 3 2 4" xfId="36550"/>
    <cellStyle name="표준 11 2 2 2 3 3" xfId="36551"/>
    <cellStyle name="표준 11 2 2 2 3 3 2" xfId="36552"/>
    <cellStyle name="표준 11 2 2 2 3 3 3" xfId="36553"/>
    <cellStyle name="표준 11 2 2 2 3 4" xfId="36554"/>
    <cellStyle name="표준 11 2 2 2 3 5" xfId="36555"/>
    <cellStyle name="표준 11 2 2 2 4" xfId="36556"/>
    <cellStyle name="표준 11 2 2 2 4 2" xfId="36557"/>
    <cellStyle name="표준 11 2 2 2 4 2 2" xfId="36558"/>
    <cellStyle name="표준 11 2 2 2 4 2 3" xfId="36559"/>
    <cellStyle name="표준 11 2 2 2 4 3" xfId="36560"/>
    <cellStyle name="표준 11 2 2 2 4 4" xfId="36561"/>
    <cellStyle name="표준 11 2 2 2 5" xfId="36562"/>
    <cellStyle name="표준 11 2 2 2 5 2" xfId="36563"/>
    <cellStyle name="표준 11 2 2 2 5 3" xfId="36564"/>
    <cellStyle name="표준 11 2 2 2 6" xfId="36565"/>
    <cellStyle name="표준 11 2 2 2 7" xfId="36566"/>
    <cellStyle name="표준 11 2 2 3" xfId="36567"/>
    <cellStyle name="표준 11 2 2 3 2" xfId="36568"/>
    <cellStyle name="표준 11 2 2 3 2 2" xfId="36569"/>
    <cellStyle name="표준 11 2 2 3 2 2 2" xfId="36570"/>
    <cellStyle name="표준 11 2 2 3 2 2 2 2" xfId="36571"/>
    <cellStyle name="표준 11 2 2 3 2 2 2 3" xfId="36572"/>
    <cellStyle name="표준 11 2 2 3 2 2 3" xfId="36573"/>
    <cellStyle name="표준 11 2 2 3 2 2 4" xfId="36574"/>
    <cellStyle name="표준 11 2 2 3 2 3" xfId="36575"/>
    <cellStyle name="표준 11 2 2 3 2 3 2" xfId="36576"/>
    <cellStyle name="표준 11 2 2 3 2 3 3" xfId="36577"/>
    <cellStyle name="표준 11 2 2 3 2 4" xfId="36578"/>
    <cellStyle name="표준 11 2 2 3 2 5" xfId="36579"/>
    <cellStyle name="표준 11 2 2 3 3" xfId="36580"/>
    <cellStyle name="표준 11 2 2 3 3 2" xfId="36581"/>
    <cellStyle name="표준 11 2 2 3 3 2 2" xfId="36582"/>
    <cellStyle name="표준 11 2 2 3 3 2 2 2" xfId="36583"/>
    <cellStyle name="표준 11 2 2 3 3 2 2 3" xfId="36584"/>
    <cellStyle name="표준 11 2 2 3 3 2 3" xfId="36585"/>
    <cellStyle name="표준 11 2 2 3 3 2 4" xfId="36586"/>
    <cellStyle name="표준 11 2 2 3 3 3" xfId="36587"/>
    <cellStyle name="표준 11 2 2 3 3 3 2" xfId="36588"/>
    <cellStyle name="표준 11 2 2 3 3 3 3" xfId="36589"/>
    <cellStyle name="표준 11 2 2 3 3 4" xfId="36590"/>
    <cellStyle name="표준 11 2 2 3 3 5" xfId="36591"/>
    <cellStyle name="표준 11 2 2 3 4" xfId="36592"/>
    <cellStyle name="표준 11 2 2 3 4 2" xfId="36593"/>
    <cellStyle name="표준 11 2 2 3 4 2 2" xfId="36594"/>
    <cellStyle name="표준 11 2 2 3 4 2 3" xfId="36595"/>
    <cellStyle name="표준 11 2 2 3 4 3" xfId="36596"/>
    <cellStyle name="표준 11 2 2 3 4 4" xfId="36597"/>
    <cellStyle name="표준 11 2 2 3 5" xfId="36598"/>
    <cellStyle name="표준 11 2 2 3 5 2" xfId="36599"/>
    <cellStyle name="표준 11 2 2 3 5 3" xfId="36600"/>
    <cellStyle name="표준 11 2 2 3 6" xfId="36601"/>
    <cellStyle name="표준 11 2 2 3 7" xfId="36602"/>
    <cellStyle name="표준 11 2 2 4" xfId="36603"/>
    <cellStyle name="표준 11 2 2 4 2" xfId="36604"/>
    <cellStyle name="표준 11 2 2 4 2 2" xfId="36605"/>
    <cellStyle name="표준 11 2 2 4 2 2 2" xfId="36606"/>
    <cellStyle name="표준 11 2 2 4 2 2 3" xfId="36607"/>
    <cellStyle name="표준 11 2 2 4 2 3" xfId="36608"/>
    <cellStyle name="표준 11 2 2 4 2 4" xfId="36609"/>
    <cellStyle name="표준 11 2 2 4 3" xfId="36610"/>
    <cellStyle name="표준 11 2 2 4 3 2" xfId="36611"/>
    <cellStyle name="표준 11 2 2 4 3 3" xfId="36612"/>
    <cellStyle name="표준 11 2 2 4 4" xfId="36613"/>
    <cellStyle name="표준 11 2 2 4 5" xfId="36614"/>
    <cellStyle name="표준 11 2 2 5" xfId="36615"/>
    <cellStyle name="표준 11 2 2 5 2" xfId="36616"/>
    <cellStyle name="표준 11 2 2 5 2 2" xfId="36617"/>
    <cellStyle name="표준 11 2 2 5 2 2 2" xfId="36618"/>
    <cellStyle name="표준 11 2 2 5 2 2 3" xfId="36619"/>
    <cellStyle name="표준 11 2 2 5 2 3" xfId="36620"/>
    <cellStyle name="표준 11 2 2 5 2 4" xfId="36621"/>
    <cellStyle name="표준 11 2 2 5 3" xfId="36622"/>
    <cellStyle name="표준 11 2 2 5 3 2" xfId="36623"/>
    <cellStyle name="표준 11 2 2 5 3 3" xfId="36624"/>
    <cellStyle name="표준 11 2 2 5 4" xfId="36625"/>
    <cellStyle name="표준 11 2 2 5 5" xfId="36626"/>
    <cellStyle name="표준 11 2 2 6" xfId="36627"/>
    <cellStyle name="표준 11 2 2 6 2" xfId="36628"/>
    <cellStyle name="표준 11 2 2 6 2 2" xfId="36629"/>
    <cellStyle name="표준 11 2 2 6 2 2 2" xfId="36630"/>
    <cellStyle name="표준 11 2 2 6 2 2 3" xfId="36631"/>
    <cellStyle name="표준 11 2 2 6 2 3" xfId="36632"/>
    <cellStyle name="표준 11 2 2 6 2 4" xfId="36633"/>
    <cellStyle name="표준 11 2 2 6 3" xfId="36634"/>
    <cellStyle name="표준 11 2 2 6 3 2" xfId="36635"/>
    <cellStyle name="표준 11 2 2 6 3 3" xfId="36636"/>
    <cellStyle name="표준 11 2 2 6 4" xfId="36637"/>
    <cellStyle name="표준 11 2 2 6 5" xfId="36638"/>
    <cellStyle name="표준 11 2 2 7" xfId="36639"/>
    <cellStyle name="표준 11 2 2 7 2" xfId="36640"/>
    <cellStyle name="표준 11 2 2 7 2 2" xfId="36641"/>
    <cellStyle name="표준 11 2 2 7 2 3" xfId="36642"/>
    <cellStyle name="표준 11 2 2 7 3" xfId="36643"/>
    <cellStyle name="표준 11 2 2 7 4" xfId="36644"/>
    <cellStyle name="표준 11 2 2 8" xfId="36645"/>
    <cellStyle name="표준 11 2 2 8 2" xfId="36646"/>
    <cellStyle name="표준 11 2 2 8 3" xfId="36647"/>
    <cellStyle name="표준 11 2 2 9" xfId="36648"/>
    <cellStyle name="표준 11 2 3" xfId="36649"/>
    <cellStyle name="표준 11 2 3 10" xfId="36650"/>
    <cellStyle name="표준 11 2 3 2" xfId="36651"/>
    <cellStyle name="표준 11 2 3 2 2" xfId="36652"/>
    <cellStyle name="표준 11 2 3 2 2 2" xfId="36653"/>
    <cellStyle name="표준 11 2 3 2 2 2 2" xfId="36654"/>
    <cellStyle name="표준 11 2 3 2 2 2 2 2" xfId="36655"/>
    <cellStyle name="표준 11 2 3 2 2 2 2 3" xfId="36656"/>
    <cellStyle name="표준 11 2 3 2 2 2 3" xfId="36657"/>
    <cellStyle name="표준 11 2 3 2 2 2 4" xfId="36658"/>
    <cellStyle name="표준 11 2 3 2 2 3" xfId="36659"/>
    <cellStyle name="표준 11 2 3 2 2 3 2" xfId="36660"/>
    <cellStyle name="표준 11 2 3 2 2 3 3" xfId="36661"/>
    <cellStyle name="표준 11 2 3 2 2 4" xfId="36662"/>
    <cellStyle name="표준 11 2 3 2 2 5" xfId="36663"/>
    <cellStyle name="표준 11 2 3 2 3" xfId="36664"/>
    <cellStyle name="표준 11 2 3 2 3 2" xfId="36665"/>
    <cellStyle name="표준 11 2 3 2 3 2 2" xfId="36666"/>
    <cellStyle name="표준 11 2 3 2 3 2 2 2" xfId="36667"/>
    <cellStyle name="표준 11 2 3 2 3 2 2 3" xfId="36668"/>
    <cellStyle name="표준 11 2 3 2 3 2 3" xfId="36669"/>
    <cellStyle name="표준 11 2 3 2 3 2 4" xfId="36670"/>
    <cellStyle name="표준 11 2 3 2 3 3" xfId="36671"/>
    <cellStyle name="표준 11 2 3 2 3 3 2" xfId="36672"/>
    <cellStyle name="표준 11 2 3 2 3 3 3" xfId="36673"/>
    <cellStyle name="표준 11 2 3 2 3 4" xfId="36674"/>
    <cellStyle name="표준 11 2 3 2 3 5" xfId="36675"/>
    <cellStyle name="표준 11 2 3 2 4" xfId="36676"/>
    <cellStyle name="표준 11 2 3 2 4 2" xfId="36677"/>
    <cellStyle name="표준 11 2 3 2 4 2 2" xfId="36678"/>
    <cellStyle name="표준 11 2 3 2 4 2 3" xfId="36679"/>
    <cellStyle name="표준 11 2 3 2 4 3" xfId="36680"/>
    <cellStyle name="표준 11 2 3 2 4 4" xfId="36681"/>
    <cellStyle name="표준 11 2 3 2 5" xfId="36682"/>
    <cellStyle name="표준 11 2 3 2 5 2" xfId="36683"/>
    <cellStyle name="표준 11 2 3 2 5 3" xfId="36684"/>
    <cellStyle name="표준 11 2 3 2 6" xfId="36685"/>
    <cellStyle name="표준 11 2 3 2 7" xfId="36686"/>
    <cellStyle name="표준 11 2 3 3" xfId="36687"/>
    <cellStyle name="표준 11 2 3 3 2" xfId="36688"/>
    <cellStyle name="표준 11 2 3 3 2 2" xfId="36689"/>
    <cellStyle name="표준 11 2 3 3 2 2 2" xfId="36690"/>
    <cellStyle name="표준 11 2 3 3 2 2 2 2" xfId="36691"/>
    <cellStyle name="표준 11 2 3 3 2 2 2 3" xfId="36692"/>
    <cellStyle name="표준 11 2 3 3 2 2 3" xfId="36693"/>
    <cellStyle name="표준 11 2 3 3 2 2 4" xfId="36694"/>
    <cellStyle name="표준 11 2 3 3 2 3" xfId="36695"/>
    <cellStyle name="표준 11 2 3 3 2 3 2" xfId="36696"/>
    <cellStyle name="표준 11 2 3 3 2 3 3" xfId="36697"/>
    <cellStyle name="표준 11 2 3 3 2 4" xfId="36698"/>
    <cellStyle name="표준 11 2 3 3 2 5" xfId="36699"/>
    <cellStyle name="표준 11 2 3 3 3" xfId="36700"/>
    <cellStyle name="표준 11 2 3 3 3 2" xfId="36701"/>
    <cellStyle name="표준 11 2 3 3 3 2 2" xfId="36702"/>
    <cellStyle name="표준 11 2 3 3 3 2 2 2" xfId="36703"/>
    <cellStyle name="표준 11 2 3 3 3 2 2 3" xfId="36704"/>
    <cellStyle name="표준 11 2 3 3 3 2 3" xfId="36705"/>
    <cellStyle name="표준 11 2 3 3 3 2 4" xfId="36706"/>
    <cellStyle name="표준 11 2 3 3 3 3" xfId="36707"/>
    <cellStyle name="표준 11 2 3 3 3 3 2" xfId="36708"/>
    <cellStyle name="표준 11 2 3 3 3 3 3" xfId="36709"/>
    <cellStyle name="표준 11 2 3 3 3 4" xfId="36710"/>
    <cellStyle name="표준 11 2 3 3 3 5" xfId="36711"/>
    <cellStyle name="표준 11 2 3 3 4" xfId="36712"/>
    <cellStyle name="표준 11 2 3 3 4 2" xfId="36713"/>
    <cellStyle name="표준 11 2 3 3 4 2 2" xfId="36714"/>
    <cellStyle name="표준 11 2 3 3 4 2 3" xfId="36715"/>
    <cellStyle name="표준 11 2 3 3 4 3" xfId="36716"/>
    <cellStyle name="표준 11 2 3 3 4 4" xfId="36717"/>
    <cellStyle name="표준 11 2 3 3 5" xfId="36718"/>
    <cellStyle name="표준 11 2 3 3 5 2" xfId="36719"/>
    <cellStyle name="표준 11 2 3 3 5 3" xfId="36720"/>
    <cellStyle name="표준 11 2 3 3 6" xfId="36721"/>
    <cellStyle name="표준 11 2 3 3 7" xfId="36722"/>
    <cellStyle name="표준 11 2 3 4" xfId="36723"/>
    <cellStyle name="표준 11 2 3 4 2" xfId="36724"/>
    <cellStyle name="표준 11 2 3 4 2 2" xfId="36725"/>
    <cellStyle name="표준 11 2 3 4 2 2 2" xfId="36726"/>
    <cellStyle name="표준 11 2 3 4 2 2 3" xfId="36727"/>
    <cellStyle name="표준 11 2 3 4 2 3" xfId="36728"/>
    <cellStyle name="표준 11 2 3 4 2 4" xfId="36729"/>
    <cellStyle name="표준 11 2 3 4 3" xfId="36730"/>
    <cellStyle name="표준 11 2 3 4 3 2" xfId="36731"/>
    <cellStyle name="표준 11 2 3 4 3 3" xfId="36732"/>
    <cellStyle name="표준 11 2 3 4 4" xfId="36733"/>
    <cellStyle name="표준 11 2 3 4 5" xfId="36734"/>
    <cellStyle name="표준 11 2 3 5" xfId="36735"/>
    <cellStyle name="표준 11 2 3 5 2" xfId="36736"/>
    <cellStyle name="표준 11 2 3 5 2 2" xfId="36737"/>
    <cellStyle name="표준 11 2 3 5 2 2 2" xfId="36738"/>
    <cellStyle name="표준 11 2 3 5 2 2 3" xfId="36739"/>
    <cellStyle name="표준 11 2 3 5 2 3" xfId="36740"/>
    <cellStyle name="표준 11 2 3 5 2 4" xfId="36741"/>
    <cellStyle name="표준 11 2 3 5 3" xfId="36742"/>
    <cellStyle name="표준 11 2 3 5 3 2" xfId="36743"/>
    <cellStyle name="표준 11 2 3 5 3 3" xfId="36744"/>
    <cellStyle name="표준 11 2 3 5 4" xfId="36745"/>
    <cellStyle name="표준 11 2 3 5 5" xfId="36746"/>
    <cellStyle name="표준 11 2 3 6" xfId="36747"/>
    <cellStyle name="표준 11 2 3 6 2" xfId="36748"/>
    <cellStyle name="표준 11 2 3 6 2 2" xfId="36749"/>
    <cellStyle name="표준 11 2 3 6 2 2 2" xfId="36750"/>
    <cellStyle name="표준 11 2 3 6 2 2 3" xfId="36751"/>
    <cellStyle name="표준 11 2 3 6 2 3" xfId="36752"/>
    <cellStyle name="표준 11 2 3 6 2 4" xfId="36753"/>
    <cellStyle name="표준 11 2 3 6 3" xfId="36754"/>
    <cellStyle name="표준 11 2 3 6 3 2" xfId="36755"/>
    <cellStyle name="표준 11 2 3 6 3 3" xfId="36756"/>
    <cellStyle name="표준 11 2 3 6 4" xfId="36757"/>
    <cellStyle name="표준 11 2 3 6 5" xfId="36758"/>
    <cellStyle name="표준 11 2 3 7" xfId="36759"/>
    <cellStyle name="표준 11 2 3 7 2" xfId="36760"/>
    <cellStyle name="표준 11 2 3 7 2 2" xfId="36761"/>
    <cellStyle name="표준 11 2 3 7 2 3" xfId="36762"/>
    <cellStyle name="표준 11 2 3 7 3" xfId="36763"/>
    <cellStyle name="표준 11 2 3 7 4" xfId="36764"/>
    <cellStyle name="표준 11 2 3 8" xfId="36765"/>
    <cellStyle name="표준 11 2 3 8 2" xfId="36766"/>
    <cellStyle name="표준 11 2 3 8 3" xfId="36767"/>
    <cellStyle name="표준 11 2 3 9" xfId="36768"/>
    <cellStyle name="표준 11 2 4" xfId="36769"/>
    <cellStyle name="표준 11 2 4 10" xfId="36770"/>
    <cellStyle name="표준 11 2 4 2" xfId="36771"/>
    <cellStyle name="표준 11 2 4 2 2" xfId="36772"/>
    <cellStyle name="표준 11 2 4 2 2 2" xfId="36773"/>
    <cellStyle name="표준 11 2 4 2 2 2 2" xfId="36774"/>
    <cellStyle name="표준 11 2 4 2 2 2 2 2" xfId="36775"/>
    <cellStyle name="표준 11 2 4 2 2 2 2 3" xfId="36776"/>
    <cellStyle name="표준 11 2 4 2 2 2 3" xfId="36777"/>
    <cellStyle name="표준 11 2 4 2 2 2 4" xfId="36778"/>
    <cellStyle name="표준 11 2 4 2 2 3" xfId="36779"/>
    <cellStyle name="표준 11 2 4 2 2 3 2" xfId="36780"/>
    <cellStyle name="표준 11 2 4 2 2 3 3" xfId="36781"/>
    <cellStyle name="표준 11 2 4 2 2 4" xfId="36782"/>
    <cellStyle name="표준 11 2 4 2 2 5" xfId="36783"/>
    <cellStyle name="표준 11 2 4 2 3" xfId="36784"/>
    <cellStyle name="표준 11 2 4 2 3 2" xfId="36785"/>
    <cellStyle name="표준 11 2 4 2 3 2 2" xfId="36786"/>
    <cellStyle name="표준 11 2 4 2 3 2 2 2" xfId="36787"/>
    <cellStyle name="표준 11 2 4 2 3 2 2 3" xfId="36788"/>
    <cellStyle name="표준 11 2 4 2 3 2 3" xfId="36789"/>
    <cellStyle name="표준 11 2 4 2 3 2 4" xfId="36790"/>
    <cellStyle name="표준 11 2 4 2 3 3" xfId="36791"/>
    <cellStyle name="표준 11 2 4 2 3 3 2" xfId="36792"/>
    <cellStyle name="표준 11 2 4 2 3 3 3" xfId="36793"/>
    <cellStyle name="표준 11 2 4 2 3 4" xfId="36794"/>
    <cellStyle name="표준 11 2 4 2 3 5" xfId="36795"/>
    <cellStyle name="표준 11 2 4 2 4" xfId="36796"/>
    <cellStyle name="표준 11 2 4 2 4 2" xfId="36797"/>
    <cellStyle name="표준 11 2 4 2 4 2 2" xfId="36798"/>
    <cellStyle name="표준 11 2 4 2 4 2 3" xfId="36799"/>
    <cellStyle name="표준 11 2 4 2 4 3" xfId="36800"/>
    <cellStyle name="표준 11 2 4 2 4 4" xfId="36801"/>
    <cellStyle name="표준 11 2 4 2 5" xfId="36802"/>
    <cellStyle name="표준 11 2 4 2 5 2" xfId="36803"/>
    <cellStyle name="표준 11 2 4 2 5 3" xfId="36804"/>
    <cellStyle name="표준 11 2 4 2 6" xfId="36805"/>
    <cellStyle name="표준 11 2 4 2 7" xfId="36806"/>
    <cellStyle name="표준 11 2 4 3" xfId="36807"/>
    <cellStyle name="표준 11 2 4 3 2" xfId="36808"/>
    <cellStyle name="표준 11 2 4 3 2 2" xfId="36809"/>
    <cellStyle name="표준 11 2 4 3 2 2 2" xfId="36810"/>
    <cellStyle name="표준 11 2 4 3 2 2 2 2" xfId="36811"/>
    <cellStyle name="표준 11 2 4 3 2 2 2 3" xfId="36812"/>
    <cellStyle name="표준 11 2 4 3 2 2 3" xfId="36813"/>
    <cellStyle name="표준 11 2 4 3 2 2 4" xfId="36814"/>
    <cellStyle name="표준 11 2 4 3 2 3" xfId="36815"/>
    <cellStyle name="표준 11 2 4 3 2 3 2" xfId="36816"/>
    <cellStyle name="표준 11 2 4 3 2 3 3" xfId="36817"/>
    <cellStyle name="표준 11 2 4 3 2 4" xfId="36818"/>
    <cellStyle name="표준 11 2 4 3 2 5" xfId="36819"/>
    <cellStyle name="표준 11 2 4 3 3" xfId="36820"/>
    <cellStyle name="표준 11 2 4 3 3 2" xfId="36821"/>
    <cellStyle name="표준 11 2 4 3 3 2 2" xfId="36822"/>
    <cellStyle name="표준 11 2 4 3 3 2 2 2" xfId="36823"/>
    <cellStyle name="표준 11 2 4 3 3 2 2 3" xfId="36824"/>
    <cellStyle name="표준 11 2 4 3 3 2 3" xfId="36825"/>
    <cellStyle name="표준 11 2 4 3 3 2 4" xfId="36826"/>
    <cellStyle name="표준 11 2 4 3 3 3" xfId="36827"/>
    <cellStyle name="표준 11 2 4 3 3 3 2" xfId="36828"/>
    <cellStyle name="표준 11 2 4 3 3 3 3" xfId="36829"/>
    <cellStyle name="표준 11 2 4 3 3 4" xfId="36830"/>
    <cellStyle name="표준 11 2 4 3 3 5" xfId="36831"/>
    <cellStyle name="표준 11 2 4 3 4" xfId="36832"/>
    <cellStyle name="표준 11 2 4 3 4 2" xfId="36833"/>
    <cellStyle name="표준 11 2 4 3 4 2 2" xfId="36834"/>
    <cellStyle name="표준 11 2 4 3 4 2 3" xfId="36835"/>
    <cellStyle name="표준 11 2 4 3 4 3" xfId="36836"/>
    <cellStyle name="표준 11 2 4 3 4 4" xfId="36837"/>
    <cellStyle name="표준 11 2 4 3 5" xfId="36838"/>
    <cellStyle name="표준 11 2 4 3 5 2" xfId="36839"/>
    <cellStyle name="표준 11 2 4 3 5 3" xfId="36840"/>
    <cellStyle name="표준 11 2 4 3 6" xfId="36841"/>
    <cellStyle name="표준 11 2 4 3 7" xfId="36842"/>
    <cellStyle name="표준 11 2 4 4" xfId="36843"/>
    <cellStyle name="표준 11 2 4 4 2" xfId="36844"/>
    <cellStyle name="표준 11 2 4 4 2 2" xfId="36845"/>
    <cellStyle name="표준 11 2 4 4 2 2 2" xfId="36846"/>
    <cellStyle name="표준 11 2 4 4 2 2 3" xfId="36847"/>
    <cellStyle name="표준 11 2 4 4 2 3" xfId="36848"/>
    <cellStyle name="표준 11 2 4 4 2 4" xfId="36849"/>
    <cellStyle name="표준 11 2 4 4 3" xfId="36850"/>
    <cellStyle name="표준 11 2 4 4 3 2" xfId="36851"/>
    <cellStyle name="표준 11 2 4 4 3 3" xfId="36852"/>
    <cellStyle name="표준 11 2 4 4 4" xfId="36853"/>
    <cellStyle name="표준 11 2 4 4 5" xfId="36854"/>
    <cellStyle name="표준 11 2 4 5" xfId="36855"/>
    <cellStyle name="표준 11 2 4 5 2" xfId="36856"/>
    <cellStyle name="표준 11 2 4 5 2 2" xfId="36857"/>
    <cellStyle name="표준 11 2 4 5 2 2 2" xfId="36858"/>
    <cellStyle name="표준 11 2 4 5 2 2 3" xfId="36859"/>
    <cellStyle name="표준 11 2 4 5 2 3" xfId="36860"/>
    <cellStyle name="표준 11 2 4 5 2 4" xfId="36861"/>
    <cellStyle name="표준 11 2 4 5 3" xfId="36862"/>
    <cellStyle name="표준 11 2 4 5 3 2" xfId="36863"/>
    <cellStyle name="표준 11 2 4 5 3 3" xfId="36864"/>
    <cellStyle name="표준 11 2 4 5 4" xfId="36865"/>
    <cellStyle name="표준 11 2 4 5 5" xfId="36866"/>
    <cellStyle name="표준 11 2 4 6" xfId="36867"/>
    <cellStyle name="표준 11 2 4 6 2" xfId="36868"/>
    <cellStyle name="표준 11 2 4 6 2 2" xfId="36869"/>
    <cellStyle name="표준 11 2 4 6 2 2 2" xfId="36870"/>
    <cellStyle name="표준 11 2 4 6 2 2 3" xfId="36871"/>
    <cellStyle name="표준 11 2 4 6 2 3" xfId="36872"/>
    <cellStyle name="표준 11 2 4 6 2 4" xfId="36873"/>
    <cellStyle name="표준 11 2 4 6 3" xfId="36874"/>
    <cellStyle name="표준 11 2 4 6 3 2" xfId="36875"/>
    <cellStyle name="표준 11 2 4 6 3 3" xfId="36876"/>
    <cellStyle name="표준 11 2 4 6 4" xfId="36877"/>
    <cellStyle name="표준 11 2 4 6 5" xfId="36878"/>
    <cellStyle name="표준 11 2 4 7" xfId="36879"/>
    <cellStyle name="표준 11 2 4 7 2" xfId="36880"/>
    <cellStyle name="표준 11 2 4 7 2 2" xfId="36881"/>
    <cellStyle name="표준 11 2 4 7 2 3" xfId="36882"/>
    <cellStyle name="표준 11 2 4 7 3" xfId="36883"/>
    <cellStyle name="표준 11 2 4 7 4" xfId="36884"/>
    <cellStyle name="표준 11 2 4 8" xfId="36885"/>
    <cellStyle name="표준 11 2 4 8 2" xfId="36886"/>
    <cellStyle name="표준 11 2 4 8 3" xfId="36887"/>
    <cellStyle name="표준 11 2 4 9" xfId="36888"/>
    <cellStyle name="표준 11 2 5" xfId="36889"/>
    <cellStyle name="표준 11 2 5 2" xfId="36890"/>
    <cellStyle name="표준 11 2 5 2 2" xfId="36891"/>
    <cellStyle name="표준 11 2 5 2 2 2" xfId="36892"/>
    <cellStyle name="표준 11 2 5 2 2 2 2" xfId="36893"/>
    <cellStyle name="표준 11 2 5 2 2 2 3" xfId="36894"/>
    <cellStyle name="표준 11 2 5 2 2 3" xfId="36895"/>
    <cellStyle name="표준 11 2 5 2 2 4" xfId="36896"/>
    <cellStyle name="표준 11 2 5 2 3" xfId="36897"/>
    <cellStyle name="표준 11 2 5 2 3 2" xfId="36898"/>
    <cellStyle name="표준 11 2 5 2 3 3" xfId="36899"/>
    <cellStyle name="표준 11 2 5 2 4" xfId="36900"/>
    <cellStyle name="표준 11 2 5 2 5" xfId="36901"/>
    <cellStyle name="표준 11 2 5 3" xfId="36902"/>
    <cellStyle name="표준 11 2 5 3 2" xfId="36903"/>
    <cellStyle name="표준 11 2 5 3 2 2" xfId="36904"/>
    <cellStyle name="표준 11 2 5 3 2 2 2" xfId="36905"/>
    <cellStyle name="표준 11 2 5 3 2 2 3" xfId="36906"/>
    <cellStyle name="표준 11 2 5 3 2 3" xfId="36907"/>
    <cellStyle name="표준 11 2 5 3 2 4" xfId="36908"/>
    <cellStyle name="표준 11 2 5 3 3" xfId="36909"/>
    <cellStyle name="표준 11 2 5 3 3 2" xfId="36910"/>
    <cellStyle name="표준 11 2 5 3 3 3" xfId="36911"/>
    <cellStyle name="표준 11 2 5 3 4" xfId="36912"/>
    <cellStyle name="표준 11 2 5 3 5" xfId="36913"/>
    <cellStyle name="표준 11 2 5 4" xfId="36914"/>
    <cellStyle name="표준 11 2 5 4 2" xfId="36915"/>
    <cellStyle name="표준 11 2 5 4 2 2" xfId="36916"/>
    <cellStyle name="표준 11 2 5 4 2 3" xfId="36917"/>
    <cellStyle name="표준 11 2 5 4 3" xfId="36918"/>
    <cellStyle name="표준 11 2 5 4 4" xfId="36919"/>
    <cellStyle name="표준 11 2 5 5" xfId="36920"/>
    <cellStyle name="표준 11 2 5 5 2" xfId="36921"/>
    <cellStyle name="표준 11 2 5 5 3" xfId="36922"/>
    <cellStyle name="표준 11 2 5 6" xfId="36923"/>
    <cellStyle name="표준 11 2 5 7" xfId="36924"/>
    <cellStyle name="표준 11 2 6" xfId="36925"/>
    <cellStyle name="표준 11 2 6 2" xfId="36926"/>
    <cellStyle name="표준 11 2 6 2 2" xfId="36927"/>
    <cellStyle name="표준 11 2 6 2 2 2" xfId="36928"/>
    <cellStyle name="표준 11 2 6 2 2 2 2" xfId="36929"/>
    <cellStyle name="표준 11 2 6 2 2 2 3" xfId="36930"/>
    <cellStyle name="표준 11 2 6 2 2 3" xfId="36931"/>
    <cellStyle name="표준 11 2 6 2 2 4" xfId="36932"/>
    <cellStyle name="표준 11 2 6 2 3" xfId="36933"/>
    <cellStyle name="표준 11 2 6 2 3 2" xfId="36934"/>
    <cellStyle name="표준 11 2 6 2 3 3" xfId="36935"/>
    <cellStyle name="표준 11 2 6 2 4" xfId="36936"/>
    <cellStyle name="표준 11 2 6 2 5" xfId="36937"/>
    <cellStyle name="표준 11 2 6 3" xfId="36938"/>
    <cellStyle name="표준 11 2 6 3 2" xfId="36939"/>
    <cellStyle name="표준 11 2 6 3 2 2" xfId="36940"/>
    <cellStyle name="표준 11 2 6 3 2 2 2" xfId="36941"/>
    <cellStyle name="표준 11 2 6 3 2 2 3" xfId="36942"/>
    <cellStyle name="표준 11 2 6 3 2 3" xfId="36943"/>
    <cellStyle name="표준 11 2 6 3 2 4" xfId="36944"/>
    <cellStyle name="표준 11 2 6 3 3" xfId="36945"/>
    <cellStyle name="표준 11 2 6 3 3 2" xfId="36946"/>
    <cellStyle name="표준 11 2 6 3 3 3" xfId="36947"/>
    <cellStyle name="표준 11 2 6 3 4" xfId="36948"/>
    <cellStyle name="표준 11 2 6 3 5" xfId="36949"/>
    <cellStyle name="표준 11 2 6 4" xfId="36950"/>
    <cellStyle name="표준 11 2 6 4 2" xfId="36951"/>
    <cellStyle name="표준 11 2 6 4 2 2" xfId="36952"/>
    <cellStyle name="표준 11 2 6 4 2 3" xfId="36953"/>
    <cellStyle name="표준 11 2 6 4 3" xfId="36954"/>
    <cellStyle name="표준 11 2 6 4 4" xfId="36955"/>
    <cellStyle name="표준 11 2 6 5" xfId="36956"/>
    <cellStyle name="표준 11 2 6 5 2" xfId="36957"/>
    <cellStyle name="표준 11 2 6 5 3" xfId="36958"/>
    <cellStyle name="표준 11 2 6 6" xfId="36959"/>
    <cellStyle name="표준 11 2 6 7" xfId="36960"/>
    <cellStyle name="표준 11 2 7" xfId="36961"/>
    <cellStyle name="표준 11 2 7 2" xfId="36962"/>
    <cellStyle name="표준 11 2 7 2 2" xfId="36963"/>
    <cellStyle name="표준 11 2 7 2 2 2" xfId="36964"/>
    <cellStyle name="표준 11 2 7 2 2 3" xfId="36965"/>
    <cellStyle name="표준 11 2 7 2 3" xfId="36966"/>
    <cellStyle name="표준 11 2 7 2 4" xfId="36967"/>
    <cellStyle name="표준 11 2 7 3" xfId="36968"/>
    <cellStyle name="표준 11 2 7 3 2" xfId="36969"/>
    <cellStyle name="표준 11 2 7 3 3" xfId="36970"/>
    <cellStyle name="표준 11 2 7 4" xfId="36971"/>
    <cellStyle name="표준 11 2 7 5" xfId="36972"/>
    <cellStyle name="표준 11 2 8" xfId="36973"/>
    <cellStyle name="표준 11 2 8 2" xfId="36974"/>
    <cellStyle name="표준 11 2 8 2 2" xfId="36975"/>
    <cellStyle name="표준 11 2 8 2 2 2" xfId="36976"/>
    <cellStyle name="표준 11 2 8 2 2 3" xfId="36977"/>
    <cellStyle name="표준 11 2 8 2 3" xfId="36978"/>
    <cellStyle name="표준 11 2 8 2 4" xfId="36979"/>
    <cellStyle name="표준 11 2 8 3" xfId="36980"/>
    <cellStyle name="표준 11 2 8 3 2" xfId="36981"/>
    <cellStyle name="표준 11 2 8 3 3" xfId="36982"/>
    <cellStyle name="표준 11 2 8 4" xfId="36983"/>
    <cellStyle name="표준 11 2 8 5" xfId="36984"/>
    <cellStyle name="표준 11 2 9" xfId="36985"/>
    <cellStyle name="표준 11 2 9 2" xfId="36986"/>
    <cellStyle name="표준 11 2 9 2 2" xfId="36987"/>
    <cellStyle name="표준 11 2 9 2 2 2" xfId="36988"/>
    <cellStyle name="표준 11 2 9 2 2 3" xfId="36989"/>
    <cellStyle name="표준 11 2 9 2 3" xfId="36990"/>
    <cellStyle name="표준 11 2 9 2 4" xfId="36991"/>
    <cellStyle name="표준 11 2 9 3" xfId="36992"/>
    <cellStyle name="표준 11 2 9 3 2" xfId="36993"/>
    <cellStyle name="표준 11 2 9 3 3" xfId="36994"/>
    <cellStyle name="표준 11 2 9 4" xfId="36995"/>
    <cellStyle name="표준 11 2 9 5" xfId="36996"/>
    <cellStyle name="표준 11 3" xfId="36997"/>
    <cellStyle name="표준 11 3 10" xfId="36998"/>
    <cellStyle name="표준 11 3 2" xfId="36999"/>
    <cellStyle name="표준 11 3 2 2" xfId="37000"/>
    <cellStyle name="표준 11 3 2 2 2" xfId="37001"/>
    <cellStyle name="표준 11 3 2 2 2 2" xfId="37002"/>
    <cellStyle name="표준 11 3 2 2 2 2 2" xfId="37003"/>
    <cellStyle name="표준 11 3 2 2 2 2 3" xfId="37004"/>
    <cellStyle name="표준 11 3 2 2 2 3" xfId="37005"/>
    <cellStyle name="표준 11 3 2 2 2 4" xfId="37006"/>
    <cellStyle name="표준 11 3 2 2 3" xfId="37007"/>
    <cellStyle name="표준 11 3 2 2 3 2" xfId="37008"/>
    <cellStyle name="표준 11 3 2 2 3 3" xfId="37009"/>
    <cellStyle name="표준 11 3 2 2 4" xfId="37010"/>
    <cellStyle name="표준 11 3 2 2 5" xfId="37011"/>
    <cellStyle name="표준 11 3 2 3" xfId="37012"/>
    <cellStyle name="표준 11 3 2 3 2" xfId="37013"/>
    <cellStyle name="표준 11 3 2 3 2 2" xfId="37014"/>
    <cellStyle name="표준 11 3 2 3 2 2 2" xfId="37015"/>
    <cellStyle name="표준 11 3 2 3 2 2 3" xfId="37016"/>
    <cellStyle name="표준 11 3 2 3 2 3" xfId="37017"/>
    <cellStyle name="표준 11 3 2 3 2 4" xfId="37018"/>
    <cellStyle name="표준 11 3 2 3 3" xfId="37019"/>
    <cellStyle name="표준 11 3 2 3 3 2" xfId="37020"/>
    <cellStyle name="표준 11 3 2 3 3 3" xfId="37021"/>
    <cellStyle name="표준 11 3 2 3 4" xfId="37022"/>
    <cellStyle name="표준 11 3 2 3 5" xfId="37023"/>
    <cellStyle name="표준 11 3 2 4" xfId="37024"/>
    <cellStyle name="표준 11 3 2 4 2" xfId="37025"/>
    <cellStyle name="표준 11 3 2 4 2 2" xfId="37026"/>
    <cellStyle name="표준 11 3 2 4 2 3" xfId="37027"/>
    <cellStyle name="표준 11 3 2 4 3" xfId="37028"/>
    <cellStyle name="표준 11 3 2 4 4" xfId="37029"/>
    <cellStyle name="표준 11 3 2 5" xfId="37030"/>
    <cellStyle name="표준 11 3 2 5 2" xfId="37031"/>
    <cellStyle name="표준 11 3 2 5 3" xfId="37032"/>
    <cellStyle name="표준 11 3 2 6" xfId="37033"/>
    <cellStyle name="표준 11 3 2 7" xfId="37034"/>
    <cellStyle name="표준 11 3 3" xfId="37035"/>
    <cellStyle name="표준 11 3 3 2" xfId="37036"/>
    <cellStyle name="표준 11 3 3 2 2" xfId="37037"/>
    <cellStyle name="표준 11 3 3 2 2 2" xfId="37038"/>
    <cellStyle name="표준 11 3 3 2 2 2 2" xfId="37039"/>
    <cellStyle name="표준 11 3 3 2 2 2 3" xfId="37040"/>
    <cellStyle name="표준 11 3 3 2 2 3" xfId="37041"/>
    <cellStyle name="표준 11 3 3 2 2 4" xfId="37042"/>
    <cellStyle name="표준 11 3 3 2 3" xfId="37043"/>
    <cellStyle name="표준 11 3 3 2 3 2" xfId="37044"/>
    <cellStyle name="표준 11 3 3 2 3 3" xfId="37045"/>
    <cellStyle name="표준 11 3 3 2 4" xfId="37046"/>
    <cellStyle name="표준 11 3 3 2 5" xfId="37047"/>
    <cellStyle name="표준 11 3 3 3" xfId="37048"/>
    <cellStyle name="표준 11 3 3 3 2" xfId="37049"/>
    <cellStyle name="표준 11 3 3 3 2 2" xfId="37050"/>
    <cellStyle name="표준 11 3 3 3 2 2 2" xfId="37051"/>
    <cellStyle name="표준 11 3 3 3 2 2 3" xfId="37052"/>
    <cellStyle name="표준 11 3 3 3 2 3" xfId="37053"/>
    <cellStyle name="표준 11 3 3 3 2 4" xfId="37054"/>
    <cellStyle name="표준 11 3 3 3 3" xfId="37055"/>
    <cellStyle name="표준 11 3 3 3 3 2" xfId="37056"/>
    <cellStyle name="표준 11 3 3 3 3 3" xfId="37057"/>
    <cellStyle name="표준 11 3 3 3 4" xfId="37058"/>
    <cellStyle name="표준 11 3 3 3 5" xfId="37059"/>
    <cellStyle name="표준 11 3 3 4" xfId="37060"/>
    <cellStyle name="표준 11 3 3 4 2" xfId="37061"/>
    <cellStyle name="표준 11 3 3 4 2 2" xfId="37062"/>
    <cellStyle name="표준 11 3 3 4 2 3" xfId="37063"/>
    <cellStyle name="표준 11 3 3 4 3" xfId="37064"/>
    <cellStyle name="표준 11 3 3 4 4" xfId="37065"/>
    <cellStyle name="표준 11 3 3 5" xfId="37066"/>
    <cellStyle name="표준 11 3 3 5 2" xfId="37067"/>
    <cellStyle name="표준 11 3 3 5 3" xfId="37068"/>
    <cellStyle name="표준 11 3 3 6" xfId="37069"/>
    <cellStyle name="표준 11 3 3 7" xfId="37070"/>
    <cellStyle name="표준 11 3 4" xfId="37071"/>
    <cellStyle name="표준 11 3 4 2" xfId="37072"/>
    <cellStyle name="표준 11 3 4 2 2" xfId="37073"/>
    <cellStyle name="표준 11 3 4 2 2 2" xfId="37074"/>
    <cellStyle name="표준 11 3 4 2 2 3" xfId="37075"/>
    <cellStyle name="표준 11 3 4 2 3" xfId="37076"/>
    <cellStyle name="표준 11 3 4 2 4" xfId="37077"/>
    <cellStyle name="표준 11 3 4 3" xfId="37078"/>
    <cellStyle name="표준 11 3 4 3 2" xfId="37079"/>
    <cellStyle name="표준 11 3 4 3 3" xfId="37080"/>
    <cellStyle name="표준 11 3 4 4" xfId="37081"/>
    <cellStyle name="표준 11 3 4 5" xfId="37082"/>
    <cellStyle name="표준 11 3 5" xfId="37083"/>
    <cellStyle name="표준 11 3 5 2" xfId="37084"/>
    <cellStyle name="표준 11 3 5 2 2" xfId="37085"/>
    <cellStyle name="표준 11 3 5 2 2 2" xfId="37086"/>
    <cellStyle name="표준 11 3 5 2 2 3" xfId="37087"/>
    <cellStyle name="표준 11 3 5 2 3" xfId="37088"/>
    <cellStyle name="표준 11 3 5 2 4" xfId="37089"/>
    <cellStyle name="표준 11 3 5 3" xfId="37090"/>
    <cellStyle name="표준 11 3 5 3 2" xfId="37091"/>
    <cellStyle name="표준 11 3 5 3 3" xfId="37092"/>
    <cellStyle name="표준 11 3 5 4" xfId="37093"/>
    <cellStyle name="표준 11 3 5 5" xfId="37094"/>
    <cellStyle name="표준 11 3 6" xfId="37095"/>
    <cellStyle name="표준 11 3 6 2" xfId="37096"/>
    <cellStyle name="표준 11 3 6 2 2" xfId="37097"/>
    <cellStyle name="표준 11 3 6 2 2 2" xfId="37098"/>
    <cellStyle name="표준 11 3 6 2 2 3" xfId="37099"/>
    <cellStyle name="표준 11 3 6 2 3" xfId="37100"/>
    <cellStyle name="표준 11 3 6 2 4" xfId="37101"/>
    <cellStyle name="표준 11 3 6 3" xfId="37102"/>
    <cellStyle name="표준 11 3 6 3 2" xfId="37103"/>
    <cellStyle name="표준 11 3 6 3 3" xfId="37104"/>
    <cellStyle name="표준 11 3 6 4" xfId="37105"/>
    <cellStyle name="표준 11 3 6 5" xfId="37106"/>
    <cellStyle name="표준 11 3 7" xfId="37107"/>
    <cellStyle name="표준 11 3 7 2" xfId="37108"/>
    <cellStyle name="표준 11 3 7 2 2" xfId="37109"/>
    <cellStyle name="표준 11 3 7 2 3" xfId="37110"/>
    <cellStyle name="표준 11 3 7 3" xfId="37111"/>
    <cellStyle name="표준 11 3 7 4" xfId="37112"/>
    <cellStyle name="표준 11 3 8" xfId="37113"/>
    <cellStyle name="표준 11 3 8 2" xfId="37114"/>
    <cellStyle name="표준 11 3 8 3" xfId="37115"/>
    <cellStyle name="표준 11 3 9" xfId="37116"/>
    <cellStyle name="표준 11 4" xfId="37117"/>
    <cellStyle name="표준 11 4 10" xfId="37118"/>
    <cellStyle name="표준 11 4 2" xfId="37119"/>
    <cellStyle name="표준 11 4 2 2" xfId="37120"/>
    <cellStyle name="표준 11 4 2 2 2" xfId="37121"/>
    <cellStyle name="표준 11 4 2 2 2 2" xfId="37122"/>
    <cellStyle name="표준 11 4 2 2 2 2 2" xfId="37123"/>
    <cellStyle name="표준 11 4 2 2 2 2 3" xfId="37124"/>
    <cellStyle name="표준 11 4 2 2 2 3" xfId="37125"/>
    <cellStyle name="표준 11 4 2 2 2 4" xfId="37126"/>
    <cellStyle name="표준 11 4 2 2 3" xfId="37127"/>
    <cellStyle name="표준 11 4 2 2 3 2" xfId="37128"/>
    <cellStyle name="표준 11 4 2 2 3 3" xfId="37129"/>
    <cellStyle name="표준 11 4 2 2 4" xfId="37130"/>
    <cellStyle name="표준 11 4 2 2 5" xfId="37131"/>
    <cellStyle name="표준 11 4 2 3" xfId="37132"/>
    <cellStyle name="표준 11 4 2 3 2" xfId="37133"/>
    <cellStyle name="표준 11 4 2 3 2 2" xfId="37134"/>
    <cellStyle name="표준 11 4 2 3 2 2 2" xfId="37135"/>
    <cellStyle name="표준 11 4 2 3 2 2 3" xfId="37136"/>
    <cellStyle name="표준 11 4 2 3 2 3" xfId="37137"/>
    <cellStyle name="표준 11 4 2 3 2 4" xfId="37138"/>
    <cellStyle name="표준 11 4 2 3 3" xfId="37139"/>
    <cellStyle name="표준 11 4 2 3 3 2" xfId="37140"/>
    <cellStyle name="표준 11 4 2 3 3 3" xfId="37141"/>
    <cellStyle name="표준 11 4 2 3 4" xfId="37142"/>
    <cellStyle name="표준 11 4 2 3 5" xfId="37143"/>
    <cellStyle name="표준 11 4 2 4" xfId="37144"/>
    <cellStyle name="표준 11 4 2 4 2" xfId="37145"/>
    <cellStyle name="표준 11 4 2 4 2 2" xfId="37146"/>
    <cellStyle name="표준 11 4 2 4 2 3" xfId="37147"/>
    <cellStyle name="표준 11 4 2 4 3" xfId="37148"/>
    <cellStyle name="표준 11 4 2 4 4" xfId="37149"/>
    <cellStyle name="표준 11 4 2 5" xfId="37150"/>
    <cellStyle name="표준 11 4 2 5 2" xfId="37151"/>
    <cellStyle name="표준 11 4 2 5 3" xfId="37152"/>
    <cellStyle name="표준 11 4 2 6" xfId="37153"/>
    <cellStyle name="표준 11 4 2 7" xfId="37154"/>
    <cellStyle name="표준 11 4 3" xfId="37155"/>
    <cellStyle name="표준 11 4 3 2" xfId="37156"/>
    <cellStyle name="표준 11 4 3 2 2" xfId="37157"/>
    <cellStyle name="표준 11 4 3 2 2 2" xfId="37158"/>
    <cellStyle name="표준 11 4 3 2 2 2 2" xfId="37159"/>
    <cellStyle name="표준 11 4 3 2 2 2 3" xfId="37160"/>
    <cellStyle name="표준 11 4 3 2 2 3" xfId="37161"/>
    <cellStyle name="표준 11 4 3 2 2 4" xfId="37162"/>
    <cellStyle name="표준 11 4 3 2 3" xfId="37163"/>
    <cellStyle name="표준 11 4 3 2 3 2" xfId="37164"/>
    <cellStyle name="표준 11 4 3 2 3 3" xfId="37165"/>
    <cellStyle name="표준 11 4 3 2 4" xfId="37166"/>
    <cellStyle name="표준 11 4 3 2 5" xfId="37167"/>
    <cellStyle name="표준 11 4 3 3" xfId="37168"/>
    <cellStyle name="표준 11 4 3 3 2" xfId="37169"/>
    <cellStyle name="표준 11 4 3 3 2 2" xfId="37170"/>
    <cellStyle name="표준 11 4 3 3 2 2 2" xfId="37171"/>
    <cellStyle name="표준 11 4 3 3 2 2 3" xfId="37172"/>
    <cellStyle name="표준 11 4 3 3 2 3" xfId="37173"/>
    <cellStyle name="표준 11 4 3 3 2 4" xfId="37174"/>
    <cellStyle name="표준 11 4 3 3 3" xfId="37175"/>
    <cellStyle name="표준 11 4 3 3 3 2" xfId="37176"/>
    <cellStyle name="표준 11 4 3 3 3 3" xfId="37177"/>
    <cellStyle name="표준 11 4 3 3 4" xfId="37178"/>
    <cellStyle name="표준 11 4 3 3 5" xfId="37179"/>
    <cellStyle name="표준 11 4 3 4" xfId="37180"/>
    <cellStyle name="표준 11 4 3 4 2" xfId="37181"/>
    <cellStyle name="표준 11 4 3 4 2 2" xfId="37182"/>
    <cellStyle name="표준 11 4 3 4 2 3" xfId="37183"/>
    <cellStyle name="표준 11 4 3 4 3" xfId="37184"/>
    <cellStyle name="표준 11 4 3 4 4" xfId="37185"/>
    <cellStyle name="표준 11 4 3 5" xfId="37186"/>
    <cellStyle name="표준 11 4 3 5 2" xfId="37187"/>
    <cellStyle name="표준 11 4 3 5 3" xfId="37188"/>
    <cellStyle name="표준 11 4 3 6" xfId="37189"/>
    <cellStyle name="표준 11 4 3 7" xfId="37190"/>
    <cellStyle name="표준 11 4 4" xfId="37191"/>
    <cellStyle name="표준 11 4 4 2" xfId="37192"/>
    <cellStyle name="표준 11 4 4 2 2" xfId="37193"/>
    <cellStyle name="표준 11 4 4 2 2 2" xfId="37194"/>
    <cellStyle name="표준 11 4 4 2 2 3" xfId="37195"/>
    <cellStyle name="표준 11 4 4 2 3" xfId="37196"/>
    <cellStyle name="표준 11 4 4 2 4" xfId="37197"/>
    <cellStyle name="표준 11 4 4 3" xfId="37198"/>
    <cellStyle name="표준 11 4 4 3 2" xfId="37199"/>
    <cellStyle name="표준 11 4 4 3 3" xfId="37200"/>
    <cellStyle name="표준 11 4 4 4" xfId="37201"/>
    <cellStyle name="표준 11 4 4 5" xfId="37202"/>
    <cellStyle name="표준 11 4 5" xfId="37203"/>
    <cellStyle name="표준 11 4 5 2" xfId="37204"/>
    <cellStyle name="표준 11 4 5 2 2" xfId="37205"/>
    <cellStyle name="표준 11 4 5 2 2 2" xfId="37206"/>
    <cellStyle name="표준 11 4 5 2 2 3" xfId="37207"/>
    <cellStyle name="표준 11 4 5 2 3" xfId="37208"/>
    <cellStyle name="표준 11 4 5 2 4" xfId="37209"/>
    <cellStyle name="표준 11 4 5 3" xfId="37210"/>
    <cellStyle name="표준 11 4 5 3 2" xfId="37211"/>
    <cellStyle name="표준 11 4 5 3 3" xfId="37212"/>
    <cellStyle name="표준 11 4 5 4" xfId="37213"/>
    <cellStyle name="표준 11 4 5 5" xfId="37214"/>
    <cellStyle name="표준 11 4 6" xfId="37215"/>
    <cellStyle name="표준 11 4 6 2" xfId="37216"/>
    <cellStyle name="표준 11 4 6 2 2" xfId="37217"/>
    <cellStyle name="표준 11 4 6 2 2 2" xfId="37218"/>
    <cellStyle name="표준 11 4 6 2 2 3" xfId="37219"/>
    <cellStyle name="표준 11 4 6 2 3" xfId="37220"/>
    <cellStyle name="표준 11 4 6 2 4" xfId="37221"/>
    <cellStyle name="표준 11 4 6 3" xfId="37222"/>
    <cellStyle name="표준 11 4 6 3 2" xfId="37223"/>
    <cellStyle name="표준 11 4 6 3 3" xfId="37224"/>
    <cellStyle name="표준 11 4 6 4" xfId="37225"/>
    <cellStyle name="표준 11 4 6 5" xfId="37226"/>
    <cellStyle name="표준 11 4 7" xfId="37227"/>
    <cellStyle name="표준 11 4 7 2" xfId="37228"/>
    <cellStyle name="표준 11 4 7 2 2" xfId="37229"/>
    <cellStyle name="표준 11 4 7 2 3" xfId="37230"/>
    <cellStyle name="표준 11 4 7 3" xfId="37231"/>
    <cellStyle name="표준 11 4 7 4" xfId="37232"/>
    <cellStyle name="표준 11 4 8" xfId="37233"/>
    <cellStyle name="표준 11 4 8 2" xfId="37234"/>
    <cellStyle name="표준 11 4 8 3" xfId="37235"/>
    <cellStyle name="표준 11 4 9" xfId="37236"/>
    <cellStyle name="표준 11 5" xfId="37237"/>
    <cellStyle name="표준 11 5 10" xfId="37238"/>
    <cellStyle name="표준 11 5 2" xfId="37239"/>
    <cellStyle name="표준 11 5 2 2" xfId="37240"/>
    <cellStyle name="표준 11 5 2 2 2" xfId="37241"/>
    <cellStyle name="표준 11 5 2 2 2 2" xfId="37242"/>
    <cellStyle name="표준 11 5 2 2 2 2 2" xfId="37243"/>
    <cellStyle name="표준 11 5 2 2 2 2 3" xfId="37244"/>
    <cellStyle name="표준 11 5 2 2 2 3" xfId="37245"/>
    <cellStyle name="표준 11 5 2 2 2 4" xfId="37246"/>
    <cellStyle name="표준 11 5 2 2 3" xfId="37247"/>
    <cellStyle name="표준 11 5 2 2 3 2" xfId="37248"/>
    <cellStyle name="표준 11 5 2 2 3 3" xfId="37249"/>
    <cellStyle name="표준 11 5 2 2 4" xfId="37250"/>
    <cellStyle name="표준 11 5 2 2 5" xfId="37251"/>
    <cellStyle name="표준 11 5 2 3" xfId="37252"/>
    <cellStyle name="표준 11 5 2 3 2" xfId="37253"/>
    <cellStyle name="표준 11 5 2 3 2 2" xfId="37254"/>
    <cellStyle name="표준 11 5 2 3 2 2 2" xfId="37255"/>
    <cellStyle name="표준 11 5 2 3 2 2 3" xfId="37256"/>
    <cellStyle name="표준 11 5 2 3 2 3" xfId="37257"/>
    <cellStyle name="표준 11 5 2 3 2 4" xfId="37258"/>
    <cellStyle name="표준 11 5 2 3 3" xfId="37259"/>
    <cellStyle name="표준 11 5 2 3 3 2" xfId="37260"/>
    <cellStyle name="표준 11 5 2 3 3 3" xfId="37261"/>
    <cellStyle name="표준 11 5 2 3 4" xfId="37262"/>
    <cellStyle name="표준 11 5 2 3 5" xfId="37263"/>
    <cellStyle name="표준 11 5 2 4" xfId="37264"/>
    <cellStyle name="표준 11 5 2 4 2" xfId="37265"/>
    <cellStyle name="표준 11 5 2 4 2 2" xfId="37266"/>
    <cellStyle name="표준 11 5 2 4 2 3" xfId="37267"/>
    <cellStyle name="표준 11 5 2 4 3" xfId="37268"/>
    <cellStyle name="표준 11 5 2 4 4" xfId="37269"/>
    <cellStyle name="표준 11 5 2 5" xfId="37270"/>
    <cellStyle name="표준 11 5 2 5 2" xfId="37271"/>
    <cellStyle name="표준 11 5 2 5 3" xfId="37272"/>
    <cellStyle name="표준 11 5 2 6" xfId="37273"/>
    <cellStyle name="표준 11 5 2 7" xfId="37274"/>
    <cellStyle name="표준 11 5 3" xfId="37275"/>
    <cellStyle name="표준 11 5 3 2" xfId="37276"/>
    <cellStyle name="표준 11 5 3 2 2" xfId="37277"/>
    <cellStyle name="표준 11 5 3 2 2 2" xfId="37278"/>
    <cellStyle name="표준 11 5 3 2 2 2 2" xfId="37279"/>
    <cellStyle name="표준 11 5 3 2 2 2 3" xfId="37280"/>
    <cellStyle name="표준 11 5 3 2 2 3" xfId="37281"/>
    <cellStyle name="표준 11 5 3 2 2 4" xfId="37282"/>
    <cellStyle name="표준 11 5 3 2 3" xfId="37283"/>
    <cellStyle name="표준 11 5 3 2 3 2" xfId="37284"/>
    <cellStyle name="표준 11 5 3 2 3 3" xfId="37285"/>
    <cellStyle name="표준 11 5 3 2 4" xfId="37286"/>
    <cellStyle name="표준 11 5 3 2 5" xfId="37287"/>
    <cellStyle name="표준 11 5 3 3" xfId="37288"/>
    <cellStyle name="표준 11 5 3 3 2" xfId="37289"/>
    <cellStyle name="표준 11 5 3 3 2 2" xfId="37290"/>
    <cellStyle name="표준 11 5 3 3 2 2 2" xfId="37291"/>
    <cellStyle name="표준 11 5 3 3 2 2 3" xfId="37292"/>
    <cellStyle name="표준 11 5 3 3 2 3" xfId="37293"/>
    <cellStyle name="표준 11 5 3 3 2 4" xfId="37294"/>
    <cellStyle name="표준 11 5 3 3 3" xfId="37295"/>
    <cellStyle name="표준 11 5 3 3 3 2" xfId="37296"/>
    <cellStyle name="표준 11 5 3 3 3 3" xfId="37297"/>
    <cellStyle name="표준 11 5 3 3 4" xfId="37298"/>
    <cellStyle name="표준 11 5 3 3 5" xfId="37299"/>
    <cellStyle name="표준 11 5 3 4" xfId="37300"/>
    <cellStyle name="표준 11 5 3 4 2" xfId="37301"/>
    <cellStyle name="표준 11 5 3 4 2 2" xfId="37302"/>
    <cellStyle name="표준 11 5 3 4 2 3" xfId="37303"/>
    <cellStyle name="표준 11 5 3 4 3" xfId="37304"/>
    <cellStyle name="표준 11 5 3 4 4" xfId="37305"/>
    <cellStyle name="표준 11 5 3 5" xfId="37306"/>
    <cellStyle name="표준 11 5 3 5 2" xfId="37307"/>
    <cellStyle name="표준 11 5 3 5 3" xfId="37308"/>
    <cellStyle name="표준 11 5 3 6" xfId="37309"/>
    <cellStyle name="표준 11 5 3 7" xfId="37310"/>
    <cellStyle name="표준 11 5 4" xfId="37311"/>
    <cellStyle name="표준 11 5 4 2" xfId="37312"/>
    <cellStyle name="표준 11 5 4 2 2" xfId="37313"/>
    <cellStyle name="표준 11 5 4 2 2 2" xfId="37314"/>
    <cellStyle name="표준 11 5 4 2 2 3" xfId="37315"/>
    <cellStyle name="표준 11 5 4 2 3" xfId="37316"/>
    <cellStyle name="표준 11 5 4 2 4" xfId="37317"/>
    <cellStyle name="표준 11 5 4 3" xfId="37318"/>
    <cellStyle name="표준 11 5 4 3 2" xfId="37319"/>
    <cellStyle name="표준 11 5 4 3 3" xfId="37320"/>
    <cellStyle name="표준 11 5 4 4" xfId="37321"/>
    <cellStyle name="표준 11 5 4 5" xfId="37322"/>
    <cellStyle name="표준 11 5 5" xfId="37323"/>
    <cellStyle name="표준 11 5 5 2" xfId="37324"/>
    <cellStyle name="표준 11 5 5 2 2" xfId="37325"/>
    <cellStyle name="표준 11 5 5 2 2 2" xfId="37326"/>
    <cellStyle name="표준 11 5 5 2 2 3" xfId="37327"/>
    <cellStyle name="표준 11 5 5 2 3" xfId="37328"/>
    <cellStyle name="표준 11 5 5 2 4" xfId="37329"/>
    <cellStyle name="표준 11 5 5 3" xfId="37330"/>
    <cellStyle name="표준 11 5 5 3 2" xfId="37331"/>
    <cellStyle name="표준 11 5 5 3 3" xfId="37332"/>
    <cellStyle name="표준 11 5 5 4" xfId="37333"/>
    <cellStyle name="표준 11 5 5 5" xfId="37334"/>
    <cellStyle name="표준 11 5 6" xfId="37335"/>
    <cellStyle name="표준 11 5 6 2" xfId="37336"/>
    <cellStyle name="표준 11 5 6 2 2" xfId="37337"/>
    <cellStyle name="표준 11 5 6 2 2 2" xfId="37338"/>
    <cellStyle name="표준 11 5 6 2 2 3" xfId="37339"/>
    <cellStyle name="표준 11 5 6 2 3" xfId="37340"/>
    <cellStyle name="표준 11 5 6 2 4" xfId="37341"/>
    <cellStyle name="표준 11 5 6 3" xfId="37342"/>
    <cellStyle name="표준 11 5 6 3 2" xfId="37343"/>
    <cellStyle name="표준 11 5 6 3 3" xfId="37344"/>
    <cellStyle name="표준 11 5 6 4" xfId="37345"/>
    <cellStyle name="표준 11 5 6 5" xfId="37346"/>
    <cellStyle name="표준 11 5 7" xfId="37347"/>
    <cellStyle name="표준 11 5 7 2" xfId="37348"/>
    <cellStyle name="표준 11 5 7 2 2" xfId="37349"/>
    <cellStyle name="표준 11 5 7 2 3" xfId="37350"/>
    <cellStyle name="표준 11 5 7 3" xfId="37351"/>
    <cellStyle name="표준 11 5 7 4" xfId="37352"/>
    <cellStyle name="표준 11 5 8" xfId="37353"/>
    <cellStyle name="표준 11 5 8 2" xfId="37354"/>
    <cellStyle name="표준 11 5 8 3" xfId="37355"/>
    <cellStyle name="표준 11 5 9" xfId="37356"/>
    <cellStyle name="표준 11 6" xfId="37357"/>
    <cellStyle name="표준 11 6 2" xfId="37358"/>
    <cellStyle name="표준 11 6 2 2" xfId="37359"/>
    <cellStyle name="표준 11 6 2 2 2" xfId="37360"/>
    <cellStyle name="표준 11 6 2 2 2 2" xfId="37361"/>
    <cellStyle name="표준 11 6 2 2 2 3" xfId="37362"/>
    <cellStyle name="표준 11 6 2 2 3" xfId="37363"/>
    <cellStyle name="표준 11 6 2 2 4" xfId="37364"/>
    <cellStyle name="표준 11 6 2 3" xfId="37365"/>
    <cellStyle name="표준 11 6 2 3 2" xfId="37366"/>
    <cellStyle name="표준 11 6 2 3 3" xfId="37367"/>
    <cellStyle name="표준 11 6 2 4" xfId="37368"/>
    <cellStyle name="표준 11 6 2 5" xfId="37369"/>
    <cellStyle name="표준 11 6 3" xfId="37370"/>
    <cellStyle name="표준 11 6 3 2" xfId="37371"/>
    <cellStyle name="표준 11 6 3 2 2" xfId="37372"/>
    <cellStyle name="표준 11 6 3 2 2 2" xfId="37373"/>
    <cellStyle name="표준 11 6 3 2 2 3" xfId="37374"/>
    <cellStyle name="표준 11 6 3 2 3" xfId="37375"/>
    <cellStyle name="표준 11 6 3 2 4" xfId="37376"/>
    <cellStyle name="표준 11 6 3 3" xfId="37377"/>
    <cellStyle name="표준 11 6 3 3 2" xfId="37378"/>
    <cellStyle name="표준 11 6 3 3 3" xfId="37379"/>
    <cellStyle name="표준 11 6 3 4" xfId="37380"/>
    <cellStyle name="표준 11 6 3 5" xfId="37381"/>
    <cellStyle name="표준 11 6 4" xfId="37382"/>
    <cellStyle name="표준 11 6 4 2" xfId="37383"/>
    <cellStyle name="표준 11 6 4 2 2" xfId="37384"/>
    <cellStyle name="표준 11 6 4 2 3" xfId="37385"/>
    <cellStyle name="표준 11 6 4 3" xfId="37386"/>
    <cellStyle name="표준 11 6 4 4" xfId="37387"/>
    <cellStyle name="표준 11 6 5" xfId="37388"/>
    <cellStyle name="표준 11 6 5 2" xfId="37389"/>
    <cellStyle name="표준 11 6 5 3" xfId="37390"/>
    <cellStyle name="표준 11 6 6" xfId="37391"/>
    <cellStyle name="표준 11 6 7" xfId="37392"/>
    <cellStyle name="표준 11 7" xfId="37393"/>
    <cellStyle name="표준 11 7 2" xfId="37394"/>
    <cellStyle name="표준 11 7 2 2" xfId="37395"/>
    <cellStyle name="표준 11 7 2 2 2" xfId="37396"/>
    <cellStyle name="표준 11 7 2 2 2 2" xfId="37397"/>
    <cellStyle name="표준 11 7 2 2 2 3" xfId="37398"/>
    <cellStyle name="표준 11 7 2 2 3" xfId="37399"/>
    <cellStyle name="표준 11 7 2 2 4" xfId="37400"/>
    <cellStyle name="표준 11 7 2 3" xfId="37401"/>
    <cellStyle name="표준 11 7 2 3 2" xfId="37402"/>
    <cellStyle name="표준 11 7 2 3 3" xfId="37403"/>
    <cellStyle name="표준 11 7 2 4" xfId="37404"/>
    <cellStyle name="표준 11 7 2 5" xfId="37405"/>
    <cellStyle name="표준 11 7 3" xfId="37406"/>
    <cellStyle name="표준 11 7 3 2" xfId="37407"/>
    <cellStyle name="표준 11 7 3 2 2" xfId="37408"/>
    <cellStyle name="표준 11 7 3 2 2 2" xfId="37409"/>
    <cellStyle name="표준 11 7 3 2 2 3" xfId="37410"/>
    <cellStyle name="표준 11 7 3 2 3" xfId="37411"/>
    <cellStyle name="표준 11 7 3 2 4" xfId="37412"/>
    <cellStyle name="표준 11 7 3 3" xfId="37413"/>
    <cellStyle name="표준 11 7 3 3 2" xfId="37414"/>
    <cellStyle name="표준 11 7 3 3 3" xfId="37415"/>
    <cellStyle name="표준 11 7 3 4" xfId="37416"/>
    <cellStyle name="표준 11 7 3 5" xfId="37417"/>
    <cellStyle name="표준 11 7 4" xfId="37418"/>
    <cellStyle name="표준 11 7 4 2" xfId="37419"/>
    <cellStyle name="표준 11 7 4 2 2" xfId="37420"/>
    <cellStyle name="표준 11 7 4 2 3" xfId="37421"/>
    <cellStyle name="표준 11 7 4 3" xfId="37422"/>
    <cellStyle name="표준 11 7 4 4" xfId="37423"/>
    <cellStyle name="표준 11 7 5" xfId="37424"/>
    <cellStyle name="표준 11 7 5 2" xfId="37425"/>
    <cellStyle name="표준 11 7 5 3" xfId="37426"/>
    <cellStyle name="표준 11 7 6" xfId="37427"/>
    <cellStyle name="표준 11 7 7" xfId="37428"/>
    <cellStyle name="표준 11 8" xfId="37429"/>
    <cellStyle name="표준 11 8 2" xfId="37430"/>
    <cellStyle name="표준 11 8 2 2" xfId="37431"/>
    <cellStyle name="표준 11 8 2 2 2" xfId="37432"/>
    <cellStyle name="표준 11 8 2 2 3" xfId="37433"/>
    <cellStyle name="표준 11 8 2 3" xfId="37434"/>
    <cellStyle name="표준 11 8 2 4" xfId="37435"/>
    <cellStyle name="표준 11 8 3" xfId="37436"/>
    <cellStyle name="표준 11 8 3 2" xfId="37437"/>
    <cellStyle name="표준 11 8 3 3" xfId="37438"/>
    <cellStyle name="표준 11 8 4" xfId="37439"/>
    <cellStyle name="표준 11 8 5" xfId="37440"/>
    <cellStyle name="표준 11 9" xfId="37441"/>
    <cellStyle name="표준 11 9 2" xfId="37442"/>
    <cellStyle name="표준 11 9 2 2" xfId="37443"/>
    <cellStyle name="표준 11 9 2 2 2" xfId="37444"/>
    <cellStyle name="표준 11 9 2 2 3" xfId="37445"/>
    <cellStyle name="표준 11 9 2 3" xfId="37446"/>
    <cellStyle name="표준 11 9 2 4" xfId="37447"/>
    <cellStyle name="표준 11 9 3" xfId="37448"/>
    <cellStyle name="표준 11 9 3 2" xfId="37449"/>
    <cellStyle name="표준 11 9 3 3" xfId="37450"/>
    <cellStyle name="표준 11 9 4" xfId="37451"/>
    <cellStyle name="표준 11 9 5" xfId="37452"/>
    <cellStyle name="표준 110" xfId="37453"/>
    <cellStyle name="표준 111" xfId="37454"/>
    <cellStyle name="표준 112" xfId="37455"/>
    <cellStyle name="표준 113" xfId="37456"/>
    <cellStyle name="표준 114" xfId="37457"/>
    <cellStyle name="표준 115" xfId="37458"/>
    <cellStyle name="표준 116" xfId="37459"/>
    <cellStyle name="표준 117" xfId="37460"/>
    <cellStyle name="표준 118" xfId="37461"/>
    <cellStyle name="표준 119" xfId="37462"/>
    <cellStyle name="표준 12" xfId="37463"/>
    <cellStyle name="표준 12 10" xfId="37464"/>
    <cellStyle name="표준 12 10 2" xfId="37465"/>
    <cellStyle name="표준 12 10 2 2" xfId="37466"/>
    <cellStyle name="표준 12 10 2 3" xfId="37467"/>
    <cellStyle name="표준 12 10 3" xfId="37468"/>
    <cellStyle name="표준 12 10 4" xfId="37469"/>
    <cellStyle name="표준 12 11" xfId="37470"/>
    <cellStyle name="표준 12 11 2" xfId="37471"/>
    <cellStyle name="표준 12 11 3" xfId="37472"/>
    <cellStyle name="표준 12 12" xfId="37473"/>
    <cellStyle name="표준 12 13" xfId="37474"/>
    <cellStyle name="표준 12 14" xfId="37475"/>
    <cellStyle name="표준 12 2" xfId="37476"/>
    <cellStyle name="표준 12 2 10" xfId="37477"/>
    <cellStyle name="표준 12 2 11" xfId="37478"/>
    <cellStyle name="표준 12 2 2" xfId="37479"/>
    <cellStyle name="표준 12 2 2 2" xfId="37480"/>
    <cellStyle name="표준 12 2 2 2 2" xfId="37481"/>
    <cellStyle name="표준 12 2 2 2 2 2" xfId="37482"/>
    <cellStyle name="표준 12 2 2 2 2 2 2" xfId="37483"/>
    <cellStyle name="표준 12 2 2 2 2 2 3" xfId="37484"/>
    <cellStyle name="표준 12 2 2 2 2 3" xfId="37485"/>
    <cellStyle name="표준 12 2 2 2 2 4" xfId="37486"/>
    <cellStyle name="표준 12 2 2 2 3" xfId="37487"/>
    <cellStyle name="표준 12 2 2 2 3 2" xfId="37488"/>
    <cellStyle name="표준 12 2 2 2 3 3" xfId="37489"/>
    <cellStyle name="표준 12 2 2 2 4" xfId="37490"/>
    <cellStyle name="표준 12 2 2 2 5" xfId="37491"/>
    <cellStyle name="표준 12 2 2 3" xfId="37492"/>
    <cellStyle name="표준 12 2 2 3 2" xfId="37493"/>
    <cellStyle name="표준 12 2 2 3 2 2" xfId="37494"/>
    <cellStyle name="표준 12 2 2 3 2 2 2" xfId="37495"/>
    <cellStyle name="표준 12 2 2 3 2 2 3" xfId="37496"/>
    <cellStyle name="표준 12 2 2 3 2 3" xfId="37497"/>
    <cellStyle name="표준 12 2 2 3 2 4" xfId="37498"/>
    <cellStyle name="표준 12 2 2 3 3" xfId="37499"/>
    <cellStyle name="표준 12 2 2 3 3 2" xfId="37500"/>
    <cellStyle name="표준 12 2 2 3 3 3" xfId="37501"/>
    <cellStyle name="표준 12 2 2 3 4" xfId="37502"/>
    <cellStyle name="표준 12 2 2 3 5" xfId="37503"/>
    <cellStyle name="표준 12 2 2 4" xfId="37504"/>
    <cellStyle name="표준 12 2 2 4 2" xfId="37505"/>
    <cellStyle name="표준 12 2 2 4 2 2" xfId="37506"/>
    <cellStyle name="표준 12 2 2 4 2 3" xfId="37507"/>
    <cellStyle name="표준 12 2 2 4 3" xfId="37508"/>
    <cellStyle name="표준 12 2 2 4 4" xfId="37509"/>
    <cellStyle name="표준 12 2 2 5" xfId="37510"/>
    <cellStyle name="표준 12 2 2 5 2" xfId="37511"/>
    <cellStyle name="표준 12 2 2 5 3" xfId="37512"/>
    <cellStyle name="표준 12 2 2 6" xfId="37513"/>
    <cellStyle name="표준 12 2 2 7" xfId="37514"/>
    <cellStyle name="표준 12 2 2 8" xfId="37515"/>
    <cellStyle name="표준 12 2 3" xfId="37516"/>
    <cellStyle name="표준 12 2 3 2" xfId="37517"/>
    <cellStyle name="표준 12 2 3 2 2" xfId="37518"/>
    <cellStyle name="표준 12 2 3 2 2 2" xfId="37519"/>
    <cellStyle name="표준 12 2 3 2 2 2 2" xfId="37520"/>
    <cellStyle name="표준 12 2 3 2 2 2 3" xfId="37521"/>
    <cellStyle name="표준 12 2 3 2 2 3" xfId="37522"/>
    <cellStyle name="표준 12 2 3 2 2 4" xfId="37523"/>
    <cellStyle name="표준 12 2 3 2 3" xfId="37524"/>
    <cellStyle name="표준 12 2 3 2 3 2" xfId="37525"/>
    <cellStyle name="표준 12 2 3 2 3 3" xfId="37526"/>
    <cellStyle name="표준 12 2 3 2 4" xfId="37527"/>
    <cellStyle name="표준 12 2 3 2 5" xfId="37528"/>
    <cellStyle name="표준 12 2 3 3" xfId="37529"/>
    <cellStyle name="표준 12 2 3 3 2" xfId="37530"/>
    <cellStyle name="표준 12 2 3 3 2 2" xfId="37531"/>
    <cellStyle name="표준 12 2 3 3 2 2 2" xfId="37532"/>
    <cellStyle name="표준 12 2 3 3 2 2 3" xfId="37533"/>
    <cellStyle name="표준 12 2 3 3 2 3" xfId="37534"/>
    <cellStyle name="표준 12 2 3 3 2 4" xfId="37535"/>
    <cellStyle name="표준 12 2 3 3 3" xfId="37536"/>
    <cellStyle name="표준 12 2 3 3 3 2" xfId="37537"/>
    <cellStyle name="표준 12 2 3 3 3 3" xfId="37538"/>
    <cellStyle name="표준 12 2 3 3 4" xfId="37539"/>
    <cellStyle name="표준 12 2 3 3 5" xfId="37540"/>
    <cellStyle name="표준 12 2 3 4" xfId="37541"/>
    <cellStyle name="표준 12 2 3 4 2" xfId="37542"/>
    <cellStyle name="표준 12 2 3 4 2 2" xfId="37543"/>
    <cellStyle name="표준 12 2 3 4 2 3" xfId="37544"/>
    <cellStyle name="표준 12 2 3 4 3" xfId="37545"/>
    <cellStyle name="표준 12 2 3 4 4" xfId="37546"/>
    <cellStyle name="표준 12 2 3 5" xfId="37547"/>
    <cellStyle name="표준 12 2 3 5 2" xfId="37548"/>
    <cellStyle name="표준 12 2 3 5 3" xfId="37549"/>
    <cellStyle name="표준 12 2 3 6" xfId="37550"/>
    <cellStyle name="표준 12 2 3 7" xfId="37551"/>
    <cellStyle name="표준 12 2 4" xfId="37552"/>
    <cellStyle name="표준 12 2 4 2" xfId="37553"/>
    <cellStyle name="표준 12 2 4 2 2" xfId="37554"/>
    <cellStyle name="표준 12 2 4 2 2 2" xfId="37555"/>
    <cellStyle name="표준 12 2 4 2 2 3" xfId="37556"/>
    <cellStyle name="표준 12 2 4 2 3" xfId="37557"/>
    <cellStyle name="표준 12 2 4 2 4" xfId="37558"/>
    <cellStyle name="표준 12 2 4 3" xfId="37559"/>
    <cellStyle name="표준 12 2 4 3 2" xfId="37560"/>
    <cellStyle name="표준 12 2 4 3 3" xfId="37561"/>
    <cellStyle name="표준 12 2 4 4" xfId="37562"/>
    <cellStyle name="표준 12 2 4 5" xfId="37563"/>
    <cellStyle name="표준 12 2 5" xfId="37564"/>
    <cellStyle name="표준 12 2 5 2" xfId="37565"/>
    <cellStyle name="표준 12 2 5 2 2" xfId="37566"/>
    <cellStyle name="표준 12 2 5 2 2 2" xfId="37567"/>
    <cellStyle name="표준 12 2 5 2 2 3" xfId="37568"/>
    <cellStyle name="표준 12 2 5 2 3" xfId="37569"/>
    <cellStyle name="표준 12 2 5 2 4" xfId="37570"/>
    <cellStyle name="표준 12 2 5 3" xfId="37571"/>
    <cellStyle name="표준 12 2 5 3 2" xfId="37572"/>
    <cellStyle name="표준 12 2 5 3 3" xfId="37573"/>
    <cellStyle name="표준 12 2 5 4" xfId="37574"/>
    <cellStyle name="표준 12 2 5 5" xfId="37575"/>
    <cellStyle name="표준 12 2 6" xfId="37576"/>
    <cellStyle name="표준 12 2 6 2" xfId="37577"/>
    <cellStyle name="표준 12 2 6 2 2" xfId="37578"/>
    <cellStyle name="표준 12 2 6 2 2 2" xfId="37579"/>
    <cellStyle name="표준 12 2 6 2 2 3" xfId="37580"/>
    <cellStyle name="표준 12 2 6 2 3" xfId="37581"/>
    <cellStyle name="표준 12 2 6 2 4" xfId="37582"/>
    <cellStyle name="표준 12 2 6 3" xfId="37583"/>
    <cellStyle name="표준 12 2 6 3 2" xfId="37584"/>
    <cellStyle name="표준 12 2 6 3 3" xfId="37585"/>
    <cellStyle name="표준 12 2 6 4" xfId="37586"/>
    <cellStyle name="표준 12 2 6 5" xfId="37587"/>
    <cellStyle name="표준 12 2 7" xfId="37588"/>
    <cellStyle name="표준 12 2 7 2" xfId="37589"/>
    <cellStyle name="표준 12 2 7 2 2" xfId="37590"/>
    <cellStyle name="표준 12 2 7 2 3" xfId="37591"/>
    <cellStyle name="표준 12 2 7 3" xfId="37592"/>
    <cellStyle name="표준 12 2 7 4" xfId="37593"/>
    <cellStyle name="표준 12 2 8" xfId="37594"/>
    <cellStyle name="표준 12 2 8 2" xfId="37595"/>
    <cellStyle name="표준 12 2 8 3" xfId="37596"/>
    <cellStyle name="표준 12 2 9" xfId="37597"/>
    <cellStyle name="표준 12 3" xfId="37598"/>
    <cellStyle name="표준 12 3 10" xfId="37599"/>
    <cellStyle name="표준 12 3 11" xfId="37600"/>
    <cellStyle name="표준 12 3 2" xfId="37601"/>
    <cellStyle name="표준 12 3 2 2" xfId="37602"/>
    <cellStyle name="표준 12 3 2 2 2" xfId="37603"/>
    <cellStyle name="표준 12 3 2 2 2 2" xfId="37604"/>
    <cellStyle name="표준 12 3 2 2 2 2 2" xfId="37605"/>
    <cellStyle name="표준 12 3 2 2 2 2 3" xfId="37606"/>
    <cellStyle name="표준 12 3 2 2 2 3" xfId="37607"/>
    <cellStyle name="표준 12 3 2 2 2 4" xfId="37608"/>
    <cellStyle name="표준 12 3 2 2 3" xfId="37609"/>
    <cellStyle name="표준 12 3 2 2 3 2" xfId="37610"/>
    <cellStyle name="표준 12 3 2 2 3 3" xfId="37611"/>
    <cellStyle name="표준 12 3 2 2 4" xfId="37612"/>
    <cellStyle name="표준 12 3 2 2 5" xfId="37613"/>
    <cellStyle name="표준 12 3 2 3" xfId="37614"/>
    <cellStyle name="표준 12 3 2 3 2" xfId="37615"/>
    <cellStyle name="표준 12 3 2 3 2 2" xfId="37616"/>
    <cellStyle name="표준 12 3 2 3 2 2 2" xfId="37617"/>
    <cellStyle name="표준 12 3 2 3 2 2 3" xfId="37618"/>
    <cellStyle name="표준 12 3 2 3 2 3" xfId="37619"/>
    <cellStyle name="표준 12 3 2 3 2 4" xfId="37620"/>
    <cellStyle name="표준 12 3 2 3 3" xfId="37621"/>
    <cellStyle name="표준 12 3 2 3 3 2" xfId="37622"/>
    <cellStyle name="표준 12 3 2 3 3 3" xfId="37623"/>
    <cellStyle name="표준 12 3 2 3 4" xfId="37624"/>
    <cellStyle name="표준 12 3 2 3 5" xfId="37625"/>
    <cellStyle name="표준 12 3 2 4" xfId="37626"/>
    <cellStyle name="표준 12 3 2 4 2" xfId="37627"/>
    <cellStyle name="표준 12 3 2 4 2 2" xfId="37628"/>
    <cellStyle name="표준 12 3 2 4 2 3" xfId="37629"/>
    <cellStyle name="표준 12 3 2 4 3" xfId="37630"/>
    <cellStyle name="표준 12 3 2 4 4" xfId="37631"/>
    <cellStyle name="표준 12 3 2 5" xfId="37632"/>
    <cellStyle name="표준 12 3 2 5 2" xfId="37633"/>
    <cellStyle name="표준 12 3 2 5 3" xfId="37634"/>
    <cellStyle name="표준 12 3 2 6" xfId="37635"/>
    <cellStyle name="표준 12 3 2 7" xfId="37636"/>
    <cellStyle name="표준 12 3 3" xfId="37637"/>
    <cellStyle name="표준 12 3 3 2" xfId="37638"/>
    <cellStyle name="표준 12 3 3 2 2" xfId="37639"/>
    <cellStyle name="표준 12 3 3 2 2 2" xfId="37640"/>
    <cellStyle name="표준 12 3 3 2 2 2 2" xfId="37641"/>
    <cellStyle name="표준 12 3 3 2 2 2 3" xfId="37642"/>
    <cellStyle name="표준 12 3 3 2 2 3" xfId="37643"/>
    <cellStyle name="표준 12 3 3 2 2 4" xfId="37644"/>
    <cellStyle name="표준 12 3 3 2 3" xfId="37645"/>
    <cellStyle name="표준 12 3 3 2 3 2" xfId="37646"/>
    <cellStyle name="표준 12 3 3 2 3 3" xfId="37647"/>
    <cellStyle name="표준 12 3 3 2 4" xfId="37648"/>
    <cellStyle name="표준 12 3 3 2 5" xfId="37649"/>
    <cellStyle name="표준 12 3 3 3" xfId="37650"/>
    <cellStyle name="표준 12 3 3 3 2" xfId="37651"/>
    <cellStyle name="표준 12 3 3 3 2 2" xfId="37652"/>
    <cellStyle name="표준 12 3 3 3 2 2 2" xfId="37653"/>
    <cellStyle name="표준 12 3 3 3 2 2 3" xfId="37654"/>
    <cellStyle name="표준 12 3 3 3 2 3" xfId="37655"/>
    <cellStyle name="표준 12 3 3 3 2 4" xfId="37656"/>
    <cellStyle name="표준 12 3 3 3 3" xfId="37657"/>
    <cellStyle name="표준 12 3 3 3 3 2" xfId="37658"/>
    <cellStyle name="표준 12 3 3 3 3 3" xfId="37659"/>
    <cellStyle name="표준 12 3 3 3 4" xfId="37660"/>
    <cellStyle name="표준 12 3 3 3 5" xfId="37661"/>
    <cellStyle name="표준 12 3 3 4" xfId="37662"/>
    <cellStyle name="표준 12 3 3 4 2" xfId="37663"/>
    <cellStyle name="표준 12 3 3 4 2 2" xfId="37664"/>
    <cellStyle name="표준 12 3 3 4 2 3" xfId="37665"/>
    <cellStyle name="표준 12 3 3 4 3" xfId="37666"/>
    <cellStyle name="표준 12 3 3 4 4" xfId="37667"/>
    <cellStyle name="표준 12 3 3 5" xfId="37668"/>
    <cellStyle name="표준 12 3 3 5 2" xfId="37669"/>
    <cellStyle name="표준 12 3 3 5 3" xfId="37670"/>
    <cellStyle name="표준 12 3 3 6" xfId="37671"/>
    <cellStyle name="표준 12 3 3 7" xfId="37672"/>
    <cellStyle name="표준 12 3 4" xfId="37673"/>
    <cellStyle name="표준 12 3 4 2" xfId="37674"/>
    <cellStyle name="표준 12 3 4 2 2" xfId="37675"/>
    <cellStyle name="표준 12 3 4 2 2 2" xfId="37676"/>
    <cellStyle name="표준 12 3 4 2 2 3" xfId="37677"/>
    <cellStyle name="표준 12 3 4 2 3" xfId="37678"/>
    <cellStyle name="표준 12 3 4 2 4" xfId="37679"/>
    <cellStyle name="표준 12 3 4 3" xfId="37680"/>
    <cellStyle name="표준 12 3 4 3 2" xfId="37681"/>
    <cellStyle name="표준 12 3 4 3 3" xfId="37682"/>
    <cellStyle name="표준 12 3 4 4" xfId="37683"/>
    <cellStyle name="표준 12 3 4 5" xfId="37684"/>
    <cellStyle name="표준 12 3 5" xfId="37685"/>
    <cellStyle name="표준 12 3 5 2" xfId="37686"/>
    <cellStyle name="표준 12 3 5 2 2" xfId="37687"/>
    <cellStyle name="표준 12 3 5 2 2 2" xfId="37688"/>
    <cellStyle name="표준 12 3 5 2 2 3" xfId="37689"/>
    <cellStyle name="표준 12 3 5 2 3" xfId="37690"/>
    <cellStyle name="표준 12 3 5 2 4" xfId="37691"/>
    <cellStyle name="표준 12 3 5 3" xfId="37692"/>
    <cellStyle name="표준 12 3 5 3 2" xfId="37693"/>
    <cellStyle name="표준 12 3 5 3 3" xfId="37694"/>
    <cellStyle name="표준 12 3 5 4" xfId="37695"/>
    <cellStyle name="표준 12 3 5 5" xfId="37696"/>
    <cellStyle name="표준 12 3 6" xfId="37697"/>
    <cellStyle name="표준 12 3 6 2" xfId="37698"/>
    <cellStyle name="표준 12 3 6 2 2" xfId="37699"/>
    <cellStyle name="표준 12 3 6 2 2 2" xfId="37700"/>
    <cellStyle name="표준 12 3 6 2 2 3" xfId="37701"/>
    <cellStyle name="표준 12 3 6 2 3" xfId="37702"/>
    <cellStyle name="표준 12 3 6 2 4" xfId="37703"/>
    <cellStyle name="표준 12 3 6 3" xfId="37704"/>
    <cellStyle name="표준 12 3 6 3 2" xfId="37705"/>
    <cellStyle name="표준 12 3 6 3 3" xfId="37706"/>
    <cellStyle name="표준 12 3 6 4" xfId="37707"/>
    <cellStyle name="표준 12 3 6 5" xfId="37708"/>
    <cellStyle name="표준 12 3 7" xfId="37709"/>
    <cellStyle name="표준 12 3 7 2" xfId="37710"/>
    <cellStyle name="표준 12 3 7 2 2" xfId="37711"/>
    <cellStyle name="표준 12 3 7 2 3" xfId="37712"/>
    <cellStyle name="표준 12 3 7 3" xfId="37713"/>
    <cellStyle name="표준 12 3 7 4" xfId="37714"/>
    <cellStyle name="표준 12 3 8" xfId="37715"/>
    <cellStyle name="표준 12 3 8 2" xfId="37716"/>
    <cellStyle name="표준 12 3 8 3" xfId="37717"/>
    <cellStyle name="표준 12 3 9" xfId="37718"/>
    <cellStyle name="표준 12 4" xfId="37719"/>
    <cellStyle name="표준 12 4 10" xfId="37720"/>
    <cellStyle name="표준 12 4 11" xfId="37721"/>
    <cellStyle name="표준 12 4 2" xfId="37722"/>
    <cellStyle name="표준 12 4 2 2" xfId="37723"/>
    <cellStyle name="표준 12 4 2 2 2" xfId="37724"/>
    <cellStyle name="표준 12 4 2 2 2 2" xfId="37725"/>
    <cellStyle name="표준 12 4 2 2 2 2 2" xfId="37726"/>
    <cellStyle name="표준 12 4 2 2 2 2 3" xfId="37727"/>
    <cellStyle name="표준 12 4 2 2 2 3" xfId="37728"/>
    <cellStyle name="표준 12 4 2 2 2 4" xfId="37729"/>
    <cellStyle name="표준 12 4 2 2 3" xfId="37730"/>
    <cellStyle name="표준 12 4 2 2 3 2" xfId="37731"/>
    <cellStyle name="표준 12 4 2 2 3 3" xfId="37732"/>
    <cellStyle name="표준 12 4 2 2 4" xfId="37733"/>
    <cellStyle name="표준 12 4 2 2 5" xfId="37734"/>
    <cellStyle name="표준 12 4 2 3" xfId="37735"/>
    <cellStyle name="표준 12 4 2 3 2" xfId="37736"/>
    <cellStyle name="표준 12 4 2 3 2 2" xfId="37737"/>
    <cellStyle name="표준 12 4 2 3 2 2 2" xfId="37738"/>
    <cellStyle name="표준 12 4 2 3 2 2 3" xfId="37739"/>
    <cellStyle name="표준 12 4 2 3 2 3" xfId="37740"/>
    <cellStyle name="표준 12 4 2 3 2 4" xfId="37741"/>
    <cellStyle name="표준 12 4 2 3 3" xfId="37742"/>
    <cellStyle name="표준 12 4 2 3 3 2" xfId="37743"/>
    <cellStyle name="표준 12 4 2 3 3 3" xfId="37744"/>
    <cellStyle name="표준 12 4 2 3 4" xfId="37745"/>
    <cellStyle name="표준 12 4 2 3 5" xfId="37746"/>
    <cellStyle name="표준 12 4 2 4" xfId="37747"/>
    <cellStyle name="표준 12 4 2 4 2" xfId="37748"/>
    <cellStyle name="표준 12 4 2 4 2 2" xfId="37749"/>
    <cellStyle name="표준 12 4 2 4 2 3" xfId="37750"/>
    <cellStyle name="표준 12 4 2 4 3" xfId="37751"/>
    <cellStyle name="표준 12 4 2 4 4" xfId="37752"/>
    <cellStyle name="표준 12 4 2 5" xfId="37753"/>
    <cellStyle name="표준 12 4 2 5 2" xfId="37754"/>
    <cellStyle name="표준 12 4 2 5 3" xfId="37755"/>
    <cellStyle name="표준 12 4 2 6" xfId="37756"/>
    <cellStyle name="표준 12 4 2 7" xfId="37757"/>
    <cellStyle name="표준 12 4 3" xfId="37758"/>
    <cellStyle name="표준 12 4 3 2" xfId="37759"/>
    <cellStyle name="표준 12 4 3 2 2" xfId="37760"/>
    <cellStyle name="표준 12 4 3 2 2 2" xfId="37761"/>
    <cellStyle name="표준 12 4 3 2 2 2 2" xfId="37762"/>
    <cellStyle name="표준 12 4 3 2 2 2 3" xfId="37763"/>
    <cellStyle name="표준 12 4 3 2 2 3" xfId="37764"/>
    <cellStyle name="표준 12 4 3 2 2 4" xfId="37765"/>
    <cellStyle name="표준 12 4 3 2 3" xfId="37766"/>
    <cellStyle name="표준 12 4 3 2 3 2" xfId="37767"/>
    <cellStyle name="표준 12 4 3 2 3 3" xfId="37768"/>
    <cellStyle name="표준 12 4 3 2 4" xfId="37769"/>
    <cellStyle name="표준 12 4 3 2 5" xfId="37770"/>
    <cellStyle name="표준 12 4 3 3" xfId="37771"/>
    <cellStyle name="표준 12 4 3 3 2" xfId="37772"/>
    <cellStyle name="표준 12 4 3 3 2 2" xfId="37773"/>
    <cellStyle name="표준 12 4 3 3 2 2 2" xfId="37774"/>
    <cellStyle name="표준 12 4 3 3 2 2 3" xfId="37775"/>
    <cellStyle name="표준 12 4 3 3 2 3" xfId="37776"/>
    <cellStyle name="표준 12 4 3 3 2 4" xfId="37777"/>
    <cellStyle name="표준 12 4 3 3 3" xfId="37778"/>
    <cellStyle name="표준 12 4 3 3 3 2" xfId="37779"/>
    <cellStyle name="표준 12 4 3 3 3 3" xfId="37780"/>
    <cellStyle name="표준 12 4 3 3 4" xfId="37781"/>
    <cellStyle name="표준 12 4 3 3 5" xfId="37782"/>
    <cellStyle name="표준 12 4 3 4" xfId="37783"/>
    <cellStyle name="표준 12 4 3 4 2" xfId="37784"/>
    <cellStyle name="표준 12 4 3 4 2 2" xfId="37785"/>
    <cellStyle name="표준 12 4 3 4 2 3" xfId="37786"/>
    <cellStyle name="표준 12 4 3 4 3" xfId="37787"/>
    <cellStyle name="표준 12 4 3 4 4" xfId="37788"/>
    <cellStyle name="표준 12 4 3 5" xfId="37789"/>
    <cellStyle name="표준 12 4 3 5 2" xfId="37790"/>
    <cellStyle name="표준 12 4 3 5 3" xfId="37791"/>
    <cellStyle name="표준 12 4 3 6" xfId="37792"/>
    <cellStyle name="표준 12 4 3 7" xfId="37793"/>
    <cellStyle name="표준 12 4 4" xfId="37794"/>
    <cellStyle name="표준 12 4 4 2" xfId="37795"/>
    <cellStyle name="표준 12 4 4 2 2" xfId="37796"/>
    <cellStyle name="표준 12 4 4 2 2 2" xfId="37797"/>
    <cellStyle name="표준 12 4 4 2 2 3" xfId="37798"/>
    <cellStyle name="표준 12 4 4 2 3" xfId="37799"/>
    <cellStyle name="표준 12 4 4 2 4" xfId="37800"/>
    <cellStyle name="표준 12 4 4 3" xfId="37801"/>
    <cellStyle name="표준 12 4 4 3 2" xfId="37802"/>
    <cellStyle name="표준 12 4 4 3 3" xfId="37803"/>
    <cellStyle name="표준 12 4 4 4" xfId="37804"/>
    <cellStyle name="표준 12 4 4 5" xfId="37805"/>
    <cellStyle name="표준 12 4 5" xfId="37806"/>
    <cellStyle name="표준 12 4 5 2" xfId="37807"/>
    <cellStyle name="표준 12 4 5 2 2" xfId="37808"/>
    <cellStyle name="표준 12 4 5 2 2 2" xfId="37809"/>
    <cellStyle name="표준 12 4 5 2 2 3" xfId="37810"/>
    <cellStyle name="표준 12 4 5 2 3" xfId="37811"/>
    <cellStyle name="표준 12 4 5 2 4" xfId="37812"/>
    <cellStyle name="표준 12 4 5 3" xfId="37813"/>
    <cellStyle name="표준 12 4 5 3 2" xfId="37814"/>
    <cellStyle name="표준 12 4 5 3 3" xfId="37815"/>
    <cellStyle name="표준 12 4 5 4" xfId="37816"/>
    <cellStyle name="표준 12 4 5 5" xfId="37817"/>
    <cellStyle name="표준 12 4 6" xfId="37818"/>
    <cellStyle name="표준 12 4 6 2" xfId="37819"/>
    <cellStyle name="표준 12 4 6 2 2" xfId="37820"/>
    <cellStyle name="표준 12 4 6 2 2 2" xfId="37821"/>
    <cellStyle name="표준 12 4 6 2 2 3" xfId="37822"/>
    <cellStyle name="표준 12 4 6 2 3" xfId="37823"/>
    <cellStyle name="표준 12 4 6 2 4" xfId="37824"/>
    <cellStyle name="표준 12 4 6 3" xfId="37825"/>
    <cellStyle name="표준 12 4 6 3 2" xfId="37826"/>
    <cellStyle name="표준 12 4 6 3 3" xfId="37827"/>
    <cellStyle name="표준 12 4 6 4" xfId="37828"/>
    <cellStyle name="표준 12 4 6 5" xfId="37829"/>
    <cellStyle name="표준 12 4 7" xfId="37830"/>
    <cellStyle name="표준 12 4 7 2" xfId="37831"/>
    <cellStyle name="표준 12 4 7 2 2" xfId="37832"/>
    <cellStyle name="표준 12 4 7 2 3" xfId="37833"/>
    <cellStyle name="표준 12 4 7 3" xfId="37834"/>
    <cellStyle name="표준 12 4 7 4" xfId="37835"/>
    <cellStyle name="표준 12 4 8" xfId="37836"/>
    <cellStyle name="표준 12 4 8 2" xfId="37837"/>
    <cellStyle name="표준 12 4 8 3" xfId="37838"/>
    <cellStyle name="표준 12 4 9" xfId="37839"/>
    <cellStyle name="표준 12 5" xfId="37840"/>
    <cellStyle name="표준 12 5 2" xfId="37841"/>
    <cellStyle name="표준 12 5 2 2" xfId="37842"/>
    <cellStyle name="표준 12 5 2 2 2" xfId="37843"/>
    <cellStyle name="표준 12 5 2 2 2 2" xfId="37844"/>
    <cellStyle name="표준 12 5 2 2 2 3" xfId="37845"/>
    <cellStyle name="표준 12 5 2 2 3" xfId="37846"/>
    <cellStyle name="표준 12 5 2 2 4" xfId="37847"/>
    <cellStyle name="표준 12 5 2 3" xfId="37848"/>
    <cellStyle name="표준 12 5 2 3 2" xfId="37849"/>
    <cellStyle name="표준 12 5 2 3 3" xfId="37850"/>
    <cellStyle name="표준 12 5 2 4" xfId="37851"/>
    <cellStyle name="표준 12 5 2 5" xfId="37852"/>
    <cellStyle name="표준 12 5 3" xfId="37853"/>
    <cellStyle name="표준 12 5 3 2" xfId="37854"/>
    <cellStyle name="표준 12 5 3 2 2" xfId="37855"/>
    <cellStyle name="표준 12 5 3 2 2 2" xfId="37856"/>
    <cellStyle name="표준 12 5 3 2 2 3" xfId="37857"/>
    <cellStyle name="표준 12 5 3 2 3" xfId="37858"/>
    <cellStyle name="표준 12 5 3 2 4" xfId="37859"/>
    <cellStyle name="표준 12 5 3 3" xfId="37860"/>
    <cellStyle name="표준 12 5 3 3 2" xfId="37861"/>
    <cellStyle name="표준 12 5 3 3 3" xfId="37862"/>
    <cellStyle name="표준 12 5 3 4" xfId="37863"/>
    <cellStyle name="표준 12 5 3 5" xfId="37864"/>
    <cellStyle name="표준 12 5 4" xfId="37865"/>
    <cellStyle name="표준 12 5 4 2" xfId="37866"/>
    <cellStyle name="표준 12 5 4 2 2" xfId="37867"/>
    <cellStyle name="표준 12 5 4 2 3" xfId="37868"/>
    <cellStyle name="표준 12 5 4 3" xfId="37869"/>
    <cellStyle name="표준 12 5 4 4" xfId="37870"/>
    <cellStyle name="표준 12 5 5" xfId="37871"/>
    <cellStyle name="표준 12 5 5 2" xfId="37872"/>
    <cellStyle name="표준 12 5 5 3" xfId="37873"/>
    <cellStyle name="표준 12 5 6" xfId="37874"/>
    <cellStyle name="표준 12 5 7" xfId="37875"/>
    <cellStyle name="표준 12 5 8" xfId="37876"/>
    <cellStyle name="표준 12 6" xfId="37877"/>
    <cellStyle name="표준 12 6 2" xfId="37878"/>
    <cellStyle name="표준 12 6 2 2" xfId="37879"/>
    <cellStyle name="표준 12 6 2 2 2" xfId="37880"/>
    <cellStyle name="표준 12 6 2 2 2 2" xfId="37881"/>
    <cellStyle name="표준 12 6 2 2 2 3" xfId="37882"/>
    <cellStyle name="표준 12 6 2 2 3" xfId="37883"/>
    <cellStyle name="표준 12 6 2 2 4" xfId="37884"/>
    <cellStyle name="표준 12 6 2 3" xfId="37885"/>
    <cellStyle name="표준 12 6 2 3 2" xfId="37886"/>
    <cellStyle name="표준 12 6 2 3 3" xfId="37887"/>
    <cellStyle name="표준 12 6 2 4" xfId="37888"/>
    <cellStyle name="표준 12 6 2 5" xfId="37889"/>
    <cellStyle name="표준 12 6 3" xfId="37890"/>
    <cellStyle name="표준 12 6 3 2" xfId="37891"/>
    <cellStyle name="표준 12 6 3 2 2" xfId="37892"/>
    <cellStyle name="표준 12 6 3 2 2 2" xfId="37893"/>
    <cellStyle name="표준 12 6 3 2 2 3" xfId="37894"/>
    <cellStyle name="표준 12 6 3 2 3" xfId="37895"/>
    <cellStyle name="표준 12 6 3 2 4" xfId="37896"/>
    <cellStyle name="표준 12 6 3 3" xfId="37897"/>
    <cellStyle name="표준 12 6 3 3 2" xfId="37898"/>
    <cellStyle name="표준 12 6 3 3 3" xfId="37899"/>
    <cellStyle name="표준 12 6 3 4" xfId="37900"/>
    <cellStyle name="표준 12 6 3 5" xfId="37901"/>
    <cellStyle name="표준 12 6 4" xfId="37902"/>
    <cellStyle name="표준 12 6 4 2" xfId="37903"/>
    <cellStyle name="표준 12 6 4 2 2" xfId="37904"/>
    <cellStyle name="표준 12 6 4 2 3" xfId="37905"/>
    <cellStyle name="표준 12 6 4 3" xfId="37906"/>
    <cellStyle name="표준 12 6 4 4" xfId="37907"/>
    <cellStyle name="표준 12 6 5" xfId="37908"/>
    <cellStyle name="표준 12 6 5 2" xfId="37909"/>
    <cellStyle name="표준 12 6 5 3" xfId="37910"/>
    <cellStyle name="표준 12 6 6" xfId="37911"/>
    <cellStyle name="표준 12 6 7" xfId="37912"/>
    <cellStyle name="표준 12 6 8" xfId="37913"/>
    <cellStyle name="표준 12 7" xfId="37914"/>
    <cellStyle name="표준 12 7 2" xfId="37915"/>
    <cellStyle name="표준 12 7 2 2" xfId="37916"/>
    <cellStyle name="표준 12 7 2 2 2" xfId="37917"/>
    <cellStyle name="표준 12 7 2 2 3" xfId="37918"/>
    <cellStyle name="표준 12 7 2 3" xfId="37919"/>
    <cellStyle name="표준 12 7 2 4" xfId="37920"/>
    <cellStyle name="표준 12 7 3" xfId="37921"/>
    <cellStyle name="표준 12 7 3 2" xfId="37922"/>
    <cellStyle name="표준 12 7 3 3" xfId="37923"/>
    <cellStyle name="표준 12 7 4" xfId="37924"/>
    <cellStyle name="표준 12 7 5" xfId="37925"/>
    <cellStyle name="표준 12 7 6" xfId="37926"/>
    <cellStyle name="표준 12 8" xfId="37927"/>
    <cellStyle name="표준 12 8 2" xfId="37928"/>
    <cellStyle name="표준 12 8 2 2" xfId="37929"/>
    <cellStyle name="표준 12 8 2 2 2" xfId="37930"/>
    <cellStyle name="표준 12 8 2 2 3" xfId="37931"/>
    <cellStyle name="표준 12 8 2 3" xfId="37932"/>
    <cellStyle name="표준 12 8 2 4" xfId="37933"/>
    <cellStyle name="표준 12 8 3" xfId="37934"/>
    <cellStyle name="표준 12 8 3 2" xfId="37935"/>
    <cellStyle name="표준 12 8 3 3" xfId="37936"/>
    <cellStyle name="표준 12 8 4" xfId="37937"/>
    <cellStyle name="표준 12 8 5" xfId="37938"/>
    <cellStyle name="표준 12 9" xfId="37939"/>
    <cellStyle name="표준 12 9 2" xfId="37940"/>
    <cellStyle name="표준 12 9 2 2" xfId="37941"/>
    <cellStyle name="표준 12 9 2 2 2" xfId="37942"/>
    <cellStyle name="표준 12 9 2 2 3" xfId="37943"/>
    <cellStyle name="표준 12 9 2 3" xfId="37944"/>
    <cellStyle name="표준 12 9 2 4" xfId="37945"/>
    <cellStyle name="표준 12 9 3" xfId="37946"/>
    <cellStyle name="표준 12 9 3 2" xfId="37947"/>
    <cellStyle name="표준 12 9 3 3" xfId="37948"/>
    <cellStyle name="표준 12 9 4" xfId="37949"/>
    <cellStyle name="표준 12 9 5" xfId="37950"/>
    <cellStyle name="표준 120" xfId="37951"/>
    <cellStyle name="표준 121" xfId="37952"/>
    <cellStyle name="표준 122" xfId="37953"/>
    <cellStyle name="표준 123" xfId="37954"/>
    <cellStyle name="표준 124" xfId="37955"/>
    <cellStyle name="표준 125" xfId="37956"/>
    <cellStyle name="표준 126" xfId="37957"/>
    <cellStyle name="표준 127" xfId="37958"/>
    <cellStyle name="표준 128" xfId="37959"/>
    <cellStyle name="표준 129" xfId="37960"/>
    <cellStyle name="표준 13" xfId="37961"/>
    <cellStyle name="표준 13 2" xfId="37962"/>
    <cellStyle name="표준 13 2 2" xfId="37963"/>
    <cellStyle name="표준 13 2 2 2" xfId="37964"/>
    <cellStyle name="표준 13 2 2 2 2" xfId="37965"/>
    <cellStyle name="표준 13 2 2 2 3" xfId="37966"/>
    <cellStyle name="표준 13 2 2 3" xfId="37967"/>
    <cellStyle name="표준 13 2 2 4" xfId="37968"/>
    <cellStyle name="표준 13 2 3" xfId="37969"/>
    <cellStyle name="표준 13 2 3 2" xfId="37970"/>
    <cellStyle name="표준 13 2 3 3" xfId="37971"/>
    <cellStyle name="표준 13 2 4" xfId="37972"/>
    <cellStyle name="표준 13 2 5" xfId="37973"/>
    <cellStyle name="표준 13 3" xfId="37974"/>
    <cellStyle name="표준 13 3 2" xfId="37975"/>
    <cellStyle name="표준 13 3 2 2" xfId="37976"/>
    <cellStyle name="표준 13 3 2 2 2" xfId="37977"/>
    <cellStyle name="표준 13 3 2 2 3" xfId="37978"/>
    <cellStyle name="표준 13 3 2 3" xfId="37979"/>
    <cellStyle name="표준 13 3 2 4" xfId="37980"/>
    <cellStyle name="표준 13 3 3" xfId="37981"/>
    <cellStyle name="표준 13 3 3 2" xfId="37982"/>
    <cellStyle name="표준 13 3 3 3" xfId="37983"/>
    <cellStyle name="표준 13 3 4" xfId="37984"/>
    <cellStyle name="표준 13 3 5" xfId="37985"/>
    <cellStyle name="표준 13 4" xfId="37986"/>
    <cellStyle name="표준 13 4 2" xfId="37987"/>
    <cellStyle name="표준 13 4 2 2" xfId="37988"/>
    <cellStyle name="표준 13 4 2 3" xfId="37989"/>
    <cellStyle name="표준 13 4 3" xfId="37990"/>
    <cellStyle name="표준 13 4 4" xfId="37991"/>
    <cellStyle name="표준 13 5" xfId="37992"/>
    <cellStyle name="표준 13 5 2" xfId="37993"/>
    <cellStyle name="표준 13 5 3" xfId="37994"/>
    <cellStyle name="표준 13 6" xfId="37995"/>
    <cellStyle name="표준 13 7" xfId="37996"/>
    <cellStyle name="표준 13 8" xfId="37997"/>
    <cellStyle name="표준 130" xfId="37998"/>
    <cellStyle name="표준 131" xfId="37999"/>
    <cellStyle name="표준 132" xfId="38000"/>
    <cellStyle name="표준 133" xfId="38001"/>
    <cellStyle name="표준 134" xfId="38002"/>
    <cellStyle name="표준 135" xfId="38003"/>
    <cellStyle name="표준 136" xfId="38004"/>
    <cellStyle name="표준 137" xfId="38005"/>
    <cellStyle name="표준 138" xfId="38006"/>
    <cellStyle name="표준 139" xfId="38007"/>
    <cellStyle name="표준 14" xfId="38008"/>
    <cellStyle name="표준 14 2" xfId="38009"/>
    <cellStyle name="표준 14 2 2" xfId="38010"/>
    <cellStyle name="표준 14 2 3" xfId="38011"/>
    <cellStyle name="표준 14 3" xfId="38012"/>
    <cellStyle name="표준 14 4" xfId="38013"/>
    <cellStyle name="표준 14 5" xfId="38014"/>
    <cellStyle name="표준 140" xfId="38015"/>
    <cellStyle name="표준 141" xfId="38016"/>
    <cellStyle name="표준 142" xfId="38017"/>
    <cellStyle name="표준 143" xfId="38018"/>
    <cellStyle name="표준 144" xfId="38019"/>
    <cellStyle name="표준 15" xfId="38020"/>
    <cellStyle name="표준 15 10" xfId="38021"/>
    <cellStyle name="표준 15 11" xfId="38022"/>
    <cellStyle name="표준 15 12" xfId="38023"/>
    <cellStyle name="표준 15 13" xfId="38024"/>
    <cellStyle name="표준 15 14" xfId="38025"/>
    <cellStyle name="표준 15 15" xfId="38026"/>
    <cellStyle name="표준 15 16" xfId="38027"/>
    <cellStyle name="표준 15 17" xfId="38028"/>
    <cellStyle name="표준 15 18" xfId="38029"/>
    <cellStyle name="표준 15 19" xfId="38030"/>
    <cellStyle name="표준 15 2" xfId="38031"/>
    <cellStyle name="표준 15 20" xfId="38032"/>
    <cellStyle name="표준 15 21" xfId="38033"/>
    <cellStyle name="표준 15 22" xfId="38034"/>
    <cellStyle name="표준 15 23" xfId="38035"/>
    <cellStyle name="표준 15 24" xfId="38036"/>
    <cellStyle name="표준 15 25" xfId="38037"/>
    <cellStyle name="표준 15 26" xfId="38038"/>
    <cellStyle name="표준 15 27" xfId="38039"/>
    <cellStyle name="표준 15 28" xfId="38040"/>
    <cellStyle name="표준 15 29" xfId="38041"/>
    <cellStyle name="표준 15 3" xfId="38042"/>
    <cellStyle name="표준 15 30" xfId="38043"/>
    <cellStyle name="표준 15 31" xfId="38044"/>
    <cellStyle name="표준 15 32" xfId="38045"/>
    <cellStyle name="표준 15 33" xfId="38046"/>
    <cellStyle name="표준 15 34" xfId="38047"/>
    <cellStyle name="표준 15 35" xfId="38048"/>
    <cellStyle name="표준 15 36" xfId="38049"/>
    <cellStyle name="표준 15 37" xfId="38050"/>
    <cellStyle name="표준 15 38" xfId="38051"/>
    <cellStyle name="표준 15 39" xfId="38052"/>
    <cellStyle name="표준 15 4" xfId="38053"/>
    <cellStyle name="표준 15 40" xfId="38054"/>
    <cellStyle name="표준 15 5" xfId="38055"/>
    <cellStyle name="표준 15 6" xfId="38056"/>
    <cellStyle name="표준 15 7" xfId="38057"/>
    <cellStyle name="표준 15 8" xfId="38058"/>
    <cellStyle name="표준 15 9" xfId="38059"/>
    <cellStyle name="표준 152" xfId="38060"/>
    <cellStyle name="표준 153" xfId="38061"/>
    <cellStyle name="표준 16" xfId="38062"/>
    <cellStyle name="표준 16 2" xfId="38063"/>
    <cellStyle name="표준 16 3" xfId="38064"/>
    <cellStyle name="표준 17" xfId="38065"/>
    <cellStyle name="표준 17 2" xfId="38066"/>
    <cellStyle name="표준 17 3" xfId="38067"/>
    <cellStyle name="표준 17 4" xfId="38068"/>
    <cellStyle name="표준 18" xfId="38069"/>
    <cellStyle name="표준 18 2" xfId="38070"/>
    <cellStyle name="표준 18 3" xfId="38071"/>
    <cellStyle name="표준 19" xfId="38072"/>
    <cellStyle name="표준 19 2" xfId="38073"/>
    <cellStyle name="표준 19 3" xfId="38074"/>
    <cellStyle name="표준 2" xfId="38075"/>
    <cellStyle name="표준 2 10" xfId="38076"/>
    <cellStyle name="표준 2 10 2" xfId="38077"/>
    <cellStyle name="표준 2 10 3" xfId="38078"/>
    <cellStyle name="표준 2 11" xfId="38079"/>
    <cellStyle name="표준 2 11 2" xfId="38080"/>
    <cellStyle name="표준 2 11 3" xfId="38081"/>
    <cellStyle name="표준 2 12" xfId="38082"/>
    <cellStyle name="표준 2 12 2" xfId="38083"/>
    <cellStyle name="표준 2 13" xfId="38084"/>
    <cellStyle name="표준 2 13 2" xfId="38085"/>
    <cellStyle name="표준 2 14" xfId="38086"/>
    <cellStyle name="표준 2 14 2" xfId="38087"/>
    <cellStyle name="표준 2 15" xfId="38088"/>
    <cellStyle name="표준 2 15 2" xfId="38089"/>
    <cellStyle name="표준 2 16" xfId="38090"/>
    <cellStyle name="표준 2 16 2" xfId="38091"/>
    <cellStyle name="표준 2 17" xfId="38092"/>
    <cellStyle name="표준 2 17 2" xfId="38093"/>
    <cellStyle name="표준 2 18" xfId="38094"/>
    <cellStyle name="표준 2 18 2" xfId="38095"/>
    <cellStyle name="표준 2 19" xfId="38096"/>
    <cellStyle name="표준 2 19 2" xfId="38097"/>
    <cellStyle name="표준 2 2" xfId="38098"/>
    <cellStyle name="표준 2 2 10" xfId="38099"/>
    <cellStyle name="표준 2 2 10 2" xfId="38100"/>
    <cellStyle name="표준 2 2 11" xfId="38101"/>
    <cellStyle name="표준 2 2 11 2" xfId="38102"/>
    <cellStyle name="표준 2 2 12" xfId="38103"/>
    <cellStyle name="표준 2 2 12 2" xfId="38104"/>
    <cellStyle name="표준 2 2 13" xfId="38105"/>
    <cellStyle name="표준 2 2 14" xfId="38106"/>
    <cellStyle name="표준 2 2 15" xfId="38107"/>
    <cellStyle name="표준 2 2 16" xfId="38108"/>
    <cellStyle name="표준 2 2 17" xfId="38109"/>
    <cellStyle name="표준 2 2 18" xfId="38110"/>
    <cellStyle name="표준 2 2 19" xfId="38111"/>
    <cellStyle name="표준 2 2 2" xfId="38112"/>
    <cellStyle name="표준 2 2 2 2" xfId="38113"/>
    <cellStyle name="표준 2 2 2 2 2" xfId="38114"/>
    <cellStyle name="표준 2 2 2 2 2 2" xfId="38115"/>
    <cellStyle name="표준 2 2 2 2 2 2 2" xfId="38116"/>
    <cellStyle name="표준 2 2 2 2 2 2 2 2" xfId="38117"/>
    <cellStyle name="표준 2 2 2 2 2 2 3" xfId="38118"/>
    <cellStyle name="표준 2 2 2 2 2 2 3 2" xfId="38119"/>
    <cellStyle name="표준 2 2 2 2 2 2 4" xfId="38120"/>
    <cellStyle name="표준 2 2 2 2 2 2 4 2" xfId="38121"/>
    <cellStyle name="표준 2 2 2 2 2 2 5" xfId="38122"/>
    <cellStyle name="표준 2 2 2 2 2 3" xfId="38123"/>
    <cellStyle name="표준 2 2 2 2 2 3 2" xfId="38124"/>
    <cellStyle name="표준 2 2 2 2 2 4" xfId="38125"/>
    <cellStyle name="표준 2 2 2 2 3" xfId="38126"/>
    <cellStyle name="표준 2 2 2 2 3 2" xfId="38127"/>
    <cellStyle name="표준 2 2 2 2 4" xfId="38128"/>
    <cellStyle name="표준 2 2 2 2 4 2" xfId="38129"/>
    <cellStyle name="표준 2 2 2 2 5" xfId="38130"/>
    <cellStyle name="표준 2 2 2 2 5 2" xfId="38131"/>
    <cellStyle name="표준 2 2 2 2 6" xfId="38132"/>
    <cellStyle name="표준 2 2 2 2 7" xfId="38133"/>
    <cellStyle name="표준 2 2 2 3" xfId="38134"/>
    <cellStyle name="표준 2 2 2 3 2" xfId="38135"/>
    <cellStyle name="표준 2 2 2 4" xfId="38136"/>
    <cellStyle name="표준 2 2 2 4 2" xfId="38137"/>
    <cellStyle name="표준 2 2 2 4 2 2" xfId="38138"/>
    <cellStyle name="표준 2 2 2 4 3" xfId="38139"/>
    <cellStyle name="표준 2 2 2 4 3 2" xfId="38140"/>
    <cellStyle name="표준 2 2 2 4 4" xfId="38141"/>
    <cellStyle name="표준 2 2 2 4 4 2" xfId="38142"/>
    <cellStyle name="표준 2 2 2 4 5" xfId="38143"/>
    <cellStyle name="표준 2 2 2 5" xfId="38144"/>
    <cellStyle name="표준 2 2 2 5 2" xfId="38145"/>
    <cellStyle name="표준 2 2 2 6" xfId="38146"/>
    <cellStyle name="표준 2 2 2 6 2" xfId="38147"/>
    <cellStyle name="표준 2 2 2 7" xfId="38148"/>
    <cellStyle name="표준 2 2 2 8" xfId="38149"/>
    <cellStyle name="표준 2 2 2 9" xfId="38150"/>
    <cellStyle name="표준 2 2 20" xfId="38151"/>
    <cellStyle name="표준 2 2 21" xfId="38152"/>
    <cellStyle name="표준 2 2 22" xfId="38153"/>
    <cellStyle name="표준 2 2 23" xfId="38154"/>
    <cellStyle name="표준 2 2 24" xfId="38155"/>
    <cellStyle name="표준 2 2 25" xfId="38156"/>
    <cellStyle name="표준 2 2 26" xfId="38157"/>
    <cellStyle name="표준 2 2 27" xfId="38158"/>
    <cellStyle name="표준 2 2 28" xfId="38159"/>
    <cellStyle name="표준 2 2 29" xfId="38160"/>
    <cellStyle name="표준 2 2 3" xfId="38161"/>
    <cellStyle name="표준 2 2 3 2" xfId="38162"/>
    <cellStyle name="표준 2 2 30" xfId="38163"/>
    <cellStyle name="표준 2 2 31" xfId="38164"/>
    <cellStyle name="표준 2 2 32" xfId="38165"/>
    <cellStyle name="표준 2 2 33" xfId="38166"/>
    <cellStyle name="표준 2 2 34" xfId="38167"/>
    <cellStyle name="표준 2 2 35" xfId="38168"/>
    <cellStyle name="표준 2 2 36" xfId="38169"/>
    <cellStyle name="표준 2 2 37" xfId="38170"/>
    <cellStyle name="표준 2 2 38" xfId="38171"/>
    <cellStyle name="표준 2 2 39" xfId="38172"/>
    <cellStyle name="표준 2 2 4" xfId="38173"/>
    <cellStyle name="표준 2 2 4 2" xfId="38174"/>
    <cellStyle name="표준 2 2 40" xfId="38175"/>
    <cellStyle name="표준 2 2 41" xfId="38176"/>
    <cellStyle name="표준 2 2 42" xfId="38177"/>
    <cellStyle name="표준 2 2 5" xfId="38178"/>
    <cellStyle name="표준 2 2 5 2" xfId="38179"/>
    <cellStyle name="표준 2 2 6" xfId="38180"/>
    <cellStyle name="표준 2 2 6 2" xfId="38181"/>
    <cellStyle name="표준 2 2 7" xfId="38182"/>
    <cellStyle name="표준 2 2 7 2" xfId="38183"/>
    <cellStyle name="표준 2 2 8" xfId="38184"/>
    <cellStyle name="표준 2 2 8 2" xfId="38185"/>
    <cellStyle name="표준 2 2 8 2 2" xfId="38186"/>
    <cellStyle name="표준 2 2 8 2 2 2" xfId="38187"/>
    <cellStyle name="표준 2 2 8 2 2 2 2" xfId="38188"/>
    <cellStyle name="표준 2 2 8 2 2 3" xfId="38189"/>
    <cellStyle name="표준 2 2 8 2 2 3 2" xfId="38190"/>
    <cellStyle name="표준 2 2 8 2 2 4" xfId="38191"/>
    <cellStyle name="표준 2 2 8 2 2 4 2" xfId="38192"/>
    <cellStyle name="표준 2 2 8 2 2 5" xfId="38193"/>
    <cellStyle name="표준 2 2 8 2 3" xfId="38194"/>
    <cellStyle name="표준 2 2 8 2 3 2" xfId="38195"/>
    <cellStyle name="표준 2 2 8 2 4" xfId="38196"/>
    <cellStyle name="표준 2 2 8 3" xfId="38197"/>
    <cellStyle name="표준 2 2 8 3 2" xfId="38198"/>
    <cellStyle name="표준 2 2 8 4" xfId="38199"/>
    <cellStyle name="표준 2 2 8 4 2" xfId="38200"/>
    <cellStyle name="표준 2 2 8 5" xfId="38201"/>
    <cellStyle name="표준 2 2 9" xfId="38202"/>
    <cellStyle name="표준 2 2 9 2" xfId="38203"/>
    <cellStyle name="표준 2 2 9 2 2" xfId="38204"/>
    <cellStyle name="표준 2 2 9 3" xfId="38205"/>
    <cellStyle name="표준 2 2 9 3 2" xfId="38206"/>
    <cellStyle name="표준 2 2 9 4" xfId="38207"/>
    <cellStyle name="표준 2 2 9 4 2" xfId="38208"/>
    <cellStyle name="표준 2 2 9 5" xfId="38209"/>
    <cellStyle name="표준 2 20" xfId="38210"/>
    <cellStyle name="표준 2 20 2" xfId="38211"/>
    <cellStyle name="표준 2 21" xfId="38212"/>
    <cellStyle name="표준 2 21 2" xfId="38213"/>
    <cellStyle name="표준 2 22" xfId="38214"/>
    <cellStyle name="표준 2 23" xfId="38215"/>
    <cellStyle name="표준 2 24" xfId="38216"/>
    <cellStyle name="표준 2 25" xfId="38217"/>
    <cellStyle name="표준 2 26" xfId="38218"/>
    <cellStyle name="표준 2 27" xfId="38219"/>
    <cellStyle name="표준 2 28" xfId="38220"/>
    <cellStyle name="표준 2 29" xfId="38221"/>
    <cellStyle name="표준 2 3" xfId="38222"/>
    <cellStyle name="표준 2 3 2" xfId="38223"/>
    <cellStyle name="표준 2 3 2 2" xfId="38224"/>
    <cellStyle name="표준 2 3 2 2 2" xfId="38225"/>
    <cellStyle name="표준 2 3 2 2 2 2" xfId="38226"/>
    <cellStyle name="표준 2 3 2 2 2 2 2" xfId="38227"/>
    <cellStyle name="표준 2 3 2 2 2 3" xfId="38228"/>
    <cellStyle name="표준 2 3 2 2 2 3 2" xfId="38229"/>
    <cellStyle name="표준 2 3 2 2 2 4" xfId="38230"/>
    <cellStyle name="표준 2 3 2 2 2 4 2" xfId="38231"/>
    <cellStyle name="표준 2 3 2 2 2 5" xfId="38232"/>
    <cellStyle name="표준 2 3 2 2 3" xfId="38233"/>
    <cellStyle name="표준 2 3 2 2 3 2" xfId="38234"/>
    <cellStyle name="표준 2 3 2 2 4" xfId="38235"/>
    <cellStyle name="표준 2 3 2 3" xfId="38236"/>
    <cellStyle name="표준 2 3 2 3 2" xfId="38237"/>
    <cellStyle name="표준 2 3 2 4" xfId="38238"/>
    <cellStyle name="표준 2 3 2 4 2" xfId="38239"/>
    <cellStyle name="표준 2 3 2 5" xfId="38240"/>
    <cellStyle name="표준 2 3 2 5 2" xfId="38241"/>
    <cellStyle name="표준 2 3 2 6" xfId="38242"/>
    <cellStyle name="표준 2 3 3" xfId="38243"/>
    <cellStyle name="표준 2 3 3 2" xfId="38244"/>
    <cellStyle name="표준 2 3 4" xfId="38245"/>
    <cellStyle name="표준 2 3 4 2" xfId="38246"/>
    <cellStyle name="표준 2 3 4 2 2" xfId="38247"/>
    <cellStyle name="표준 2 3 4 3" xfId="38248"/>
    <cellStyle name="표준 2 3 4 3 2" xfId="38249"/>
    <cellStyle name="표준 2 3 4 4" xfId="38250"/>
    <cellStyle name="표준 2 3 4 4 2" xfId="38251"/>
    <cellStyle name="표준 2 3 4 5" xfId="38252"/>
    <cellStyle name="표준 2 3 5" xfId="38253"/>
    <cellStyle name="표준 2 3 5 2" xfId="38254"/>
    <cellStyle name="표준 2 3 6" xfId="38255"/>
    <cellStyle name="표준 2 3 6 2" xfId="38256"/>
    <cellStyle name="표준 2 3 7" xfId="38257"/>
    <cellStyle name="표준 2 3 8" xfId="38258"/>
    <cellStyle name="표준 2 3 9" xfId="38259"/>
    <cellStyle name="표준 2 30" xfId="38260"/>
    <cellStyle name="표준 2 31" xfId="38261"/>
    <cellStyle name="표준 2 32" xfId="38262"/>
    <cellStyle name="표준 2 33" xfId="38263"/>
    <cellStyle name="표준 2 34" xfId="38264"/>
    <cellStyle name="표준 2 35" xfId="38265"/>
    <cellStyle name="표준 2 36" xfId="38266"/>
    <cellStyle name="표준 2 37" xfId="38267"/>
    <cellStyle name="표준 2 38" xfId="38268"/>
    <cellStyle name="표준 2 39" xfId="38269"/>
    <cellStyle name="표준 2 4" xfId="38270"/>
    <cellStyle name="표준 2 4 2 2" xfId="38271"/>
    <cellStyle name="표준 2 4 2 3" xfId="38272"/>
    <cellStyle name="표준 2 4 3" xfId="38273"/>
    <cellStyle name="표준 2 4 4" xfId="38274"/>
    <cellStyle name="표준 2 4 5" xfId="38275"/>
    <cellStyle name="표준 2 40" xfId="38276"/>
    <cellStyle name="표준 2 41" xfId="38277"/>
    <cellStyle name="표준 2 42" xfId="38278"/>
    <cellStyle name="표준 2 43" xfId="38279"/>
    <cellStyle name="표준 2 44" xfId="38280"/>
    <cellStyle name="표준 2 45" xfId="38281"/>
    <cellStyle name="표준 2 46" xfId="38282"/>
    <cellStyle name="표준 2 47" xfId="38283"/>
    <cellStyle name="표준 2 5" xfId="38284"/>
    <cellStyle name="표준 2 5 2" xfId="38285"/>
    <cellStyle name="표준 2 5 2 2" xfId="38286"/>
    <cellStyle name="표준 2 5 2 3" xfId="38287"/>
    <cellStyle name="표준 2 5 3" xfId="38288"/>
    <cellStyle name="표준 2 5 4" xfId="38289"/>
    <cellStyle name="표준 2 5 5" xfId="38290"/>
    <cellStyle name="표준 2 6" xfId="38291"/>
    <cellStyle name="표준 2 6 2" xfId="38292"/>
    <cellStyle name="표준 2 6 2 2" xfId="38293"/>
    <cellStyle name="표준 2 6 3" xfId="38294"/>
    <cellStyle name="표준 2 6 4" xfId="38295"/>
    <cellStyle name="표준 2 7" xfId="38296"/>
    <cellStyle name="표준 2 7 2" xfId="38297"/>
    <cellStyle name="표준 2 7 3" xfId="38298"/>
    <cellStyle name="표준 2 8" xfId="38299"/>
    <cellStyle name="표준 2 8 2" xfId="38300"/>
    <cellStyle name="표준 2 8 2 2" xfId="38301"/>
    <cellStyle name="표준 2 8 2 2 2" xfId="38302"/>
    <cellStyle name="표준 2 8 2 2 2 2" xfId="38303"/>
    <cellStyle name="표준 2 8 2 2 3" xfId="38304"/>
    <cellStyle name="표준 2 8 2 2 3 2" xfId="38305"/>
    <cellStyle name="표준 2 8 2 2 4" xfId="38306"/>
    <cellStyle name="표준 2 8 2 2 4 2" xfId="38307"/>
    <cellStyle name="표준 2 8 2 2 5" xfId="38308"/>
    <cellStyle name="표준 2 8 2 3" xfId="38309"/>
    <cellStyle name="표준 2 8 2 3 2" xfId="38310"/>
    <cellStyle name="표준 2 8 2 4" xfId="38311"/>
    <cellStyle name="표준 2 8 3" xfId="38312"/>
    <cellStyle name="표준 2 8 3 2" xfId="38313"/>
    <cellStyle name="표준 2 8 4" xfId="38314"/>
    <cellStyle name="표준 2 8 4 2" xfId="38315"/>
    <cellStyle name="표준 2 8 5" xfId="38316"/>
    <cellStyle name="표준 2 8 6" xfId="38317"/>
    <cellStyle name="표준 2 9" xfId="38318"/>
    <cellStyle name="표준 2 9 2" xfId="38319"/>
    <cellStyle name="표준 2 9 2 2" xfId="38320"/>
    <cellStyle name="표준 2 9 3" xfId="38321"/>
    <cellStyle name="표준 2 9 3 2" xfId="38322"/>
    <cellStyle name="표준 2 9 4" xfId="38323"/>
    <cellStyle name="표준 2 9 4 2" xfId="38324"/>
    <cellStyle name="표준 2 9 5" xfId="38325"/>
    <cellStyle name="표준 2 9 6" xfId="38326"/>
    <cellStyle name="표준 2_(파워시스템)품질운영_조직인력(110221)_rev1_8845" xfId="38327"/>
    <cellStyle name="표준 20" xfId="38328"/>
    <cellStyle name="표준 20 2" xfId="38329"/>
    <cellStyle name="표준 20 3" xfId="38330"/>
    <cellStyle name="표준 21" xfId="38331"/>
    <cellStyle name="표준 21 2" xfId="38332"/>
    <cellStyle name="표준 21 3" xfId="38333"/>
    <cellStyle name="표준 22" xfId="38334"/>
    <cellStyle name="표준 22 2" xfId="38335"/>
    <cellStyle name="표준 22 3" xfId="38336"/>
    <cellStyle name="표준 23" xfId="38337"/>
    <cellStyle name="표준 23 2" xfId="38338"/>
    <cellStyle name="표준 23 3" xfId="38339"/>
    <cellStyle name="표준 24" xfId="38340"/>
    <cellStyle name="표준 24 2" xfId="38341"/>
    <cellStyle name="표준 24 3" xfId="38342"/>
    <cellStyle name="표준 25" xfId="38343"/>
    <cellStyle name="표준 25 2" xfId="38344"/>
    <cellStyle name="표준 25 2 2" xfId="38345"/>
    <cellStyle name="표준 25 3" xfId="38346"/>
    <cellStyle name="표준 26" xfId="38347"/>
    <cellStyle name="표준 26 2" xfId="38348"/>
    <cellStyle name="표준 26 3" xfId="38349"/>
    <cellStyle name="표준 27" xfId="38350"/>
    <cellStyle name="표준 27 2" xfId="38351"/>
    <cellStyle name="표준 28" xfId="38352"/>
    <cellStyle name="표준 28 2" xfId="38353"/>
    <cellStyle name="표준 29" xfId="38354"/>
    <cellStyle name="표준 29 2" xfId="38355"/>
    <cellStyle name="표준 3" xfId="38356"/>
    <cellStyle name="표준 3 10" xfId="38357"/>
    <cellStyle name="표준 3 10 2" xfId="38358"/>
    <cellStyle name="표준 3 10 2 2" xfId="38359"/>
    <cellStyle name="표준 3 10 2 2 2" xfId="38360"/>
    <cellStyle name="표준 3 10 2 2 2 2" xfId="38361"/>
    <cellStyle name="표준 3 10 2 2 2 3" xfId="38362"/>
    <cellStyle name="표준 3 10 2 2 3" xfId="38363"/>
    <cellStyle name="표준 3 10 2 2 4" xfId="38364"/>
    <cellStyle name="표준 3 10 2 3" xfId="38365"/>
    <cellStyle name="표준 3 10 2 3 2" xfId="38366"/>
    <cellStyle name="표준 3 10 2 3 3" xfId="38367"/>
    <cellStyle name="표준 3 10 2 4" xfId="38368"/>
    <cellStyle name="표준 3 10 2 5" xfId="38369"/>
    <cellStyle name="표준 3 10 3" xfId="38370"/>
    <cellStyle name="표준 3 10 3 2" xfId="38371"/>
    <cellStyle name="표준 3 10 3 2 2" xfId="38372"/>
    <cellStyle name="표준 3 10 3 2 2 2" xfId="38373"/>
    <cellStyle name="표준 3 10 3 2 2 3" xfId="38374"/>
    <cellStyle name="표준 3 10 3 2 3" xfId="38375"/>
    <cellStyle name="표준 3 10 3 2 4" xfId="38376"/>
    <cellStyle name="표준 3 10 3 3" xfId="38377"/>
    <cellStyle name="표준 3 10 3 3 2" xfId="38378"/>
    <cellStyle name="표준 3 10 3 3 3" xfId="38379"/>
    <cellStyle name="표준 3 10 3 4" xfId="38380"/>
    <cellStyle name="표준 3 10 3 5" xfId="38381"/>
    <cellStyle name="표준 3 10 4" xfId="38382"/>
    <cellStyle name="표준 3 10 4 2" xfId="38383"/>
    <cellStyle name="표준 3 10 4 2 2" xfId="38384"/>
    <cellStyle name="표준 3 10 4 2 3" xfId="38385"/>
    <cellStyle name="표준 3 10 4 3" xfId="38386"/>
    <cellStyle name="표준 3 10 4 4" xfId="38387"/>
    <cellStyle name="표준 3 10 5" xfId="38388"/>
    <cellStyle name="표준 3 10 5 2" xfId="38389"/>
    <cellStyle name="표준 3 10 5 3" xfId="38390"/>
    <cellStyle name="표준 3 10 6" xfId="38391"/>
    <cellStyle name="표준 3 10 7" xfId="38392"/>
    <cellStyle name="표준 3 10 8" xfId="38393"/>
    <cellStyle name="표준 3 11" xfId="38394"/>
    <cellStyle name="표준 3 11 2" xfId="38395"/>
    <cellStyle name="표준 3 11 2 2" xfId="38396"/>
    <cellStyle name="표준 3 11 2 2 2" xfId="38397"/>
    <cellStyle name="표준 3 11 2 2 2 2" xfId="38398"/>
    <cellStyle name="표준 3 11 2 2 2 3" xfId="38399"/>
    <cellStyle name="표준 3 11 2 2 3" xfId="38400"/>
    <cellStyle name="표준 3 11 2 2 4" xfId="38401"/>
    <cellStyle name="표준 3 11 2 3" xfId="38402"/>
    <cellStyle name="표준 3 11 2 3 2" xfId="38403"/>
    <cellStyle name="표준 3 11 2 3 3" xfId="38404"/>
    <cellStyle name="표준 3 11 2 4" xfId="38405"/>
    <cellStyle name="표준 3 11 2 5" xfId="38406"/>
    <cellStyle name="표준 3 11 3" xfId="38407"/>
    <cellStyle name="표준 3 11 3 2" xfId="38408"/>
    <cellStyle name="표준 3 11 3 2 2" xfId="38409"/>
    <cellStyle name="표준 3 11 3 2 2 2" xfId="38410"/>
    <cellStyle name="표준 3 11 3 2 2 3" xfId="38411"/>
    <cellStyle name="표준 3 11 3 2 3" xfId="38412"/>
    <cellStyle name="표준 3 11 3 2 4" xfId="38413"/>
    <cellStyle name="표준 3 11 3 3" xfId="38414"/>
    <cellStyle name="표준 3 11 3 3 2" xfId="38415"/>
    <cellStyle name="표준 3 11 3 3 3" xfId="38416"/>
    <cellStyle name="표준 3 11 3 4" xfId="38417"/>
    <cellStyle name="표준 3 11 3 5" xfId="38418"/>
    <cellStyle name="표준 3 11 4" xfId="38419"/>
    <cellStyle name="표준 3 11 4 2" xfId="38420"/>
    <cellStyle name="표준 3 11 4 2 2" xfId="38421"/>
    <cellStyle name="표준 3 11 4 2 3" xfId="38422"/>
    <cellStyle name="표준 3 11 4 3" xfId="38423"/>
    <cellStyle name="표준 3 11 4 4" xfId="38424"/>
    <cellStyle name="표준 3 11 5" xfId="38425"/>
    <cellStyle name="표준 3 11 5 2" xfId="38426"/>
    <cellStyle name="표준 3 11 5 3" xfId="38427"/>
    <cellStyle name="표준 3 11 6" xfId="38428"/>
    <cellStyle name="표준 3 11 7" xfId="38429"/>
    <cellStyle name="표준 3 12" xfId="38430"/>
    <cellStyle name="표준 3 12 2" xfId="38431"/>
    <cellStyle name="표준 3 12 2 2" xfId="38432"/>
    <cellStyle name="표준 3 12 2 2 2" xfId="38433"/>
    <cellStyle name="표준 3 12 2 2 3" xfId="38434"/>
    <cellStyle name="표준 3 12 2 3" xfId="38435"/>
    <cellStyle name="표준 3 12 2 4" xfId="38436"/>
    <cellStyle name="표준 3 12 3" xfId="38437"/>
    <cellStyle name="표준 3 12 3 2" xfId="38438"/>
    <cellStyle name="표준 3 12 3 3" xfId="38439"/>
    <cellStyle name="표준 3 12 4" xfId="38440"/>
    <cellStyle name="표준 3 12 5" xfId="38441"/>
    <cellStyle name="표준 3 13" xfId="38442"/>
    <cellStyle name="표준 3 13 2" xfId="38443"/>
    <cellStyle name="표준 3 13 2 2" xfId="38444"/>
    <cellStyle name="표준 3 13 2 2 2" xfId="38445"/>
    <cellStyle name="표준 3 13 2 2 3" xfId="38446"/>
    <cellStyle name="표준 3 13 2 3" xfId="38447"/>
    <cellStyle name="표준 3 13 2 4" xfId="38448"/>
    <cellStyle name="표준 3 13 3" xfId="38449"/>
    <cellStyle name="표준 3 13 3 2" xfId="38450"/>
    <cellStyle name="표준 3 13 3 3" xfId="38451"/>
    <cellStyle name="표준 3 13 4" xfId="38452"/>
    <cellStyle name="표준 3 13 5" xfId="38453"/>
    <cellStyle name="표준 3 14" xfId="38454"/>
    <cellStyle name="표준 3 14 2" xfId="38455"/>
    <cellStyle name="표준 3 14 2 2" xfId="38456"/>
    <cellStyle name="표준 3 14 2 2 2" xfId="38457"/>
    <cellStyle name="표준 3 14 2 2 3" xfId="38458"/>
    <cellStyle name="표준 3 14 2 3" xfId="38459"/>
    <cellStyle name="표준 3 14 2 4" xfId="38460"/>
    <cellStyle name="표준 3 14 3" xfId="38461"/>
    <cellStyle name="표준 3 14 3 2" xfId="38462"/>
    <cellStyle name="표준 3 14 3 3" xfId="38463"/>
    <cellStyle name="표준 3 14 4" xfId="38464"/>
    <cellStyle name="표준 3 14 5" xfId="38465"/>
    <cellStyle name="표준 3 15" xfId="38466"/>
    <cellStyle name="표준 3 15 2" xfId="38467"/>
    <cellStyle name="표준 3 15 2 2" xfId="38468"/>
    <cellStyle name="표준 3 15 2 3" xfId="38469"/>
    <cellStyle name="표준 3 15 3" xfId="38470"/>
    <cellStyle name="표준 3 15 4" xfId="38471"/>
    <cellStyle name="표준 3 16" xfId="38472"/>
    <cellStyle name="표준 3 16 2" xfId="38473"/>
    <cellStyle name="표준 3 16 3" xfId="38474"/>
    <cellStyle name="표준 3 17" xfId="38475"/>
    <cellStyle name="표준 3 17 2" xfId="38476"/>
    <cellStyle name="표준 3 17 3" xfId="38477"/>
    <cellStyle name="표준 3 18" xfId="38478"/>
    <cellStyle name="표준 3 18 2" xfId="38479"/>
    <cellStyle name="표준 3 18 3" xfId="38480"/>
    <cellStyle name="표준 3 19" xfId="38481"/>
    <cellStyle name="표준 3 2" xfId="38482"/>
    <cellStyle name="표준 3 2 2" xfId="38483"/>
    <cellStyle name="표준 3 2 2 2" xfId="38484"/>
    <cellStyle name="표준 3 2 2 3" xfId="38485"/>
    <cellStyle name="표준 3 2 3" xfId="38486"/>
    <cellStyle name="표준 3 2 4" xfId="38487"/>
    <cellStyle name="표준 3 20" xfId="38488"/>
    <cellStyle name="표준 3 21" xfId="38489"/>
    <cellStyle name="표준 3 22" xfId="38490"/>
    <cellStyle name="표준 3 23" xfId="38491"/>
    <cellStyle name="표준 3 3" xfId="38492"/>
    <cellStyle name="표준 3 3 10" xfId="38493"/>
    <cellStyle name="표준 3 3 10 2" xfId="38494"/>
    <cellStyle name="표준 3 3 10 2 2" xfId="38495"/>
    <cellStyle name="표준 3 3 10 2 2 2" xfId="38496"/>
    <cellStyle name="표준 3 3 10 2 2 3" xfId="38497"/>
    <cellStyle name="표준 3 3 10 2 3" xfId="38498"/>
    <cellStyle name="표준 3 3 10 2 4" xfId="38499"/>
    <cellStyle name="표준 3 3 10 3" xfId="38500"/>
    <cellStyle name="표준 3 3 10 3 2" xfId="38501"/>
    <cellStyle name="표준 3 3 10 3 3" xfId="38502"/>
    <cellStyle name="표준 3 3 10 4" xfId="38503"/>
    <cellStyle name="표준 3 3 10 5" xfId="38504"/>
    <cellStyle name="표준 3 3 11" xfId="38505"/>
    <cellStyle name="표준 3 3 11 2" xfId="38506"/>
    <cellStyle name="표준 3 3 11 2 2" xfId="38507"/>
    <cellStyle name="표준 3 3 11 2 3" xfId="38508"/>
    <cellStyle name="표준 3 3 11 3" xfId="38509"/>
    <cellStyle name="표준 3 3 11 4" xfId="38510"/>
    <cellStyle name="표준 3 3 12" xfId="38511"/>
    <cellStyle name="표준 3 3 12 2" xfId="38512"/>
    <cellStyle name="표준 3 3 12 3" xfId="38513"/>
    <cellStyle name="표준 3 3 13" xfId="38514"/>
    <cellStyle name="표준 3 3 14" xfId="38515"/>
    <cellStyle name="표준 3 3 15" xfId="38516"/>
    <cellStyle name="표준 3 3 16" xfId="38517"/>
    <cellStyle name="표준 3 3 2" xfId="38518"/>
    <cellStyle name="표준 3 3 2 10" xfId="38519"/>
    <cellStyle name="표준 3 3 2 10 2" xfId="38520"/>
    <cellStyle name="표준 3 3 2 10 2 2" xfId="38521"/>
    <cellStyle name="표준 3 3 2 10 2 3" xfId="38522"/>
    <cellStyle name="표준 3 3 2 10 3" xfId="38523"/>
    <cellStyle name="표준 3 3 2 10 4" xfId="38524"/>
    <cellStyle name="표준 3 3 2 11" xfId="38525"/>
    <cellStyle name="표준 3 3 2 11 2" xfId="38526"/>
    <cellStyle name="표준 3 3 2 11 3" xfId="38527"/>
    <cellStyle name="표준 3 3 2 12" xfId="38528"/>
    <cellStyle name="표준 3 3 2 13" xfId="38529"/>
    <cellStyle name="표준 3 3 2 14" xfId="38530"/>
    <cellStyle name="표준 3 3 2 15" xfId="38531"/>
    <cellStyle name="표준 3 3 2 2" xfId="38532"/>
    <cellStyle name="표준 3 3 2 2 10" xfId="38533"/>
    <cellStyle name="표준 3 3 2 2 2" xfId="38534"/>
    <cellStyle name="표준 3 3 2 2 2 2" xfId="38535"/>
    <cellStyle name="표준 3 3 2 2 2 2 2" xfId="38536"/>
    <cellStyle name="표준 3 3 2 2 2 2 2 2" xfId="38537"/>
    <cellStyle name="표준 3 3 2 2 2 2 2 2 2" xfId="38538"/>
    <cellStyle name="표준 3 3 2 2 2 2 2 2 3" xfId="38539"/>
    <cellStyle name="표준 3 3 2 2 2 2 2 3" xfId="38540"/>
    <cellStyle name="표준 3 3 2 2 2 2 2 4" xfId="38541"/>
    <cellStyle name="표준 3 3 2 2 2 2 3" xfId="38542"/>
    <cellStyle name="표준 3 3 2 2 2 2 3 2" xfId="38543"/>
    <cellStyle name="표준 3 3 2 2 2 2 3 3" xfId="38544"/>
    <cellStyle name="표준 3 3 2 2 2 2 4" xfId="38545"/>
    <cellStyle name="표준 3 3 2 2 2 2 5" xfId="38546"/>
    <cellStyle name="표준 3 3 2 2 2 3" xfId="38547"/>
    <cellStyle name="표준 3 3 2 2 2 3 2" xfId="38548"/>
    <cellStyle name="표준 3 3 2 2 2 3 2 2" xfId="38549"/>
    <cellStyle name="표준 3 3 2 2 2 3 2 2 2" xfId="38550"/>
    <cellStyle name="표준 3 3 2 2 2 3 2 2 3" xfId="38551"/>
    <cellStyle name="표준 3 3 2 2 2 3 2 3" xfId="38552"/>
    <cellStyle name="표준 3 3 2 2 2 3 2 4" xfId="38553"/>
    <cellStyle name="표준 3 3 2 2 2 3 3" xfId="38554"/>
    <cellStyle name="표준 3 3 2 2 2 3 3 2" xfId="38555"/>
    <cellStyle name="표준 3 3 2 2 2 3 3 3" xfId="38556"/>
    <cellStyle name="표준 3 3 2 2 2 3 4" xfId="38557"/>
    <cellStyle name="표준 3 3 2 2 2 3 5" xfId="38558"/>
    <cellStyle name="표준 3 3 2 2 2 4" xfId="38559"/>
    <cellStyle name="표준 3 3 2 2 2 4 2" xfId="38560"/>
    <cellStyle name="표준 3 3 2 2 2 4 2 2" xfId="38561"/>
    <cellStyle name="표준 3 3 2 2 2 4 2 3" xfId="38562"/>
    <cellStyle name="표준 3 3 2 2 2 4 3" xfId="38563"/>
    <cellStyle name="표준 3 3 2 2 2 4 4" xfId="38564"/>
    <cellStyle name="표준 3 3 2 2 2 5" xfId="38565"/>
    <cellStyle name="표준 3 3 2 2 2 5 2" xfId="38566"/>
    <cellStyle name="표준 3 3 2 2 2 5 3" xfId="38567"/>
    <cellStyle name="표준 3 3 2 2 2 6" xfId="38568"/>
    <cellStyle name="표준 3 3 2 2 2 7" xfId="38569"/>
    <cellStyle name="표준 3 3 2 2 3" xfId="38570"/>
    <cellStyle name="표준 3 3 2 2 3 2" xfId="38571"/>
    <cellStyle name="표준 3 3 2 2 3 2 2" xfId="38572"/>
    <cellStyle name="표준 3 3 2 2 3 2 2 2" xfId="38573"/>
    <cellStyle name="표준 3 3 2 2 3 2 2 2 2" xfId="38574"/>
    <cellStyle name="표준 3 3 2 2 3 2 2 2 3" xfId="38575"/>
    <cellStyle name="표준 3 3 2 2 3 2 2 3" xfId="38576"/>
    <cellStyle name="표준 3 3 2 2 3 2 2 4" xfId="38577"/>
    <cellStyle name="표준 3 3 2 2 3 2 3" xfId="38578"/>
    <cellStyle name="표준 3 3 2 2 3 2 3 2" xfId="38579"/>
    <cellStyle name="표준 3 3 2 2 3 2 3 3" xfId="38580"/>
    <cellStyle name="표준 3 3 2 2 3 2 4" xfId="38581"/>
    <cellStyle name="표준 3 3 2 2 3 2 5" xfId="38582"/>
    <cellStyle name="표준 3 3 2 2 3 3" xfId="38583"/>
    <cellStyle name="표준 3 3 2 2 3 3 2" xfId="38584"/>
    <cellStyle name="표준 3 3 2 2 3 3 2 2" xfId="38585"/>
    <cellStyle name="표준 3 3 2 2 3 3 2 2 2" xfId="38586"/>
    <cellStyle name="표준 3 3 2 2 3 3 2 2 3" xfId="38587"/>
    <cellStyle name="표준 3 3 2 2 3 3 2 3" xfId="38588"/>
    <cellStyle name="표준 3 3 2 2 3 3 2 4" xfId="38589"/>
    <cellStyle name="표준 3 3 2 2 3 3 3" xfId="38590"/>
    <cellStyle name="표준 3 3 2 2 3 3 3 2" xfId="38591"/>
    <cellStyle name="표준 3 3 2 2 3 3 3 3" xfId="38592"/>
    <cellStyle name="표준 3 3 2 2 3 3 4" xfId="38593"/>
    <cellStyle name="표준 3 3 2 2 3 3 5" xfId="38594"/>
    <cellStyle name="표준 3 3 2 2 3 4" xfId="38595"/>
    <cellStyle name="표준 3 3 2 2 3 4 2" xfId="38596"/>
    <cellStyle name="표준 3 3 2 2 3 4 2 2" xfId="38597"/>
    <cellStyle name="표준 3 3 2 2 3 4 2 3" xfId="38598"/>
    <cellStyle name="표준 3 3 2 2 3 4 3" xfId="38599"/>
    <cellStyle name="표준 3 3 2 2 3 4 4" xfId="38600"/>
    <cellStyle name="표준 3 3 2 2 3 5" xfId="38601"/>
    <cellStyle name="표준 3 3 2 2 3 5 2" xfId="38602"/>
    <cellStyle name="표준 3 3 2 2 3 5 3" xfId="38603"/>
    <cellStyle name="표준 3 3 2 2 3 6" xfId="38604"/>
    <cellStyle name="표준 3 3 2 2 3 7" xfId="38605"/>
    <cellStyle name="표준 3 3 2 2 4" xfId="38606"/>
    <cellStyle name="표준 3 3 2 2 4 2" xfId="38607"/>
    <cellStyle name="표준 3 3 2 2 4 2 2" xfId="38608"/>
    <cellStyle name="표준 3 3 2 2 4 2 2 2" xfId="38609"/>
    <cellStyle name="표준 3 3 2 2 4 2 2 3" xfId="38610"/>
    <cellStyle name="표준 3 3 2 2 4 2 3" xfId="38611"/>
    <cellStyle name="표준 3 3 2 2 4 2 4" xfId="38612"/>
    <cellStyle name="표준 3 3 2 2 4 3" xfId="38613"/>
    <cellStyle name="표준 3 3 2 2 4 3 2" xfId="38614"/>
    <cellStyle name="표준 3 3 2 2 4 3 3" xfId="38615"/>
    <cellStyle name="표준 3 3 2 2 4 4" xfId="38616"/>
    <cellStyle name="표준 3 3 2 2 4 5" xfId="38617"/>
    <cellStyle name="표준 3 3 2 2 5" xfId="38618"/>
    <cellStyle name="표준 3 3 2 2 5 2" xfId="38619"/>
    <cellStyle name="표준 3 3 2 2 5 2 2" xfId="38620"/>
    <cellStyle name="표준 3 3 2 2 5 2 2 2" xfId="38621"/>
    <cellStyle name="표준 3 3 2 2 5 2 2 3" xfId="38622"/>
    <cellStyle name="표준 3 3 2 2 5 2 3" xfId="38623"/>
    <cellStyle name="표준 3 3 2 2 5 2 4" xfId="38624"/>
    <cellStyle name="표준 3 3 2 2 5 3" xfId="38625"/>
    <cellStyle name="표준 3 3 2 2 5 3 2" xfId="38626"/>
    <cellStyle name="표준 3 3 2 2 5 3 3" xfId="38627"/>
    <cellStyle name="표준 3 3 2 2 5 4" xfId="38628"/>
    <cellStyle name="표준 3 3 2 2 5 5" xfId="38629"/>
    <cellStyle name="표준 3 3 2 2 6" xfId="38630"/>
    <cellStyle name="표준 3 3 2 2 6 2" xfId="38631"/>
    <cellStyle name="표준 3 3 2 2 6 2 2" xfId="38632"/>
    <cellStyle name="표준 3 3 2 2 6 2 2 2" xfId="38633"/>
    <cellStyle name="표준 3 3 2 2 6 2 2 3" xfId="38634"/>
    <cellStyle name="표준 3 3 2 2 6 2 3" xfId="38635"/>
    <cellStyle name="표준 3 3 2 2 6 2 4" xfId="38636"/>
    <cellStyle name="표준 3 3 2 2 6 3" xfId="38637"/>
    <cellStyle name="표준 3 3 2 2 6 3 2" xfId="38638"/>
    <cellStyle name="표준 3 3 2 2 6 3 3" xfId="38639"/>
    <cellStyle name="표준 3 3 2 2 6 4" xfId="38640"/>
    <cellStyle name="표준 3 3 2 2 6 5" xfId="38641"/>
    <cellStyle name="표준 3 3 2 2 7" xfId="38642"/>
    <cellStyle name="표준 3 3 2 2 7 2" xfId="38643"/>
    <cellStyle name="표준 3 3 2 2 7 2 2" xfId="38644"/>
    <cellStyle name="표준 3 3 2 2 7 2 3" xfId="38645"/>
    <cellStyle name="표준 3 3 2 2 7 3" xfId="38646"/>
    <cellStyle name="표준 3 3 2 2 7 4" xfId="38647"/>
    <cellStyle name="표준 3 3 2 2 8" xfId="38648"/>
    <cellStyle name="표준 3 3 2 2 8 2" xfId="38649"/>
    <cellStyle name="표준 3 3 2 2 8 3" xfId="38650"/>
    <cellStyle name="표준 3 3 2 2 9" xfId="38651"/>
    <cellStyle name="표준 3 3 2 3" xfId="38652"/>
    <cellStyle name="표준 3 3 2 3 10" xfId="38653"/>
    <cellStyle name="표준 3 3 2 3 2" xfId="38654"/>
    <cellStyle name="표준 3 3 2 3 2 2" xfId="38655"/>
    <cellStyle name="표준 3 3 2 3 2 2 2" xfId="38656"/>
    <cellStyle name="표준 3 3 2 3 2 2 2 2" xfId="38657"/>
    <cellStyle name="표준 3 3 2 3 2 2 2 2 2" xfId="38658"/>
    <cellStyle name="표준 3 3 2 3 2 2 2 2 3" xfId="38659"/>
    <cellStyle name="표준 3 3 2 3 2 2 2 3" xfId="38660"/>
    <cellStyle name="표준 3 3 2 3 2 2 2 4" xfId="38661"/>
    <cellStyle name="표준 3 3 2 3 2 2 3" xfId="38662"/>
    <cellStyle name="표준 3 3 2 3 2 2 3 2" xfId="38663"/>
    <cellStyle name="표준 3 3 2 3 2 2 3 3" xfId="38664"/>
    <cellStyle name="표준 3 3 2 3 2 2 4" xfId="38665"/>
    <cellStyle name="표준 3 3 2 3 2 2 5" xfId="38666"/>
    <cellStyle name="표준 3 3 2 3 2 3" xfId="38667"/>
    <cellStyle name="표준 3 3 2 3 2 3 2" xfId="38668"/>
    <cellStyle name="표준 3 3 2 3 2 3 2 2" xfId="38669"/>
    <cellStyle name="표준 3 3 2 3 2 3 2 2 2" xfId="38670"/>
    <cellStyle name="표준 3 3 2 3 2 3 2 2 3" xfId="38671"/>
    <cellStyle name="표준 3 3 2 3 2 3 2 3" xfId="38672"/>
    <cellStyle name="표준 3 3 2 3 2 3 2 4" xfId="38673"/>
    <cellStyle name="표준 3 3 2 3 2 3 3" xfId="38674"/>
    <cellStyle name="표준 3 3 2 3 2 3 3 2" xfId="38675"/>
    <cellStyle name="표준 3 3 2 3 2 3 3 3" xfId="38676"/>
    <cellStyle name="표준 3 3 2 3 2 3 4" xfId="38677"/>
    <cellStyle name="표준 3 3 2 3 2 3 5" xfId="38678"/>
    <cellStyle name="표준 3 3 2 3 2 4" xfId="38679"/>
    <cellStyle name="표준 3 3 2 3 2 4 2" xfId="38680"/>
    <cellStyle name="표준 3 3 2 3 2 4 2 2" xfId="38681"/>
    <cellStyle name="표준 3 3 2 3 2 4 2 3" xfId="38682"/>
    <cellStyle name="표준 3 3 2 3 2 4 3" xfId="38683"/>
    <cellStyle name="표준 3 3 2 3 2 4 4" xfId="38684"/>
    <cellStyle name="표준 3 3 2 3 2 5" xfId="38685"/>
    <cellStyle name="표준 3 3 2 3 2 5 2" xfId="38686"/>
    <cellStyle name="표준 3 3 2 3 2 5 3" xfId="38687"/>
    <cellStyle name="표준 3 3 2 3 2 6" xfId="38688"/>
    <cellStyle name="표준 3 3 2 3 2 7" xfId="38689"/>
    <cellStyle name="표준 3 3 2 3 3" xfId="38690"/>
    <cellStyle name="표준 3 3 2 3 3 2" xfId="38691"/>
    <cellStyle name="표준 3 3 2 3 3 2 2" xfId="38692"/>
    <cellStyle name="표준 3 3 2 3 3 2 2 2" xfId="38693"/>
    <cellStyle name="표준 3 3 2 3 3 2 2 2 2" xfId="38694"/>
    <cellStyle name="표준 3 3 2 3 3 2 2 2 3" xfId="38695"/>
    <cellStyle name="표준 3 3 2 3 3 2 2 3" xfId="38696"/>
    <cellStyle name="표준 3 3 2 3 3 2 2 4" xfId="38697"/>
    <cellStyle name="표준 3 3 2 3 3 2 3" xfId="38698"/>
    <cellStyle name="표준 3 3 2 3 3 2 3 2" xfId="38699"/>
    <cellStyle name="표준 3 3 2 3 3 2 3 3" xfId="38700"/>
    <cellStyle name="표준 3 3 2 3 3 2 4" xfId="38701"/>
    <cellStyle name="표준 3 3 2 3 3 2 5" xfId="38702"/>
    <cellStyle name="표준 3 3 2 3 3 3" xfId="38703"/>
    <cellStyle name="표준 3 3 2 3 3 3 2" xfId="38704"/>
    <cellStyle name="표준 3 3 2 3 3 3 2 2" xfId="38705"/>
    <cellStyle name="표준 3 3 2 3 3 3 2 2 2" xfId="38706"/>
    <cellStyle name="표준 3 3 2 3 3 3 2 2 3" xfId="38707"/>
    <cellStyle name="표준 3 3 2 3 3 3 2 3" xfId="38708"/>
    <cellStyle name="표준 3 3 2 3 3 3 2 4" xfId="38709"/>
    <cellStyle name="표준 3 3 2 3 3 3 3" xfId="38710"/>
    <cellStyle name="표준 3 3 2 3 3 3 3 2" xfId="38711"/>
    <cellStyle name="표준 3 3 2 3 3 3 3 3" xfId="38712"/>
    <cellStyle name="표준 3 3 2 3 3 3 4" xfId="38713"/>
    <cellStyle name="표준 3 3 2 3 3 3 5" xfId="38714"/>
    <cellStyle name="표준 3 3 2 3 3 4" xfId="38715"/>
    <cellStyle name="표준 3 3 2 3 3 4 2" xfId="38716"/>
    <cellStyle name="표준 3 3 2 3 3 4 2 2" xfId="38717"/>
    <cellStyle name="표준 3 3 2 3 3 4 2 3" xfId="38718"/>
    <cellStyle name="표준 3 3 2 3 3 4 3" xfId="38719"/>
    <cellStyle name="표준 3 3 2 3 3 4 4" xfId="38720"/>
    <cellStyle name="표준 3 3 2 3 3 5" xfId="38721"/>
    <cellStyle name="표준 3 3 2 3 3 5 2" xfId="38722"/>
    <cellStyle name="표준 3 3 2 3 3 5 3" xfId="38723"/>
    <cellStyle name="표준 3 3 2 3 3 6" xfId="38724"/>
    <cellStyle name="표준 3 3 2 3 3 7" xfId="38725"/>
    <cellStyle name="표준 3 3 2 3 4" xfId="38726"/>
    <cellStyle name="표준 3 3 2 3 4 2" xfId="38727"/>
    <cellStyle name="표준 3 3 2 3 4 2 2" xfId="38728"/>
    <cellStyle name="표준 3 3 2 3 4 2 2 2" xfId="38729"/>
    <cellStyle name="표준 3 3 2 3 4 2 2 3" xfId="38730"/>
    <cellStyle name="표준 3 3 2 3 4 2 3" xfId="38731"/>
    <cellStyle name="표준 3 3 2 3 4 2 4" xfId="38732"/>
    <cellStyle name="표준 3 3 2 3 4 3" xfId="38733"/>
    <cellStyle name="표준 3 3 2 3 4 3 2" xfId="38734"/>
    <cellStyle name="표준 3 3 2 3 4 3 3" xfId="38735"/>
    <cellStyle name="표준 3 3 2 3 4 4" xfId="38736"/>
    <cellStyle name="표준 3 3 2 3 4 5" xfId="38737"/>
    <cellStyle name="표준 3 3 2 3 5" xfId="38738"/>
    <cellStyle name="표준 3 3 2 3 5 2" xfId="38739"/>
    <cellStyle name="표준 3 3 2 3 5 2 2" xfId="38740"/>
    <cellStyle name="표준 3 3 2 3 5 2 2 2" xfId="38741"/>
    <cellStyle name="표준 3 3 2 3 5 2 2 3" xfId="38742"/>
    <cellStyle name="표준 3 3 2 3 5 2 3" xfId="38743"/>
    <cellStyle name="표준 3 3 2 3 5 2 4" xfId="38744"/>
    <cellStyle name="표준 3 3 2 3 5 3" xfId="38745"/>
    <cellStyle name="표준 3 3 2 3 5 3 2" xfId="38746"/>
    <cellStyle name="표준 3 3 2 3 5 3 3" xfId="38747"/>
    <cellStyle name="표준 3 3 2 3 5 4" xfId="38748"/>
    <cellStyle name="표준 3 3 2 3 5 5" xfId="38749"/>
    <cellStyle name="표준 3 3 2 3 6" xfId="38750"/>
    <cellStyle name="표준 3 3 2 3 6 2" xfId="38751"/>
    <cellStyle name="표준 3 3 2 3 6 2 2" xfId="38752"/>
    <cellStyle name="표준 3 3 2 3 6 2 2 2" xfId="38753"/>
    <cellStyle name="표준 3 3 2 3 6 2 2 3" xfId="38754"/>
    <cellStyle name="표준 3 3 2 3 6 2 3" xfId="38755"/>
    <cellStyle name="표준 3 3 2 3 6 2 4" xfId="38756"/>
    <cellStyle name="표준 3 3 2 3 6 3" xfId="38757"/>
    <cellStyle name="표준 3 3 2 3 6 3 2" xfId="38758"/>
    <cellStyle name="표준 3 3 2 3 6 3 3" xfId="38759"/>
    <cellStyle name="표준 3 3 2 3 6 4" xfId="38760"/>
    <cellStyle name="표준 3 3 2 3 6 5" xfId="38761"/>
    <cellStyle name="표준 3 3 2 3 7" xfId="38762"/>
    <cellStyle name="표준 3 3 2 3 7 2" xfId="38763"/>
    <cellStyle name="표준 3 3 2 3 7 2 2" xfId="38764"/>
    <cellStyle name="표준 3 3 2 3 7 2 3" xfId="38765"/>
    <cellStyle name="표준 3 3 2 3 7 3" xfId="38766"/>
    <cellStyle name="표준 3 3 2 3 7 4" xfId="38767"/>
    <cellStyle name="표준 3 3 2 3 8" xfId="38768"/>
    <cellStyle name="표준 3 3 2 3 8 2" xfId="38769"/>
    <cellStyle name="표준 3 3 2 3 8 3" xfId="38770"/>
    <cellStyle name="표준 3 3 2 3 9" xfId="38771"/>
    <cellStyle name="표준 3 3 2 4" xfId="38772"/>
    <cellStyle name="표준 3 3 2 4 10" xfId="38773"/>
    <cellStyle name="표준 3 3 2 4 2" xfId="38774"/>
    <cellStyle name="표준 3 3 2 4 2 2" xfId="38775"/>
    <cellStyle name="표준 3 3 2 4 2 2 2" xfId="38776"/>
    <cellStyle name="표준 3 3 2 4 2 2 2 2" xfId="38777"/>
    <cellStyle name="표준 3 3 2 4 2 2 2 2 2" xfId="38778"/>
    <cellStyle name="표준 3 3 2 4 2 2 2 2 3" xfId="38779"/>
    <cellStyle name="표준 3 3 2 4 2 2 2 3" xfId="38780"/>
    <cellStyle name="표준 3 3 2 4 2 2 2 4" xfId="38781"/>
    <cellStyle name="표준 3 3 2 4 2 2 3" xfId="38782"/>
    <cellStyle name="표준 3 3 2 4 2 2 3 2" xfId="38783"/>
    <cellStyle name="표준 3 3 2 4 2 2 3 3" xfId="38784"/>
    <cellStyle name="표준 3 3 2 4 2 2 4" xfId="38785"/>
    <cellStyle name="표준 3 3 2 4 2 2 5" xfId="38786"/>
    <cellStyle name="표준 3 3 2 4 2 3" xfId="38787"/>
    <cellStyle name="표준 3 3 2 4 2 3 2" xfId="38788"/>
    <cellStyle name="표준 3 3 2 4 2 3 2 2" xfId="38789"/>
    <cellStyle name="표준 3 3 2 4 2 3 2 2 2" xfId="38790"/>
    <cellStyle name="표준 3 3 2 4 2 3 2 2 3" xfId="38791"/>
    <cellStyle name="표준 3 3 2 4 2 3 2 3" xfId="38792"/>
    <cellStyle name="표준 3 3 2 4 2 3 2 4" xfId="38793"/>
    <cellStyle name="표준 3 3 2 4 2 3 3" xfId="38794"/>
    <cellStyle name="표준 3 3 2 4 2 3 3 2" xfId="38795"/>
    <cellStyle name="표준 3 3 2 4 2 3 3 3" xfId="38796"/>
    <cellStyle name="표준 3 3 2 4 2 3 4" xfId="38797"/>
    <cellStyle name="표준 3 3 2 4 2 3 5" xfId="38798"/>
    <cellStyle name="표준 3 3 2 4 2 4" xfId="38799"/>
    <cellStyle name="표준 3 3 2 4 2 4 2" xfId="38800"/>
    <cellStyle name="표준 3 3 2 4 2 4 2 2" xfId="38801"/>
    <cellStyle name="표준 3 3 2 4 2 4 2 3" xfId="38802"/>
    <cellStyle name="표준 3 3 2 4 2 4 3" xfId="38803"/>
    <cellStyle name="표준 3 3 2 4 2 4 4" xfId="38804"/>
    <cellStyle name="표준 3 3 2 4 2 5" xfId="38805"/>
    <cellStyle name="표준 3 3 2 4 2 5 2" xfId="38806"/>
    <cellStyle name="표준 3 3 2 4 2 5 3" xfId="38807"/>
    <cellStyle name="표준 3 3 2 4 2 6" xfId="38808"/>
    <cellStyle name="표준 3 3 2 4 2 7" xfId="38809"/>
    <cellStyle name="표준 3 3 2 4 3" xfId="38810"/>
    <cellStyle name="표준 3 3 2 4 3 2" xfId="38811"/>
    <cellStyle name="표준 3 3 2 4 3 2 2" xfId="38812"/>
    <cellStyle name="표준 3 3 2 4 3 2 2 2" xfId="38813"/>
    <cellStyle name="표준 3 3 2 4 3 2 2 2 2" xfId="38814"/>
    <cellStyle name="표준 3 3 2 4 3 2 2 2 3" xfId="38815"/>
    <cellStyle name="표준 3 3 2 4 3 2 2 3" xfId="38816"/>
    <cellStyle name="표준 3 3 2 4 3 2 2 4" xfId="38817"/>
    <cellStyle name="표준 3 3 2 4 3 2 3" xfId="38818"/>
    <cellStyle name="표준 3 3 2 4 3 2 3 2" xfId="38819"/>
    <cellStyle name="표준 3 3 2 4 3 2 3 3" xfId="38820"/>
    <cellStyle name="표준 3 3 2 4 3 2 4" xfId="38821"/>
    <cellStyle name="표준 3 3 2 4 3 2 5" xfId="38822"/>
    <cellStyle name="표준 3 3 2 4 3 3" xfId="38823"/>
    <cellStyle name="표준 3 3 2 4 3 3 2" xfId="38824"/>
    <cellStyle name="표준 3 3 2 4 3 3 2 2" xfId="38825"/>
    <cellStyle name="표준 3 3 2 4 3 3 2 2 2" xfId="38826"/>
    <cellStyle name="표준 3 3 2 4 3 3 2 2 3" xfId="38827"/>
    <cellStyle name="표준 3 3 2 4 3 3 2 3" xfId="38828"/>
    <cellStyle name="표준 3 3 2 4 3 3 2 4" xfId="38829"/>
    <cellStyle name="표준 3 3 2 4 3 3 3" xfId="38830"/>
    <cellStyle name="표준 3 3 2 4 3 3 3 2" xfId="38831"/>
    <cellStyle name="표준 3 3 2 4 3 3 3 3" xfId="38832"/>
    <cellStyle name="표준 3 3 2 4 3 3 4" xfId="38833"/>
    <cellStyle name="표준 3 3 2 4 3 3 5" xfId="38834"/>
    <cellStyle name="표준 3 3 2 4 3 4" xfId="38835"/>
    <cellStyle name="표준 3 3 2 4 3 4 2" xfId="38836"/>
    <cellStyle name="표준 3 3 2 4 3 4 2 2" xfId="38837"/>
    <cellStyle name="표준 3 3 2 4 3 4 2 3" xfId="38838"/>
    <cellStyle name="표준 3 3 2 4 3 4 3" xfId="38839"/>
    <cellStyle name="표준 3 3 2 4 3 4 4" xfId="38840"/>
    <cellStyle name="표준 3 3 2 4 3 5" xfId="38841"/>
    <cellStyle name="표준 3 3 2 4 3 5 2" xfId="38842"/>
    <cellStyle name="표준 3 3 2 4 3 5 3" xfId="38843"/>
    <cellStyle name="표준 3 3 2 4 3 6" xfId="38844"/>
    <cellStyle name="표준 3 3 2 4 3 7" xfId="38845"/>
    <cellStyle name="표준 3 3 2 4 4" xfId="38846"/>
    <cellStyle name="표준 3 3 2 4 4 2" xfId="38847"/>
    <cellStyle name="표준 3 3 2 4 4 2 2" xfId="38848"/>
    <cellStyle name="표준 3 3 2 4 4 2 2 2" xfId="38849"/>
    <cellStyle name="표준 3 3 2 4 4 2 2 3" xfId="38850"/>
    <cellStyle name="표준 3 3 2 4 4 2 3" xfId="38851"/>
    <cellStyle name="표준 3 3 2 4 4 2 4" xfId="38852"/>
    <cellStyle name="표준 3 3 2 4 4 3" xfId="38853"/>
    <cellStyle name="표준 3 3 2 4 4 3 2" xfId="38854"/>
    <cellStyle name="표준 3 3 2 4 4 3 3" xfId="38855"/>
    <cellStyle name="표준 3 3 2 4 4 4" xfId="38856"/>
    <cellStyle name="표준 3 3 2 4 4 5" xfId="38857"/>
    <cellStyle name="표준 3 3 2 4 5" xfId="38858"/>
    <cellStyle name="표준 3 3 2 4 5 2" xfId="38859"/>
    <cellStyle name="표준 3 3 2 4 5 2 2" xfId="38860"/>
    <cellStyle name="표준 3 3 2 4 5 2 2 2" xfId="38861"/>
    <cellStyle name="표준 3 3 2 4 5 2 2 3" xfId="38862"/>
    <cellStyle name="표준 3 3 2 4 5 2 3" xfId="38863"/>
    <cellStyle name="표준 3 3 2 4 5 2 4" xfId="38864"/>
    <cellStyle name="표준 3 3 2 4 5 3" xfId="38865"/>
    <cellStyle name="표준 3 3 2 4 5 3 2" xfId="38866"/>
    <cellStyle name="표준 3 3 2 4 5 3 3" xfId="38867"/>
    <cellStyle name="표준 3 3 2 4 5 4" xfId="38868"/>
    <cellStyle name="표준 3 3 2 4 5 5" xfId="38869"/>
    <cellStyle name="표준 3 3 2 4 6" xfId="38870"/>
    <cellStyle name="표준 3 3 2 4 6 2" xfId="38871"/>
    <cellStyle name="표준 3 3 2 4 6 2 2" xfId="38872"/>
    <cellStyle name="표준 3 3 2 4 6 2 2 2" xfId="38873"/>
    <cellStyle name="표준 3 3 2 4 6 2 2 3" xfId="38874"/>
    <cellStyle name="표준 3 3 2 4 6 2 3" xfId="38875"/>
    <cellStyle name="표준 3 3 2 4 6 2 4" xfId="38876"/>
    <cellStyle name="표준 3 3 2 4 6 3" xfId="38877"/>
    <cellStyle name="표준 3 3 2 4 6 3 2" xfId="38878"/>
    <cellStyle name="표준 3 3 2 4 6 3 3" xfId="38879"/>
    <cellStyle name="표준 3 3 2 4 6 4" xfId="38880"/>
    <cellStyle name="표준 3 3 2 4 6 5" xfId="38881"/>
    <cellStyle name="표준 3 3 2 4 7" xfId="38882"/>
    <cellStyle name="표준 3 3 2 4 7 2" xfId="38883"/>
    <cellStyle name="표준 3 3 2 4 7 2 2" xfId="38884"/>
    <cellStyle name="표준 3 3 2 4 7 2 3" xfId="38885"/>
    <cellStyle name="표준 3 3 2 4 7 3" xfId="38886"/>
    <cellStyle name="표준 3 3 2 4 7 4" xfId="38887"/>
    <cellStyle name="표준 3 3 2 4 8" xfId="38888"/>
    <cellStyle name="표준 3 3 2 4 8 2" xfId="38889"/>
    <cellStyle name="표준 3 3 2 4 8 3" xfId="38890"/>
    <cellStyle name="표준 3 3 2 4 9" xfId="38891"/>
    <cellStyle name="표준 3 3 2 5" xfId="38892"/>
    <cellStyle name="표준 3 3 2 5 2" xfId="38893"/>
    <cellStyle name="표준 3 3 2 5 2 2" xfId="38894"/>
    <cellStyle name="표준 3 3 2 5 2 2 2" xfId="38895"/>
    <cellStyle name="표준 3 3 2 5 2 2 2 2" xfId="38896"/>
    <cellStyle name="표준 3 3 2 5 2 2 2 3" xfId="38897"/>
    <cellStyle name="표준 3 3 2 5 2 2 3" xfId="38898"/>
    <cellStyle name="표준 3 3 2 5 2 2 4" xfId="38899"/>
    <cellStyle name="표준 3 3 2 5 2 3" xfId="38900"/>
    <cellStyle name="표준 3 3 2 5 2 3 2" xfId="38901"/>
    <cellStyle name="표준 3 3 2 5 2 3 3" xfId="38902"/>
    <cellStyle name="표준 3 3 2 5 2 4" xfId="38903"/>
    <cellStyle name="표준 3 3 2 5 2 5" xfId="38904"/>
    <cellStyle name="표준 3 3 2 5 3" xfId="38905"/>
    <cellStyle name="표준 3 3 2 5 3 2" xfId="38906"/>
    <cellStyle name="표준 3 3 2 5 3 2 2" xfId="38907"/>
    <cellStyle name="표준 3 3 2 5 3 2 2 2" xfId="38908"/>
    <cellStyle name="표준 3 3 2 5 3 2 2 3" xfId="38909"/>
    <cellStyle name="표준 3 3 2 5 3 2 3" xfId="38910"/>
    <cellStyle name="표준 3 3 2 5 3 2 4" xfId="38911"/>
    <cellStyle name="표준 3 3 2 5 3 3" xfId="38912"/>
    <cellStyle name="표준 3 3 2 5 3 3 2" xfId="38913"/>
    <cellStyle name="표준 3 3 2 5 3 3 3" xfId="38914"/>
    <cellStyle name="표준 3 3 2 5 3 4" xfId="38915"/>
    <cellStyle name="표준 3 3 2 5 3 5" xfId="38916"/>
    <cellStyle name="표준 3 3 2 5 4" xfId="38917"/>
    <cellStyle name="표준 3 3 2 5 4 2" xfId="38918"/>
    <cellStyle name="표준 3 3 2 5 4 2 2" xfId="38919"/>
    <cellStyle name="표준 3 3 2 5 4 2 3" xfId="38920"/>
    <cellStyle name="표준 3 3 2 5 4 3" xfId="38921"/>
    <cellStyle name="표준 3 3 2 5 4 4" xfId="38922"/>
    <cellStyle name="표준 3 3 2 5 5" xfId="38923"/>
    <cellStyle name="표준 3 3 2 5 5 2" xfId="38924"/>
    <cellStyle name="표준 3 3 2 5 5 3" xfId="38925"/>
    <cellStyle name="표준 3 3 2 5 6" xfId="38926"/>
    <cellStyle name="표준 3 3 2 5 7" xfId="38927"/>
    <cellStyle name="표준 3 3 2 6" xfId="38928"/>
    <cellStyle name="표준 3 3 2 6 2" xfId="38929"/>
    <cellStyle name="표준 3 3 2 6 2 2" xfId="38930"/>
    <cellStyle name="표준 3 3 2 6 2 2 2" xfId="38931"/>
    <cellStyle name="표준 3 3 2 6 2 2 2 2" xfId="38932"/>
    <cellStyle name="표준 3 3 2 6 2 2 2 3" xfId="38933"/>
    <cellStyle name="표준 3 3 2 6 2 2 3" xfId="38934"/>
    <cellStyle name="표준 3 3 2 6 2 2 4" xfId="38935"/>
    <cellStyle name="표준 3 3 2 6 2 3" xfId="38936"/>
    <cellStyle name="표준 3 3 2 6 2 3 2" xfId="38937"/>
    <cellStyle name="표준 3 3 2 6 2 3 3" xfId="38938"/>
    <cellStyle name="표준 3 3 2 6 2 4" xfId="38939"/>
    <cellStyle name="표준 3 3 2 6 2 5" xfId="38940"/>
    <cellStyle name="표준 3 3 2 6 3" xfId="38941"/>
    <cellStyle name="표준 3 3 2 6 3 2" xfId="38942"/>
    <cellStyle name="표준 3 3 2 6 3 2 2" xfId="38943"/>
    <cellStyle name="표준 3 3 2 6 3 2 2 2" xfId="38944"/>
    <cellStyle name="표준 3 3 2 6 3 2 2 3" xfId="38945"/>
    <cellStyle name="표준 3 3 2 6 3 2 3" xfId="38946"/>
    <cellStyle name="표준 3 3 2 6 3 2 4" xfId="38947"/>
    <cellStyle name="표준 3 3 2 6 3 3" xfId="38948"/>
    <cellStyle name="표준 3 3 2 6 3 3 2" xfId="38949"/>
    <cellStyle name="표준 3 3 2 6 3 3 3" xfId="38950"/>
    <cellStyle name="표준 3 3 2 6 3 4" xfId="38951"/>
    <cellStyle name="표준 3 3 2 6 3 5" xfId="38952"/>
    <cellStyle name="표준 3 3 2 6 4" xfId="38953"/>
    <cellStyle name="표준 3 3 2 6 4 2" xfId="38954"/>
    <cellStyle name="표준 3 3 2 6 4 2 2" xfId="38955"/>
    <cellStyle name="표준 3 3 2 6 4 2 3" xfId="38956"/>
    <cellStyle name="표준 3 3 2 6 4 3" xfId="38957"/>
    <cellStyle name="표준 3 3 2 6 4 4" xfId="38958"/>
    <cellStyle name="표준 3 3 2 6 5" xfId="38959"/>
    <cellStyle name="표준 3 3 2 6 5 2" xfId="38960"/>
    <cellStyle name="표준 3 3 2 6 5 3" xfId="38961"/>
    <cellStyle name="표준 3 3 2 6 6" xfId="38962"/>
    <cellStyle name="표준 3 3 2 6 7" xfId="38963"/>
    <cellStyle name="표준 3 3 2 7" xfId="38964"/>
    <cellStyle name="표준 3 3 2 7 2" xfId="38965"/>
    <cellStyle name="표준 3 3 2 7 2 2" xfId="38966"/>
    <cellStyle name="표준 3 3 2 7 2 2 2" xfId="38967"/>
    <cellStyle name="표준 3 3 2 7 2 2 3" xfId="38968"/>
    <cellStyle name="표준 3 3 2 7 2 3" xfId="38969"/>
    <cellStyle name="표준 3 3 2 7 2 4" xfId="38970"/>
    <cellStyle name="표준 3 3 2 7 3" xfId="38971"/>
    <cellStyle name="표준 3 3 2 7 3 2" xfId="38972"/>
    <cellStyle name="표준 3 3 2 7 3 3" xfId="38973"/>
    <cellStyle name="표준 3 3 2 7 4" xfId="38974"/>
    <cellStyle name="표준 3 3 2 7 5" xfId="38975"/>
    <cellStyle name="표준 3 3 2 8" xfId="38976"/>
    <cellStyle name="표준 3 3 2 8 2" xfId="38977"/>
    <cellStyle name="표준 3 3 2 8 2 2" xfId="38978"/>
    <cellStyle name="표준 3 3 2 8 2 2 2" xfId="38979"/>
    <cellStyle name="표준 3 3 2 8 2 2 3" xfId="38980"/>
    <cellStyle name="표준 3 3 2 8 2 3" xfId="38981"/>
    <cellStyle name="표준 3 3 2 8 2 4" xfId="38982"/>
    <cellStyle name="표준 3 3 2 8 3" xfId="38983"/>
    <cellStyle name="표준 3 3 2 8 3 2" xfId="38984"/>
    <cellStyle name="표준 3 3 2 8 3 3" xfId="38985"/>
    <cellStyle name="표준 3 3 2 8 4" xfId="38986"/>
    <cellStyle name="표준 3 3 2 8 5" xfId="38987"/>
    <cellStyle name="표준 3 3 2 9" xfId="38988"/>
    <cellStyle name="표준 3 3 2 9 2" xfId="38989"/>
    <cellStyle name="표준 3 3 2 9 2 2" xfId="38990"/>
    <cellStyle name="표준 3 3 2 9 2 2 2" xfId="38991"/>
    <cellStyle name="표준 3 3 2 9 2 2 3" xfId="38992"/>
    <cellStyle name="표준 3 3 2 9 2 3" xfId="38993"/>
    <cellStyle name="표준 3 3 2 9 2 4" xfId="38994"/>
    <cellStyle name="표준 3 3 2 9 3" xfId="38995"/>
    <cellStyle name="표준 3 3 2 9 3 2" xfId="38996"/>
    <cellStyle name="표준 3 3 2 9 3 3" xfId="38997"/>
    <cellStyle name="표준 3 3 2 9 4" xfId="38998"/>
    <cellStyle name="표준 3 3 2 9 5" xfId="38999"/>
    <cellStyle name="표준 3 3 3" xfId="39000"/>
    <cellStyle name="표준 3 3 3 10" xfId="39001"/>
    <cellStyle name="표준 3 3 3 2" xfId="39002"/>
    <cellStyle name="표준 3 3 3 2 2" xfId="39003"/>
    <cellStyle name="표준 3 3 3 2 2 2" xfId="39004"/>
    <cellStyle name="표준 3 3 3 2 2 2 2" xfId="39005"/>
    <cellStyle name="표준 3 3 3 2 2 2 2 2" xfId="39006"/>
    <cellStyle name="표준 3 3 3 2 2 2 2 3" xfId="39007"/>
    <cellStyle name="표준 3 3 3 2 2 2 3" xfId="39008"/>
    <cellStyle name="표준 3 3 3 2 2 2 4" xfId="39009"/>
    <cellStyle name="표준 3 3 3 2 2 3" xfId="39010"/>
    <cellStyle name="표준 3 3 3 2 2 3 2" xfId="39011"/>
    <cellStyle name="표준 3 3 3 2 2 3 3" xfId="39012"/>
    <cellStyle name="표준 3 3 3 2 2 4" xfId="39013"/>
    <cellStyle name="표준 3 3 3 2 2 5" xfId="39014"/>
    <cellStyle name="표준 3 3 3 2 3" xfId="39015"/>
    <cellStyle name="표준 3 3 3 2 3 2" xfId="39016"/>
    <cellStyle name="표준 3 3 3 2 3 2 2" xfId="39017"/>
    <cellStyle name="표준 3 3 3 2 3 2 2 2" xfId="39018"/>
    <cellStyle name="표준 3 3 3 2 3 2 2 3" xfId="39019"/>
    <cellStyle name="표준 3 3 3 2 3 2 3" xfId="39020"/>
    <cellStyle name="표준 3 3 3 2 3 2 4" xfId="39021"/>
    <cellStyle name="표준 3 3 3 2 3 3" xfId="39022"/>
    <cellStyle name="표준 3 3 3 2 3 3 2" xfId="39023"/>
    <cellStyle name="표준 3 3 3 2 3 3 3" xfId="39024"/>
    <cellStyle name="표준 3 3 3 2 3 4" xfId="39025"/>
    <cellStyle name="표준 3 3 3 2 3 5" xfId="39026"/>
    <cellStyle name="표준 3 3 3 2 4" xfId="39027"/>
    <cellStyle name="표준 3 3 3 2 4 2" xfId="39028"/>
    <cellStyle name="표준 3 3 3 2 4 2 2" xfId="39029"/>
    <cellStyle name="표준 3 3 3 2 4 2 3" xfId="39030"/>
    <cellStyle name="표준 3 3 3 2 4 3" xfId="39031"/>
    <cellStyle name="표준 3 3 3 2 4 4" xfId="39032"/>
    <cellStyle name="표준 3 3 3 2 5" xfId="39033"/>
    <cellStyle name="표준 3 3 3 2 5 2" xfId="39034"/>
    <cellStyle name="표준 3 3 3 2 5 3" xfId="39035"/>
    <cellStyle name="표준 3 3 3 2 6" xfId="39036"/>
    <cellStyle name="표준 3 3 3 2 7" xfId="39037"/>
    <cellStyle name="표준 3 3 3 3" xfId="39038"/>
    <cellStyle name="표준 3 3 3 3 2" xfId="39039"/>
    <cellStyle name="표준 3 3 3 3 2 2" xfId="39040"/>
    <cellStyle name="표준 3 3 3 3 2 2 2" xfId="39041"/>
    <cellStyle name="표준 3 3 3 3 2 2 2 2" xfId="39042"/>
    <cellStyle name="표준 3 3 3 3 2 2 2 3" xfId="39043"/>
    <cellStyle name="표준 3 3 3 3 2 2 3" xfId="39044"/>
    <cellStyle name="표준 3 3 3 3 2 2 4" xfId="39045"/>
    <cellStyle name="표준 3 3 3 3 2 3" xfId="39046"/>
    <cellStyle name="표준 3 3 3 3 2 3 2" xfId="39047"/>
    <cellStyle name="표준 3 3 3 3 2 3 3" xfId="39048"/>
    <cellStyle name="표준 3 3 3 3 2 4" xfId="39049"/>
    <cellStyle name="표준 3 3 3 3 2 5" xfId="39050"/>
    <cellStyle name="표준 3 3 3 3 3" xfId="39051"/>
    <cellStyle name="표준 3 3 3 3 3 2" xfId="39052"/>
    <cellStyle name="표준 3 3 3 3 3 2 2" xfId="39053"/>
    <cellStyle name="표준 3 3 3 3 3 2 2 2" xfId="39054"/>
    <cellStyle name="표준 3 3 3 3 3 2 2 3" xfId="39055"/>
    <cellStyle name="표준 3 3 3 3 3 2 3" xfId="39056"/>
    <cellStyle name="표준 3 3 3 3 3 2 4" xfId="39057"/>
    <cellStyle name="표준 3 3 3 3 3 3" xfId="39058"/>
    <cellStyle name="표준 3 3 3 3 3 3 2" xfId="39059"/>
    <cellStyle name="표준 3 3 3 3 3 3 3" xfId="39060"/>
    <cellStyle name="표준 3 3 3 3 3 4" xfId="39061"/>
    <cellStyle name="표준 3 3 3 3 3 5" xfId="39062"/>
    <cellStyle name="표준 3 3 3 3 4" xfId="39063"/>
    <cellStyle name="표준 3 3 3 3 4 2" xfId="39064"/>
    <cellStyle name="표준 3 3 3 3 4 2 2" xfId="39065"/>
    <cellStyle name="표준 3 3 3 3 4 2 3" xfId="39066"/>
    <cellStyle name="표준 3 3 3 3 4 3" xfId="39067"/>
    <cellStyle name="표준 3 3 3 3 4 4" xfId="39068"/>
    <cellStyle name="표준 3 3 3 3 5" xfId="39069"/>
    <cellStyle name="표준 3 3 3 3 5 2" xfId="39070"/>
    <cellStyle name="표준 3 3 3 3 5 3" xfId="39071"/>
    <cellStyle name="표준 3 3 3 3 6" xfId="39072"/>
    <cellStyle name="표준 3 3 3 3 7" xfId="39073"/>
    <cellStyle name="표준 3 3 3 4" xfId="39074"/>
    <cellStyle name="표준 3 3 3 4 2" xfId="39075"/>
    <cellStyle name="표준 3 3 3 4 2 2" xfId="39076"/>
    <cellStyle name="표준 3 3 3 4 2 2 2" xfId="39077"/>
    <cellStyle name="표준 3 3 3 4 2 2 3" xfId="39078"/>
    <cellStyle name="표준 3 3 3 4 2 3" xfId="39079"/>
    <cellStyle name="표준 3 3 3 4 2 4" xfId="39080"/>
    <cellStyle name="표준 3 3 3 4 3" xfId="39081"/>
    <cellStyle name="표준 3 3 3 4 3 2" xfId="39082"/>
    <cellStyle name="표준 3 3 3 4 3 3" xfId="39083"/>
    <cellStyle name="표준 3 3 3 4 4" xfId="39084"/>
    <cellStyle name="표준 3 3 3 4 5" xfId="39085"/>
    <cellStyle name="표준 3 3 3 5" xfId="39086"/>
    <cellStyle name="표준 3 3 3 5 2" xfId="39087"/>
    <cellStyle name="표준 3 3 3 5 2 2" xfId="39088"/>
    <cellStyle name="표준 3 3 3 5 2 2 2" xfId="39089"/>
    <cellStyle name="표준 3 3 3 5 2 2 3" xfId="39090"/>
    <cellStyle name="표준 3 3 3 5 2 3" xfId="39091"/>
    <cellStyle name="표준 3 3 3 5 2 4" xfId="39092"/>
    <cellStyle name="표준 3 3 3 5 3" xfId="39093"/>
    <cellStyle name="표준 3 3 3 5 3 2" xfId="39094"/>
    <cellStyle name="표준 3 3 3 5 3 3" xfId="39095"/>
    <cellStyle name="표준 3 3 3 5 4" xfId="39096"/>
    <cellStyle name="표준 3 3 3 5 5" xfId="39097"/>
    <cellStyle name="표준 3 3 3 6" xfId="39098"/>
    <cellStyle name="표준 3 3 3 6 2" xfId="39099"/>
    <cellStyle name="표준 3 3 3 6 2 2" xfId="39100"/>
    <cellStyle name="표준 3 3 3 6 2 2 2" xfId="39101"/>
    <cellStyle name="표준 3 3 3 6 2 2 3" xfId="39102"/>
    <cellStyle name="표준 3 3 3 6 2 3" xfId="39103"/>
    <cellStyle name="표준 3 3 3 6 2 4" xfId="39104"/>
    <cellStyle name="표준 3 3 3 6 3" xfId="39105"/>
    <cellStyle name="표준 3 3 3 6 3 2" xfId="39106"/>
    <cellStyle name="표준 3 3 3 6 3 3" xfId="39107"/>
    <cellStyle name="표준 3 3 3 6 4" xfId="39108"/>
    <cellStyle name="표준 3 3 3 6 5" xfId="39109"/>
    <cellStyle name="표준 3 3 3 7" xfId="39110"/>
    <cellStyle name="표준 3 3 3 7 2" xfId="39111"/>
    <cellStyle name="표준 3 3 3 7 2 2" xfId="39112"/>
    <cellStyle name="표준 3 3 3 7 2 3" xfId="39113"/>
    <cellStyle name="표준 3 3 3 7 3" xfId="39114"/>
    <cellStyle name="표준 3 3 3 7 4" xfId="39115"/>
    <cellStyle name="표준 3 3 3 8" xfId="39116"/>
    <cellStyle name="표준 3 3 3 8 2" xfId="39117"/>
    <cellStyle name="표준 3 3 3 8 3" xfId="39118"/>
    <cellStyle name="표준 3 3 3 9" xfId="39119"/>
    <cellStyle name="표준 3 3 4" xfId="39120"/>
    <cellStyle name="표준 3 3 4 10" xfId="39121"/>
    <cellStyle name="표준 3 3 4 2" xfId="39122"/>
    <cellStyle name="표준 3 3 4 2 2" xfId="39123"/>
    <cellStyle name="표준 3 3 4 2 2 2" xfId="39124"/>
    <cellStyle name="표준 3 3 4 2 2 2 2" xfId="39125"/>
    <cellStyle name="표준 3 3 4 2 2 2 2 2" xfId="39126"/>
    <cellStyle name="표준 3 3 4 2 2 2 2 3" xfId="39127"/>
    <cellStyle name="표준 3 3 4 2 2 2 3" xfId="39128"/>
    <cellStyle name="표준 3 3 4 2 2 2 4" xfId="39129"/>
    <cellStyle name="표준 3 3 4 2 2 3" xfId="39130"/>
    <cellStyle name="표준 3 3 4 2 2 3 2" xfId="39131"/>
    <cellStyle name="표준 3 3 4 2 2 3 3" xfId="39132"/>
    <cellStyle name="표준 3 3 4 2 2 4" xfId="39133"/>
    <cellStyle name="표준 3 3 4 2 2 5" xfId="39134"/>
    <cellStyle name="표준 3 3 4 2 3" xfId="39135"/>
    <cellStyle name="표준 3 3 4 2 3 2" xfId="39136"/>
    <cellStyle name="표준 3 3 4 2 3 2 2" xfId="39137"/>
    <cellStyle name="표준 3 3 4 2 3 2 2 2" xfId="39138"/>
    <cellStyle name="표준 3 3 4 2 3 2 2 3" xfId="39139"/>
    <cellStyle name="표준 3 3 4 2 3 2 3" xfId="39140"/>
    <cellStyle name="표준 3 3 4 2 3 2 4" xfId="39141"/>
    <cellStyle name="표준 3 3 4 2 3 3" xfId="39142"/>
    <cellStyle name="표준 3 3 4 2 3 3 2" xfId="39143"/>
    <cellStyle name="표준 3 3 4 2 3 3 3" xfId="39144"/>
    <cellStyle name="표준 3 3 4 2 3 4" xfId="39145"/>
    <cellStyle name="표준 3 3 4 2 3 5" xfId="39146"/>
    <cellStyle name="표준 3 3 4 2 4" xfId="39147"/>
    <cellStyle name="표준 3 3 4 2 4 2" xfId="39148"/>
    <cellStyle name="표준 3 3 4 2 4 2 2" xfId="39149"/>
    <cellStyle name="표준 3 3 4 2 4 2 3" xfId="39150"/>
    <cellStyle name="표준 3 3 4 2 4 3" xfId="39151"/>
    <cellStyle name="표준 3 3 4 2 4 4" xfId="39152"/>
    <cellStyle name="표준 3 3 4 2 5" xfId="39153"/>
    <cellStyle name="표준 3 3 4 2 5 2" xfId="39154"/>
    <cellStyle name="표준 3 3 4 2 5 3" xfId="39155"/>
    <cellStyle name="표준 3 3 4 2 6" xfId="39156"/>
    <cellStyle name="표준 3 3 4 2 7" xfId="39157"/>
    <cellStyle name="표준 3 3 4 3" xfId="39158"/>
    <cellStyle name="표준 3 3 4 3 2" xfId="39159"/>
    <cellStyle name="표준 3 3 4 3 2 2" xfId="39160"/>
    <cellStyle name="표준 3 3 4 3 2 2 2" xfId="39161"/>
    <cellStyle name="표준 3 3 4 3 2 2 2 2" xfId="39162"/>
    <cellStyle name="표준 3 3 4 3 2 2 2 3" xfId="39163"/>
    <cellStyle name="표준 3 3 4 3 2 2 3" xfId="39164"/>
    <cellStyle name="표준 3 3 4 3 2 2 4" xfId="39165"/>
    <cellStyle name="표준 3 3 4 3 2 3" xfId="39166"/>
    <cellStyle name="표준 3 3 4 3 2 3 2" xfId="39167"/>
    <cellStyle name="표준 3 3 4 3 2 3 3" xfId="39168"/>
    <cellStyle name="표준 3 3 4 3 2 4" xfId="39169"/>
    <cellStyle name="표준 3 3 4 3 2 5" xfId="39170"/>
    <cellStyle name="표준 3 3 4 3 3" xfId="39171"/>
    <cellStyle name="표준 3 3 4 3 3 2" xfId="39172"/>
    <cellStyle name="표준 3 3 4 3 3 2 2" xfId="39173"/>
    <cellStyle name="표준 3 3 4 3 3 2 2 2" xfId="39174"/>
    <cellStyle name="표준 3 3 4 3 3 2 2 3" xfId="39175"/>
    <cellStyle name="표준 3 3 4 3 3 2 3" xfId="39176"/>
    <cellStyle name="표준 3 3 4 3 3 2 4" xfId="39177"/>
    <cellStyle name="표준 3 3 4 3 3 3" xfId="39178"/>
    <cellStyle name="표준 3 3 4 3 3 3 2" xfId="39179"/>
    <cellStyle name="표준 3 3 4 3 3 3 3" xfId="39180"/>
    <cellStyle name="표준 3 3 4 3 3 4" xfId="39181"/>
    <cellStyle name="표준 3 3 4 3 3 5" xfId="39182"/>
    <cellStyle name="표준 3 3 4 3 4" xfId="39183"/>
    <cellStyle name="표준 3 3 4 3 4 2" xfId="39184"/>
    <cellStyle name="표준 3 3 4 3 4 2 2" xfId="39185"/>
    <cellStyle name="표준 3 3 4 3 4 2 3" xfId="39186"/>
    <cellStyle name="표준 3 3 4 3 4 3" xfId="39187"/>
    <cellStyle name="표준 3 3 4 3 4 4" xfId="39188"/>
    <cellStyle name="표준 3 3 4 3 5" xfId="39189"/>
    <cellStyle name="표준 3 3 4 3 5 2" xfId="39190"/>
    <cellStyle name="표준 3 3 4 3 5 3" xfId="39191"/>
    <cellStyle name="표준 3 3 4 3 6" xfId="39192"/>
    <cellStyle name="표준 3 3 4 3 7" xfId="39193"/>
    <cellStyle name="표준 3 3 4 4" xfId="39194"/>
    <cellStyle name="표준 3 3 4 4 2" xfId="39195"/>
    <cellStyle name="표준 3 3 4 4 2 2" xfId="39196"/>
    <cellStyle name="표준 3 3 4 4 2 2 2" xfId="39197"/>
    <cellStyle name="표준 3 3 4 4 2 2 3" xfId="39198"/>
    <cellStyle name="표준 3 3 4 4 2 3" xfId="39199"/>
    <cellStyle name="표준 3 3 4 4 2 4" xfId="39200"/>
    <cellStyle name="표준 3 3 4 4 3" xfId="39201"/>
    <cellStyle name="표준 3 3 4 4 3 2" xfId="39202"/>
    <cellStyle name="표준 3 3 4 4 3 3" xfId="39203"/>
    <cellStyle name="표준 3 3 4 4 4" xfId="39204"/>
    <cellStyle name="표준 3 3 4 4 5" xfId="39205"/>
    <cellStyle name="표준 3 3 4 5" xfId="39206"/>
    <cellStyle name="표준 3 3 4 5 2" xfId="39207"/>
    <cellStyle name="표준 3 3 4 5 2 2" xfId="39208"/>
    <cellStyle name="표준 3 3 4 5 2 2 2" xfId="39209"/>
    <cellStyle name="표준 3 3 4 5 2 2 3" xfId="39210"/>
    <cellStyle name="표준 3 3 4 5 2 3" xfId="39211"/>
    <cellStyle name="표준 3 3 4 5 2 4" xfId="39212"/>
    <cellStyle name="표준 3 3 4 5 3" xfId="39213"/>
    <cellStyle name="표준 3 3 4 5 3 2" xfId="39214"/>
    <cellStyle name="표준 3 3 4 5 3 3" xfId="39215"/>
    <cellStyle name="표준 3 3 4 5 4" xfId="39216"/>
    <cellStyle name="표준 3 3 4 5 5" xfId="39217"/>
    <cellStyle name="표준 3 3 4 6" xfId="39218"/>
    <cellStyle name="표준 3 3 4 6 2" xfId="39219"/>
    <cellStyle name="표준 3 3 4 6 2 2" xfId="39220"/>
    <cellStyle name="표준 3 3 4 6 2 2 2" xfId="39221"/>
    <cellStyle name="표준 3 3 4 6 2 2 3" xfId="39222"/>
    <cellStyle name="표준 3 3 4 6 2 3" xfId="39223"/>
    <cellStyle name="표준 3 3 4 6 2 4" xfId="39224"/>
    <cellStyle name="표준 3 3 4 6 3" xfId="39225"/>
    <cellStyle name="표준 3 3 4 6 3 2" xfId="39226"/>
    <cellStyle name="표준 3 3 4 6 3 3" xfId="39227"/>
    <cellStyle name="표준 3 3 4 6 4" xfId="39228"/>
    <cellStyle name="표준 3 3 4 6 5" xfId="39229"/>
    <cellStyle name="표준 3 3 4 7" xfId="39230"/>
    <cellStyle name="표준 3 3 4 7 2" xfId="39231"/>
    <cellStyle name="표준 3 3 4 7 2 2" xfId="39232"/>
    <cellStyle name="표준 3 3 4 7 2 3" xfId="39233"/>
    <cellStyle name="표준 3 3 4 7 3" xfId="39234"/>
    <cellStyle name="표준 3 3 4 7 4" xfId="39235"/>
    <cellStyle name="표준 3 3 4 8" xfId="39236"/>
    <cellStyle name="표준 3 3 4 8 2" xfId="39237"/>
    <cellStyle name="표준 3 3 4 8 3" xfId="39238"/>
    <cellStyle name="표준 3 3 4 9" xfId="39239"/>
    <cellStyle name="표준 3 3 5" xfId="39240"/>
    <cellStyle name="표준 3 3 5 10" xfId="39241"/>
    <cellStyle name="표준 3 3 5 2" xfId="39242"/>
    <cellStyle name="표준 3 3 5 2 2" xfId="39243"/>
    <cellStyle name="표준 3 3 5 2 2 2" xfId="39244"/>
    <cellStyle name="표준 3 3 5 2 2 2 2" xfId="39245"/>
    <cellStyle name="표준 3 3 5 2 2 2 2 2" xfId="39246"/>
    <cellStyle name="표준 3 3 5 2 2 2 2 3" xfId="39247"/>
    <cellStyle name="표준 3 3 5 2 2 2 3" xfId="39248"/>
    <cellStyle name="표준 3 3 5 2 2 2 4" xfId="39249"/>
    <cellStyle name="표준 3 3 5 2 2 3" xfId="39250"/>
    <cellStyle name="표준 3 3 5 2 2 3 2" xfId="39251"/>
    <cellStyle name="표준 3 3 5 2 2 3 3" xfId="39252"/>
    <cellStyle name="표준 3 3 5 2 2 4" xfId="39253"/>
    <cellStyle name="표준 3 3 5 2 2 5" xfId="39254"/>
    <cellStyle name="표준 3 3 5 2 3" xfId="39255"/>
    <cellStyle name="표준 3 3 5 2 3 2" xfId="39256"/>
    <cellStyle name="표준 3 3 5 2 3 2 2" xfId="39257"/>
    <cellStyle name="표준 3 3 5 2 3 2 2 2" xfId="39258"/>
    <cellStyle name="표준 3 3 5 2 3 2 2 3" xfId="39259"/>
    <cellStyle name="표준 3 3 5 2 3 2 3" xfId="39260"/>
    <cellStyle name="표준 3 3 5 2 3 2 4" xfId="39261"/>
    <cellStyle name="표준 3 3 5 2 3 3" xfId="39262"/>
    <cellStyle name="표준 3 3 5 2 3 3 2" xfId="39263"/>
    <cellStyle name="표준 3 3 5 2 3 3 3" xfId="39264"/>
    <cellStyle name="표준 3 3 5 2 3 4" xfId="39265"/>
    <cellStyle name="표준 3 3 5 2 3 5" xfId="39266"/>
    <cellStyle name="표준 3 3 5 2 4" xfId="39267"/>
    <cellStyle name="표준 3 3 5 2 4 2" xfId="39268"/>
    <cellStyle name="표준 3 3 5 2 4 2 2" xfId="39269"/>
    <cellStyle name="표준 3 3 5 2 4 2 3" xfId="39270"/>
    <cellStyle name="표준 3 3 5 2 4 3" xfId="39271"/>
    <cellStyle name="표준 3 3 5 2 4 4" xfId="39272"/>
    <cellStyle name="표준 3 3 5 2 5" xfId="39273"/>
    <cellStyle name="표준 3 3 5 2 5 2" xfId="39274"/>
    <cellStyle name="표준 3 3 5 2 5 3" xfId="39275"/>
    <cellStyle name="표준 3 3 5 2 6" xfId="39276"/>
    <cellStyle name="표준 3 3 5 2 7" xfId="39277"/>
    <cellStyle name="표준 3 3 5 3" xfId="39278"/>
    <cellStyle name="표준 3 3 5 3 2" xfId="39279"/>
    <cellStyle name="표준 3 3 5 3 2 2" xfId="39280"/>
    <cellStyle name="표준 3 3 5 3 2 2 2" xfId="39281"/>
    <cellStyle name="표준 3 3 5 3 2 2 2 2" xfId="39282"/>
    <cellStyle name="표준 3 3 5 3 2 2 2 3" xfId="39283"/>
    <cellStyle name="표준 3 3 5 3 2 2 3" xfId="39284"/>
    <cellStyle name="표준 3 3 5 3 2 2 4" xfId="39285"/>
    <cellStyle name="표준 3 3 5 3 2 3" xfId="39286"/>
    <cellStyle name="표준 3 3 5 3 2 3 2" xfId="39287"/>
    <cellStyle name="표준 3 3 5 3 2 3 3" xfId="39288"/>
    <cellStyle name="표준 3 3 5 3 2 4" xfId="39289"/>
    <cellStyle name="표준 3 3 5 3 2 5" xfId="39290"/>
    <cellStyle name="표준 3 3 5 3 3" xfId="39291"/>
    <cellStyle name="표준 3 3 5 3 3 2" xfId="39292"/>
    <cellStyle name="표준 3 3 5 3 3 2 2" xfId="39293"/>
    <cellStyle name="표준 3 3 5 3 3 2 2 2" xfId="39294"/>
    <cellStyle name="표준 3 3 5 3 3 2 2 3" xfId="39295"/>
    <cellStyle name="표준 3 3 5 3 3 2 3" xfId="39296"/>
    <cellStyle name="표준 3 3 5 3 3 2 4" xfId="39297"/>
    <cellStyle name="표준 3 3 5 3 3 3" xfId="39298"/>
    <cellStyle name="표준 3 3 5 3 3 3 2" xfId="39299"/>
    <cellStyle name="표준 3 3 5 3 3 3 3" xfId="39300"/>
    <cellStyle name="표준 3 3 5 3 3 4" xfId="39301"/>
    <cellStyle name="표준 3 3 5 3 3 5" xfId="39302"/>
    <cellStyle name="표준 3 3 5 3 4" xfId="39303"/>
    <cellStyle name="표준 3 3 5 3 4 2" xfId="39304"/>
    <cellStyle name="표준 3 3 5 3 4 2 2" xfId="39305"/>
    <cellStyle name="표준 3 3 5 3 4 2 3" xfId="39306"/>
    <cellStyle name="표준 3 3 5 3 4 3" xfId="39307"/>
    <cellStyle name="표준 3 3 5 3 4 4" xfId="39308"/>
    <cellStyle name="표준 3 3 5 3 5" xfId="39309"/>
    <cellStyle name="표준 3 3 5 3 5 2" xfId="39310"/>
    <cellStyle name="표준 3 3 5 3 5 3" xfId="39311"/>
    <cellStyle name="표준 3 3 5 3 6" xfId="39312"/>
    <cellStyle name="표준 3 3 5 3 7" xfId="39313"/>
    <cellStyle name="표준 3 3 5 4" xfId="39314"/>
    <cellStyle name="표준 3 3 5 4 2" xfId="39315"/>
    <cellStyle name="표준 3 3 5 4 2 2" xfId="39316"/>
    <cellStyle name="표준 3 3 5 4 2 2 2" xfId="39317"/>
    <cellStyle name="표준 3 3 5 4 2 2 3" xfId="39318"/>
    <cellStyle name="표준 3 3 5 4 2 3" xfId="39319"/>
    <cellStyle name="표준 3 3 5 4 2 4" xfId="39320"/>
    <cellStyle name="표준 3 3 5 4 3" xfId="39321"/>
    <cellStyle name="표준 3 3 5 4 3 2" xfId="39322"/>
    <cellStyle name="표준 3 3 5 4 3 3" xfId="39323"/>
    <cellStyle name="표준 3 3 5 4 4" xfId="39324"/>
    <cellStyle name="표준 3 3 5 4 5" xfId="39325"/>
    <cellStyle name="표준 3 3 5 5" xfId="39326"/>
    <cellStyle name="표준 3 3 5 5 2" xfId="39327"/>
    <cellStyle name="표준 3 3 5 5 2 2" xfId="39328"/>
    <cellStyle name="표준 3 3 5 5 2 2 2" xfId="39329"/>
    <cellStyle name="표준 3 3 5 5 2 2 3" xfId="39330"/>
    <cellStyle name="표준 3 3 5 5 2 3" xfId="39331"/>
    <cellStyle name="표준 3 3 5 5 2 4" xfId="39332"/>
    <cellStyle name="표준 3 3 5 5 3" xfId="39333"/>
    <cellStyle name="표준 3 3 5 5 3 2" xfId="39334"/>
    <cellStyle name="표준 3 3 5 5 3 3" xfId="39335"/>
    <cellStyle name="표준 3 3 5 5 4" xfId="39336"/>
    <cellStyle name="표준 3 3 5 5 5" xfId="39337"/>
    <cellStyle name="표준 3 3 5 6" xfId="39338"/>
    <cellStyle name="표준 3 3 5 6 2" xfId="39339"/>
    <cellStyle name="표준 3 3 5 6 2 2" xfId="39340"/>
    <cellStyle name="표준 3 3 5 6 2 2 2" xfId="39341"/>
    <cellStyle name="표준 3 3 5 6 2 2 3" xfId="39342"/>
    <cellStyle name="표준 3 3 5 6 2 3" xfId="39343"/>
    <cellStyle name="표준 3 3 5 6 2 4" xfId="39344"/>
    <cellStyle name="표준 3 3 5 6 3" xfId="39345"/>
    <cellStyle name="표준 3 3 5 6 3 2" xfId="39346"/>
    <cellStyle name="표준 3 3 5 6 3 3" xfId="39347"/>
    <cellStyle name="표준 3 3 5 6 4" xfId="39348"/>
    <cellStyle name="표준 3 3 5 6 5" xfId="39349"/>
    <cellStyle name="표준 3 3 5 7" xfId="39350"/>
    <cellStyle name="표준 3 3 5 7 2" xfId="39351"/>
    <cellStyle name="표준 3 3 5 7 2 2" xfId="39352"/>
    <cellStyle name="표준 3 3 5 7 2 3" xfId="39353"/>
    <cellStyle name="표준 3 3 5 7 3" xfId="39354"/>
    <cellStyle name="표준 3 3 5 7 4" xfId="39355"/>
    <cellStyle name="표준 3 3 5 8" xfId="39356"/>
    <cellStyle name="표준 3 3 5 8 2" xfId="39357"/>
    <cellStyle name="표준 3 3 5 8 3" xfId="39358"/>
    <cellStyle name="표준 3 3 5 9" xfId="39359"/>
    <cellStyle name="표준 3 3 6" xfId="39360"/>
    <cellStyle name="표준 3 3 6 2" xfId="39361"/>
    <cellStyle name="표준 3 3 6 2 2" xfId="39362"/>
    <cellStyle name="표준 3 3 6 2 2 2" xfId="39363"/>
    <cellStyle name="표준 3 3 6 2 2 2 2" xfId="39364"/>
    <cellStyle name="표준 3 3 6 2 2 2 3" xfId="39365"/>
    <cellStyle name="표준 3 3 6 2 2 3" xfId="39366"/>
    <cellStyle name="표준 3 3 6 2 2 4" xfId="39367"/>
    <cellStyle name="표준 3 3 6 2 3" xfId="39368"/>
    <cellStyle name="표준 3 3 6 2 3 2" xfId="39369"/>
    <cellStyle name="표준 3 3 6 2 3 3" xfId="39370"/>
    <cellStyle name="표준 3 3 6 2 4" xfId="39371"/>
    <cellStyle name="표준 3 3 6 2 5" xfId="39372"/>
    <cellStyle name="표준 3 3 6 3" xfId="39373"/>
    <cellStyle name="표준 3 3 6 3 2" xfId="39374"/>
    <cellStyle name="표준 3 3 6 3 2 2" xfId="39375"/>
    <cellStyle name="표준 3 3 6 3 2 2 2" xfId="39376"/>
    <cellStyle name="표준 3 3 6 3 2 2 3" xfId="39377"/>
    <cellStyle name="표준 3 3 6 3 2 3" xfId="39378"/>
    <cellStyle name="표준 3 3 6 3 2 4" xfId="39379"/>
    <cellStyle name="표준 3 3 6 3 3" xfId="39380"/>
    <cellStyle name="표준 3 3 6 3 3 2" xfId="39381"/>
    <cellStyle name="표준 3 3 6 3 3 3" xfId="39382"/>
    <cellStyle name="표준 3 3 6 3 4" xfId="39383"/>
    <cellStyle name="표준 3 3 6 3 5" xfId="39384"/>
    <cellStyle name="표준 3 3 6 4" xfId="39385"/>
    <cellStyle name="표준 3 3 6 4 2" xfId="39386"/>
    <cellStyle name="표준 3 3 6 4 2 2" xfId="39387"/>
    <cellStyle name="표준 3 3 6 4 2 3" xfId="39388"/>
    <cellStyle name="표준 3 3 6 4 3" xfId="39389"/>
    <cellStyle name="표준 3 3 6 4 4" xfId="39390"/>
    <cellStyle name="표준 3 3 6 5" xfId="39391"/>
    <cellStyle name="표준 3 3 6 5 2" xfId="39392"/>
    <cellStyle name="표준 3 3 6 5 3" xfId="39393"/>
    <cellStyle name="표준 3 3 6 6" xfId="39394"/>
    <cellStyle name="표준 3 3 6 7" xfId="39395"/>
    <cellStyle name="표준 3 3 7" xfId="39396"/>
    <cellStyle name="표준 3 3 7 2" xfId="39397"/>
    <cellStyle name="표준 3 3 7 2 2" xfId="39398"/>
    <cellStyle name="표준 3 3 7 2 2 2" xfId="39399"/>
    <cellStyle name="표준 3 3 7 2 2 2 2" xfId="39400"/>
    <cellStyle name="표준 3 3 7 2 2 2 3" xfId="39401"/>
    <cellStyle name="표준 3 3 7 2 2 3" xfId="39402"/>
    <cellStyle name="표준 3 3 7 2 2 4" xfId="39403"/>
    <cellStyle name="표준 3 3 7 2 3" xfId="39404"/>
    <cellStyle name="표준 3 3 7 2 3 2" xfId="39405"/>
    <cellStyle name="표준 3 3 7 2 3 3" xfId="39406"/>
    <cellStyle name="표준 3 3 7 2 4" xfId="39407"/>
    <cellStyle name="표준 3 3 7 2 5" xfId="39408"/>
    <cellStyle name="표준 3 3 7 3" xfId="39409"/>
    <cellStyle name="표준 3 3 7 3 2" xfId="39410"/>
    <cellStyle name="표준 3 3 7 3 2 2" xfId="39411"/>
    <cellStyle name="표준 3 3 7 3 2 2 2" xfId="39412"/>
    <cellStyle name="표준 3 3 7 3 2 2 3" xfId="39413"/>
    <cellStyle name="표준 3 3 7 3 2 3" xfId="39414"/>
    <cellStyle name="표준 3 3 7 3 2 4" xfId="39415"/>
    <cellStyle name="표준 3 3 7 3 3" xfId="39416"/>
    <cellStyle name="표준 3 3 7 3 3 2" xfId="39417"/>
    <cellStyle name="표준 3 3 7 3 3 3" xfId="39418"/>
    <cellStyle name="표준 3 3 7 3 4" xfId="39419"/>
    <cellStyle name="표준 3 3 7 3 5" xfId="39420"/>
    <cellStyle name="표준 3 3 7 4" xfId="39421"/>
    <cellStyle name="표준 3 3 7 4 2" xfId="39422"/>
    <cellStyle name="표준 3 3 7 4 2 2" xfId="39423"/>
    <cellStyle name="표준 3 3 7 4 2 3" xfId="39424"/>
    <cellStyle name="표준 3 3 7 4 3" xfId="39425"/>
    <cellStyle name="표준 3 3 7 4 4" xfId="39426"/>
    <cellStyle name="표준 3 3 7 5" xfId="39427"/>
    <cellStyle name="표준 3 3 7 5 2" xfId="39428"/>
    <cellStyle name="표준 3 3 7 5 3" xfId="39429"/>
    <cellStyle name="표준 3 3 7 6" xfId="39430"/>
    <cellStyle name="표준 3 3 7 7" xfId="39431"/>
    <cellStyle name="표준 3 3 8" xfId="39432"/>
    <cellStyle name="표준 3 3 8 2" xfId="39433"/>
    <cellStyle name="표준 3 3 8 2 2" xfId="39434"/>
    <cellStyle name="표준 3 3 8 2 2 2" xfId="39435"/>
    <cellStyle name="표준 3 3 8 2 2 3" xfId="39436"/>
    <cellStyle name="표준 3 3 8 2 3" xfId="39437"/>
    <cellStyle name="표준 3 3 8 2 4" xfId="39438"/>
    <cellStyle name="표준 3 3 8 3" xfId="39439"/>
    <cellStyle name="표준 3 3 8 3 2" xfId="39440"/>
    <cellStyle name="표준 3 3 8 3 3" xfId="39441"/>
    <cellStyle name="표준 3 3 8 4" xfId="39442"/>
    <cellStyle name="표준 3 3 8 5" xfId="39443"/>
    <cellStyle name="표준 3 3 9" xfId="39444"/>
    <cellStyle name="표준 3 3 9 2" xfId="39445"/>
    <cellStyle name="표준 3 3 9 2 2" xfId="39446"/>
    <cellStyle name="표준 3 3 9 2 2 2" xfId="39447"/>
    <cellStyle name="표준 3 3 9 2 2 3" xfId="39448"/>
    <cellStyle name="표준 3 3 9 2 3" xfId="39449"/>
    <cellStyle name="표준 3 3 9 2 4" xfId="39450"/>
    <cellStyle name="표준 3 3 9 3" xfId="39451"/>
    <cellStyle name="표준 3 3 9 3 2" xfId="39452"/>
    <cellStyle name="표준 3 3 9 3 3" xfId="39453"/>
    <cellStyle name="표준 3 3 9 4" xfId="39454"/>
    <cellStyle name="표준 3 3 9 5" xfId="39455"/>
    <cellStyle name="표준 3 4" xfId="39456"/>
    <cellStyle name="표준 3 4 10" xfId="39457"/>
    <cellStyle name="표준 3 4 10 2" xfId="39458"/>
    <cellStyle name="표준 3 4 10 2 2" xfId="39459"/>
    <cellStyle name="표준 3 4 10 2 2 2" xfId="39460"/>
    <cellStyle name="표준 3 4 10 2 2 3" xfId="39461"/>
    <cellStyle name="표준 3 4 10 2 3" xfId="39462"/>
    <cellStyle name="표준 3 4 10 2 4" xfId="39463"/>
    <cellStyle name="표준 3 4 10 3" xfId="39464"/>
    <cellStyle name="표준 3 4 10 3 2" xfId="39465"/>
    <cellStyle name="표준 3 4 10 3 3" xfId="39466"/>
    <cellStyle name="표준 3 4 10 4" xfId="39467"/>
    <cellStyle name="표준 3 4 10 5" xfId="39468"/>
    <cellStyle name="표준 3 4 11" xfId="39469"/>
    <cellStyle name="표준 3 4 11 2" xfId="39470"/>
    <cellStyle name="표준 3 4 11 2 2" xfId="39471"/>
    <cellStyle name="표준 3 4 11 2 3" xfId="39472"/>
    <cellStyle name="표준 3 4 11 3" xfId="39473"/>
    <cellStyle name="표준 3 4 11 4" xfId="39474"/>
    <cellStyle name="표준 3 4 12" xfId="39475"/>
    <cellStyle name="표준 3 4 12 2" xfId="39476"/>
    <cellStyle name="표준 3 4 12 3" xfId="39477"/>
    <cellStyle name="표준 3 4 13" xfId="39478"/>
    <cellStyle name="표준 3 4 14" xfId="39479"/>
    <cellStyle name="표준 3 4 15" xfId="39480"/>
    <cellStyle name="표준 3 4 16" xfId="39481"/>
    <cellStyle name="표준 3 4 2" xfId="39482"/>
    <cellStyle name="표준 3 4 2 10" xfId="39483"/>
    <cellStyle name="표준 3 4 2 10 2" xfId="39484"/>
    <cellStyle name="표준 3 4 2 10 2 2" xfId="39485"/>
    <cellStyle name="표준 3 4 2 10 2 3" xfId="39486"/>
    <cellStyle name="표준 3 4 2 10 3" xfId="39487"/>
    <cellStyle name="표준 3 4 2 10 4" xfId="39488"/>
    <cellStyle name="표준 3 4 2 11" xfId="39489"/>
    <cellStyle name="표준 3 4 2 11 2" xfId="39490"/>
    <cellStyle name="표준 3 4 2 11 3" xfId="39491"/>
    <cellStyle name="표준 3 4 2 12" xfId="39492"/>
    <cellStyle name="표준 3 4 2 13" xfId="39493"/>
    <cellStyle name="표준 3 4 2 14" xfId="39494"/>
    <cellStyle name="표준 3 4 2 15" xfId="39495"/>
    <cellStyle name="표준 3 4 2 2" xfId="39496"/>
    <cellStyle name="표준 3 4 2 2 10" xfId="39497"/>
    <cellStyle name="표준 3 4 2 2 2" xfId="39498"/>
    <cellStyle name="표준 3 4 2 2 2 2" xfId="39499"/>
    <cellStyle name="표준 3 4 2 2 2 2 2" xfId="39500"/>
    <cellStyle name="표준 3 4 2 2 2 2 2 2" xfId="39501"/>
    <cellStyle name="표준 3 4 2 2 2 2 2 2 2" xfId="39502"/>
    <cellStyle name="표준 3 4 2 2 2 2 2 2 3" xfId="39503"/>
    <cellStyle name="표준 3 4 2 2 2 2 2 3" xfId="39504"/>
    <cellStyle name="표준 3 4 2 2 2 2 2 4" xfId="39505"/>
    <cellStyle name="표준 3 4 2 2 2 2 3" xfId="39506"/>
    <cellStyle name="표준 3 4 2 2 2 2 3 2" xfId="39507"/>
    <cellStyle name="표준 3 4 2 2 2 2 3 3" xfId="39508"/>
    <cellStyle name="표준 3 4 2 2 2 2 4" xfId="39509"/>
    <cellStyle name="표준 3 4 2 2 2 2 5" xfId="39510"/>
    <cellStyle name="표준 3 4 2 2 2 3" xfId="39511"/>
    <cellStyle name="표준 3 4 2 2 2 3 2" xfId="39512"/>
    <cellStyle name="표준 3 4 2 2 2 3 2 2" xfId="39513"/>
    <cellStyle name="표준 3 4 2 2 2 3 2 2 2" xfId="39514"/>
    <cellStyle name="표준 3 4 2 2 2 3 2 2 3" xfId="39515"/>
    <cellStyle name="표준 3 4 2 2 2 3 2 3" xfId="39516"/>
    <cellStyle name="표준 3 4 2 2 2 3 2 4" xfId="39517"/>
    <cellStyle name="표준 3 4 2 2 2 3 3" xfId="39518"/>
    <cellStyle name="표준 3 4 2 2 2 3 3 2" xfId="39519"/>
    <cellStyle name="표준 3 4 2 2 2 3 3 3" xfId="39520"/>
    <cellStyle name="표준 3 4 2 2 2 3 4" xfId="39521"/>
    <cellStyle name="표준 3 4 2 2 2 3 5" xfId="39522"/>
    <cellStyle name="표준 3 4 2 2 2 4" xfId="39523"/>
    <cellStyle name="표준 3 4 2 2 2 4 2" xfId="39524"/>
    <cellStyle name="표준 3 4 2 2 2 4 2 2" xfId="39525"/>
    <cellStyle name="표준 3 4 2 2 2 4 2 3" xfId="39526"/>
    <cellStyle name="표준 3 4 2 2 2 4 3" xfId="39527"/>
    <cellStyle name="표준 3 4 2 2 2 4 4" xfId="39528"/>
    <cellStyle name="표준 3 4 2 2 2 5" xfId="39529"/>
    <cellStyle name="표준 3 4 2 2 2 5 2" xfId="39530"/>
    <cellStyle name="표준 3 4 2 2 2 5 3" xfId="39531"/>
    <cellStyle name="표준 3 4 2 2 2 6" xfId="39532"/>
    <cellStyle name="표준 3 4 2 2 2 7" xfId="39533"/>
    <cellStyle name="표준 3 4 2 2 3" xfId="39534"/>
    <cellStyle name="표준 3 4 2 2 3 2" xfId="39535"/>
    <cellStyle name="표준 3 4 2 2 3 2 2" xfId="39536"/>
    <cellStyle name="표준 3 4 2 2 3 2 2 2" xfId="39537"/>
    <cellStyle name="표준 3 4 2 2 3 2 2 2 2" xfId="39538"/>
    <cellStyle name="표준 3 4 2 2 3 2 2 2 3" xfId="39539"/>
    <cellStyle name="표준 3 4 2 2 3 2 2 3" xfId="39540"/>
    <cellStyle name="표준 3 4 2 2 3 2 2 4" xfId="39541"/>
    <cellStyle name="표준 3 4 2 2 3 2 3" xfId="39542"/>
    <cellStyle name="표준 3 4 2 2 3 2 3 2" xfId="39543"/>
    <cellStyle name="표준 3 4 2 2 3 2 3 3" xfId="39544"/>
    <cellStyle name="표준 3 4 2 2 3 2 4" xfId="39545"/>
    <cellStyle name="표준 3 4 2 2 3 2 5" xfId="39546"/>
    <cellStyle name="표준 3 4 2 2 3 3" xfId="39547"/>
    <cellStyle name="표준 3 4 2 2 3 3 2" xfId="39548"/>
    <cellStyle name="표준 3 4 2 2 3 3 2 2" xfId="39549"/>
    <cellStyle name="표준 3 4 2 2 3 3 2 2 2" xfId="39550"/>
    <cellStyle name="표준 3 4 2 2 3 3 2 2 3" xfId="39551"/>
    <cellStyle name="표준 3 4 2 2 3 3 2 3" xfId="39552"/>
    <cellStyle name="표준 3 4 2 2 3 3 2 4" xfId="39553"/>
    <cellStyle name="표준 3 4 2 2 3 3 3" xfId="39554"/>
    <cellStyle name="표준 3 4 2 2 3 3 3 2" xfId="39555"/>
    <cellStyle name="표준 3 4 2 2 3 3 3 3" xfId="39556"/>
    <cellStyle name="표준 3 4 2 2 3 3 4" xfId="39557"/>
    <cellStyle name="표준 3 4 2 2 3 3 5" xfId="39558"/>
    <cellStyle name="표준 3 4 2 2 3 4" xfId="39559"/>
    <cellStyle name="표준 3 4 2 2 3 4 2" xfId="39560"/>
    <cellStyle name="표준 3 4 2 2 3 4 2 2" xfId="39561"/>
    <cellStyle name="표준 3 4 2 2 3 4 2 3" xfId="39562"/>
    <cellStyle name="표준 3 4 2 2 3 4 3" xfId="39563"/>
    <cellStyle name="표준 3 4 2 2 3 4 4" xfId="39564"/>
    <cellStyle name="표준 3 4 2 2 3 5" xfId="39565"/>
    <cellStyle name="표준 3 4 2 2 3 5 2" xfId="39566"/>
    <cellStyle name="표준 3 4 2 2 3 5 3" xfId="39567"/>
    <cellStyle name="표준 3 4 2 2 3 6" xfId="39568"/>
    <cellStyle name="표준 3 4 2 2 3 7" xfId="39569"/>
    <cellStyle name="표준 3 4 2 2 4" xfId="39570"/>
    <cellStyle name="표준 3 4 2 2 4 2" xfId="39571"/>
    <cellStyle name="표준 3 4 2 2 4 2 2" xfId="39572"/>
    <cellStyle name="표준 3 4 2 2 4 2 2 2" xfId="39573"/>
    <cellStyle name="표준 3 4 2 2 4 2 2 3" xfId="39574"/>
    <cellStyle name="표준 3 4 2 2 4 2 3" xfId="39575"/>
    <cellStyle name="표준 3 4 2 2 4 2 4" xfId="39576"/>
    <cellStyle name="표준 3 4 2 2 4 3" xfId="39577"/>
    <cellStyle name="표준 3 4 2 2 4 3 2" xfId="39578"/>
    <cellStyle name="표준 3 4 2 2 4 3 3" xfId="39579"/>
    <cellStyle name="표준 3 4 2 2 4 4" xfId="39580"/>
    <cellStyle name="표준 3 4 2 2 4 5" xfId="39581"/>
    <cellStyle name="표준 3 4 2 2 5" xfId="39582"/>
    <cellStyle name="표준 3 4 2 2 5 2" xfId="39583"/>
    <cellStyle name="표준 3 4 2 2 5 2 2" xfId="39584"/>
    <cellStyle name="표준 3 4 2 2 5 2 2 2" xfId="39585"/>
    <cellStyle name="표준 3 4 2 2 5 2 2 3" xfId="39586"/>
    <cellStyle name="표준 3 4 2 2 5 2 3" xfId="39587"/>
    <cellStyle name="표준 3 4 2 2 5 2 4" xfId="39588"/>
    <cellStyle name="표준 3 4 2 2 5 3" xfId="39589"/>
    <cellStyle name="표준 3 4 2 2 5 3 2" xfId="39590"/>
    <cellStyle name="표준 3 4 2 2 5 3 3" xfId="39591"/>
    <cellStyle name="표준 3 4 2 2 5 4" xfId="39592"/>
    <cellStyle name="표준 3 4 2 2 5 5" xfId="39593"/>
    <cellStyle name="표준 3 4 2 2 6" xfId="39594"/>
    <cellStyle name="표준 3 4 2 2 6 2" xfId="39595"/>
    <cellStyle name="표준 3 4 2 2 6 2 2" xfId="39596"/>
    <cellStyle name="표준 3 4 2 2 6 2 2 2" xfId="39597"/>
    <cellStyle name="표준 3 4 2 2 6 2 2 3" xfId="39598"/>
    <cellStyle name="표준 3 4 2 2 6 2 3" xfId="39599"/>
    <cellStyle name="표준 3 4 2 2 6 2 4" xfId="39600"/>
    <cellStyle name="표준 3 4 2 2 6 3" xfId="39601"/>
    <cellStyle name="표준 3 4 2 2 6 3 2" xfId="39602"/>
    <cellStyle name="표준 3 4 2 2 6 3 3" xfId="39603"/>
    <cellStyle name="표준 3 4 2 2 6 4" xfId="39604"/>
    <cellStyle name="표준 3 4 2 2 6 5" xfId="39605"/>
    <cellStyle name="표준 3 4 2 2 7" xfId="39606"/>
    <cellStyle name="표준 3 4 2 2 7 2" xfId="39607"/>
    <cellStyle name="표준 3 4 2 2 7 2 2" xfId="39608"/>
    <cellStyle name="표준 3 4 2 2 7 2 3" xfId="39609"/>
    <cellStyle name="표준 3 4 2 2 7 3" xfId="39610"/>
    <cellStyle name="표준 3 4 2 2 7 4" xfId="39611"/>
    <cellStyle name="표준 3 4 2 2 8" xfId="39612"/>
    <cellStyle name="표준 3 4 2 2 8 2" xfId="39613"/>
    <cellStyle name="표준 3 4 2 2 8 3" xfId="39614"/>
    <cellStyle name="표준 3 4 2 2 9" xfId="39615"/>
    <cellStyle name="표준 3 4 2 3" xfId="39616"/>
    <cellStyle name="표준 3 4 2 3 10" xfId="39617"/>
    <cellStyle name="표준 3 4 2 3 2" xfId="39618"/>
    <cellStyle name="표준 3 4 2 3 2 2" xfId="39619"/>
    <cellStyle name="표준 3 4 2 3 2 2 2" xfId="39620"/>
    <cellStyle name="표준 3 4 2 3 2 2 2 2" xfId="39621"/>
    <cellStyle name="표준 3 4 2 3 2 2 2 2 2" xfId="39622"/>
    <cellStyle name="표준 3 4 2 3 2 2 2 2 3" xfId="39623"/>
    <cellStyle name="표준 3 4 2 3 2 2 2 3" xfId="39624"/>
    <cellStyle name="표준 3 4 2 3 2 2 2 4" xfId="39625"/>
    <cellStyle name="표준 3 4 2 3 2 2 3" xfId="39626"/>
    <cellStyle name="표준 3 4 2 3 2 2 3 2" xfId="39627"/>
    <cellStyle name="표준 3 4 2 3 2 2 3 3" xfId="39628"/>
    <cellStyle name="표준 3 4 2 3 2 2 4" xfId="39629"/>
    <cellStyle name="표준 3 4 2 3 2 2 5" xfId="39630"/>
    <cellStyle name="표준 3 4 2 3 2 3" xfId="39631"/>
    <cellStyle name="표준 3 4 2 3 2 3 2" xfId="39632"/>
    <cellStyle name="표준 3 4 2 3 2 3 2 2" xfId="39633"/>
    <cellStyle name="표준 3 4 2 3 2 3 2 2 2" xfId="39634"/>
    <cellStyle name="표준 3 4 2 3 2 3 2 2 3" xfId="39635"/>
    <cellStyle name="표준 3 4 2 3 2 3 2 3" xfId="39636"/>
    <cellStyle name="표준 3 4 2 3 2 3 2 4" xfId="39637"/>
    <cellStyle name="표준 3 4 2 3 2 3 3" xfId="39638"/>
    <cellStyle name="표준 3 4 2 3 2 3 3 2" xfId="39639"/>
    <cellStyle name="표준 3 4 2 3 2 3 3 3" xfId="39640"/>
    <cellStyle name="표준 3 4 2 3 2 3 4" xfId="39641"/>
    <cellStyle name="표준 3 4 2 3 2 3 5" xfId="39642"/>
    <cellStyle name="표준 3 4 2 3 2 4" xfId="39643"/>
    <cellStyle name="표준 3 4 2 3 2 4 2" xfId="39644"/>
    <cellStyle name="표준 3 4 2 3 2 4 2 2" xfId="39645"/>
    <cellStyle name="표준 3 4 2 3 2 4 2 3" xfId="39646"/>
    <cellStyle name="표준 3 4 2 3 2 4 3" xfId="39647"/>
    <cellStyle name="표준 3 4 2 3 2 4 4" xfId="39648"/>
    <cellStyle name="표준 3 4 2 3 2 5" xfId="39649"/>
    <cellStyle name="표준 3 4 2 3 2 5 2" xfId="39650"/>
    <cellStyle name="표준 3 4 2 3 2 5 3" xfId="39651"/>
    <cellStyle name="표준 3 4 2 3 2 6" xfId="39652"/>
    <cellStyle name="표준 3 4 2 3 2 7" xfId="39653"/>
    <cellStyle name="표준 3 4 2 3 3" xfId="39654"/>
    <cellStyle name="표준 3 4 2 3 3 2" xfId="39655"/>
    <cellStyle name="표준 3 4 2 3 3 2 2" xfId="39656"/>
    <cellStyle name="표준 3 4 2 3 3 2 2 2" xfId="39657"/>
    <cellStyle name="표준 3 4 2 3 3 2 2 2 2" xfId="39658"/>
    <cellStyle name="표준 3 4 2 3 3 2 2 2 3" xfId="39659"/>
    <cellStyle name="표준 3 4 2 3 3 2 2 3" xfId="39660"/>
    <cellStyle name="표준 3 4 2 3 3 2 2 4" xfId="39661"/>
    <cellStyle name="표준 3 4 2 3 3 2 3" xfId="39662"/>
    <cellStyle name="표준 3 4 2 3 3 2 3 2" xfId="39663"/>
    <cellStyle name="표준 3 4 2 3 3 2 3 3" xfId="39664"/>
    <cellStyle name="표준 3 4 2 3 3 2 4" xfId="39665"/>
    <cellStyle name="표준 3 4 2 3 3 2 5" xfId="39666"/>
    <cellStyle name="표준 3 4 2 3 3 3" xfId="39667"/>
    <cellStyle name="표준 3 4 2 3 3 3 2" xfId="39668"/>
    <cellStyle name="표준 3 4 2 3 3 3 2 2" xfId="39669"/>
    <cellStyle name="표준 3 4 2 3 3 3 2 2 2" xfId="39670"/>
    <cellStyle name="표준 3 4 2 3 3 3 2 2 3" xfId="39671"/>
    <cellStyle name="표준 3 4 2 3 3 3 2 3" xfId="39672"/>
    <cellStyle name="표준 3 4 2 3 3 3 2 4" xfId="39673"/>
    <cellStyle name="표준 3 4 2 3 3 3 3" xfId="39674"/>
    <cellStyle name="표준 3 4 2 3 3 3 3 2" xfId="39675"/>
    <cellStyle name="표준 3 4 2 3 3 3 3 3" xfId="39676"/>
    <cellStyle name="표준 3 4 2 3 3 3 4" xfId="39677"/>
    <cellStyle name="표준 3 4 2 3 3 3 5" xfId="39678"/>
    <cellStyle name="표준 3 4 2 3 3 4" xfId="39679"/>
    <cellStyle name="표준 3 4 2 3 3 4 2" xfId="39680"/>
    <cellStyle name="표준 3 4 2 3 3 4 2 2" xfId="39681"/>
    <cellStyle name="표준 3 4 2 3 3 4 2 3" xfId="39682"/>
    <cellStyle name="표준 3 4 2 3 3 4 3" xfId="39683"/>
    <cellStyle name="표준 3 4 2 3 3 4 4" xfId="39684"/>
    <cellStyle name="표준 3 4 2 3 3 5" xfId="39685"/>
    <cellStyle name="표준 3 4 2 3 3 5 2" xfId="39686"/>
    <cellStyle name="표준 3 4 2 3 3 5 3" xfId="39687"/>
    <cellStyle name="표준 3 4 2 3 3 6" xfId="39688"/>
    <cellStyle name="표준 3 4 2 3 3 7" xfId="39689"/>
    <cellStyle name="표준 3 4 2 3 4" xfId="39690"/>
    <cellStyle name="표준 3 4 2 3 4 2" xfId="39691"/>
    <cellStyle name="표준 3 4 2 3 4 2 2" xfId="39692"/>
    <cellStyle name="표준 3 4 2 3 4 2 2 2" xfId="39693"/>
    <cellStyle name="표준 3 4 2 3 4 2 2 3" xfId="39694"/>
    <cellStyle name="표준 3 4 2 3 4 2 3" xfId="39695"/>
    <cellStyle name="표준 3 4 2 3 4 2 4" xfId="39696"/>
    <cellStyle name="표준 3 4 2 3 4 3" xfId="39697"/>
    <cellStyle name="표준 3 4 2 3 4 3 2" xfId="39698"/>
    <cellStyle name="표준 3 4 2 3 4 3 3" xfId="39699"/>
    <cellStyle name="표준 3 4 2 3 4 4" xfId="39700"/>
    <cellStyle name="표준 3 4 2 3 4 5" xfId="39701"/>
    <cellStyle name="표준 3 4 2 3 5" xfId="39702"/>
    <cellStyle name="표준 3 4 2 3 5 2" xfId="39703"/>
    <cellStyle name="표준 3 4 2 3 5 2 2" xfId="39704"/>
    <cellStyle name="표준 3 4 2 3 5 2 2 2" xfId="39705"/>
    <cellStyle name="표준 3 4 2 3 5 2 2 3" xfId="39706"/>
    <cellStyle name="표준 3 4 2 3 5 2 3" xfId="39707"/>
    <cellStyle name="표준 3 4 2 3 5 2 4" xfId="39708"/>
    <cellStyle name="표준 3 4 2 3 5 3" xfId="39709"/>
    <cellStyle name="표준 3 4 2 3 5 3 2" xfId="39710"/>
    <cellStyle name="표준 3 4 2 3 5 3 3" xfId="39711"/>
    <cellStyle name="표준 3 4 2 3 5 4" xfId="39712"/>
    <cellStyle name="표준 3 4 2 3 5 5" xfId="39713"/>
    <cellStyle name="표준 3 4 2 3 6" xfId="39714"/>
    <cellStyle name="표준 3 4 2 3 6 2" xfId="39715"/>
    <cellStyle name="표준 3 4 2 3 6 2 2" xfId="39716"/>
    <cellStyle name="표준 3 4 2 3 6 2 2 2" xfId="39717"/>
    <cellStyle name="표준 3 4 2 3 6 2 2 3" xfId="39718"/>
    <cellStyle name="표준 3 4 2 3 6 2 3" xfId="39719"/>
    <cellStyle name="표준 3 4 2 3 6 2 4" xfId="39720"/>
    <cellStyle name="표준 3 4 2 3 6 3" xfId="39721"/>
    <cellStyle name="표준 3 4 2 3 6 3 2" xfId="39722"/>
    <cellStyle name="표준 3 4 2 3 6 3 3" xfId="39723"/>
    <cellStyle name="표준 3 4 2 3 6 4" xfId="39724"/>
    <cellStyle name="표준 3 4 2 3 6 5" xfId="39725"/>
    <cellStyle name="표준 3 4 2 3 7" xfId="39726"/>
    <cellStyle name="표준 3 4 2 3 7 2" xfId="39727"/>
    <cellStyle name="표준 3 4 2 3 7 2 2" xfId="39728"/>
    <cellStyle name="표준 3 4 2 3 7 2 3" xfId="39729"/>
    <cellStyle name="표준 3 4 2 3 7 3" xfId="39730"/>
    <cellStyle name="표준 3 4 2 3 7 4" xfId="39731"/>
    <cellStyle name="표준 3 4 2 3 8" xfId="39732"/>
    <cellStyle name="표준 3 4 2 3 8 2" xfId="39733"/>
    <cellStyle name="표준 3 4 2 3 8 3" xfId="39734"/>
    <cellStyle name="표준 3 4 2 3 9" xfId="39735"/>
    <cellStyle name="표준 3 4 2 4" xfId="39736"/>
    <cellStyle name="표준 3 4 2 4 10" xfId="39737"/>
    <cellStyle name="표준 3 4 2 4 2" xfId="39738"/>
    <cellStyle name="표준 3 4 2 4 2 2" xfId="39739"/>
    <cellStyle name="표준 3 4 2 4 2 2 2" xfId="39740"/>
    <cellStyle name="표준 3 4 2 4 2 2 2 2" xfId="39741"/>
    <cellStyle name="표준 3 4 2 4 2 2 2 2 2" xfId="39742"/>
    <cellStyle name="표준 3 4 2 4 2 2 2 2 3" xfId="39743"/>
    <cellStyle name="표준 3 4 2 4 2 2 2 3" xfId="39744"/>
    <cellStyle name="표준 3 4 2 4 2 2 2 4" xfId="39745"/>
    <cellStyle name="표준 3 4 2 4 2 2 3" xfId="39746"/>
    <cellStyle name="표준 3 4 2 4 2 2 3 2" xfId="39747"/>
    <cellStyle name="표준 3 4 2 4 2 2 3 3" xfId="39748"/>
    <cellStyle name="표준 3 4 2 4 2 2 4" xfId="39749"/>
    <cellStyle name="표준 3 4 2 4 2 2 5" xfId="39750"/>
    <cellStyle name="표준 3 4 2 4 2 3" xfId="39751"/>
    <cellStyle name="표준 3 4 2 4 2 3 2" xfId="39752"/>
    <cellStyle name="표준 3 4 2 4 2 3 2 2" xfId="39753"/>
    <cellStyle name="표준 3 4 2 4 2 3 2 2 2" xfId="39754"/>
    <cellStyle name="표준 3 4 2 4 2 3 2 2 3" xfId="39755"/>
    <cellStyle name="표준 3 4 2 4 2 3 2 3" xfId="39756"/>
    <cellStyle name="표준 3 4 2 4 2 3 2 4" xfId="39757"/>
    <cellStyle name="표준 3 4 2 4 2 3 3" xfId="39758"/>
    <cellStyle name="표준 3 4 2 4 2 3 3 2" xfId="39759"/>
    <cellStyle name="표준 3 4 2 4 2 3 3 3" xfId="39760"/>
    <cellStyle name="표준 3 4 2 4 2 3 4" xfId="39761"/>
    <cellStyle name="표준 3 4 2 4 2 3 5" xfId="39762"/>
    <cellStyle name="표준 3 4 2 4 2 4" xfId="39763"/>
    <cellStyle name="표준 3 4 2 4 2 4 2" xfId="39764"/>
    <cellStyle name="표준 3 4 2 4 2 4 2 2" xfId="39765"/>
    <cellStyle name="표준 3 4 2 4 2 4 2 3" xfId="39766"/>
    <cellStyle name="표준 3 4 2 4 2 4 3" xfId="39767"/>
    <cellStyle name="표준 3 4 2 4 2 4 4" xfId="39768"/>
    <cellStyle name="표준 3 4 2 4 2 5" xfId="39769"/>
    <cellStyle name="표준 3 4 2 4 2 5 2" xfId="39770"/>
    <cellStyle name="표준 3 4 2 4 2 5 3" xfId="39771"/>
    <cellStyle name="표준 3 4 2 4 2 6" xfId="39772"/>
    <cellStyle name="표준 3 4 2 4 2 7" xfId="39773"/>
    <cellStyle name="표준 3 4 2 4 3" xfId="39774"/>
    <cellStyle name="표준 3 4 2 4 3 2" xfId="39775"/>
    <cellStyle name="표준 3 4 2 4 3 2 2" xfId="39776"/>
    <cellStyle name="표준 3 4 2 4 3 2 2 2" xfId="39777"/>
    <cellStyle name="표준 3 4 2 4 3 2 2 2 2" xfId="39778"/>
    <cellStyle name="표준 3 4 2 4 3 2 2 2 3" xfId="39779"/>
    <cellStyle name="표준 3 4 2 4 3 2 2 3" xfId="39780"/>
    <cellStyle name="표준 3 4 2 4 3 2 2 4" xfId="39781"/>
    <cellStyle name="표준 3 4 2 4 3 2 3" xfId="39782"/>
    <cellStyle name="표준 3 4 2 4 3 2 3 2" xfId="39783"/>
    <cellStyle name="표준 3 4 2 4 3 2 3 3" xfId="39784"/>
    <cellStyle name="표준 3 4 2 4 3 2 4" xfId="39785"/>
    <cellStyle name="표준 3 4 2 4 3 2 5" xfId="39786"/>
    <cellStyle name="표준 3 4 2 4 3 3" xfId="39787"/>
    <cellStyle name="표준 3 4 2 4 3 3 2" xfId="39788"/>
    <cellStyle name="표준 3 4 2 4 3 3 2 2" xfId="39789"/>
    <cellStyle name="표준 3 4 2 4 3 3 2 2 2" xfId="39790"/>
    <cellStyle name="표준 3 4 2 4 3 3 2 2 3" xfId="39791"/>
    <cellStyle name="표준 3 4 2 4 3 3 2 3" xfId="39792"/>
    <cellStyle name="표준 3 4 2 4 3 3 2 4" xfId="39793"/>
    <cellStyle name="표준 3 4 2 4 3 3 3" xfId="39794"/>
    <cellStyle name="표준 3 4 2 4 3 3 3 2" xfId="39795"/>
    <cellStyle name="표준 3 4 2 4 3 3 3 3" xfId="39796"/>
    <cellStyle name="표준 3 4 2 4 3 3 4" xfId="39797"/>
    <cellStyle name="표준 3 4 2 4 3 3 5" xfId="39798"/>
    <cellStyle name="표준 3 4 2 4 3 4" xfId="39799"/>
    <cellStyle name="표준 3 4 2 4 3 4 2" xfId="39800"/>
    <cellStyle name="표준 3 4 2 4 3 4 2 2" xfId="39801"/>
    <cellStyle name="표준 3 4 2 4 3 4 2 3" xfId="39802"/>
    <cellStyle name="표준 3 4 2 4 3 4 3" xfId="39803"/>
    <cellStyle name="표준 3 4 2 4 3 4 4" xfId="39804"/>
    <cellStyle name="표준 3 4 2 4 3 5" xfId="39805"/>
    <cellStyle name="표준 3 4 2 4 3 5 2" xfId="39806"/>
    <cellStyle name="표준 3 4 2 4 3 5 3" xfId="39807"/>
    <cellStyle name="표준 3 4 2 4 3 6" xfId="39808"/>
    <cellStyle name="표준 3 4 2 4 3 7" xfId="39809"/>
    <cellStyle name="표준 3 4 2 4 4" xfId="39810"/>
    <cellStyle name="표준 3 4 2 4 4 2" xfId="39811"/>
    <cellStyle name="표준 3 4 2 4 4 2 2" xfId="39812"/>
    <cellStyle name="표준 3 4 2 4 4 2 2 2" xfId="39813"/>
    <cellStyle name="표준 3 4 2 4 4 2 2 3" xfId="39814"/>
    <cellStyle name="표준 3 4 2 4 4 2 3" xfId="39815"/>
    <cellStyle name="표준 3 4 2 4 4 2 4" xfId="39816"/>
    <cellStyle name="표준 3 4 2 4 4 3" xfId="39817"/>
    <cellStyle name="표준 3 4 2 4 4 3 2" xfId="39818"/>
    <cellStyle name="표준 3 4 2 4 4 3 3" xfId="39819"/>
    <cellStyle name="표준 3 4 2 4 4 4" xfId="39820"/>
    <cellStyle name="표준 3 4 2 4 4 5" xfId="39821"/>
    <cellStyle name="표준 3 4 2 4 5" xfId="39822"/>
    <cellStyle name="표준 3 4 2 4 5 2" xfId="39823"/>
    <cellStyle name="표준 3 4 2 4 5 2 2" xfId="39824"/>
    <cellStyle name="표준 3 4 2 4 5 2 2 2" xfId="39825"/>
    <cellStyle name="표준 3 4 2 4 5 2 2 3" xfId="39826"/>
    <cellStyle name="표준 3 4 2 4 5 2 3" xfId="39827"/>
    <cellStyle name="표준 3 4 2 4 5 2 4" xfId="39828"/>
    <cellStyle name="표준 3 4 2 4 5 3" xfId="39829"/>
    <cellStyle name="표준 3 4 2 4 5 3 2" xfId="39830"/>
    <cellStyle name="표준 3 4 2 4 5 3 3" xfId="39831"/>
    <cellStyle name="표준 3 4 2 4 5 4" xfId="39832"/>
    <cellStyle name="표준 3 4 2 4 5 5" xfId="39833"/>
    <cellStyle name="표준 3 4 2 4 6" xfId="39834"/>
    <cellStyle name="표준 3 4 2 4 6 2" xfId="39835"/>
    <cellStyle name="표준 3 4 2 4 6 2 2" xfId="39836"/>
    <cellStyle name="표준 3 4 2 4 6 2 2 2" xfId="39837"/>
    <cellStyle name="표준 3 4 2 4 6 2 2 3" xfId="39838"/>
    <cellStyle name="표준 3 4 2 4 6 2 3" xfId="39839"/>
    <cellStyle name="표준 3 4 2 4 6 2 4" xfId="39840"/>
    <cellStyle name="표준 3 4 2 4 6 3" xfId="39841"/>
    <cellStyle name="표준 3 4 2 4 6 3 2" xfId="39842"/>
    <cellStyle name="표준 3 4 2 4 6 3 3" xfId="39843"/>
    <cellStyle name="표준 3 4 2 4 6 4" xfId="39844"/>
    <cellStyle name="표준 3 4 2 4 6 5" xfId="39845"/>
    <cellStyle name="표준 3 4 2 4 7" xfId="39846"/>
    <cellStyle name="표준 3 4 2 4 7 2" xfId="39847"/>
    <cellStyle name="표준 3 4 2 4 7 2 2" xfId="39848"/>
    <cellStyle name="표준 3 4 2 4 7 2 3" xfId="39849"/>
    <cellStyle name="표준 3 4 2 4 7 3" xfId="39850"/>
    <cellStyle name="표준 3 4 2 4 7 4" xfId="39851"/>
    <cellStyle name="표준 3 4 2 4 8" xfId="39852"/>
    <cellStyle name="표준 3 4 2 4 8 2" xfId="39853"/>
    <cellStyle name="표준 3 4 2 4 8 3" xfId="39854"/>
    <cellStyle name="표준 3 4 2 4 9" xfId="39855"/>
    <cellStyle name="표준 3 4 2 5" xfId="39856"/>
    <cellStyle name="표준 3 4 2 5 2" xfId="39857"/>
    <cellStyle name="표준 3 4 2 5 2 2" xfId="39858"/>
    <cellStyle name="표준 3 4 2 5 2 2 2" xfId="39859"/>
    <cellStyle name="표준 3 4 2 5 2 2 2 2" xfId="39860"/>
    <cellStyle name="표준 3 4 2 5 2 2 2 3" xfId="39861"/>
    <cellStyle name="표준 3 4 2 5 2 2 3" xfId="39862"/>
    <cellStyle name="표준 3 4 2 5 2 2 4" xfId="39863"/>
    <cellStyle name="표준 3 4 2 5 2 3" xfId="39864"/>
    <cellStyle name="표준 3 4 2 5 2 3 2" xfId="39865"/>
    <cellStyle name="표준 3 4 2 5 2 3 3" xfId="39866"/>
    <cellStyle name="표준 3 4 2 5 2 4" xfId="39867"/>
    <cellStyle name="표준 3 4 2 5 2 5" xfId="39868"/>
    <cellStyle name="표준 3 4 2 5 3" xfId="39869"/>
    <cellStyle name="표준 3 4 2 5 3 2" xfId="39870"/>
    <cellStyle name="표준 3 4 2 5 3 2 2" xfId="39871"/>
    <cellStyle name="표준 3 4 2 5 3 2 2 2" xfId="39872"/>
    <cellStyle name="표준 3 4 2 5 3 2 2 3" xfId="39873"/>
    <cellStyle name="표준 3 4 2 5 3 2 3" xfId="39874"/>
    <cellStyle name="표준 3 4 2 5 3 2 4" xfId="39875"/>
    <cellStyle name="표준 3 4 2 5 3 3" xfId="39876"/>
    <cellStyle name="표준 3 4 2 5 3 3 2" xfId="39877"/>
    <cellStyle name="표준 3 4 2 5 3 3 3" xfId="39878"/>
    <cellStyle name="표준 3 4 2 5 3 4" xfId="39879"/>
    <cellStyle name="표준 3 4 2 5 3 5" xfId="39880"/>
    <cellStyle name="표준 3 4 2 5 4" xfId="39881"/>
    <cellStyle name="표준 3 4 2 5 4 2" xfId="39882"/>
    <cellStyle name="표준 3 4 2 5 4 2 2" xfId="39883"/>
    <cellStyle name="표준 3 4 2 5 4 2 3" xfId="39884"/>
    <cellStyle name="표준 3 4 2 5 4 3" xfId="39885"/>
    <cellStyle name="표준 3 4 2 5 4 4" xfId="39886"/>
    <cellStyle name="표준 3 4 2 5 5" xfId="39887"/>
    <cellStyle name="표준 3 4 2 5 5 2" xfId="39888"/>
    <cellStyle name="표준 3 4 2 5 5 3" xfId="39889"/>
    <cellStyle name="표준 3 4 2 5 6" xfId="39890"/>
    <cellStyle name="표준 3 4 2 5 7" xfId="39891"/>
    <cellStyle name="표준 3 4 2 6" xfId="39892"/>
    <cellStyle name="표준 3 4 2 6 2" xfId="39893"/>
    <cellStyle name="표준 3 4 2 6 2 2" xfId="39894"/>
    <cellStyle name="표준 3 4 2 6 2 2 2" xfId="39895"/>
    <cellStyle name="표준 3 4 2 6 2 2 2 2" xfId="39896"/>
    <cellStyle name="표준 3 4 2 6 2 2 2 3" xfId="39897"/>
    <cellStyle name="표준 3 4 2 6 2 2 3" xfId="39898"/>
    <cellStyle name="표준 3 4 2 6 2 2 4" xfId="39899"/>
    <cellStyle name="표준 3 4 2 6 2 3" xfId="39900"/>
    <cellStyle name="표준 3 4 2 6 2 3 2" xfId="39901"/>
    <cellStyle name="표준 3 4 2 6 2 3 3" xfId="39902"/>
    <cellStyle name="표준 3 4 2 6 2 4" xfId="39903"/>
    <cellStyle name="표준 3 4 2 6 2 5" xfId="39904"/>
    <cellStyle name="표준 3 4 2 6 3" xfId="39905"/>
    <cellStyle name="표준 3 4 2 6 3 2" xfId="39906"/>
    <cellStyle name="표준 3 4 2 6 3 2 2" xfId="39907"/>
    <cellStyle name="표준 3 4 2 6 3 2 2 2" xfId="39908"/>
    <cellStyle name="표준 3 4 2 6 3 2 2 3" xfId="39909"/>
    <cellStyle name="표준 3 4 2 6 3 2 3" xfId="39910"/>
    <cellStyle name="표준 3 4 2 6 3 2 4" xfId="39911"/>
    <cellStyle name="표준 3 4 2 6 3 3" xfId="39912"/>
    <cellStyle name="표준 3 4 2 6 3 3 2" xfId="39913"/>
    <cellStyle name="표준 3 4 2 6 3 3 3" xfId="39914"/>
    <cellStyle name="표준 3 4 2 6 3 4" xfId="39915"/>
    <cellStyle name="표준 3 4 2 6 3 5" xfId="39916"/>
    <cellStyle name="표준 3 4 2 6 4" xfId="39917"/>
    <cellStyle name="표준 3 4 2 6 4 2" xfId="39918"/>
    <cellStyle name="표준 3 4 2 6 4 2 2" xfId="39919"/>
    <cellStyle name="표준 3 4 2 6 4 2 3" xfId="39920"/>
    <cellStyle name="표준 3 4 2 6 4 3" xfId="39921"/>
    <cellStyle name="표준 3 4 2 6 4 4" xfId="39922"/>
    <cellStyle name="표준 3 4 2 6 5" xfId="39923"/>
    <cellStyle name="표준 3 4 2 6 5 2" xfId="39924"/>
    <cellStyle name="표준 3 4 2 6 5 3" xfId="39925"/>
    <cellStyle name="표준 3 4 2 6 6" xfId="39926"/>
    <cellStyle name="표준 3 4 2 6 7" xfId="39927"/>
    <cellStyle name="표준 3 4 2 7" xfId="39928"/>
    <cellStyle name="표준 3 4 2 7 2" xfId="39929"/>
    <cellStyle name="표준 3 4 2 7 2 2" xfId="39930"/>
    <cellStyle name="표준 3 4 2 7 2 2 2" xfId="39931"/>
    <cellStyle name="표준 3 4 2 7 2 2 3" xfId="39932"/>
    <cellStyle name="표준 3 4 2 7 2 3" xfId="39933"/>
    <cellStyle name="표준 3 4 2 7 2 4" xfId="39934"/>
    <cellStyle name="표준 3 4 2 7 3" xfId="39935"/>
    <cellStyle name="표준 3 4 2 7 3 2" xfId="39936"/>
    <cellStyle name="표준 3 4 2 7 3 3" xfId="39937"/>
    <cellStyle name="표준 3 4 2 7 4" xfId="39938"/>
    <cellStyle name="표준 3 4 2 7 5" xfId="39939"/>
    <cellStyle name="표준 3 4 2 8" xfId="39940"/>
    <cellStyle name="표준 3 4 2 8 2" xfId="39941"/>
    <cellStyle name="표준 3 4 2 8 2 2" xfId="39942"/>
    <cellStyle name="표준 3 4 2 8 2 2 2" xfId="39943"/>
    <cellStyle name="표준 3 4 2 8 2 2 3" xfId="39944"/>
    <cellStyle name="표준 3 4 2 8 2 3" xfId="39945"/>
    <cellStyle name="표준 3 4 2 8 2 4" xfId="39946"/>
    <cellStyle name="표준 3 4 2 8 3" xfId="39947"/>
    <cellStyle name="표준 3 4 2 8 3 2" xfId="39948"/>
    <cellStyle name="표준 3 4 2 8 3 3" xfId="39949"/>
    <cellStyle name="표준 3 4 2 8 4" xfId="39950"/>
    <cellStyle name="표준 3 4 2 8 5" xfId="39951"/>
    <cellStyle name="표준 3 4 2 9" xfId="39952"/>
    <cellStyle name="표준 3 4 2 9 2" xfId="39953"/>
    <cellStyle name="표준 3 4 2 9 2 2" xfId="39954"/>
    <cellStyle name="표준 3 4 2 9 2 2 2" xfId="39955"/>
    <cellStyle name="표준 3 4 2 9 2 2 3" xfId="39956"/>
    <cellStyle name="표준 3 4 2 9 2 3" xfId="39957"/>
    <cellStyle name="표준 3 4 2 9 2 4" xfId="39958"/>
    <cellStyle name="표준 3 4 2 9 3" xfId="39959"/>
    <cellStyle name="표준 3 4 2 9 3 2" xfId="39960"/>
    <cellStyle name="표준 3 4 2 9 3 3" xfId="39961"/>
    <cellStyle name="표준 3 4 2 9 4" xfId="39962"/>
    <cellStyle name="표준 3 4 2 9 5" xfId="39963"/>
    <cellStyle name="표준 3 4 3" xfId="39964"/>
    <cellStyle name="표준 3 4 3 10" xfId="39965"/>
    <cellStyle name="표준 3 4 3 2" xfId="39966"/>
    <cellStyle name="표준 3 4 3 2 2" xfId="39967"/>
    <cellStyle name="표준 3 4 3 2 2 2" xfId="39968"/>
    <cellStyle name="표준 3 4 3 2 2 2 2" xfId="39969"/>
    <cellStyle name="표준 3 4 3 2 2 2 2 2" xfId="39970"/>
    <cellStyle name="표준 3 4 3 2 2 2 2 3" xfId="39971"/>
    <cellStyle name="표준 3 4 3 2 2 2 3" xfId="39972"/>
    <cellStyle name="표준 3 4 3 2 2 2 4" xfId="39973"/>
    <cellStyle name="표준 3 4 3 2 2 3" xfId="39974"/>
    <cellStyle name="표준 3 4 3 2 2 3 2" xfId="39975"/>
    <cellStyle name="표준 3 4 3 2 2 3 3" xfId="39976"/>
    <cellStyle name="표준 3 4 3 2 2 4" xfId="39977"/>
    <cellStyle name="표준 3 4 3 2 2 5" xfId="39978"/>
    <cellStyle name="표준 3 4 3 2 3" xfId="39979"/>
    <cellStyle name="표준 3 4 3 2 3 2" xfId="39980"/>
    <cellStyle name="표준 3 4 3 2 3 2 2" xfId="39981"/>
    <cellStyle name="표준 3 4 3 2 3 2 2 2" xfId="39982"/>
    <cellStyle name="표준 3 4 3 2 3 2 2 3" xfId="39983"/>
    <cellStyle name="표준 3 4 3 2 3 2 3" xfId="39984"/>
    <cellStyle name="표준 3 4 3 2 3 2 4" xfId="39985"/>
    <cellStyle name="표준 3 4 3 2 3 3" xfId="39986"/>
    <cellStyle name="표준 3 4 3 2 3 3 2" xfId="39987"/>
    <cellStyle name="표준 3 4 3 2 3 3 3" xfId="39988"/>
    <cellStyle name="표준 3 4 3 2 3 4" xfId="39989"/>
    <cellStyle name="표준 3 4 3 2 3 5" xfId="39990"/>
    <cellStyle name="표준 3 4 3 2 4" xfId="39991"/>
    <cellStyle name="표준 3 4 3 2 4 2" xfId="39992"/>
    <cellStyle name="표준 3 4 3 2 4 2 2" xfId="39993"/>
    <cellStyle name="표준 3 4 3 2 4 2 3" xfId="39994"/>
    <cellStyle name="표준 3 4 3 2 4 3" xfId="39995"/>
    <cellStyle name="표준 3 4 3 2 4 4" xfId="39996"/>
    <cellStyle name="표준 3 4 3 2 5" xfId="39997"/>
    <cellStyle name="표준 3 4 3 2 5 2" xfId="39998"/>
    <cellStyle name="표준 3 4 3 2 5 3" xfId="39999"/>
    <cellStyle name="표준 3 4 3 2 6" xfId="40000"/>
    <cellStyle name="표준 3 4 3 2 7" xfId="40001"/>
    <cellStyle name="표준 3 4 3 3" xfId="40002"/>
    <cellStyle name="표준 3 4 3 3 2" xfId="40003"/>
    <cellStyle name="표준 3 4 3 3 2 2" xfId="40004"/>
    <cellStyle name="표준 3 4 3 3 2 2 2" xfId="40005"/>
    <cellStyle name="표준 3 4 3 3 2 2 2 2" xfId="40006"/>
    <cellStyle name="표준 3 4 3 3 2 2 2 3" xfId="40007"/>
    <cellStyle name="표준 3 4 3 3 2 2 3" xfId="40008"/>
    <cellStyle name="표준 3 4 3 3 2 2 4" xfId="40009"/>
    <cellStyle name="표준 3 4 3 3 2 3" xfId="40010"/>
    <cellStyle name="표준 3 4 3 3 2 3 2" xfId="40011"/>
    <cellStyle name="표준 3 4 3 3 2 3 3" xfId="40012"/>
    <cellStyle name="표준 3 4 3 3 2 4" xfId="40013"/>
    <cellStyle name="표준 3 4 3 3 2 5" xfId="40014"/>
    <cellStyle name="표준 3 4 3 3 3" xfId="40015"/>
    <cellStyle name="표준 3 4 3 3 3 2" xfId="40016"/>
    <cellStyle name="표준 3 4 3 3 3 2 2" xfId="40017"/>
    <cellStyle name="표준 3 4 3 3 3 2 2 2" xfId="40018"/>
    <cellStyle name="표준 3 4 3 3 3 2 2 3" xfId="40019"/>
    <cellStyle name="표준 3 4 3 3 3 2 3" xfId="40020"/>
    <cellStyle name="표준 3 4 3 3 3 2 4" xfId="40021"/>
    <cellStyle name="표준 3 4 3 3 3 3" xfId="40022"/>
    <cellStyle name="표준 3 4 3 3 3 3 2" xfId="40023"/>
    <cellStyle name="표준 3 4 3 3 3 3 3" xfId="40024"/>
    <cellStyle name="표준 3 4 3 3 3 4" xfId="40025"/>
    <cellStyle name="표준 3 4 3 3 3 5" xfId="40026"/>
    <cellStyle name="표준 3 4 3 3 4" xfId="40027"/>
    <cellStyle name="표준 3 4 3 3 4 2" xfId="40028"/>
    <cellStyle name="표준 3 4 3 3 4 2 2" xfId="40029"/>
    <cellStyle name="표준 3 4 3 3 4 2 3" xfId="40030"/>
    <cellStyle name="표준 3 4 3 3 4 3" xfId="40031"/>
    <cellStyle name="표준 3 4 3 3 4 4" xfId="40032"/>
    <cellStyle name="표준 3 4 3 3 5" xfId="40033"/>
    <cellStyle name="표준 3 4 3 3 5 2" xfId="40034"/>
    <cellStyle name="표준 3 4 3 3 5 3" xfId="40035"/>
    <cellStyle name="표준 3 4 3 3 6" xfId="40036"/>
    <cellStyle name="표준 3 4 3 3 7" xfId="40037"/>
    <cellStyle name="표준 3 4 3 4" xfId="40038"/>
    <cellStyle name="표준 3 4 3 4 2" xfId="40039"/>
    <cellStyle name="표준 3 4 3 4 2 2" xfId="40040"/>
    <cellStyle name="표준 3 4 3 4 2 2 2" xfId="40041"/>
    <cellStyle name="표준 3 4 3 4 2 2 3" xfId="40042"/>
    <cellStyle name="표준 3 4 3 4 2 3" xfId="40043"/>
    <cellStyle name="표준 3 4 3 4 2 4" xfId="40044"/>
    <cellStyle name="표준 3 4 3 4 3" xfId="40045"/>
    <cellStyle name="표준 3 4 3 4 3 2" xfId="40046"/>
    <cellStyle name="표준 3 4 3 4 3 3" xfId="40047"/>
    <cellStyle name="표준 3 4 3 4 4" xfId="40048"/>
    <cellStyle name="표준 3 4 3 4 5" xfId="40049"/>
    <cellStyle name="표준 3 4 3 5" xfId="40050"/>
    <cellStyle name="표준 3 4 3 5 2" xfId="40051"/>
    <cellStyle name="표준 3 4 3 5 2 2" xfId="40052"/>
    <cellStyle name="표준 3 4 3 5 2 2 2" xfId="40053"/>
    <cellStyle name="표준 3 4 3 5 2 2 3" xfId="40054"/>
    <cellStyle name="표준 3 4 3 5 2 3" xfId="40055"/>
    <cellStyle name="표준 3 4 3 5 2 4" xfId="40056"/>
    <cellStyle name="표준 3 4 3 5 3" xfId="40057"/>
    <cellStyle name="표준 3 4 3 5 3 2" xfId="40058"/>
    <cellStyle name="표준 3 4 3 5 3 3" xfId="40059"/>
    <cellStyle name="표준 3 4 3 5 4" xfId="40060"/>
    <cellStyle name="표준 3 4 3 5 5" xfId="40061"/>
    <cellStyle name="표준 3 4 3 6" xfId="40062"/>
    <cellStyle name="표준 3 4 3 6 2" xfId="40063"/>
    <cellStyle name="표준 3 4 3 6 2 2" xfId="40064"/>
    <cellStyle name="표준 3 4 3 6 2 2 2" xfId="40065"/>
    <cellStyle name="표준 3 4 3 6 2 2 3" xfId="40066"/>
    <cellStyle name="표준 3 4 3 6 2 3" xfId="40067"/>
    <cellStyle name="표준 3 4 3 6 2 4" xfId="40068"/>
    <cellStyle name="표준 3 4 3 6 3" xfId="40069"/>
    <cellStyle name="표준 3 4 3 6 3 2" xfId="40070"/>
    <cellStyle name="표준 3 4 3 6 3 3" xfId="40071"/>
    <cellStyle name="표준 3 4 3 6 4" xfId="40072"/>
    <cellStyle name="표준 3 4 3 6 5" xfId="40073"/>
    <cellStyle name="표준 3 4 3 7" xfId="40074"/>
    <cellStyle name="표준 3 4 3 7 2" xfId="40075"/>
    <cellStyle name="표준 3 4 3 7 2 2" xfId="40076"/>
    <cellStyle name="표준 3 4 3 7 2 3" xfId="40077"/>
    <cellStyle name="표준 3 4 3 7 3" xfId="40078"/>
    <cellStyle name="표준 3 4 3 7 4" xfId="40079"/>
    <cellStyle name="표준 3 4 3 8" xfId="40080"/>
    <cellStyle name="표준 3 4 3 8 2" xfId="40081"/>
    <cellStyle name="표준 3 4 3 8 3" xfId="40082"/>
    <cellStyle name="표준 3 4 3 9" xfId="40083"/>
    <cellStyle name="표준 3 4 4" xfId="40084"/>
    <cellStyle name="표준 3 4 4 10" xfId="40085"/>
    <cellStyle name="표준 3 4 4 2" xfId="40086"/>
    <cellStyle name="표준 3 4 4 2 2" xfId="40087"/>
    <cellStyle name="표준 3 4 4 2 2 2" xfId="40088"/>
    <cellStyle name="표준 3 4 4 2 2 2 2" xfId="40089"/>
    <cellStyle name="표준 3 4 4 2 2 2 2 2" xfId="40090"/>
    <cellStyle name="표준 3 4 4 2 2 2 2 3" xfId="40091"/>
    <cellStyle name="표준 3 4 4 2 2 2 3" xfId="40092"/>
    <cellStyle name="표준 3 4 4 2 2 2 4" xfId="40093"/>
    <cellStyle name="표준 3 4 4 2 2 3" xfId="40094"/>
    <cellStyle name="표준 3 4 4 2 2 3 2" xfId="40095"/>
    <cellStyle name="표준 3 4 4 2 2 3 3" xfId="40096"/>
    <cellStyle name="표준 3 4 4 2 2 4" xfId="40097"/>
    <cellStyle name="표준 3 4 4 2 2 5" xfId="40098"/>
    <cellStyle name="표준 3 4 4 2 3" xfId="40099"/>
    <cellStyle name="표준 3 4 4 2 3 2" xfId="40100"/>
    <cellStyle name="표준 3 4 4 2 3 2 2" xfId="40101"/>
    <cellStyle name="표준 3 4 4 2 3 2 2 2" xfId="40102"/>
    <cellStyle name="표준 3 4 4 2 3 2 2 3" xfId="40103"/>
    <cellStyle name="표준 3 4 4 2 3 2 3" xfId="40104"/>
    <cellStyle name="표준 3 4 4 2 3 2 4" xfId="40105"/>
    <cellStyle name="표준 3 4 4 2 3 3" xfId="40106"/>
    <cellStyle name="표준 3 4 4 2 3 3 2" xfId="40107"/>
    <cellStyle name="표준 3 4 4 2 3 3 3" xfId="40108"/>
    <cellStyle name="표준 3 4 4 2 3 4" xfId="40109"/>
    <cellStyle name="표준 3 4 4 2 3 5" xfId="40110"/>
    <cellStyle name="표준 3 4 4 2 4" xfId="40111"/>
    <cellStyle name="표준 3 4 4 2 4 2" xfId="40112"/>
    <cellStyle name="표준 3 4 4 2 4 2 2" xfId="40113"/>
    <cellStyle name="표준 3 4 4 2 4 2 3" xfId="40114"/>
    <cellStyle name="표준 3 4 4 2 4 3" xfId="40115"/>
    <cellStyle name="표준 3 4 4 2 4 4" xfId="40116"/>
    <cellStyle name="표준 3 4 4 2 5" xfId="40117"/>
    <cellStyle name="표준 3 4 4 2 5 2" xfId="40118"/>
    <cellStyle name="표준 3 4 4 2 5 3" xfId="40119"/>
    <cellStyle name="표준 3 4 4 2 6" xfId="40120"/>
    <cellStyle name="표준 3 4 4 2 7" xfId="40121"/>
    <cellStyle name="표준 3 4 4 3" xfId="40122"/>
    <cellStyle name="표준 3 4 4 3 2" xfId="40123"/>
    <cellStyle name="표준 3 4 4 3 2 2" xfId="40124"/>
    <cellStyle name="표준 3 4 4 3 2 2 2" xfId="40125"/>
    <cellStyle name="표준 3 4 4 3 2 2 2 2" xfId="40126"/>
    <cellStyle name="표준 3 4 4 3 2 2 2 3" xfId="40127"/>
    <cellStyle name="표준 3 4 4 3 2 2 3" xfId="40128"/>
    <cellStyle name="표준 3 4 4 3 2 2 4" xfId="40129"/>
    <cellStyle name="표준 3 4 4 3 2 3" xfId="40130"/>
    <cellStyle name="표준 3 4 4 3 2 3 2" xfId="40131"/>
    <cellStyle name="표준 3 4 4 3 2 3 3" xfId="40132"/>
    <cellStyle name="표준 3 4 4 3 2 4" xfId="40133"/>
    <cellStyle name="표준 3 4 4 3 2 5" xfId="40134"/>
    <cellStyle name="표준 3 4 4 3 3" xfId="40135"/>
    <cellStyle name="표준 3 4 4 3 3 2" xfId="40136"/>
    <cellStyle name="표준 3 4 4 3 3 2 2" xfId="40137"/>
    <cellStyle name="표준 3 4 4 3 3 2 2 2" xfId="40138"/>
    <cellStyle name="표준 3 4 4 3 3 2 2 3" xfId="40139"/>
    <cellStyle name="표준 3 4 4 3 3 2 3" xfId="40140"/>
    <cellStyle name="표준 3 4 4 3 3 2 4" xfId="40141"/>
    <cellStyle name="표준 3 4 4 3 3 3" xfId="40142"/>
    <cellStyle name="표준 3 4 4 3 3 3 2" xfId="40143"/>
    <cellStyle name="표준 3 4 4 3 3 3 3" xfId="40144"/>
    <cellStyle name="표준 3 4 4 3 3 4" xfId="40145"/>
    <cellStyle name="표준 3 4 4 3 3 5" xfId="40146"/>
    <cellStyle name="표준 3 4 4 3 4" xfId="40147"/>
    <cellStyle name="표준 3 4 4 3 4 2" xfId="40148"/>
    <cellStyle name="표준 3 4 4 3 4 2 2" xfId="40149"/>
    <cellStyle name="표준 3 4 4 3 4 2 3" xfId="40150"/>
    <cellStyle name="표준 3 4 4 3 4 3" xfId="40151"/>
    <cellStyle name="표준 3 4 4 3 4 4" xfId="40152"/>
    <cellStyle name="표준 3 4 4 3 5" xfId="40153"/>
    <cellStyle name="표준 3 4 4 3 5 2" xfId="40154"/>
    <cellStyle name="표준 3 4 4 3 5 3" xfId="40155"/>
    <cellStyle name="표준 3 4 4 3 6" xfId="40156"/>
    <cellStyle name="표준 3 4 4 3 7" xfId="40157"/>
    <cellStyle name="표준 3 4 4 4" xfId="40158"/>
    <cellStyle name="표준 3 4 4 4 2" xfId="40159"/>
    <cellStyle name="표준 3 4 4 4 2 2" xfId="40160"/>
    <cellStyle name="표준 3 4 4 4 2 2 2" xfId="40161"/>
    <cellStyle name="표준 3 4 4 4 2 2 3" xfId="40162"/>
    <cellStyle name="표준 3 4 4 4 2 3" xfId="40163"/>
    <cellStyle name="표준 3 4 4 4 2 4" xfId="40164"/>
    <cellStyle name="표준 3 4 4 4 3" xfId="40165"/>
    <cellStyle name="표준 3 4 4 4 3 2" xfId="40166"/>
    <cellStyle name="표준 3 4 4 4 3 3" xfId="40167"/>
    <cellStyle name="표준 3 4 4 4 4" xfId="40168"/>
    <cellStyle name="표준 3 4 4 4 5" xfId="40169"/>
    <cellStyle name="표준 3 4 4 5" xfId="40170"/>
    <cellStyle name="표준 3 4 4 5 2" xfId="40171"/>
    <cellStyle name="표준 3 4 4 5 2 2" xfId="40172"/>
    <cellStyle name="표준 3 4 4 5 2 2 2" xfId="40173"/>
    <cellStyle name="표준 3 4 4 5 2 2 3" xfId="40174"/>
    <cellStyle name="표준 3 4 4 5 2 3" xfId="40175"/>
    <cellStyle name="표준 3 4 4 5 2 4" xfId="40176"/>
    <cellStyle name="표준 3 4 4 5 3" xfId="40177"/>
    <cellStyle name="표준 3 4 4 5 3 2" xfId="40178"/>
    <cellStyle name="표준 3 4 4 5 3 3" xfId="40179"/>
    <cellStyle name="표준 3 4 4 5 4" xfId="40180"/>
    <cellStyle name="표준 3 4 4 5 5" xfId="40181"/>
    <cellStyle name="표준 3 4 4 6" xfId="40182"/>
    <cellStyle name="표준 3 4 4 6 2" xfId="40183"/>
    <cellStyle name="표준 3 4 4 6 2 2" xfId="40184"/>
    <cellStyle name="표준 3 4 4 6 2 2 2" xfId="40185"/>
    <cellStyle name="표준 3 4 4 6 2 2 3" xfId="40186"/>
    <cellStyle name="표준 3 4 4 6 2 3" xfId="40187"/>
    <cellStyle name="표준 3 4 4 6 2 4" xfId="40188"/>
    <cellStyle name="표준 3 4 4 6 3" xfId="40189"/>
    <cellStyle name="표준 3 4 4 6 3 2" xfId="40190"/>
    <cellStyle name="표준 3 4 4 6 3 3" xfId="40191"/>
    <cellStyle name="표준 3 4 4 6 4" xfId="40192"/>
    <cellStyle name="표준 3 4 4 6 5" xfId="40193"/>
    <cellStyle name="표준 3 4 4 7" xfId="40194"/>
    <cellStyle name="표준 3 4 4 7 2" xfId="40195"/>
    <cellStyle name="표준 3 4 4 7 2 2" xfId="40196"/>
    <cellStyle name="표준 3 4 4 7 2 3" xfId="40197"/>
    <cellStyle name="표준 3 4 4 7 3" xfId="40198"/>
    <cellStyle name="표준 3 4 4 7 4" xfId="40199"/>
    <cellStyle name="표준 3 4 4 8" xfId="40200"/>
    <cellStyle name="표준 3 4 4 8 2" xfId="40201"/>
    <cellStyle name="표준 3 4 4 8 3" xfId="40202"/>
    <cellStyle name="표준 3 4 4 9" xfId="40203"/>
    <cellStyle name="표준 3 4 5" xfId="40204"/>
    <cellStyle name="표준 3 4 5 10" xfId="40205"/>
    <cellStyle name="표준 3 4 5 2" xfId="40206"/>
    <cellStyle name="표준 3 4 5 2 2" xfId="40207"/>
    <cellStyle name="표준 3 4 5 2 2 2" xfId="40208"/>
    <cellStyle name="표준 3 4 5 2 2 2 2" xfId="40209"/>
    <cellStyle name="표준 3 4 5 2 2 2 2 2" xfId="40210"/>
    <cellStyle name="표준 3 4 5 2 2 2 2 3" xfId="40211"/>
    <cellStyle name="표준 3 4 5 2 2 2 3" xfId="40212"/>
    <cellStyle name="표준 3 4 5 2 2 2 4" xfId="40213"/>
    <cellStyle name="표준 3 4 5 2 2 3" xfId="40214"/>
    <cellStyle name="표준 3 4 5 2 2 3 2" xfId="40215"/>
    <cellStyle name="표준 3 4 5 2 2 3 3" xfId="40216"/>
    <cellStyle name="표준 3 4 5 2 2 4" xfId="40217"/>
    <cellStyle name="표준 3 4 5 2 2 5" xfId="40218"/>
    <cellStyle name="표준 3 4 5 2 3" xfId="40219"/>
    <cellStyle name="표준 3 4 5 2 3 2" xfId="40220"/>
    <cellStyle name="표준 3 4 5 2 3 2 2" xfId="40221"/>
    <cellStyle name="표준 3 4 5 2 3 2 2 2" xfId="40222"/>
    <cellStyle name="표준 3 4 5 2 3 2 2 3" xfId="40223"/>
    <cellStyle name="표준 3 4 5 2 3 2 3" xfId="40224"/>
    <cellStyle name="표준 3 4 5 2 3 2 4" xfId="40225"/>
    <cellStyle name="표준 3 4 5 2 3 3" xfId="40226"/>
    <cellStyle name="표준 3 4 5 2 3 3 2" xfId="40227"/>
    <cellStyle name="표준 3 4 5 2 3 3 3" xfId="40228"/>
    <cellStyle name="표준 3 4 5 2 3 4" xfId="40229"/>
    <cellStyle name="표준 3 4 5 2 3 5" xfId="40230"/>
    <cellStyle name="표준 3 4 5 2 4" xfId="40231"/>
    <cellStyle name="표준 3 4 5 2 4 2" xfId="40232"/>
    <cellStyle name="표준 3 4 5 2 4 2 2" xfId="40233"/>
    <cellStyle name="표준 3 4 5 2 4 2 3" xfId="40234"/>
    <cellStyle name="표준 3 4 5 2 4 3" xfId="40235"/>
    <cellStyle name="표준 3 4 5 2 4 4" xfId="40236"/>
    <cellStyle name="표준 3 4 5 2 5" xfId="40237"/>
    <cellStyle name="표준 3 4 5 2 5 2" xfId="40238"/>
    <cellStyle name="표준 3 4 5 2 5 3" xfId="40239"/>
    <cellStyle name="표준 3 4 5 2 6" xfId="40240"/>
    <cellStyle name="표준 3 4 5 2 7" xfId="40241"/>
    <cellStyle name="표준 3 4 5 3" xfId="40242"/>
    <cellStyle name="표준 3 4 5 3 2" xfId="40243"/>
    <cellStyle name="표준 3 4 5 3 2 2" xfId="40244"/>
    <cellStyle name="표준 3 4 5 3 2 2 2" xfId="40245"/>
    <cellStyle name="표준 3 4 5 3 2 2 2 2" xfId="40246"/>
    <cellStyle name="표준 3 4 5 3 2 2 2 3" xfId="40247"/>
    <cellStyle name="표준 3 4 5 3 2 2 3" xfId="40248"/>
    <cellStyle name="표준 3 4 5 3 2 2 4" xfId="40249"/>
    <cellStyle name="표준 3 4 5 3 2 3" xfId="40250"/>
    <cellStyle name="표준 3 4 5 3 2 3 2" xfId="40251"/>
    <cellStyle name="표준 3 4 5 3 2 3 3" xfId="40252"/>
    <cellStyle name="표준 3 4 5 3 2 4" xfId="40253"/>
    <cellStyle name="표준 3 4 5 3 2 5" xfId="40254"/>
    <cellStyle name="표준 3 4 5 3 3" xfId="40255"/>
    <cellStyle name="표준 3 4 5 3 3 2" xfId="40256"/>
    <cellStyle name="표준 3 4 5 3 3 2 2" xfId="40257"/>
    <cellStyle name="표준 3 4 5 3 3 2 2 2" xfId="40258"/>
    <cellStyle name="표준 3 4 5 3 3 2 2 3" xfId="40259"/>
    <cellStyle name="표준 3 4 5 3 3 2 3" xfId="40260"/>
    <cellStyle name="표준 3 4 5 3 3 2 4" xfId="40261"/>
    <cellStyle name="표준 3 4 5 3 3 3" xfId="40262"/>
    <cellStyle name="표준 3 4 5 3 3 3 2" xfId="40263"/>
    <cellStyle name="표준 3 4 5 3 3 3 3" xfId="40264"/>
    <cellStyle name="표준 3 4 5 3 3 4" xfId="40265"/>
    <cellStyle name="표준 3 4 5 3 3 5" xfId="40266"/>
    <cellStyle name="표준 3 4 5 3 4" xfId="40267"/>
    <cellStyle name="표준 3 4 5 3 4 2" xfId="40268"/>
    <cellStyle name="표준 3 4 5 3 4 2 2" xfId="40269"/>
    <cellStyle name="표준 3 4 5 3 4 2 3" xfId="40270"/>
    <cellStyle name="표준 3 4 5 3 4 3" xfId="40271"/>
    <cellStyle name="표준 3 4 5 3 4 4" xfId="40272"/>
    <cellStyle name="표준 3 4 5 3 5" xfId="40273"/>
    <cellStyle name="표준 3 4 5 3 5 2" xfId="40274"/>
    <cellStyle name="표준 3 4 5 3 5 3" xfId="40275"/>
    <cellStyle name="표준 3 4 5 3 6" xfId="40276"/>
    <cellStyle name="표준 3 4 5 3 7" xfId="40277"/>
    <cellStyle name="표준 3 4 5 4" xfId="40278"/>
    <cellStyle name="표준 3 4 5 4 2" xfId="40279"/>
    <cellStyle name="표준 3 4 5 4 2 2" xfId="40280"/>
    <cellStyle name="표준 3 4 5 4 2 2 2" xfId="40281"/>
    <cellStyle name="표준 3 4 5 4 2 2 3" xfId="40282"/>
    <cellStyle name="표준 3 4 5 4 2 3" xfId="40283"/>
    <cellStyle name="표준 3 4 5 4 2 4" xfId="40284"/>
    <cellStyle name="표준 3 4 5 4 3" xfId="40285"/>
    <cellStyle name="표준 3 4 5 4 3 2" xfId="40286"/>
    <cellStyle name="표준 3 4 5 4 3 3" xfId="40287"/>
    <cellStyle name="표준 3 4 5 4 4" xfId="40288"/>
    <cellStyle name="표준 3 4 5 4 5" xfId="40289"/>
    <cellStyle name="표준 3 4 5 5" xfId="40290"/>
    <cellStyle name="표준 3 4 5 5 2" xfId="40291"/>
    <cellStyle name="표준 3 4 5 5 2 2" xfId="40292"/>
    <cellStyle name="표준 3 4 5 5 2 2 2" xfId="40293"/>
    <cellStyle name="표준 3 4 5 5 2 2 3" xfId="40294"/>
    <cellStyle name="표준 3 4 5 5 2 3" xfId="40295"/>
    <cellStyle name="표준 3 4 5 5 2 4" xfId="40296"/>
    <cellStyle name="표준 3 4 5 5 3" xfId="40297"/>
    <cellStyle name="표준 3 4 5 5 3 2" xfId="40298"/>
    <cellStyle name="표준 3 4 5 5 3 3" xfId="40299"/>
    <cellStyle name="표준 3 4 5 5 4" xfId="40300"/>
    <cellStyle name="표준 3 4 5 5 5" xfId="40301"/>
    <cellStyle name="표준 3 4 5 6" xfId="40302"/>
    <cellStyle name="표준 3 4 5 6 2" xfId="40303"/>
    <cellStyle name="표준 3 4 5 6 2 2" xfId="40304"/>
    <cellStyle name="표준 3 4 5 6 2 2 2" xfId="40305"/>
    <cellStyle name="표준 3 4 5 6 2 2 3" xfId="40306"/>
    <cellStyle name="표준 3 4 5 6 2 3" xfId="40307"/>
    <cellStyle name="표준 3 4 5 6 2 4" xfId="40308"/>
    <cellStyle name="표준 3 4 5 6 3" xfId="40309"/>
    <cellStyle name="표준 3 4 5 6 3 2" xfId="40310"/>
    <cellStyle name="표준 3 4 5 6 3 3" xfId="40311"/>
    <cellStyle name="표준 3 4 5 6 4" xfId="40312"/>
    <cellStyle name="표준 3 4 5 6 5" xfId="40313"/>
    <cellStyle name="표준 3 4 5 7" xfId="40314"/>
    <cellStyle name="표준 3 4 5 7 2" xfId="40315"/>
    <cellStyle name="표준 3 4 5 7 2 2" xfId="40316"/>
    <cellStyle name="표준 3 4 5 7 2 3" xfId="40317"/>
    <cellStyle name="표준 3 4 5 7 3" xfId="40318"/>
    <cellStyle name="표준 3 4 5 7 4" xfId="40319"/>
    <cellStyle name="표준 3 4 5 8" xfId="40320"/>
    <cellStyle name="표준 3 4 5 8 2" xfId="40321"/>
    <cellStyle name="표준 3 4 5 8 3" xfId="40322"/>
    <cellStyle name="표준 3 4 5 9" xfId="40323"/>
    <cellStyle name="표준 3 4 6" xfId="40324"/>
    <cellStyle name="표준 3 4 6 2" xfId="40325"/>
    <cellStyle name="표준 3 4 6 2 2" xfId="40326"/>
    <cellStyle name="표준 3 4 6 2 2 2" xfId="40327"/>
    <cellStyle name="표준 3 4 6 2 2 2 2" xfId="40328"/>
    <cellStyle name="표준 3 4 6 2 2 2 3" xfId="40329"/>
    <cellStyle name="표준 3 4 6 2 2 3" xfId="40330"/>
    <cellStyle name="표준 3 4 6 2 2 4" xfId="40331"/>
    <cellStyle name="표준 3 4 6 2 3" xfId="40332"/>
    <cellStyle name="표준 3 4 6 2 3 2" xfId="40333"/>
    <cellStyle name="표준 3 4 6 2 3 3" xfId="40334"/>
    <cellStyle name="표준 3 4 6 2 4" xfId="40335"/>
    <cellStyle name="표준 3 4 6 2 5" xfId="40336"/>
    <cellStyle name="표준 3 4 6 3" xfId="40337"/>
    <cellStyle name="표준 3 4 6 3 2" xfId="40338"/>
    <cellStyle name="표준 3 4 6 3 2 2" xfId="40339"/>
    <cellStyle name="표준 3 4 6 3 2 2 2" xfId="40340"/>
    <cellStyle name="표준 3 4 6 3 2 2 3" xfId="40341"/>
    <cellStyle name="표준 3 4 6 3 2 3" xfId="40342"/>
    <cellStyle name="표준 3 4 6 3 2 4" xfId="40343"/>
    <cellStyle name="표준 3 4 6 3 3" xfId="40344"/>
    <cellStyle name="표준 3 4 6 3 3 2" xfId="40345"/>
    <cellStyle name="표준 3 4 6 3 3 3" xfId="40346"/>
    <cellStyle name="표준 3 4 6 3 4" xfId="40347"/>
    <cellStyle name="표준 3 4 6 3 5" xfId="40348"/>
    <cellStyle name="표준 3 4 6 4" xfId="40349"/>
    <cellStyle name="표준 3 4 6 4 2" xfId="40350"/>
    <cellStyle name="표준 3 4 6 4 2 2" xfId="40351"/>
    <cellStyle name="표준 3 4 6 4 2 3" xfId="40352"/>
    <cellStyle name="표준 3 4 6 4 3" xfId="40353"/>
    <cellStyle name="표준 3 4 6 4 4" xfId="40354"/>
    <cellStyle name="표준 3 4 6 5" xfId="40355"/>
    <cellStyle name="표준 3 4 6 5 2" xfId="40356"/>
    <cellStyle name="표준 3 4 6 5 3" xfId="40357"/>
    <cellStyle name="표준 3 4 6 6" xfId="40358"/>
    <cellStyle name="표준 3 4 6 7" xfId="40359"/>
    <cellStyle name="표준 3 4 7" xfId="40360"/>
    <cellStyle name="표준 3 4 7 2" xfId="40361"/>
    <cellStyle name="표준 3 4 7 2 2" xfId="40362"/>
    <cellStyle name="표준 3 4 7 2 2 2" xfId="40363"/>
    <cellStyle name="표준 3 4 7 2 2 2 2" xfId="40364"/>
    <cellStyle name="표준 3 4 7 2 2 2 3" xfId="40365"/>
    <cellStyle name="표준 3 4 7 2 2 3" xfId="40366"/>
    <cellStyle name="표준 3 4 7 2 2 4" xfId="40367"/>
    <cellStyle name="표준 3 4 7 2 3" xfId="40368"/>
    <cellStyle name="표준 3 4 7 2 3 2" xfId="40369"/>
    <cellStyle name="표준 3 4 7 2 3 3" xfId="40370"/>
    <cellStyle name="표준 3 4 7 2 4" xfId="40371"/>
    <cellStyle name="표준 3 4 7 2 5" xfId="40372"/>
    <cellStyle name="표준 3 4 7 3" xfId="40373"/>
    <cellStyle name="표준 3 4 7 3 2" xfId="40374"/>
    <cellStyle name="표준 3 4 7 3 2 2" xfId="40375"/>
    <cellStyle name="표준 3 4 7 3 2 2 2" xfId="40376"/>
    <cellStyle name="표준 3 4 7 3 2 2 3" xfId="40377"/>
    <cellStyle name="표준 3 4 7 3 2 3" xfId="40378"/>
    <cellStyle name="표준 3 4 7 3 2 4" xfId="40379"/>
    <cellStyle name="표준 3 4 7 3 3" xfId="40380"/>
    <cellStyle name="표준 3 4 7 3 3 2" xfId="40381"/>
    <cellStyle name="표준 3 4 7 3 3 3" xfId="40382"/>
    <cellStyle name="표준 3 4 7 3 4" xfId="40383"/>
    <cellStyle name="표준 3 4 7 3 5" xfId="40384"/>
    <cellStyle name="표준 3 4 7 4" xfId="40385"/>
    <cellStyle name="표준 3 4 7 4 2" xfId="40386"/>
    <cellStyle name="표준 3 4 7 4 2 2" xfId="40387"/>
    <cellStyle name="표준 3 4 7 4 2 3" xfId="40388"/>
    <cellStyle name="표준 3 4 7 4 3" xfId="40389"/>
    <cellStyle name="표준 3 4 7 4 4" xfId="40390"/>
    <cellStyle name="표준 3 4 7 5" xfId="40391"/>
    <cellStyle name="표준 3 4 7 5 2" xfId="40392"/>
    <cellStyle name="표준 3 4 7 5 3" xfId="40393"/>
    <cellStyle name="표준 3 4 7 6" xfId="40394"/>
    <cellStyle name="표준 3 4 7 7" xfId="40395"/>
    <cellStyle name="표준 3 4 8" xfId="40396"/>
    <cellStyle name="표준 3 4 8 2" xfId="40397"/>
    <cellStyle name="표준 3 4 8 2 2" xfId="40398"/>
    <cellStyle name="표준 3 4 8 2 2 2" xfId="40399"/>
    <cellStyle name="표준 3 4 8 2 2 3" xfId="40400"/>
    <cellStyle name="표준 3 4 8 2 3" xfId="40401"/>
    <cellStyle name="표준 3 4 8 2 4" xfId="40402"/>
    <cellStyle name="표준 3 4 8 3" xfId="40403"/>
    <cellStyle name="표준 3 4 8 3 2" xfId="40404"/>
    <cellStyle name="표준 3 4 8 3 3" xfId="40405"/>
    <cellStyle name="표준 3 4 8 4" xfId="40406"/>
    <cellStyle name="표준 3 4 8 5" xfId="40407"/>
    <cellStyle name="표준 3 4 9" xfId="40408"/>
    <cellStyle name="표준 3 4 9 2" xfId="40409"/>
    <cellStyle name="표준 3 4 9 2 2" xfId="40410"/>
    <cellStyle name="표준 3 4 9 2 2 2" xfId="40411"/>
    <cellStyle name="표준 3 4 9 2 2 3" xfId="40412"/>
    <cellStyle name="표준 3 4 9 2 3" xfId="40413"/>
    <cellStyle name="표준 3 4 9 2 4" xfId="40414"/>
    <cellStyle name="표준 3 4 9 3" xfId="40415"/>
    <cellStyle name="표준 3 4 9 3 2" xfId="40416"/>
    <cellStyle name="표준 3 4 9 3 3" xfId="40417"/>
    <cellStyle name="표준 3 4 9 4" xfId="40418"/>
    <cellStyle name="표준 3 4 9 5" xfId="40419"/>
    <cellStyle name="표준 3 5" xfId="40420"/>
    <cellStyle name="표준 3 5 10" xfId="40421"/>
    <cellStyle name="표준 3 5 10 2" xfId="40422"/>
    <cellStyle name="표준 3 5 10 2 2" xfId="40423"/>
    <cellStyle name="표준 3 5 10 2 2 2" xfId="40424"/>
    <cellStyle name="표준 3 5 10 2 2 3" xfId="40425"/>
    <cellStyle name="표준 3 5 10 2 3" xfId="40426"/>
    <cellStyle name="표준 3 5 10 2 4" xfId="40427"/>
    <cellStyle name="표준 3 5 10 3" xfId="40428"/>
    <cellStyle name="표준 3 5 10 3 2" xfId="40429"/>
    <cellStyle name="표준 3 5 10 3 3" xfId="40430"/>
    <cellStyle name="표준 3 5 10 4" xfId="40431"/>
    <cellStyle name="표준 3 5 10 5" xfId="40432"/>
    <cellStyle name="표준 3 5 11" xfId="40433"/>
    <cellStyle name="표준 3 5 11 2" xfId="40434"/>
    <cellStyle name="표준 3 5 11 2 2" xfId="40435"/>
    <cellStyle name="표준 3 5 11 2 3" xfId="40436"/>
    <cellStyle name="표준 3 5 11 3" xfId="40437"/>
    <cellStyle name="표준 3 5 11 4" xfId="40438"/>
    <cellStyle name="표준 3 5 12" xfId="40439"/>
    <cellStyle name="표준 3 5 12 2" xfId="40440"/>
    <cellStyle name="표준 3 5 12 3" xfId="40441"/>
    <cellStyle name="표준 3 5 13" xfId="40442"/>
    <cellStyle name="표준 3 5 14" xfId="40443"/>
    <cellStyle name="표준 3 5 15" xfId="40444"/>
    <cellStyle name="표준 3 5 2" xfId="40445"/>
    <cellStyle name="표준 3 5 2 10" xfId="40446"/>
    <cellStyle name="표준 3 5 2 10 2" xfId="40447"/>
    <cellStyle name="표준 3 5 2 10 2 2" xfId="40448"/>
    <cellStyle name="표준 3 5 2 10 2 3" xfId="40449"/>
    <cellStyle name="표준 3 5 2 10 3" xfId="40450"/>
    <cellStyle name="표준 3 5 2 10 4" xfId="40451"/>
    <cellStyle name="표준 3 5 2 11" xfId="40452"/>
    <cellStyle name="표준 3 5 2 11 2" xfId="40453"/>
    <cellStyle name="표준 3 5 2 11 3" xfId="40454"/>
    <cellStyle name="표준 3 5 2 12" xfId="40455"/>
    <cellStyle name="표준 3 5 2 13" xfId="40456"/>
    <cellStyle name="표준 3 5 2 14" xfId="40457"/>
    <cellStyle name="표준 3 5 2 2" xfId="40458"/>
    <cellStyle name="표준 3 5 2 2 10" xfId="40459"/>
    <cellStyle name="표준 3 5 2 2 2" xfId="40460"/>
    <cellStyle name="표준 3 5 2 2 2 2" xfId="40461"/>
    <cellStyle name="표준 3 5 2 2 2 2 2" xfId="40462"/>
    <cellStyle name="표준 3 5 2 2 2 2 2 2" xfId="40463"/>
    <cellStyle name="표준 3 5 2 2 2 2 2 2 2" xfId="40464"/>
    <cellStyle name="표준 3 5 2 2 2 2 2 2 3" xfId="40465"/>
    <cellStyle name="표준 3 5 2 2 2 2 2 3" xfId="40466"/>
    <cellStyle name="표준 3 5 2 2 2 2 2 4" xfId="40467"/>
    <cellStyle name="표준 3 5 2 2 2 2 3" xfId="40468"/>
    <cellStyle name="표준 3 5 2 2 2 2 3 2" xfId="40469"/>
    <cellStyle name="표준 3 5 2 2 2 2 3 3" xfId="40470"/>
    <cellStyle name="표준 3 5 2 2 2 2 4" xfId="40471"/>
    <cellStyle name="표준 3 5 2 2 2 2 5" xfId="40472"/>
    <cellStyle name="표준 3 5 2 2 2 3" xfId="40473"/>
    <cellStyle name="표준 3 5 2 2 2 3 2" xfId="40474"/>
    <cellStyle name="표준 3 5 2 2 2 3 2 2" xfId="40475"/>
    <cellStyle name="표준 3 5 2 2 2 3 2 2 2" xfId="40476"/>
    <cellStyle name="표준 3 5 2 2 2 3 2 2 3" xfId="40477"/>
    <cellStyle name="표준 3 5 2 2 2 3 2 3" xfId="40478"/>
    <cellStyle name="표준 3 5 2 2 2 3 2 4" xfId="40479"/>
    <cellStyle name="표준 3 5 2 2 2 3 3" xfId="40480"/>
    <cellStyle name="표준 3 5 2 2 2 3 3 2" xfId="40481"/>
    <cellStyle name="표준 3 5 2 2 2 3 3 3" xfId="40482"/>
    <cellStyle name="표준 3 5 2 2 2 3 4" xfId="40483"/>
    <cellStyle name="표준 3 5 2 2 2 3 5" xfId="40484"/>
    <cellStyle name="표준 3 5 2 2 2 4" xfId="40485"/>
    <cellStyle name="표준 3 5 2 2 2 4 2" xfId="40486"/>
    <cellStyle name="표준 3 5 2 2 2 4 2 2" xfId="40487"/>
    <cellStyle name="표준 3 5 2 2 2 4 2 3" xfId="40488"/>
    <cellStyle name="표준 3 5 2 2 2 4 3" xfId="40489"/>
    <cellStyle name="표준 3 5 2 2 2 4 4" xfId="40490"/>
    <cellStyle name="표준 3 5 2 2 2 5" xfId="40491"/>
    <cellStyle name="표준 3 5 2 2 2 5 2" xfId="40492"/>
    <cellStyle name="표준 3 5 2 2 2 5 3" xfId="40493"/>
    <cellStyle name="표준 3 5 2 2 2 6" xfId="40494"/>
    <cellStyle name="표준 3 5 2 2 2 7" xfId="40495"/>
    <cellStyle name="표준 3 5 2 2 3" xfId="40496"/>
    <cellStyle name="표준 3 5 2 2 3 2" xfId="40497"/>
    <cellStyle name="표준 3 5 2 2 3 2 2" xfId="40498"/>
    <cellStyle name="표준 3 5 2 2 3 2 2 2" xfId="40499"/>
    <cellStyle name="표준 3 5 2 2 3 2 2 2 2" xfId="40500"/>
    <cellStyle name="표준 3 5 2 2 3 2 2 2 3" xfId="40501"/>
    <cellStyle name="표준 3 5 2 2 3 2 2 3" xfId="40502"/>
    <cellStyle name="표준 3 5 2 2 3 2 2 4" xfId="40503"/>
    <cellStyle name="표준 3 5 2 2 3 2 3" xfId="40504"/>
    <cellStyle name="표준 3 5 2 2 3 2 3 2" xfId="40505"/>
    <cellStyle name="표준 3 5 2 2 3 2 3 3" xfId="40506"/>
    <cellStyle name="표준 3 5 2 2 3 2 4" xfId="40507"/>
    <cellStyle name="표준 3 5 2 2 3 2 5" xfId="40508"/>
    <cellStyle name="표준 3 5 2 2 3 3" xfId="40509"/>
    <cellStyle name="표준 3 5 2 2 3 3 2" xfId="40510"/>
    <cellStyle name="표준 3 5 2 2 3 3 2 2" xfId="40511"/>
    <cellStyle name="표준 3 5 2 2 3 3 2 2 2" xfId="40512"/>
    <cellStyle name="표준 3 5 2 2 3 3 2 2 3" xfId="40513"/>
    <cellStyle name="표준 3 5 2 2 3 3 2 3" xfId="40514"/>
    <cellStyle name="표준 3 5 2 2 3 3 2 4" xfId="40515"/>
    <cellStyle name="표준 3 5 2 2 3 3 3" xfId="40516"/>
    <cellStyle name="표준 3 5 2 2 3 3 3 2" xfId="40517"/>
    <cellStyle name="표준 3 5 2 2 3 3 3 3" xfId="40518"/>
    <cellStyle name="표준 3 5 2 2 3 3 4" xfId="40519"/>
    <cellStyle name="표준 3 5 2 2 3 3 5" xfId="40520"/>
    <cellStyle name="표준 3 5 2 2 3 4" xfId="40521"/>
    <cellStyle name="표준 3 5 2 2 3 4 2" xfId="40522"/>
    <cellStyle name="표준 3 5 2 2 3 4 2 2" xfId="40523"/>
    <cellStyle name="표준 3 5 2 2 3 4 2 3" xfId="40524"/>
    <cellStyle name="표준 3 5 2 2 3 4 3" xfId="40525"/>
    <cellStyle name="표준 3 5 2 2 3 4 4" xfId="40526"/>
    <cellStyle name="표준 3 5 2 2 3 5" xfId="40527"/>
    <cellStyle name="표준 3 5 2 2 3 5 2" xfId="40528"/>
    <cellStyle name="표준 3 5 2 2 3 5 3" xfId="40529"/>
    <cellStyle name="표준 3 5 2 2 3 6" xfId="40530"/>
    <cellStyle name="표준 3 5 2 2 3 7" xfId="40531"/>
    <cellStyle name="표준 3 5 2 2 4" xfId="40532"/>
    <cellStyle name="표준 3 5 2 2 4 2" xfId="40533"/>
    <cellStyle name="표준 3 5 2 2 4 2 2" xfId="40534"/>
    <cellStyle name="표준 3 5 2 2 4 2 2 2" xfId="40535"/>
    <cellStyle name="표준 3 5 2 2 4 2 2 3" xfId="40536"/>
    <cellStyle name="표준 3 5 2 2 4 2 3" xfId="40537"/>
    <cellStyle name="표준 3 5 2 2 4 2 4" xfId="40538"/>
    <cellStyle name="표준 3 5 2 2 4 3" xfId="40539"/>
    <cellStyle name="표준 3 5 2 2 4 3 2" xfId="40540"/>
    <cellStyle name="표준 3 5 2 2 4 3 3" xfId="40541"/>
    <cellStyle name="표준 3 5 2 2 4 4" xfId="40542"/>
    <cellStyle name="표준 3 5 2 2 4 5" xfId="40543"/>
    <cellStyle name="표준 3 5 2 2 5" xfId="40544"/>
    <cellStyle name="표준 3 5 2 2 5 2" xfId="40545"/>
    <cellStyle name="표준 3 5 2 2 5 2 2" xfId="40546"/>
    <cellStyle name="표준 3 5 2 2 5 2 2 2" xfId="40547"/>
    <cellStyle name="표준 3 5 2 2 5 2 2 3" xfId="40548"/>
    <cellStyle name="표준 3 5 2 2 5 2 3" xfId="40549"/>
    <cellStyle name="표준 3 5 2 2 5 2 4" xfId="40550"/>
    <cellStyle name="표준 3 5 2 2 5 3" xfId="40551"/>
    <cellStyle name="표준 3 5 2 2 5 3 2" xfId="40552"/>
    <cellStyle name="표준 3 5 2 2 5 3 3" xfId="40553"/>
    <cellStyle name="표준 3 5 2 2 5 4" xfId="40554"/>
    <cellStyle name="표준 3 5 2 2 5 5" xfId="40555"/>
    <cellStyle name="표준 3 5 2 2 6" xfId="40556"/>
    <cellStyle name="표준 3 5 2 2 6 2" xfId="40557"/>
    <cellStyle name="표준 3 5 2 2 6 2 2" xfId="40558"/>
    <cellStyle name="표준 3 5 2 2 6 2 2 2" xfId="40559"/>
    <cellStyle name="표준 3 5 2 2 6 2 2 3" xfId="40560"/>
    <cellStyle name="표준 3 5 2 2 6 2 3" xfId="40561"/>
    <cellStyle name="표준 3 5 2 2 6 2 4" xfId="40562"/>
    <cellStyle name="표준 3 5 2 2 6 3" xfId="40563"/>
    <cellStyle name="표준 3 5 2 2 6 3 2" xfId="40564"/>
    <cellStyle name="표준 3 5 2 2 6 3 3" xfId="40565"/>
    <cellStyle name="표준 3 5 2 2 6 4" xfId="40566"/>
    <cellStyle name="표준 3 5 2 2 6 5" xfId="40567"/>
    <cellStyle name="표준 3 5 2 2 7" xfId="40568"/>
    <cellStyle name="표준 3 5 2 2 7 2" xfId="40569"/>
    <cellStyle name="표준 3 5 2 2 7 2 2" xfId="40570"/>
    <cellStyle name="표준 3 5 2 2 7 2 3" xfId="40571"/>
    <cellStyle name="표준 3 5 2 2 7 3" xfId="40572"/>
    <cellStyle name="표준 3 5 2 2 7 4" xfId="40573"/>
    <cellStyle name="표준 3 5 2 2 8" xfId="40574"/>
    <cellStyle name="표준 3 5 2 2 8 2" xfId="40575"/>
    <cellStyle name="표준 3 5 2 2 8 3" xfId="40576"/>
    <cellStyle name="표준 3 5 2 2 9" xfId="40577"/>
    <cellStyle name="표준 3 5 2 3" xfId="40578"/>
    <cellStyle name="표준 3 5 2 3 10" xfId="40579"/>
    <cellStyle name="표준 3 5 2 3 2" xfId="40580"/>
    <cellStyle name="표준 3 5 2 3 2 2" xfId="40581"/>
    <cellStyle name="표준 3 5 2 3 2 2 2" xfId="40582"/>
    <cellStyle name="표준 3 5 2 3 2 2 2 2" xfId="40583"/>
    <cellStyle name="표준 3 5 2 3 2 2 2 2 2" xfId="40584"/>
    <cellStyle name="표준 3 5 2 3 2 2 2 2 3" xfId="40585"/>
    <cellStyle name="표준 3 5 2 3 2 2 2 3" xfId="40586"/>
    <cellStyle name="표준 3 5 2 3 2 2 2 4" xfId="40587"/>
    <cellStyle name="표준 3 5 2 3 2 2 3" xfId="40588"/>
    <cellStyle name="표준 3 5 2 3 2 2 3 2" xfId="40589"/>
    <cellStyle name="표준 3 5 2 3 2 2 3 3" xfId="40590"/>
    <cellStyle name="표준 3 5 2 3 2 2 4" xfId="40591"/>
    <cellStyle name="표준 3 5 2 3 2 2 5" xfId="40592"/>
    <cellStyle name="표준 3 5 2 3 2 3" xfId="40593"/>
    <cellStyle name="표준 3 5 2 3 2 3 2" xfId="40594"/>
    <cellStyle name="표준 3 5 2 3 2 3 2 2" xfId="40595"/>
    <cellStyle name="표준 3 5 2 3 2 3 2 2 2" xfId="40596"/>
    <cellStyle name="표준 3 5 2 3 2 3 2 2 3" xfId="40597"/>
    <cellStyle name="표준 3 5 2 3 2 3 2 3" xfId="40598"/>
    <cellStyle name="표준 3 5 2 3 2 3 2 4" xfId="40599"/>
    <cellStyle name="표준 3 5 2 3 2 3 3" xfId="40600"/>
    <cellStyle name="표준 3 5 2 3 2 3 3 2" xfId="40601"/>
    <cellStyle name="표준 3 5 2 3 2 3 3 3" xfId="40602"/>
    <cellStyle name="표준 3 5 2 3 2 3 4" xfId="40603"/>
    <cellStyle name="표준 3 5 2 3 2 3 5" xfId="40604"/>
    <cellStyle name="표준 3 5 2 3 2 4" xfId="40605"/>
    <cellStyle name="표준 3 5 2 3 2 4 2" xfId="40606"/>
    <cellStyle name="표준 3 5 2 3 2 4 2 2" xfId="40607"/>
    <cellStyle name="표준 3 5 2 3 2 4 2 3" xfId="40608"/>
    <cellStyle name="표준 3 5 2 3 2 4 3" xfId="40609"/>
    <cellStyle name="표준 3 5 2 3 2 4 4" xfId="40610"/>
    <cellStyle name="표준 3 5 2 3 2 5" xfId="40611"/>
    <cellStyle name="표준 3 5 2 3 2 5 2" xfId="40612"/>
    <cellStyle name="표준 3 5 2 3 2 5 3" xfId="40613"/>
    <cellStyle name="표준 3 5 2 3 2 6" xfId="40614"/>
    <cellStyle name="표준 3 5 2 3 2 7" xfId="40615"/>
    <cellStyle name="표준 3 5 2 3 3" xfId="40616"/>
    <cellStyle name="표준 3 5 2 3 3 2" xfId="40617"/>
    <cellStyle name="표준 3 5 2 3 3 2 2" xfId="40618"/>
    <cellStyle name="표준 3 5 2 3 3 2 2 2" xfId="40619"/>
    <cellStyle name="표준 3 5 2 3 3 2 2 2 2" xfId="40620"/>
    <cellStyle name="표준 3 5 2 3 3 2 2 2 3" xfId="40621"/>
    <cellStyle name="표준 3 5 2 3 3 2 2 3" xfId="40622"/>
    <cellStyle name="표준 3 5 2 3 3 2 2 4" xfId="40623"/>
    <cellStyle name="표준 3 5 2 3 3 2 3" xfId="40624"/>
    <cellStyle name="표준 3 5 2 3 3 2 3 2" xfId="40625"/>
    <cellStyle name="표준 3 5 2 3 3 2 3 3" xfId="40626"/>
    <cellStyle name="표준 3 5 2 3 3 2 4" xfId="40627"/>
    <cellStyle name="표준 3 5 2 3 3 2 5" xfId="40628"/>
    <cellStyle name="표준 3 5 2 3 3 3" xfId="40629"/>
    <cellStyle name="표준 3 5 2 3 3 3 2" xfId="40630"/>
    <cellStyle name="표준 3 5 2 3 3 3 2 2" xfId="40631"/>
    <cellStyle name="표준 3 5 2 3 3 3 2 2 2" xfId="40632"/>
    <cellStyle name="표준 3 5 2 3 3 3 2 2 3" xfId="40633"/>
    <cellStyle name="표준 3 5 2 3 3 3 2 3" xfId="40634"/>
    <cellStyle name="표준 3 5 2 3 3 3 2 4" xfId="40635"/>
    <cellStyle name="표준 3 5 2 3 3 3 3" xfId="40636"/>
    <cellStyle name="표준 3 5 2 3 3 3 3 2" xfId="40637"/>
    <cellStyle name="표준 3 5 2 3 3 3 3 3" xfId="40638"/>
    <cellStyle name="표준 3 5 2 3 3 3 4" xfId="40639"/>
    <cellStyle name="표준 3 5 2 3 3 3 5" xfId="40640"/>
    <cellStyle name="표준 3 5 2 3 3 4" xfId="40641"/>
    <cellStyle name="표준 3 5 2 3 3 4 2" xfId="40642"/>
    <cellStyle name="표준 3 5 2 3 3 4 2 2" xfId="40643"/>
    <cellStyle name="표준 3 5 2 3 3 4 2 3" xfId="40644"/>
    <cellStyle name="표준 3 5 2 3 3 4 3" xfId="40645"/>
    <cellStyle name="표준 3 5 2 3 3 4 4" xfId="40646"/>
    <cellStyle name="표준 3 5 2 3 3 5" xfId="40647"/>
    <cellStyle name="표준 3 5 2 3 3 5 2" xfId="40648"/>
    <cellStyle name="표준 3 5 2 3 3 5 3" xfId="40649"/>
    <cellStyle name="표준 3 5 2 3 3 6" xfId="40650"/>
    <cellStyle name="표준 3 5 2 3 3 7" xfId="40651"/>
    <cellStyle name="표준 3 5 2 3 4" xfId="40652"/>
    <cellStyle name="표준 3 5 2 3 4 2" xfId="40653"/>
    <cellStyle name="표준 3 5 2 3 4 2 2" xfId="40654"/>
    <cellStyle name="표준 3 5 2 3 4 2 2 2" xfId="40655"/>
    <cellStyle name="표준 3 5 2 3 4 2 2 3" xfId="40656"/>
    <cellStyle name="표준 3 5 2 3 4 2 3" xfId="40657"/>
    <cellStyle name="표준 3 5 2 3 4 2 4" xfId="40658"/>
    <cellStyle name="표준 3 5 2 3 4 3" xfId="40659"/>
    <cellStyle name="표준 3 5 2 3 4 3 2" xfId="40660"/>
    <cellStyle name="표준 3 5 2 3 4 3 3" xfId="40661"/>
    <cellStyle name="표준 3 5 2 3 4 4" xfId="40662"/>
    <cellStyle name="표준 3 5 2 3 4 5" xfId="40663"/>
    <cellStyle name="표준 3 5 2 3 5" xfId="40664"/>
    <cellStyle name="표준 3 5 2 3 5 2" xfId="40665"/>
    <cellStyle name="표준 3 5 2 3 5 2 2" xfId="40666"/>
    <cellStyle name="표준 3 5 2 3 5 2 2 2" xfId="40667"/>
    <cellStyle name="표준 3 5 2 3 5 2 2 3" xfId="40668"/>
    <cellStyle name="표준 3 5 2 3 5 2 3" xfId="40669"/>
    <cellStyle name="표준 3 5 2 3 5 2 4" xfId="40670"/>
    <cellStyle name="표준 3 5 2 3 5 3" xfId="40671"/>
    <cellStyle name="표준 3 5 2 3 5 3 2" xfId="40672"/>
    <cellStyle name="표준 3 5 2 3 5 3 3" xfId="40673"/>
    <cellStyle name="표준 3 5 2 3 5 4" xfId="40674"/>
    <cellStyle name="표준 3 5 2 3 5 5" xfId="40675"/>
    <cellStyle name="표준 3 5 2 3 6" xfId="40676"/>
    <cellStyle name="표준 3 5 2 3 6 2" xfId="40677"/>
    <cellStyle name="표준 3 5 2 3 6 2 2" xfId="40678"/>
    <cellStyle name="표준 3 5 2 3 6 2 2 2" xfId="40679"/>
    <cellStyle name="표준 3 5 2 3 6 2 2 3" xfId="40680"/>
    <cellStyle name="표준 3 5 2 3 6 2 3" xfId="40681"/>
    <cellStyle name="표준 3 5 2 3 6 2 4" xfId="40682"/>
    <cellStyle name="표준 3 5 2 3 6 3" xfId="40683"/>
    <cellStyle name="표준 3 5 2 3 6 3 2" xfId="40684"/>
    <cellStyle name="표준 3 5 2 3 6 3 3" xfId="40685"/>
    <cellStyle name="표준 3 5 2 3 6 4" xfId="40686"/>
    <cellStyle name="표준 3 5 2 3 6 5" xfId="40687"/>
    <cellStyle name="표준 3 5 2 3 7" xfId="40688"/>
    <cellStyle name="표준 3 5 2 3 7 2" xfId="40689"/>
    <cellStyle name="표준 3 5 2 3 7 2 2" xfId="40690"/>
    <cellStyle name="표준 3 5 2 3 7 2 3" xfId="40691"/>
    <cellStyle name="표준 3 5 2 3 7 3" xfId="40692"/>
    <cellStyle name="표준 3 5 2 3 7 4" xfId="40693"/>
    <cellStyle name="표준 3 5 2 3 8" xfId="40694"/>
    <cellStyle name="표준 3 5 2 3 8 2" xfId="40695"/>
    <cellStyle name="표준 3 5 2 3 8 3" xfId="40696"/>
    <cellStyle name="표준 3 5 2 3 9" xfId="40697"/>
    <cellStyle name="표준 3 5 2 4" xfId="40698"/>
    <cellStyle name="표준 3 5 2 4 10" xfId="40699"/>
    <cellStyle name="표준 3 5 2 4 2" xfId="40700"/>
    <cellStyle name="표준 3 5 2 4 2 2" xfId="40701"/>
    <cellStyle name="표준 3 5 2 4 2 2 2" xfId="40702"/>
    <cellStyle name="표준 3 5 2 4 2 2 2 2" xfId="40703"/>
    <cellStyle name="표준 3 5 2 4 2 2 2 2 2" xfId="40704"/>
    <cellStyle name="표준 3 5 2 4 2 2 2 2 3" xfId="40705"/>
    <cellStyle name="표준 3 5 2 4 2 2 2 3" xfId="40706"/>
    <cellStyle name="표준 3 5 2 4 2 2 2 4" xfId="40707"/>
    <cellStyle name="표준 3 5 2 4 2 2 3" xfId="40708"/>
    <cellStyle name="표준 3 5 2 4 2 2 3 2" xfId="40709"/>
    <cellStyle name="표준 3 5 2 4 2 2 3 3" xfId="40710"/>
    <cellStyle name="표준 3 5 2 4 2 2 4" xfId="40711"/>
    <cellStyle name="표준 3 5 2 4 2 2 5" xfId="40712"/>
    <cellStyle name="표준 3 5 2 4 2 3" xfId="40713"/>
    <cellStyle name="표준 3 5 2 4 2 3 2" xfId="40714"/>
    <cellStyle name="표준 3 5 2 4 2 3 2 2" xfId="40715"/>
    <cellStyle name="표준 3 5 2 4 2 3 2 2 2" xfId="40716"/>
    <cellStyle name="표준 3 5 2 4 2 3 2 2 3" xfId="40717"/>
    <cellStyle name="표준 3 5 2 4 2 3 2 3" xfId="40718"/>
    <cellStyle name="표준 3 5 2 4 2 3 2 4" xfId="40719"/>
    <cellStyle name="표준 3 5 2 4 2 3 3" xfId="40720"/>
    <cellStyle name="표준 3 5 2 4 2 3 3 2" xfId="40721"/>
    <cellStyle name="표준 3 5 2 4 2 3 3 3" xfId="40722"/>
    <cellStyle name="표준 3 5 2 4 2 3 4" xfId="40723"/>
    <cellStyle name="표준 3 5 2 4 2 3 5" xfId="40724"/>
    <cellStyle name="표준 3 5 2 4 2 4" xfId="40725"/>
    <cellStyle name="표준 3 5 2 4 2 4 2" xfId="40726"/>
    <cellStyle name="표준 3 5 2 4 2 4 2 2" xfId="40727"/>
    <cellStyle name="표준 3 5 2 4 2 4 2 3" xfId="40728"/>
    <cellStyle name="표준 3 5 2 4 2 4 3" xfId="40729"/>
    <cellStyle name="표준 3 5 2 4 2 4 4" xfId="40730"/>
    <cellStyle name="표준 3 5 2 4 2 5" xfId="40731"/>
    <cellStyle name="표준 3 5 2 4 2 5 2" xfId="40732"/>
    <cellStyle name="표준 3 5 2 4 2 5 3" xfId="40733"/>
    <cellStyle name="표준 3 5 2 4 2 6" xfId="40734"/>
    <cellStyle name="표준 3 5 2 4 2 7" xfId="40735"/>
    <cellStyle name="표준 3 5 2 4 3" xfId="40736"/>
    <cellStyle name="표준 3 5 2 4 3 2" xfId="40737"/>
    <cellStyle name="표준 3 5 2 4 3 2 2" xfId="40738"/>
    <cellStyle name="표준 3 5 2 4 3 2 2 2" xfId="40739"/>
    <cellStyle name="표준 3 5 2 4 3 2 2 2 2" xfId="40740"/>
    <cellStyle name="표준 3 5 2 4 3 2 2 2 3" xfId="40741"/>
    <cellStyle name="표준 3 5 2 4 3 2 2 3" xfId="40742"/>
    <cellStyle name="표준 3 5 2 4 3 2 2 4" xfId="40743"/>
    <cellStyle name="표준 3 5 2 4 3 2 3" xfId="40744"/>
    <cellStyle name="표준 3 5 2 4 3 2 3 2" xfId="40745"/>
    <cellStyle name="표준 3 5 2 4 3 2 3 3" xfId="40746"/>
    <cellStyle name="표준 3 5 2 4 3 2 4" xfId="40747"/>
    <cellStyle name="표준 3 5 2 4 3 2 5" xfId="40748"/>
    <cellStyle name="표준 3 5 2 4 3 3" xfId="40749"/>
    <cellStyle name="표준 3 5 2 4 3 3 2" xfId="40750"/>
    <cellStyle name="표준 3 5 2 4 3 3 2 2" xfId="40751"/>
    <cellStyle name="표준 3 5 2 4 3 3 2 2 2" xfId="40752"/>
    <cellStyle name="표준 3 5 2 4 3 3 2 2 3" xfId="40753"/>
    <cellStyle name="표준 3 5 2 4 3 3 2 3" xfId="40754"/>
    <cellStyle name="표준 3 5 2 4 3 3 2 4" xfId="40755"/>
    <cellStyle name="표준 3 5 2 4 3 3 3" xfId="40756"/>
    <cellStyle name="표준 3 5 2 4 3 3 3 2" xfId="40757"/>
    <cellStyle name="표준 3 5 2 4 3 3 3 3" xfId="40758"/>
    <cellStyle name="표준 3 5 2 4 3 3 4" xfId="40759"/>
    <cellStyle name="표준 3 5 2 4 3 3 5" xfId="40760"/>
    <cellStyle name="표준 3 5 2 4 3 4" xfId="40761"/>
    <cellStyle name="표준 3 5 2 4 3 4 2" xfId="40762"/>
    <cellStyle name="표준 3 5 2 4 3 4 2 2" xfId="40763"/>
    <cellStyle name="표준 3 5 2 4 3 4 2 3" xfId="40764"/>
    <cellStyle name="표준 3 5 2 4 3 4 3" xfId="40765"/>
    <cellStyle name="표준 3 5 2 4 3 4 4" xfId="40766"/>
    <cellStyle name="표준 3 5 2 4 3 5" xfId="40767"/>
    <cellStyle name="표준 3 5 2 4 3 5 2" xfId="40768"/>
    <cellStyle name="표준 3 5 2 4 3 5 3" xfId="40769"/>
    <cellStyle name="표준 3 5 2 4 3 6" xfId="40770"/>
    <cellStyle name="표준 3 5 2 4 3 7" xfId="40771"/>
    <cellStyle name="표준 3 5 2 4 4" xfId="40772"/>
    <cellStyle name="표준 3 5 2 4 4 2" xfId="40773"/>
    <cellStyle name="표준 3 5 2 4 4 2 2" xfId="40774"/>
    <cellStyle name="표준 3 5 2 4 4 2 2 2" xfId="40775"/>
    <cellStyle name="표준 3 5 2 4 4 2 2 3" xfId="40776"/>
    <cellStyle name="표준 3 5 2 4 4 2 3" xfId="40777"/>
    <cellStyle name="표준 3 5 2 4 4 2 4" xfId="40778"/>
    <cellStyle name="표준 3 5 2 4 4 3" xfId="40779"/>
    <cellStyle name="표준 3 5 2 4 4 3 2" xfId="40780"/>
    <cellStyle name="표준 3 5 2 4 4 3 3" xfId="40781"/>
    <cellStyle name="표준 3 5 2 4 4 4" xfId="40782"/>
    <cellStyle name="표준 3 5 2 4 4 5" xfId="40783"/>
    <cellStyle name="표준 3 5 2 4 5" xfId="40784"/>
    <cellStyle name="표준 3 5 2 4 5 2" xfId="40785"/>
    <cellStyle name="표준 3 5 2 4 5 2 2" xfId="40786"/>
    <cellStyle name="표준 3 5 2 4 5 2 2 2" xfId="40787"/>
    <cellStyle name="표준 3 5 2 4 5 2 2 3" xfId="40788"/>
    <cellStyle name="표준 3 5 2 4 5 2 3" xfId="40789"/>
    <cellStyle name="표준 3 5 2 4 5 2 4" xfId="40790"/>
    <cellStyle name="표준 3 5 2 4 5 3" xfId="40791"/>
    <cellStyle name="표준 3 5 2 4 5 3 2" xfId="40792"/>
    <cellStyle name="표준 3 5 2 4 5 3 3" xfId="40793"/>
    <cellStyle name="표준 3 5 2 4 5 4" xfId="40794"/>
    <cellStyle name="표준 3 5 2 4 5 5" xfId="40795"/>
    <cellStyle name="표준 3 5 2 4 6" xfId="40796"/>
    <cellStyle name="표준 3 5 2 4 6 2" xfId="40797"/>
    <cellStyle name="표준 3 5 2 4 6 2 2" xfId="40798"/>
    <cellStyle name="표준 3 5 2 4 6 2 2 2" xfId="40799"/>
    <cellStyle name="표준 3 5 2 4 6 2 2 3" xfId="40800"/>
    <cellStyle name="표준 3 5 2 4 6 2 3" xfId="40801"/>
    <cellStyle name="표준 3 5 2 4 6 2 4" xfId="40802"/>
    <cellStyle name="표준 3 5 2 4 6 3" xfId="40803"/>
    <cellStyle name="표준 3 5 2 4 6 3 2" xfId="40804"/>
    <cellStyle name="표준 3 5 2 4 6 3 3" xfId="40805"/>
    <cellStyle name="표준 3 5 2 4 6 4" xfId="40806"/>
    <cellStyle name="표준 3 5 2 4 6 5" xfId="40807"/>
    <cellStyle name="표준 3 5 2 4 7" xfId="40808"/>
    <cellStyle name="표준 3 5 2 4 7 2" xfId="40809"/>
    <cellStyle name="표준 3 5 2 4 7 2 2" xfId="40810"/>
    <cellStyle name="표준 3 5 2 4 7 2 3" xfId="40811"/>
    <cellStyle name="표준 3 5 2 4 7 3" xfId="40812"/>
    <cellStyle name="표준 3 5 2 4 7 4" xfId="40813"/>
    <cellStyle name="표준 3 5 2 4 8" xfId="40814"/>
    <cellStyle name="표준 3 5 2 4 8 2" xfId="40815"/>
    <cellStyle name="표준 3 5 2 4 8 3" xfId="40816"/>
    <cellStyle name="표준 3 5 2 4 9" xfId="40817"/>
    <cellStyle name="표준 3 5 2 5" xfId="40818"/>
    <cellStyle name="표준 3 5 2 5 2" xfId="40819"/>
    <cellStyle name="표준 3 5 2 5 2 2" xfId="40820"/>
    <cellStyle name="표준 3 5 2 5 2 2 2" xfId="40821"/>
    <cellStyle name="표준 3 5 2 5 2 2 2 2" xfId="40822"/>
    <cellStyle name="표준 3 5 2 5 2 2 2 3" xfId="40823"/>
    <cellStyle name="표준 3 5 2 5 2 2 3" xfId="40824"/>
    <cellStyle name="표준 3 5 2 5 2 2 4" xfId="40825"/>
    <cellStyle name="표준 3 5 2 5 2 3" xfId="40826"/>
    <cellStyle name="표준 3 5 2 5 2 3 2" xfId="40827"/>
    <cellStyle name="표준 3 5 2 5 2 3 3" xfId="40828"/>
    <cellStyle name="표준 3 5 2 5 2 4" xfId="40829"/>
    <cellStyle name="표준 3 5 2 5 2 5" xfId="40830"/>
    <cellStyle name="표준 3 5 2 5 3" xfId="40831"/>
    <cellStyle name="표준 3 5 2 5 3 2" xfId="40832"/>
    <cellStyle name="표준 3 5 2 5 3 2 2" xfId="40833"/>
    <cellStyle name="표준 3 5 2 5 3 2 2 2" xfId="40834"/>
    <cellStyle name="표준 3 5 2 5 3 2 2 3" xfId="40835"/>
    <cellStyle name="표준 3 5 2 5 3 2 3" xfId="40836"/>
    <cellStyle name="표준 3 5 2 5 3 2 4" xfId="40837"/>
    <cellStyle name="표준 3 5 2 5 3 3" xfId="40838"/>
    <cellStyle name="표준 3 5 2 5 3 3 2" xfId="40839"/>
    <cellStyle name="표준 3 5 2 5 3 3 3" xfId="40840"/>
    <cellStyle name="표준 3 5 2 5 3 4" xfId="40841"/>
    <cellStyle name="표준 3 5 2 5 3 5" xfId="40842"/>
    <cellStyle name="표준 3 5 2 5 4" xfId="40843"/>
    <cellStyle name="표준 3 5 2 5 4 2" xfId="40844"/>
    <cellStyle name="표준 3 5 2 5 4 2 2" xfId="40845"/>
    <cellStyle name="표준 3 5 2 5 4 2 3" xfId="40846"/>
    <cellStyle name="표준 3 5 2 5 4 3" xfId="40847"/>
    <cellStyle name="표준 3 5 2 5 4 4" xfId="40848"/>
    <cellStyle name="표준 3 5 2 5 5" xfId="40849"/>
    <cellStyle name="표준 3 5 2 5 5 2" xfId="40850"/>
    <cellStyle name="표준 3 5 2 5 5 3" xfId="40851"/>
    <cellStyle name="표준 3 5 2 5 6" xfId="40852"/>
    <cellStyle name="표준 3 5 2 5 7" xfId="40853"/>
    <cellStyle name="표준 3 5 2 6" xfId="40854"/>
    <cellStyle name="표준 3 5 2 6 2" xfId="40855"/>
    <cellStyle name="표준 3 5 2 6 2 2" xfId="40856"/>
    <cellStyle name="표준 3 5 2 6 2 2 2" xfId="40857"/>
    <cellStyle name="표준 3 5 2 6 2 2 2 2" xfId="40858"/>
    <cellStyle name="표준 3 5 2 6 2 2 2 3" xfId="40859"/>
    <cellStyle name="표준 3 5 2 6 2 2 3" xfId="40860"/>
    <cellStyle name="표준 3 5 2 6 2 2 4" xfId="40861"/>
    <cellStyle name="표준 3 5 2 6 2 3" xfId="40862"/>
    <cellStyle name="표준 3 5 2 6 2 3 2" xfId="40863"/>
    <cellStyle name="표준 3 5 2 6 2 3 3" xfId="40864"/>
    <cellStyle name="표준 3 5 2 6 2 4" xfId="40865"/>
    <cellStyle name="표준 3 5 2 6 2 5" xfId="40866"/>
    <cellStyle name="표준 3 5 2 6 3" xfId="40867"/>
    <cellStyle name="표준 3 5 2 6 3 2" xfId="40868"/>
    <cellStyle name="표준 3 5 2 6 3 2 2" xfId="40869"/>
    <cellStyle name="표준 3 5 2 6 3 2 2 2" xfId="40870"/>
    <cellStyle name="표준 3 5 2 6 3 2 2 3" xfId="40871"/>
    <cellStyle name="표준 3 5 2 6 3 2 3" xfId="40872"/>
    <cellStyle name="표준 3 5 2 6 3 2 4" xfId="40873"/>
    <cellStyle name="표준 3 5 2 6 3 3" xfId="40874"/>
    <cellStyle name="표준 3 5 2 6 3 3 2" xfId="40875"/>
    <cellStyle name="표준 3 5 2 6 3 3 3" xfId="40876"/>
    <cellStyle name="표준 3 5 2 6 3 4" xfId="40877"/>
    <cellStyle name="표준 3 5 2 6 3 5" xfId="40878"/>
    <cellStyle name="표준 3 5 2 6 4" xfId="40879"/>
    <cellStyle name="표준 3 5 2 6 4 2" xfId="40880"/>
    <cellStyle name="표준 3 5 2 6 4 2 2" xfId="40881"/>
    <cellStyle name="표준 3 5 2 6 4 2 3" xfId="40882"/>
    <cellStyle name="표준 3 5 2 6 4 3" xfId="40883"/>
    <cellStyle name="표준 3 5 2 6 4 4" xfId="40884"/>
    <cellStyle name="표준 3 5 2 6 5" xfId="40885"/>
    <cellStyle name="표준 3 5 2 6 5 2" xfId="40886"/>
    <cellStyle name="표준 3 5 2 6 5 3" xfId="40887"/>
    <cellStyle name="표준 3 5 2 6 6" xfId="40888"/>
    <cellStyle name="표준 3 5 2 6 7" xfId="40889"/>
    <cellStyle name="표준 3 5 2 7" xfId="40890"/>
    <cellStyle name="표준 3 5 2 7 2" xfId="40891"/>
    <cellStyle name="표준 3 5 2 7 2 2" xfId="40892"/>
    <cellStyle name="표준 3 5 2 7 2 2 2" xfId="40893"/>
    <cellStyle name="표준 3 5 2 7 2 2 3" xfId="40894"/>
    <cellStyle name="표준 3 5 2 7 2 3" xfId="40895"/>
    <cellStyle name="표준 3 5 2 7 2 4" xfId="40896"/>
    <cellStyle name="표준 3 5 2 7 3" xfId="40897"/>
    <cellStyle name="표준 3 5 2 7 3 2" xfId="40898"/>
    <cellStyle name="표준 3 5 2 7 3 3" xfId="40899"/>
    <cellStyle name="표준 3 5 2 7 4" xfId="40900"/>
    <cellStyle name="표준 3 5 2 7 5" xfId="40901"/>
    <cellStyle name="표준 3 5 2 8" xfId="40902"/>
    <cellStyle name="표준 3 5 2 8 2" xfId="40903"/>
    <cellStyle name="표준 3 5 2 8 2 2" xfId="40904"/>
    <cellStyle name="표준 3 5 2 8 2 2 2" xfId="40905"/>
    <cellStyle name="표준 3 5 2 8 2 2 3" xfId="40906"/>
    <cellStyle name="표준 3 5 2 8 2 3" xfId="40907"/>
    <cellStyle name="표준 3 5 2 8 2 4" xfId="40908"/>
    <cellStyle name="표준 3 5 2 8 3" xfId="40909"/>
    <cellStyle name="표준 3 5 2 8 3 2" xfId="40910"/>
    <cellStyle name="표준 3 5 2 8 3 3" xfId="40911"/>
    <cellStyle name="표준 3 5 2 8 4" xfId="40912"/>
    <cellStyle name="표준 3 5 2 8 5" xfId="40913"/>
    <cellStyle name="표준 3 5 2 9" xfId="40914"/>
    <cellStyle name="표준 3 5 2 9 2" xfId="40915"/>
    <cellStyle name="표준 3 5 2 9 2 2" xfId="40916"/>
    <cellStyle name="표준 3 5 2 9 2 2 2" xfId="40917"/>
    <cellStyle name="표준 3 5 2 9 2 2 3" xfId="40918"/>
    <cellStyle name="표준 3 5 2 9 2 3" xfId="40919"/>
    <cellStyle name="표준 3 5 2 9 2 4" xfId="40920"/>
    <cellStyle name="표준 3 5 2 9 3" xfId="40921"/>
    <cellStyle name="표준 3 5 2 9 3 2" xfId="40922"/>
    <cellStyle name="표준 3 5 2 9 3 3" xfId="40923"/>
    <cellStyle name="표준 3 5 2 9 4" xfId="40924"/>
    <cellStyle name="표준 3 5 2 9 5" xfId="40925"/>
    <cellStyle name="표준 3 5 3" xfId="40926"/>
    <cellStyle name="표준 3 5 3 10" xfId="40927"/>
    <cellStyle name="표준 3 5 3 2" xfId="40928"/>
    <cellStyle name="표준 3 5 3 2 2" xfId="40929"/>
    <cellStyle name="표준 3 5 3 2 2 2" xfId="40930"/>
    <cellStyle name="표준 3 5 3 2 2 2 2" xfId="40931"/>
    <cellStyle name="표준 3 5 3 2 2 2 2 2" xfId="40932"/>
    <cellStyle name="표준 3 5 3 2 2 2 2 3" xfId="40933"/>
    <cellStyle name="표준 3 5 3 2 2 2 3" xfId="40934"/>
    <cellStyle name="표준 3 5 3 2 2 2 4" xfId="40935"/>
    <cellStyle name="표준 3 5 3 2 2 3" xfId="40936"/>
    <cellStyle name="표준 3 5 3 2 2 3 2" xfId="40937"/>
    <cellStyle name="표준 3 5 3 2 2 3 3" xfId="40938"/>
    <cellStyle name="표준 3 5 3 2 2 4" xfId="40939"/>
    <cellStyle name="표준 3 5 3 2 2 5" xfId="40940"/>
    <cellStyle name="표준 3 5 3 2 3" xfId="40941"/>
    <cellStyle name="표준 3 5 3 2 3 2" xfId="40942"/>
    <cellStyle name="표준 3 5 3 2 3 2 2" xfId="40943"/>
    <cellStyle name="표준 3 5 3 2 3 2 2 2" xfId="40944"/>
    <cellStyle name="표준 3 5 3 2 3 2 2 3" xfId="40945"/>
    <cellStyle name="표준 3 5 3 2 3 2 3" xfId="40946"/>
    <cellStyle name="표준 3 5 3 2 3 2 4" xfId="40947"/>
    <cellStyle name="표준 3 5 3 2 3 3" xfId="40948"/>
    <cellStyle name="표준 3 5 3 2 3 3 2" xfId="40949"/>
    <cellStyle name="표준 3 5 3 2 3 3 3" xfId="40950"/>
    <cellStyle name="표준 3 5 3 2 3 4" xfId="40951"/>
    <cellStyle name="표준 3 5 3 2 3 5" xfId="40952"/>
    <cellStyle name="표준 3 5 3 2 4" xfId="40953"/>
    <cellStyle name="표준 3 5 3 2 4 2" xfId="40954"/>
    <cellStyle name="표준 3 5 3 2 4 2 2" xfId="40955"/>
    <cellStyle name="표준 3 5 3 2 4 2 3" xfId="40956"/>
    <cellStyle name="표준 3 5 3 2 4 3" xfId="40957"/>
    <cellStyle name="표준 3 5 3 2 4 4" xfId="40958"/>
    <cellStyle name="표준 3 5 3 2 5" xfId="40959"/>
    <cellStyle name="표준 3 5 3 2 5 2" xfId="40960"/>
    <cellStyle name="표준 3 5 3 2 5 3" xfId="40961"/>
    <cellStyle name="표준 3 5 3 2 6" xfId="40962"/>
    <cellStyle name="표준 3 5 3 2 7" xfId="40963"/>
    <cellStyle name="표준 3 5 3 3" xfId="40964"/>
    <cellStyle name="표준 3 5 3 3 2" xfId="40965"/>
    <cellStyle name="표준 3 5 3 3 2 2" xfId="40966"/>
    <cellStyle name="표준 3 5 3 3 2 2 2" xfId="40967"/>
    <cellStyle name="표준 3 5 3 3 2 2 2 2" xfId="40968"/>
    <cellStyle name="표준 3 5 3 3 2 2 2 3" xfId="40969"/>
    <cellStyle name="표준 3 5 3 3 2 2 3" xfId="40970"/>
    <cellStyle name="표준 3 5 3 3 2 2 4" xfId="40971"/>
    <cellStyle name="표준 3 5 3 3 2 3" xfId="40972"/>
    <cellStyle name="표준 3 5 3 3 2 3 2" xfId="40973"/>
    <cellStyle name="표준 3 5 3 3 2 3 3" xfId="40974"/>
    <cellStyle name="표준 3 5 3 3 2 4" xfId="40975"/>
    <cellStyle name="표준 3 5 3 3 2 5" xfId="40976"/>
    <cellStyle name="표준 3 5 3 3 3" xfId="40977"/>
    <cellStyle name="표준 3 5 3 3 3 2" xfId="40978"/>
    <cellStyle name="표준 3 5 3 3 3 2 2" xfId="40979"/>
    <cellStyle name="표준 3 5 3 3 3 2 2 2" xfId="40980"/>
    <cellStyle name="표준 3 5 3 3 3 2 2 3" xfId="40981"/>
    <cellStyle name="표준 3 5 3 3 3 2 3" xfId="40982"/>
    <cellStyle name="표준 3 5 3 3 3 2 4" xfId="40983"/>
    <cellStyle name="표준 3 5 3 3 3 3" xfId="40984"/>
    <cellStyle name="표준 3 5 3 3 3 3 2" xfId="40985"/>
    <cellStyle name="표준 3 5 3 3 3 3 3" xfId="40986"/>
    <cellStyle name="표준 3 5 3 3 3 4" xfId="40987"/>
    <cellStyle name="표준 3 5 3 3 3 5" xfId="40988"/>
    <cellStyle name="표준 3 5 3 3 4" xfId="40989"/>
    <cellStyle name="표준 3 5 3 3 4 2" xfId="40990"/>
    <cellStyle name="표준 3 5 3 3 4 2 2" xfId="40991"/>
    <cellStyle name="표준 3 5 3 3 4 2 3" xfId="40992"/>
    <cellStyle name="표준 3 5 3 3 4 3" xfId="40993"/>
    <cellStyle name="표준 3 5 3 3 4 4" xfId="40994"/>
    <cellStyle name="표준 3 5 3 3 5" xfId="40995"/>
    <cellStyle name="표준 3 5 3 3 5 2" xfId="40996"/>
    <cellStyle name="표준 3 5 3 3 5 3" xfId="40997"/>
    <cellStyle name="표준 3 5 3 3 6" xfId="40998"/>
    <cellStyle name="표준 3 5 3 3 7" xfId="40999"/>
    <cellStyle name="표준 3 5 3 4" xfId="41000"/>
    <cellStyle name="표준 3 5 3 4 2" xfId="41001"/>
    <cellStyle name="표준 3 5 3 4 2 2" xfId="41002"/>
    <cellStyle name="표준 3 5 3 4 2 2 2" xfId="41003"/>
    <cellStyle name="표준 3 5 3 4 2 2 3" xfId="41004"/>
    <cellStyle name="표준 3 5 3 4 2 3" xfId="41005"/>
    <cellStyle name="표준 3 5 3 4 2 4" xfId="41006"/>
    <cellStyle name="표준 3 5 3 4 3" xfId="41007"/>
    <cellStyle name="표준 3 5 3 4 3 2" xfId="41008"/>
    <cellStyle name="표준 3 5 3 4 3 3" xfId="41009"/>
    <cellStyle name="표준 3 5 3 4 4" xfId="41010"/>
    <cellStyle name="표준 3 5 3 4 5" xfId="41011"/>
    <cellStyle name="표준 3 5 3 5" xfId="41012"/>
    <cellStyle name="표준 3 5 3 5 2" xfId="41013"/>
    <cellStyle name="표준 3 5 3 5 2 2" xfId="41014"/>
    <cellStyle name="표준 3 5 3 5 2 2 2" xfId="41015"/>
    <cellStyle name="표준 3 5 3 5 2 2 3" xfId="41016"/>
    <cellStyle name="표준 3 5 3 5 2 3" xfId="41017"/>
    <cellStyle name="표준 3 5 3 5 2 4" xfId="41018"/>
    <cellStyle name="표준 3 5 3 5 3" xfId="41019"/>
    <cellStyle name="표준 3 5 3 5 3 2" xfId="41020"/>
    <cellStyle name="표준 3 5 3 5 3 3" xfId="41021"/>
    <cellStyle name="표준 3 5 3 5 4" xfId="41022"/>
    <cellStyle name="표준 3 5 3 5 5" xfId="41023"/>
    <cellStyle name="표준 3 5 3 6" xfId="41024"/>
    <cellStyle name="표준 3 5 3 6 2" xfId="41025"/>
    <cellStyle name="표준 3 5 3 6 2 2" xfId="41026"/>
    <cellStyle name="표준 3 5 3 6 2 2 2" xfId="41027"/>
    <cellStyle name="표준 3 5 3 6 2 2 3" xfId="41028"/>
    <cellStyle name="표준 3 5 3 6 2 3" xfId="41029"/>
    <cellStyle name="표준 3 5 3 6 2 4" xfId="41030"/>
    <cellStyle name="표준 3 5 3 6 3" xfId="41031"/>
    <cellStyle name="표준 3 5 3 6 3 2" xfId="41032"/>
    <cellStyle name="표준 3 5 3 6 3 3" xfId="41033"/>
    <cellStyle name="표준 3 5 3 6 4" xfId="41034"/>
    <cellStyle name="표준 3 5 3 6 5" xfId="41035"/>
    <cellStyle name="표준 3 5 3 7" xfId="41036"/>
    <cellStyle name="표준 3 5 3 7 2" xfId="41037"/>
    <cellStyle name="표준 3 5 3 7 2 2" xfId="41038"/>
    <cellStyle name="표준 3 5 3 7 2 3" xfId="41039"/>
    <cellStyle name="표준 3 5 3 7 3" xfId="41040"/>
    <cellStyle name="표준 3 5 3 7 4" xfId="41041"/>
    <cellStyle name="표준 3 5 3 8" xfId="41042"/>
    <cellStyle name="표준 3 5 3 8 2" xfId="41043"/>
    <cellStyle name="표준 3 5 3 8 3" xfId="41044"/>
    <cellStyle name="표준 3 5 3 9" xfId="41045"/>
    <cellStyle name="표준 3 5 4" xfId="41046"/>
    <cellStyle name="표준 3 5 4 10" xfId="41047"/>
    <cellStyle name="표준 3 5 4 2" xfId="41048"/>
    <cellStyle name="표준 3 5 4 2 2" xfId="41049"/>
    <cellStyle name="표준 3 5 4 2 2 2" xfId="41050"/>
    <cellStyle name="표준 3 5 4 2 2 2 2" xfId="41051"/>
    <cellStyle name="표준 3 5 4 2 2 2 2 2" xfId="41052"/>
    <cellStyle name="표준 3 5 4 2 2 2 2 3" xfId="41053"/>
    <cellStyle name="표준 3 5 4 2 2 2 3" xfId="41054"/>
    <cellStyle name="표준 3 5 4 2 2 2 4" xfId="41055"/>
    <cellStyle name="표준 3 5 4 2 2 3" xfId="41056"/>
    <cellStyle name="표준 3 5 4 2 2 3 2" xfId="41057"/>
    <cellStyle name="표준 3 5 4 2 2 3 3" xfId="41058"/>
    <cellStyle name="표준 3 5 4 2 2 4" xfId="41059"/>
    <cellStyle name="표준 3 5 4 2 2 5" xfId="41060"/>
    <cellStyle name="표준 3 5 4 2 3" xfId="41061"/>
    <cellStyle name="표준 3 5 4 2 3 2" xfId="41062"/>
    <cellStyle name="표준 3 5 4 2 3 2 2" xfId="41063"/>
    <cellStyle name="표준 3 5 4 2 3 2 2 2" xfId="41064"/>
    <cellStyle name="표준 3 5 4 2 3 2 2 3" xfId="41065"/>
    <cellStyle name="표준 3 5 4 2 3 2 3" xfId="41066"/>
    <cellStyle name="표준 3 5 4 2 3 2 4" xfId="41067"/>
    <cellStyle name="표준 3 5 4 2 3 3" xfId="41068"/>
    <cellStyle name="표준 3 5 4 2 3 3 2" xfId="41069"/>
    <cellStyle name="표준 3 5 4 2 3 3 3" xfId="41070"/>
    <cellStyle name="표준 3 5 4 2 3 4" xfId="41071"/>
    <cellStyle name="표준 3 5 4 2 3 5" xfId="41072"/>
    <cellStyle name="표준 3 5 4 2 4" xfId="41073"/>
    <cellStyle name="표준 3 5 4 2 4 2" xfId="41074"/>
    <cellStyle name="표준 3 5 4 2 4 2 2" xfId="41075"/>
    <cellStyle name="표준 3 5 4 2 4 2 3" xfId="41076"/>
    <cellStyle name="표준 3 5 4 2 4 3" xfId="41077"/>
    <cellStyle name="표준 3 5 4 2 4 4" xfId="41078"/>
    <cellStyle name="표준 3 5 4 2 5" xfId="41079"/>
    <cellStyle name="표준 3 5 4 2 5 2" xfId="41080"/>
    <cellStyle name="표준 3 5 4 2 5 3" xfId="41081"/>
    <cellStyle name="표준 3 5 4 2 6" xfId="41082"/>
    <cellStyle name="표준 3 5 4 2 7" xfId="41083"/>
    <cellStyle name="표준 3 5 4 3" xfId="41084"/>
    <cellStyle name="표준 3 5 4 3 2" xfId="41085"/>
    <cellStyle name="표준 3 5 4 3 2 2" xfId="41086"/>
    <cellStyle name="표준 3 5 4 3 2 2 2" xfId="41087"/>
    <cellStyle name="표준 3 5 4 3 2 2 2 2" xfId="41088"/>
    <cellStyle name="표준 3 5 4 3 2 2 2 3" xfId="41089"/>
    <cellStyle name="표준 3 5 4 3 2 2 3" xfId="41090"/>
    <cellStyle name="표준 3 5 4 3 2 2 4" xfId="41091"/>
    <cellStyle name="표준 3 5 4 3 2 3" xfId="41092"/>
    <cellStyle name="표준 3 5 4 3 2 3 2" xfId="41093"/>
    <cellStyle name="표준 3 5 4 3 2 3 3" xfId="41094"/>
    <cellStyle name="표준 3 5 4 3 2 4" xfId="41095"/>
    <cellStyle name="표준 3 5 4 3 2 5" xfId="41096"/>
    <cellStyle name="표준 3 5 4 3 3" xfId="41097"/>
    <cellStyle name="표준 3 5 4 3 3 2" xfId="41098"/>
    <cellStyle name="표준 3 5 4 3 3 2 2" xfId="41099"/>
    <cellStyle name="표준 3 5 4 3 3 2 2 2" xfId="41100"/>
    <cellStyle name="표준 3 5 4 3 3 2 2 3" xfId="41101"/>
    <cellStyle name="표준 3 5 4 3 3 2 3" xfId="41102"/>
    <cellStyle name="표준 3 5 4 3 3 2 4" xfId="41103"/>
    <cellStyle name="표준 3 5 4 3 3 3" xfId="41104"/>
    <cellStyle name="표준 3 5 4 3 3 3 2" xfId="41105"/>
    <cellStyle name="표준 3 5 4 3 3 3 3" xfId="41106"/>
    <cellStyle name="표준 3 5 4 3 3 4" xfId="41107"/>
    <cellStyle name="표준 3 5 4 3 3 5" xfId="41108"/>
    <cellStyle name="표준 3 5 4 3 4" xfId="41109"/>
    <cellStyle name="표준 3 5 4 3 4 2" xfId="41110"/>
    <cellStyle name="표준 3 5 4 3 4 2 2" xfId="41111"/>
    <cellStyle name="표준 3 5 4 3 4 2 3" xfId="41112"/>
    <cellStyle name="표준 3 5 4 3 4 3" xfId="41113"/>
    <cellStyle name="표준 3 5 4 3 4 4" xfId="41114"/>
    <cellStyle name="표준 3 5 4 3 5" xfId="41115"/>
    <cellStyle name="표준 3 5 4 3 5 2" xfId="41116"/>
    <cellStyle name="표준 3 5 4 3 5 3" xfId="41117"/>
    <cellStyle name="표준 3 5 4 3 6" xfId="41118"/>
    <cellStyle name="표준 3 5 4 3 7" xfId="41119"/>
    <cellStyle name="표준 3 5 4 4" xfId="41120"/>
    <cellStyle name="표준 3 5 4 4 2" xfId="41121"/>
    <cellStyle name="표준 3 5 4 4 2 2" xfId="41122"/>
    <cellStyle name="표준 3 5 4 4 2 2 2" xfId="41123"/>
    <cellStyle name="표준 3 5 4 4 2 2 3" xfId="41124"/>
    <cellStyle name="표준 3 5 4 4 2 3" xfId="41125"/>
    <cellStyle name="표준 3 5 4 4 2 4" xfId="41126"/>
    <cellStyle name="표준 3 5 4 4 3" xfId="41127"/>
    <cellStyle name="표준 3 5 4 4 3 2" xfId="41128"/>
    <cellStyle name="표준 3 5 4 4 3 3" xfId="41129"/>
    <cellStyle name="표준 3 5 4 4 4" xfId="41130"/>
    <cellStyle name="표준 3 5 4 4 5" xfId="41131"/>
    <cellStyle name="표준 3 5 4 5" xfId="41132"/>
    <cellStyle name="표준 3 5 4 5 2" xfId="41133"/>
    <cellStyle name="표준 3 5 4 5 2 2" xfId="41134"/>
    <cellStyle name="표준 3 5 4 5 2 2 2" xfId="41135"/>
    <cellStyle name="표준 3 5 4 5 2 2 3" xfId="41136"/>
    <cellStyle name="표준 3 5 4 5 2 3" xfId="41137"/>
    <cellStyle name="표준 3 5 4 5 2 4" xfId="41138"/>
    <cellStyle name="표준 3 5 4 5 3" xfId="41139"/>
    <cellStyle name="표준 3 5 4 5 3 2" xfId="41140"/>
    <cellStyle name="표준 3 5 4 5 3 3" xfId="41141"/>
    <cellStyle name="표준 3 5 4 5 4" xfId="41142"/>
    <cellStyle name="표준 3 5 4 5 5" xfId="41143"/>
    <cellStyle name="표준 3 5 4 6" xfId="41144"/>
    <cellStyle name="표준 3 5 4 6 2" xfId="41145"/>
    <cellStyle name="표준 3 5 4 6 2 2" xfId="41146"/>
    <cellStyle name="표준 3 5 4 6 2 2 2" xfId="41147"/>
    <cellStyle name="표준 3 5 4 6 2 2 3" xfId="41148"/>
    <cellStyle name="표준 3 5 4 6 2 3" xfId="41149"/>
    <cellStyle name="표준 3 5 4 6 2 4" xfId="41150"/>
    <cellStyle name="표준 3 5 4 6 3" xfId="41151"/>
    <cellStyle name="표준 3 5 4 6 3 2" xfId="41152"/>
    <cellStyle name="표준 3 5 4 6 3 3" xfId="41153"/>
    <cellStyle name="표준 3 5 4 6 4" xfId="41154"/>
    <cellStyle name="표준 3 5 4 6 5" xfId="41155"/>
    <cellStyle name="표준 3 5 4 7" xfId="41156"/>
    <cellStyle name="표준 3 5 4 7 2" xfId="41157"/>
    <cellStyle name="표준 3 5 4 7 2 2" xfId="41158"/>
    <cellStyle name="표준 3 5 4 7 2 3" xfId="41159"/>
    <cellStyle name="표준 3 5 4 7 3" xfId="41160"/>
    <cellStyle name="표준 3 5 4 7 4" xfId="41161"/>
    <cellStyle name="표준 3 5 4 8" xfId="41162"/>
    <cellStyle name="표준 3 5 4 8 2" xfId="41163"/>
    <cellStyle name="표준 3 5 4 8 3" xfId="41164"/>
    <cellStyle name="표준 3 5 4 9" xfId="41165"/>
    <cellStyle name="표준 3 5 5" xfId="41166"/>
    <cellStyle name="표준 3 5 5 10" xfId="41167"/>
    <cellStyle name="표준 3 5 5 2" xfId="41168"/>
    <cellStyle name="표준 3 5 5 2 2" xfId="41169"/>
    <cellStyle name="표준 3 5 5 2 2 2" xfId="41170"/>
    <cellStyle name="표준 3 5 5 2 2 2 2" xfId="41171"/>
    <cellStyle name="표준 3 5 5 2 2 2 2 2" xfId="41172"/>
    <cellStyle name="표준 3 5 5 2 2 2 2 3" xfId="41173"/>
    <cellStyle name="표준 3 5 5 2 2 2 3" xfId="41174"/>
    <cellStyle name="표준 3 5 5 2 2 2 4" xfId="41175"/>
    <cellStyle name="표준 3 5 5 2 2 3" xfId="41176"/>
    <cellStyle name="표준 3 5 5 2 2 3 2" xfId="41177"/>
    <cellStyle name="표준 3 5 5 2 2 3 3" xfId="41178"/>
    <cellStyle name="표준 3 5 5 2 2 4" xfId="41179"/>
    <cellStyle name="표준 3 5 5 2 2 5" xfId="41180"/>
    <cellStyle name="표준 3 5 5 2 3" xfId="41181"/>
    <cellStyle name="표준 3 5 5 2 3 2" xfId="41182"/>
    <cellStyle name="표준 3 5 5 2 3 2 2" xfId="41183"/>
    <cellStyle name="표준 3 5 5 2 3 2 2 2" xfId="41184"/>
    <cellStyle name="표준 3 5 5 2 3 2 2 3" xfId="41185"/>
    <cellStyle name="표준 3 5 5 2 3 2 3" xfId="41186"/>
    <cellStyle name="표준 3 5 5 2 3 2 4" xfId="41187"/>
    <cellStyle name="표준 3 5 5 2 3 3" xfId="41188"/>
    <cellStyle name="표준 3 5 5 2 3 3 2" xfId="41189"/>
    <cellStyle name="표준 3 5 5 2 3 3 3" xfId="41190"/>
    <cellStyle name="표준 3 5 5 2 3 4" xfId="41191"/>
    <cellStyle name="표준 3 5 5 2 3 5" xfId="41192"/>
    <cellStyle name="표준 3 5 5 2 4" xfId="41193"/>
    <cellStyle name="표준 3 5 5 2 4 2" xfId="41194"/>
    <cellStyle name="표준 3 5 5 2 4 2 2" xfId="41195"/>
    <cellStyle name="표준 3 5 5 2 4 2 3" xfId="41196"/>
    <cellStyle name="표준 3 5 5 2 4 3" xfId="41197"/>
    <cellStyle name="표준 3 5 5 2 4 4" xfId="41198"/>
    <cellStyle name="표준 3 5 5 2 5" xfId="41199"/>
    <cellStyle name="표준 3 5 5 2 5 2" xfId="41200"/>
    <cellStyle name="표준 3 5 5 2 5 3" xfId="41201"/>
    <cellStyle name="표준 3 5 5 2 6" xfId="41202"/>
    <cellStyle name="표준 3 5 5 2 7" xfId="41203"/>
    <cellStyle name="표준 3 5 5 3" xfId="41204"/>
    <cellStyle name="표준 3 5 5 3 2" xfId="41205"/>
    <cellStyle name="표준 3 5 5 3 2 2" xfId="41206"/>
    <cellStyle name="표준 3 5 5 3 2 2 2" xfId="41207"/>
    <cellStyle name="표준 3 5 5 3 2 2 2 2" xfId="41208"/>
    <cellStyle name="표준 3 5 5 3 2 2 2 3" xfId="41209"/>
    <cellStyle name="표준 3 5 5 3 2 2 3" xfId="41210"/>
    <cellStyle name="표준 3 5 5 3 2 2 4" xfId="41211"/>
    <cellStyle name="표준 3 5 5 3 2 3" xfId="41212"/>
    <cellStyle name="표준 3 5 5 3 2 3 2" xfId="41213"/>
    <cellStyle name="표준 3 5 5 3 2 3 3" xfId="41214"/>
    <cellStyle name="표준 3 5 5 3 2 4" xfId="41215"/>
    <cellStyle name="표준 3 5 5 3 2 5" xfId="41216"/>
    <cellStyle name="표준 3 5 5 3 3" xfId="41217"/>
    <cellStyle name="표준 3 5 5 3 3 2" xfId="41218"/>
    <cellStyle name="표준 3 5 5 3 3 2 2" xfId="41219"/>
    <cellStyle name="표준 3 5 5 3 3 2 2 2" xfId="41220"/>
    <cellStyle name="표준 3 5 5 3 3 2 2 3" xfId="41221"/>
    <cellStyle name="표준 3 5 5 3 3 2 3" xfId="41222"/>
    <cellStyle name="표준 3 5 5 3 3 2 4" xfId="41223"/>
    <cellStyle name="표준 3 5 5 3 3 3" xfId="41224"/>
    <cellStyle name="표준 3 5 5 3 3 3 2" xfId="41225"/>
    <cellStyle name="표준 3 5 5 3 3 3 3" xfId="41226"/>
    <cellStyle name="표준 3 5 5 3 3 4" xfId="41227"/>
    <cellStyle name="표준 3 5 5 3 3 5" xfId="41228"/>
    <cellStyle name="표준 3 5 5 3 4" xfId="41229"/>
    <cellStyle name="표준 3 5 5 3 4 2" xfId="41230"/>
    <cellStyle name="표준 3 5 5 3 4 2 2" xfId="41231"/>
    <cellStyle name="표준 3 5 5 3 4 2 3" xfId="41232"/>
    <cellStyle name="표준 3 5 5 3 4 3" xfId="41233"/>
    <cellStyle name="표준 3 5 5 3 4 4" xfId="41234"/>
    <cellStyle name="표준 3 5 5 3 5" xfId="41235"/>
    <cellStyle name="표준 3 5 5 3 5 2" xfId="41236"/>
    <cellStyle name="표준 3 5 5 3 5 3" xfId="41237"/>
    <cellStyle name="표준 3 5 5 3 6" xfId="41238"/>
    <cellStyle name="표준 3 5 5 3 7" xfId="41239"/>
    <cellStyle name="표준 3 5 5 4" xfId="41240"/>
    <cellStyle name="표준 3 5 5 4 2" xfId="41241"/>
    <cellStyle name="표준 3 5 5 4 2 2" xfId="41242"/>
    <cellStyle name="표준 3 5 5 4 2 2 2" xfId="41243"/>
    <cellStyle name="표준 3 5 5 4 2 2 3" xfId="41244"/>
    <cellStyle name="표준 3 5 5 4 2 3" xfId="41245"/>
    <cellStyle name="표준 3 5 5 4 2 4" xfId="41246"/>
    <cellStyle name="표준 3 5 5 4 3" xfId="41247"/>
    <cellStyle name="표준 3 5 5 4 3 2" xfId="41248"/>
    <cellStyle name="표준 3 5 5 4 3 3" xfId="41249"/>
    <cellStyle name="표준 3 5 5 4 4" xfId="41250"/>
    <cellStyle name="표준 3 5 5 4 5" xfId="41251"/>
    <cellStyle name="표준 3 5 5 5" xfId="41252"/>
    <cellStyle name="표준 3 5 5 5 2" xfId="41253"/>
    <cellStyle name="표준 3 5 5 5 2 2" xfId="41254"/>
    <cellStyle name="표준 3 5 5 5 2 2 2" xfId="41255"/>
    <cellStyle name="표준 3 5 5 5 2 2 3" xfId="41256"/>
    <cellStyle name="표준 3 5 5 5 2 3" xfId="41257"/>
    <cellStyle name="표준 3 5 5 5 2 4" xfId="41258"/>
    <cellStyle name="표준 3 5 5 5 3" xfId="41259"/>
    <cellStyle name="표준 3 5 5 5 3 2" xfId="41260"/>
    <cellStyle name="표준 3 5 5 5 3 3" xfId="41261"/>
    <cellStyle name="표준 3 5 5 5 4" xfId="41262"/>
    <cellStyle name="표준 3 5 5 5 5" xfId="41263"/>
    <cellStyle name="표준 3 5 5 6" xfId="41264"/>
    <cellStyle name="표준 3 5 5 6 2" xfId="41265"/>
    <cellStyle name="표준 3 5 5 6 2 2" xfId="41266"/>
    <cellStyle name="표준 3 5 5 6 2 2 2" xfId="41267"/>
    <cellStyle name="표준 3 5 5 6 2 2 3" xfId="41268"/>
    <cellStyle name="표준 3 5 5 6 2 3" xfId="41269"/>
    <cellStyle name="표준 3 5 5 6 2 4" xfId="41270"/>
    <cellStyle name="표준 3 5 5 6 3" xfId="41271"/>
    <cellStyle name="표준 3 5 5 6 3 2" xfId="41272"/>
    <cellStyle name="표준 3 5 5 6 3 3" xfId="41273"/>
    <cellStyle name="표준 3 5 5 6 4" xfId="41274"/>
    <cellStyle name="표준 3 5 5 6 5" xfId="41275"/>
    <cellStyle name="표준 3 5 5 7" xfId="41276"/>
    <cellStyle name="표준 3 5 5 7 2" xfId="41277"/>
    <cellStyle name="표준 3 5 5 7 2 2" xfId="41278"/>
    <cellStyle name="표준 3 5 5 7 2 3" xfId="41279"/>
    <cellStyle name="표준 3 5 5 7 3" xfId="41280"/>
    <cellStyle name="표준 3 5 5 7 4" xfId="41281"/>
    <cellStyle name="표준 3 5 5 8" xfId="41282"/>
    <cellStyle name="표준 3 5 5 8 2" xfId="41283"/>
    <cellStyle name="표준 3 5 5 8 3" xfId="41284"/>
    <cellStyle name="표준 3 5 5 9" xfId="41285"/>
    <cellStyle name="표준 3 5 6" xfId="41286"/>
    <cellStyle name="표준 3 5 6 2" xfId="41287"/>
    <cellStyle name="표준 3 5 6 2 2" xfId="41288"/>
    <cellStyle name="표준 3 5 6 2 2 2" xfId="41289"/>
    <cellStyle name="표준 3 5 6 2 2 2 2" xfId="41290"/>
    <cellStyle name="표준 3 5 6 2 2 2 3" xfId="41291"/>
    <cellStyle name="표준 3 5 6 2 2 3" xfId="41292"/>
    <cellStyle name="표준 3 5 6 2 2 4" xfId="41293"/>
    <cellStyle name="표준 3 5 6 2 3" xfId="41294"/>
    <cellStyle name="표준 3 5 6 2 3 2" xfId="41295"/>
    <cellStyle name="표준 3 5 6 2 3 3" xfId="41296"/>
    <cellStyle name="표준 3 5 6 2 4" xfId="41297"/>
    <cellStyle name="표준 3 5 6 2 5" xfId="41298"/>
    <cellStyle name="표준 3 5 6 3" xfId="41299"/>
    <cellStyle name="표준 3 5 6 3 2" xfId="41300"/>
    <cellStyle name="표준 3 5 6 3 2 2" xfId="41301"/>
    <cellStyle name="표준 3 5 6 3 2 2 2" xfId="41302"/>
    <cellStyle name="표준 3 5 6 3 2 2 3" xfId="41303"/>
    <cellStyle name="표준 3 5 6 3 2 3" xfId="41304"/>
    <cellStyle name="표준 3 5 6 3 2 4" xfId="41305"/>
    <cellStyle name="표준 3 5 6 3 3" xfId="41306"/>
    <cellStyle name="표준 3 5 6 3 3 2" xfId="41307"/>
    <cellStyle name="표준 3 5 6 3 3 3" xfId="41308"/>
    <cellStyle name="표준 3 5 6 3 4" xfId="41309"/>
    <cellStyle name="표준 3 5 6 3 5" xfId="41310"/>
    <cellStyle name="표준 3 5 6 4" xfId="41311"/>
    <cellStyle name="표준 3 5 6 4 2" xfId="41312"/>
    <cellStyle name="표준 3 5 6 4 2 2" xfId="41313"/>
    <cellStyle name="표준 3 5 6 4 2 3" xfId="41314"/>
    <cellStyle name="표준 3 5 6 4 3" xfId="41315"/>
    <cellStyle name="표준 3 5 6 4 4" xfId="41316"/>
    <cellStyle name="표준 3 5 6 5" xfId="41317"/>
    <cellStyle name="표준 3 5 6 5 2" xfId="41318"/>
    <cellStyle name="표준 3 5 6 5 3" xfId="41319"/>
    <cellStyle name="표준 3 5 6 6" xfId="41320"/>
    <cellStyle name="표준 3 5 6 7" xfId="41321"/>
    <cellStyle name="표준 3 5 7" xfId="41322"/>
    <cellStyle name="표준 3 5 7 2" xfId="41323"/>
    <cellStyle name="표준 3 5 7 2 2" xfId="41324"/>
    <cellStyle name="표준 3 5 7 2 2 2" xfId="41325"/>
    <cellStyle name="표준 3 5 7 2 2 2 2" xfId="41326"/>
    <cellStyle name="표준 3 5 7 2 2 2 3" xfId="41327"/>
    <cellStyle name="표준 3 5 7 2 2 3" xfId="41328"/>
    <cellStyle name="표준 3 5 7 2 2 4" xfId="41329"/>
    <cellStyle name="표준 3 5 7 2 3" xfId="41330"/>
    <cellStyle name="표준 3 5 7 2 3 2" xfId="41331"/>
    <cellStyle name="표준 3 5 7 2 3 3" xfId="41332"/>
    <cellStyle name="표준 3 5 7 2 4" xfId="41333"/>
    <cellStyle name="표준 3 5 7 2 5" xfId="41334"/>
    <cellStyle name="표준 3 5 7 3" xfId="41335"/>
    <cellStyle name="표준 3 5 7 3 2" xfId="41336"/>
    <cellStyle name="표준 3 5 7 3 2 2" xfId="41337"/>
    <cellStyle name="표준 3 5 7 3 2 2 2" xfId="41338"/>
    <cellStyle name="표준 3 5 7 3 2 2 3" xfId="41339"/>
    <cellStyle name="표준 3 5 7 3 2 3" xfId="41340"/>
    <cellStyle name="표준 3 5 7 3 2 4" xfId="41341"/>
    <cellStyle name="표준 3 5 7 3 3" xfId="41342"/>
    <cellStyle name="표준 3 5 7 3 3 2" xfId="41343"/>
    <cellStyle name="표준 3 5 7 3 3 3" xfId="41344"/>
    <cellStyle name="표준 3 5 7 3 4" xfId="41345"/>
    <cellStyle name="표준 3 5 7 3 5" xfId="41346"/>
    <cellStyle name="표준 3 5 7 4" xfId="41347"/>
    <cellStyle name="표준 3 5 7 4 2" xfId="41348"/>
    <cellStyle name="표준 3 5 7 4 2 2" xfId="41349"/>
    <cellStyle name="표준 3 5 7 4 2 3" xfId="41350"/>
    <cellStyle name="표준 3 5 7 4 3" xfId="41351"/>
    <cellStyle name="표준 3 5 7 4 4" xfId="41352"/>
    <cellStyle name="표준 3 5 7 5" xfId="41353"/>
    <cellStyle name="표준 3 5 7 5 2" xfId="41354"/>
    <cellStyle name="표준 3 5 7 5 3" xfId="41355"/>
    <cellStyle name="표준 3 5 7 6" xfId="41356"/>
    <cellStyle name="표준 3 5 7 7" xfId="41357"/>
    <cellStyle name="표준 3 5 8" xfId="41358"/>
    <cellStyle name="표준 3 5 8 2" xfId="41359"/>
    <cellStyle name="표준 3 5 8 2 2" xfId="41360"/>
    <cellStyle name="표준 3 5 8 2 2 2" xfId="41361"/>
    <cellStyle name="표준 3 5 8 2 2 3" xfId="41362"/>
    <cellStyle name="표준 3 5 8 2 3" xfId="41363"/>
    <cellStyle name="표준 3 5 8 2 4" xfId="41364"/>
    <cellStyle name="표준 3 5 8 3" xfId="41365"/>
    <cellStyle name="표준 3 5 8 3 2" xfId="41366"/>
    <cellStyle name="표준 3 5 8 3 3" xfId="41367"/>
    <cellStyle name="표준 3 5 8 4" xfId="41368"/>
    <cellStyle name="표준 3 5 8 5" xfId="41369"/>
    <cellStyle name="표준 3 5 9" xfId="41370"/>
    <cellStyle name="표준 3 5 9 2" xfId="41371"/>
    <cellStyle name="표준 3 5 9 2 2" xfId="41372"/>
    <cellStyle name="표준 3 5 9 2 2 2" xfId="41373"/>
    <cellStyle name="표준 3 5 9 2 2 3" xfId="41374"/>
    <cellStyle name="표준 3 5 9 2 3" xfId="41375"/>
    <cellStyle name="표준 3 5 9 2 4" xfId="41376"/>
    <cellStyle name="표준 3 5 9 3" xfId="41377"/>
    <cellStyle name="표준 3 5 9 3 2" xfId="41378"/>
    <cellStyle name="표준 3 5 9 3 3" xfId="41379"/>
    <cellStyle name="표준 3 5 9 4" xfId="41380"/>
    <cellStyle name="표준 3 5 9 5" xfId="41381"/>
    <cellStyle name="표준 3 6" xfId="41382"/>
    <cellStyle name="표준 3 6 10" xfId="41383"/>
    <cellStyle name="표준 3 6 10 2" xfId="41384"/>
    <cellStyle name="표준 3 6 10 2 2" xfId="41385"/>
    <cellStyle name="표준 3 6 10 2 3" xfId="41386"/>
    <cellStyle name="표준 3 6 10 3" xfId="41387"/>
    <cellStyle name="표준 3 6 10 4" xfId="41388"/>
    <cellStyle name="표준 3 6 11" xfId="41389"/>
    <cellStyle name="표준 3 6 11 2" xfId="41390"/>
    <cellStyle name="표준 3 6 11 3" xfId="41391"/>
    <cellStyle name="표준 3 6 12" xfId="41392"/>
    <cellStyle name="표준 3 6 13" xfId="41393"/>
    <cellStyle name="표준 3 6 14" xfId="41394"/>
    <cellStyle name="표준 3 6 2" xfId="41395"/>
    <cellStyle name="표준 3 6 2 10" xfId="41396"/>
    <cellStyle name="표준 3 6 2 2" xfId="41397"/>
    <cellStyle name="표준 3 6 2 2 2" xfId="41398"/>
    <cellStyle name="표준 3 6 2 2 2 2" xfId="41399"/>
    <cellStyle name="표준 3 6 2 2 2 2 2" xfId="41400"/>
    <cellStyle name="표준 3 6 2 2 2 2 2 2" xfId="41401"/>
    <cellStyle name="표준 3 6 2 2 2 2 2 3" xfId="41402"/>
    <cellStyle name="표준 3 6 2 2 2 2 3" xfId="41403"/>
    <cellStyle name="표준 3 6 2 2 2 2 4" xfId="41404"/>
    <cellStyle name="표준 3 6 2 2 2 3" xfId="41405"/>
    <cellStyle name="표준 3 6 2 2 2 3 2" xfId="41406"/>
    <cellStyle name="표준 3 6 2 2 2 3 3" xfId="41407"/>
    <cellStyle name="표준 3 6 2 2 2 4" xfId="41408"/>
    <cellStyle name="표준 3 6 2 2 2 5" xfId="41409"/>
    <cellStyle name="표준 3 6 2 2 3" xfId="41410"/>
    <cellStyle name="표준 3 6 2 2 3 2" xfId="41411"/>
    <cellStyle name="표준 3 6 2 2 3 2 2" xfId="41412"/>
    <cellStyle name="표준 3 6 2 2 3 2 2 2" xfId="41413"/>
    <cellStyle name="표준 3 6 2 2 3 2 2 3" xfId="41414"/>
    <cellStyle name="표준 3 6 2 2 3 2 3" xfId="41415"/>
    <cellStyle name="표준 3 6 2 2 3 2 4" xfId="41416"/>
    <cellStyle name="표준 3 6 2 2 3 3" xfId="41417"/>
    <cellStyle name="표준 3 6 2 2 3 3 2" xfId="41418"/>
    <cellStyle name="표준 3 6 2 2 3 3 3" xfId="41419"/>
    <cellStyle name="표준 3 6 2 2 3 4" xfId="41420"/>
    <cellStyle name="표준 3 6 2 2 3 5" xfId="41421"/>
    <cellStyle name="표준 3 6 2 2 4" xfId="41422"/>
    <cellStyle name="표준 3 6 2 2 4 2" xfId="41423"/>
    <cellStyle name="표준 3 6 2 2 4 2 2" xfId="41424"/>
    <cellStyle name="표준 3 6 2 2 4 2 3" xfId="41425"/>
    <cellStyle name="표준 3 6 2 2 4 3" xfId="41426"/>
    <cellStyle name="표준 3 6 2 2 4 4" xfId="41427"/>
    <cellStyle name="표준 3 6 2 2 5" xfId="41428"/>
    <cellStyle name="표준 3 6 2 2 5 2" xfId="41429"/>
    <cellStyle name="표준 3 6 2 2 5 3" xfId="41430"/>
    <cellStyle name="표준 3 6 2 2 6" xfId="41431"/>
    <cellStyle name="표준 3 6 2 2 7" xfId="41432"/>
    <cellStyle name="표준 3 6 2 3" xfId="41433"/>
    <cellStyle name="표준 3 6 2 3 2" xfId="41434"/>
    <cellStyle name="표준 3 6 2 3 2 2" xfId="41435"/>
    <cellStyle name="표준 3 6 2 3 2 2 2" xfId="41436"/>
    <cellStyle name="표준 3 6 2 3 2 2 2 2" xfId="41437"/>
    <cellStyle name="표준 3 6 2 3 2 2 2 3" xfId="41438"/>
    <cellStyle name="표준 3 6 2 3 2 2 3" xfId="41439"/>
    <cellStyle name="표준 3 6 2 3 2 2 4" xfId="41440"/>
    <cellStyle name="표준 3 6 2 3 2 3" xfId="41441"/>
    <cellStyle name="표준 3 6 2 3 2 3 2" xfId="41442"/>
    <cellStyle name="표준 3 6 2 3 2 3 3" xfId="41443"/>
    <cellStyle name="표준 3 6 2 3 2 4" xfId="41444"/>
    <cellStyle name="표준 3 6 2 3 2 5" xfId="41445"/>
    <cellStyle name="표준 3 6 2 3 3" xfId="41446"/>
    <cellStyle name="표준 3 6 2 3 3 2" xfId="41447"/>
    <cellStyle name="표준 3 6 2 3 3 2 2" xfId="41448"/>
    <cellStyle name="표준 3 6 2 3 3 2 2 2" xfId="41449"/>
    <cellStyle name="표준 3 6 2 3 3 2 2 3" xfId="41450"/>
    <cellStyle name="표준 3 6 2 3 3 2 3" xfId="41451"/>
    <cellStyle name="표준 3 6 2 3 3 2 4" xfId="41452"/>
    <cellStyle name="표준 3 6 2 3 3 3" xfId="41453"/>
    <cellStyle name="표준 3 6 2 3 3 3 2" xfId="41454"/>
    <cellStyle name="표준 3 6 2 3 3 3 3" xfId="41455"/>
    <cellStyle name="표준 3 6 2 3 3 4" xfId="41456"/>
    <cellStyle name="표준 3 6 2 3 3 5" xfId="41457"/>
    <cellStyle name="표준 3 6 2 3 4" xfId="41458"/>
    <cellStyle name="표준 3 6 2 3 4 2" xfId="41459"/>
    <cellStyle name="표준 3 6 2 3 4 2 2" xfId="41460"/>
    <cellStyle name="표준 3 6 2 3 4 2 3" xfId="41461"/>
    <cellStyle name="표준 3 6 2 3 4 3" xfId="41462"/>
    <cellStyle name="표준 3 6 2 3 4 4" xfId="41463"/>
    <cellStyle name="표준 3 6 2 3 5" xfId="41464"/>
    <cellStyle name="표준 3 6 2 3 5 2" xfId="41465"/>
    <cellStyle name="표준 3 6 2 3 5 3" xfId="41466"/>
    <cellStyle name="표준 3 6 2 3 6" xfId="41467"/>
    <cellStyle name="표준 3 6 2 3 7" xfId="41468"/>
    <cellStyle name="표준 3 6 2 4" xfId="41469"/>
    <cellStyle name="표준 3 6 2 4 2" xfId="41470"/>
    <cellStyle name="표준 3 6 2 4 2 2" xfId="41471"/>
    <cellStyle name="표준 3 6 2 4 2 2 2" xfId="41472"/>
    <cellStyle name="표준 3 6 2 4 2 2 3" xfId="41473"/>
    <cellStyle name="표준 3 6 2 4 2 3" xfId="41474"/>
    <cellStyle name="표준 3 6 2 4 2 4" xfId="41475"/>
    <cellStyle name="표준 3 6 2 4 3" xfId="41476"/>
    <cellStyle name="표준 3 6 2 4 3 2" xfId="41477"/>
    <cellStyle name="표준 3 6 2 4 3 3" xfId="41478"/>
    <cellStyle name="표준 3 6 2 4 4" xfId="41479"/>
    <cellStyle name="표준 3 6 2 4 5" xfId="41480"/>
    <cellStyle name="표준 3 6 2 5" xfId="41481"/>
    <cellStyle name="표준 3 6 2 5 2" xfId="41482"/>
    <cellStyle name="표준 3 6 2 5 2 2" xfId="41483"/>
    <cellStyle name="표준 3 6 2 5 2 2 2" xfId="41484"/>
    <cellStyle name="표준 3 6 2 5 2 2 3" xfId="41485"/>
    <cellStyle name="표준 3 6 2 5 2 3" xfId="41486"/>
    <cellStyle name="표준 3 6 2 5 2 4" xfId="41487"/>
    <cellStyle name="표준 3 6 2 5 3" xfId="41488"/>
    <cellStyle name="표준 3 6 2 5 3 2" xfId="41489"/>
    <cellStyle name="표준 3 6 2 5 3 3" xfId="41490"/>
    <cellStyle name="표준 3 6 2 5 4" xfId="41491"/>
    <cellStyle name="표준 3 6 2 5 5" xfId="41492"/>
    <cellStyle name="표준 3 6 2 6" xfId="41493"/>
    <cellStyle name="표준 3 6 2 6 2" xfId="41494"/>
    <cellStyle name="표준 3 6 2 6 2 2" xfId="41495"/>
    <cellStyle name="표준 3 6 2 6 2 2 2" xfId="41496"/>
    <cellStyle name="표준 3 6 2 6 2 2 3" xfId="41497"/>
    <cellStyle name="표준 3 6 2 6 2 3" xfId="41498"/>
    <cellStyle name="표준 3 6 2 6 2 4" xfId="41499"/>
    <cellStyle name="표준 3 6 2 6 3" xfId="41500"/>
    <cellStyle name="표준 3 6 2 6 3 2" xfId="41501"/>
    <cellStyle name="표준 3 6 2 6 3 3" xfId="41502"/>
    <cellStyle name="표준 3 6 2 6 4" xfId="41503"/>
    <cellStyle name="표준 3 6 2 6 5" xfId="41504"/>
    <cellStyle name="표준 3 6 2 7" xfId="41505"/>
    <cellStyle name="표준 3 6 2 7 2" xfId="41506"/>
    <cellStyle name="표준 3 6 2 7 2 2" xfId="41507"/>
    <cellStyle name="표준 3 6 2 7 2 3" xfId="41508"/>
    <cellStyle name="표준 3 6 2 7 3" xfId="41509"/>
    <cellStyle name="표준 3 6 2 7 4" xfId="41510"/>
    <cellStyle name="표준 3 6 2 8" xfId="41511"/>
    <cellStyle name="표준 3 6 2 8 2" xfId="41512"/>
    <cellStyle name="표준 3 6 2 8 3" xfId="41513"/>
    <cellStyle name="표준 3 6 2 9" xfId="41514"/>
    <cellStyle name="표준 3 6 3" xfId="41515"/>
    <cellStyle name="표준 3 6 3 10" xfId="41516"/>
    <cellStyle name="표준 3 6 3 2" xfId="41517"/>
    <cellStyle name="표준 3 6 3 2 2" xfId="41518"/>
    <cellStyle name="표준 3 6 3 2 2 2" xfId="41519"/>
    <cellStyle name="표준 3 6 3 2 2 2 2" xfId="41520"/>
    <cellStyle name="표준 3 6 3 2 2 2 2 2" xfId="41521"/>
    <cellStyle name="표준 3 6 3 2 2 2 2 3" xfId="41522"/>
    <cellStyle name="표준 3 6 3 2 2 2 3" xfId="41523"/>
    <cellStyle name="표준 3 6 3 2 2 2 4" xfId="41524"/>
    <cellStyle name="표준 3 6 3 2 2 3" xfId="41525"/>
    <cellStyle name="표준 3 6 3 2 2 3 2" xfId="41526"/>
    <cellStyle name="표준 3 6 3 2 2 3 3" xfId="41527"/>
    <cellStyle name="표준 3 6 3 2 2 4" xfId="41528"/>
    <cellStyle name="표준 3 6 3 2 2 5" xfId="41529"/>
    <cellStyle name="표준 3 6 3 2 3" xfId="41530"/>
    <cellStyle name="표준 3 6 3 2 3 2" xfId="41531"/>
    <cellStyle name="표준 3 6 3 2 3 2 2" xfId="41532"/>
    <cellStyle name="표준 3 6 3 2 3 2 2 2" xfId="41533"/>
    <cellStyle name="표준 3 6 3 2 3 2 2 3" xfId="41534"/>
    <cellStyle name="표준 3 6 3 2 3 2 3" xfId="41535"/>
    <cellStyle name="표준 3 6 3 2 3 2 4" xfId="41536"/>
    <cellStyle name="표준 3 6 3 2 3 3" xfId="41537"/>
    <cellStyle name="표준 3 6 3 2 3 3 2" xfId="41538"/>
    <cellStyle name="표준 3 6 3 2 3 3 3" xfId="41539"/>
    <cellStyle name="표준 3 6 3 2 3 4" xfId="41540"/>
    <cellStyle name="표준 3 6 3 2 3 5" xfId="41541"/>
    <cellStyle name="표준 3 6 3 2 4" xfId="41542"/>
    <cellStyle name="표준 3 6 3 2 4 2" xfId="41543"/>
    <cellStyle name="표준 3 6 3 2 4 2 2" xfId="41544"/>
    <cellStyle name="표준 3 6 3 2 4 2 3" xfId="41545"/>
    <cellStyle name="표준 3 6 3 2 4 3" xfId="41546"/>
    <cellStyle name="표준 3 6 3 2 4 4" xfId="41547"/>
    <cellStyle name="표준 3 6 3 2 5" xfId="41548"/>
    <cellStyle name="표준 3 6 3 2 5 2" xfId="41549"/>
    <cellStyle name="표준 3 6 3 2 5 3" xfId="41550"/>
    <cellStyle name="표준 3 6 3 2 6" xfId="41551"/>
    <cellStyle name="표준 3 6 3 2 7" xfId="41552"/>
    <cellStyle name="표준 3 6 3 3" xfId="41553"/>
    <cellStyle name="표준 3 6 3 3 2" xfId="41554"/>
    <cellStyle name="표준 3 6 3 3 2 2" xfId="41555"/>
    <cellStyle name="표준 3 6 3 3 2 2 2" xfId="41556"/>
    <cellStyle name="표준 3 6 3 3 2 2 2 2" xfId="41557"/>
    <cellStyle name="표준 3 6 3 3 2 2 2 3" xfId="41558"/>
    <cellStyle name="표준 3 6 3 3 2 2 3" xfId="41559"/>
    <cellStyle name="표준 3 6 3 3 2 2 4" xfId="41560"/>
    <cellStyle name="표준 3 6 3 3 2 3" xfId="41561"/>
    <cellStyle name="표준 3 6 3 3 2 3 2" xfId="41562"/>
    <cellStyle name="표준 3 6 3 3 2 3 3" xfId="41563"/>
    <cellStyle name="표준 3 6 3 3 2 4" xfId="41564"/>
    <cellStyle name="표준 3 6 3 3 2 5" xfId="41565"/>
    <cellStyle name="표준 3 6 3 3 3" xfId="41566"/>
    <cellStyle name="표준 3 6 3 3 3 2" xfId="41567"/>
    <cellStyle name="표준 3 6 3 3 3 2 2" xfId="41568"/>
    <cellStyle name="표준 3 6 3 3 3 2 2 2" xfId="41569"/>
    <cellStyle name="표준 3 6 3 3 3 2 2 3" xfId="41570"/>
    <cellStyle name="표준 3 6 3 3 3 2 3" xfId="41571"/>
    <cellStyle name="표준 3 6 3 3 3 2 4" xfId="41572"/>
    <cellStyle name="표준 3 6 3 3 3 3" xfId="41573"/>
    <cellStyle name="표준 3 6 3 3 3 3 2" xfId="41574"/>
    <cellStyle name="표준 3 6 3 3 3 3 3" xfId="41575"/>
    <cellStyle name="표준 3 6 3 3 3 4" xfId="41576"/>
    <cellStyle name="표준 3 6 3 3 3 5" xfId="41577"/>
    <cellStyle name="표준 3 6 3 3 4" xfId="41578"/>
    <cellStyle name="표준 3 6 3 3 4 2" xfId="41579"/>
    <cellStyle name="표준 3 6 3 3 4 2 2" xfId="41580"/>
    <cellStyle name="표준 3 6 3 3 4 2 3" xfId="41581"/>
    <cellStyle name="표준 3 6 3 3 4 3" xfId="41582"/>
    <cellStyle name="표준 3 6 3 3 4 4" xfId="41583"/>
    <cellStyle name="표준 3 6 3 3 5" xfId="41584"/>
    <cellStyle name="표준 3 6 3 3 5 2" xfId="41585"/>
    <cellStyle name="표준 3 6 3 3 5 3" xfId="41586"/>
    <cellStyle name="표준 3 6 3 3 6" xfId="41587"/>
    <cellStyle name="표준 3 6 3 3 7" xfId="41588"/>
    <cellStyle name="표준 3 6 3 4" xfId="41589"/>
    <cellStyle name="표준 3 6 3 4 2" xfId="41590"/>
    <cellStyle name="표준 3 6 3 4 2 2" xfId="41591"/>
    <cellStyle name="표준 3 6 3 4 2 2 2" xfId="41592"/>
    <cellStyle name="표준 3 6 3 4 2 2 3" xfId="41593"/>
    <cellStyle name="표준 3 6 3 4 2 3" xfId="41594"/>
    <cellStyle name="표준 3 6 3 4 2 4" xfId="41595"/>
    <cellStyle name="표준 3 6 3 4 3" xfId="41596"/>
    <cellStyle name="표준 3 6 3 4 3 2" xfId="41597"/>
    <cellStyle name="표준 3 6 3 4 3 3" xfId="41598"/>
    <cellStyle name="표준 3 6 3 4 4" xfId="41599"/>
    <cellStyle name="표준 3 6 3 4 5" xfId="41600"/>
    <cellStyle name="표준 3 6 3 5" xfId="41601"/>
    <cellStyle name="표준 3 6 3 5 2" xfId="41602"/>
    <cellStyle name="표준 3 6 3 5 2 2" xfId="41603"/>
    <cellStyle name="표준 3 6 3 5 2 2 2" xfId="41604"/>
    <cellStyle name="표준 3 6 3 5 2 2 3" xfId="41605"/>
    <cellStyle name="표준 3 6 3 5 2 3" xfId="41606"/>
    <cellStyle name="표준 3 6 3 5 2 4" xfId="41607"/>
    <cellStyle name="표준 3 6 3 5 3" xfId="41608"/>
    <cellStyle name="표준 3 6 3 5 3 2" xfId="41609"/>
    <cellStyle name="표준 3 6 3 5 3 3" xfId="41610"/>
    <cellStyle name="표준 3 6 3 5 4" xfId="41611"/>
    <cellStyle name="표준 3 6 3 5 5" xfId="41612"/>
    <cellStyle name="표준 3 6 3 6" xfId="41613"/>
    <cellStyle name="표준 3 6 3 6 2" xfId="41614"/>
    <cellStyle name="표준 3 6 3 6 2 2" xfId="41615"/>
    <cellStyle name="표준 3 6 3 6 2 2 2" xfId="41616"/>
    <cellStyle name="표준 3 6 3 6 2 2 3" xfId="41617"/>
    <cellStyle name="표준 3 6 3 6 2 3" xfId="41618"/>
    <cellStyle name="표준 3 6 3 6 2 4" xfId="41619"/>
    <cellStyle name="표준 3 6 3 6 3" xfId="41620"/>
    <cellStyle name="표준 3 6 3 6 3 2" xfId="41621"/>
    <cellStyle name="표준 3 6 3 6 3 3" xfId="41622"/>
    <cellStyle name="표준 3 6 3 6 4" xfId="41623"/>
    <cellStyle name="표준 3 6 3 6 5" xfId="41624"/>
    <cellStyle name="표준 3 6 3 7" xfId="41625"/>
    <cellStyle name="표준 3 6 3 7 2" xfId="41626"/>
    <cellStyle name="표준 3 6 3 7 2 2" xfId="41627"/>
    <cellStyle name="표준 3 6 3 7 2 3" xfId="41628"/>
    <cellStyle name="표준 3 6 3 7 3" xfId="41629"/>
    <cellStyle name="표준 3 6 3 7 4" xfId="41630"/>
    <cellStyle name="표준 3 6 3 8" xfId="41631"/>
    <cellStyle name="표준 3 6 3 8 2" xfId="41632"/>
    <cellStyle name="표준 3 6 3 8 3" xfId="41633"/>
    <cellStyle name="표준 3 6 3 9" xfId="41634"/>
    <cellStyle name="표준 3 6 4" xfId="41635"/>
    <cellStyle name="표준 3 6 4 10" xfId="41636"/>
    <cellStyle name="표준 3 6 4 2" xfId="41637"/>
    <cellStyle name="표준 3 6 4 2 2" xfId="41638"/>
    <cellStyle name="표준 3 6 4 2 2 2" xfId="41639"/>
    <cellStyle name="표준 3 6 4 2 2 2 2" xfId="41640"/>
    <cellStyle name="표준 3 6 4 2 2 2 2 2" xfId="41641"/>
    <cellStyle name="표준 3 6 4 2 2 2 2 3" xfId="41642"/>
    <cellStyle name="표준 3 6 4 2 2 2 3" xfId="41643"/>
    <cellStyle name="표준 3 6 4 2 2 2 4" xfId="41644"/>
    <cellStyle name="표준 3 6 4 2 2 3" xfId="41645"/>
    <cellStyle name="표준 3 6 4 2 2 3 2" xfId="41646"/>
    <cellStyle name="표준 3 6 4 2 2 3 3" xfId="41647"/>
    <cellStyle name="표준 3 6 4 2 2 4" xfId="41648"/>
    <cellStyle name="표준 3 6 4 2 2 5" xfId="41649"/>
    <cellStyle name="표준 3 6 4 2 3" xfId="41650"/>
    <cellStyle name="표준 3 6 4 2 3 2" xfId="41651"/>
    <cellStyle name="표준 3 6 4 2 3 2 2" xfId="41652"/>
    <cellStyle name="표준 3 6 4 2 3 2 2 2" xfId="41653"/>
    <cellStyle name="표준 3 6 4 2 3 2 2 3" xfId="41654"/>
    <cellStyle name="표준 3 6 4 2 3 2 3" xfId="41655"/>
    <cellStyle name="표준 3 6 4 2 3 2 4" xfId="41656"/>
    <cellStyle name="표준 3 6 4 2 3 3" xfId="41657"/>
    <cellStyle name="표준 3 6 4 2 3 3 2" xfId="41658"/>
    <cellStyle name="표준 3 6 4 2 3 3 3" xfId="41659"/>
    <cellStyle name="표준 3 6 4 2 3 4" xfId="41660"/>
    <cellStyle name="표준 3 6 4 2 3 5" xfId="41661"/>
    <cellStyle name="표준 3 6 4 2 4" xfId="41662"/>
    <cellStyle name="표준 3 6 4 2 4 2" xfId="41663"/>
    <cellStyle name="표준 3 6 4 2 4 2 2" xfId="41664"/>
    <cellStyle name="표준 3 6 4 2 4 2 3" xfId="41665"/>
    <cellStyle name="표준 3 6 4 2 4 3" xfId="41666"/>
    <cellStyle name="표준 3 6 4 2 4 4" xfId="41667"/>
    <cellStyle name="표준 3 6 4 2 5" xfId="41668"/>
    <cellStyle name="표준 3 6 4 2 5 2" xfId="41669"/>
    <cellStyle name="표준 3 6 4 2 5 3" xfId="41670"/>
    <cellStyle name="표준 3 6 4 2 6" xfId="41671"/>
    <cellStyle name="표준 3 6 4 2 7" xfId="41672"/>
    <cellStyle name="표준 3 6 4 3" xfId="41673"/>
    <cellStyle name="표준 3 6 4 3 2" xfId="41674"/>
    <cellStyle name="표준 3 6 4 3 2 2" xfId="41675"/>
    <cellStyle name="표준 3 6 4 3 2 2 2" xfId="41676"/>
    <cellStyle name="표준 3 6 4 3 2 2 2 2" xfId="41677"/>
    <cellStyle name="표준 3 6 4 3 2 2 2 3" xfId="41678"/>
    <cellStyle name="표준 3 6 4 3 2 2 3" xfId="41679"/>
    <cellStyle name="표준 3 6 4 3 2 2 4" xfId="41680"/>
    <cellStyle name="표준 3 6 4 3 2 3" xfId="41681"/>
    <cellStyle name="표준 3 6 4 3 2 3 2" xfId="41682"/>
    <cellStyle name="표준 3 6 4 3 2 3 3" xfId="41683"/>
    <cellStyle name="표준 3 6 4 3 2 4" xfId="41684"/>
    <cellStyle name="표준 3 6 4 3 2 5" xfId="41685"/>
    <cellStyle name="표준 3 6 4 3 3" xfId="41686"/>
    <cellStyle name="표준 3 6 4 3 3 2" xfId="41687"/>
    <cellStyle name="표준 3 6 4 3 3 2 2" xfId="41688"/>
    <cellStyle name="표준 3 6 4 3 3 2 2 2" xfId="41689"/>
    <cellStyle name="표준 3 6 4 3 3 2 2 3" xfId="41690"/>
    <cellStyle name="표준 3 6 4 3 3 2 3" xfId="41691"/>
    <cellStyle name="표준 3 6 4 3 3 2 4" xfId="41692"/>
    <cellStyle name="표준 3 6 4 3 3 3" xfId="41693"/>
    <cellStyle name="표준 3 6 4 3 3 3 2" xfId="41694"/>
    <cellStyle name="표준 3 6 4 3 3 3 3" xfId="41695"/>
    <cellStyle name="표준 3 6 4 3 3 4" xfId="41696"/>
    <cellStyle name="표준 3 6 4 3 3 5" xfId="41697"/>
    <cellStyle name="표준 3 6 4 3 4" xfId="41698"/>
    <cellStyle name="표준 3 6 4 3 4 2" xfId="41699"/>
    <cellStyle name="표준 3 6 4 3 4 2 2" xfId="41700"/>
    <cellStyle name="표준 3 6 4 3 4 2 3" xfId="41701"/>
    <cellStyle name="표준 3 6 4 3 4 3" xfId="41702"/>
    <cellStyle name="표준 3 6 4 3 4 4" xfId="41703"/>
    <cellStyle name="표준 3 6 4 3 5" xfId="41704"/>
    <cellStyle name="표준 3 6 4 3 5 2" xfId="41705"/>
    <cellStyle name="표준 3 6 4 3 5 3" xfId="41706"/>
    <cellStyle name="표준 3 6 4 3 6" xfId="41707"/>
    <cellStyle name="표준 3 6 4 3 7" xfId="41708"/>
    <cellStyle name="표준 3 6 4 4" xfId="41709"/>
    <cellStyle name="표준 3 6 4 4 2" xfId="41710"/>
    <cellStyle name="표준 3 6 4 4 2 2" xfId="41711"/>
    <cellStyle name="표준 3 6 4 4 2 2 2" xfId="41712"/>
    <cellStyle name="표준 3 6 4 4 2 2 3" xfId="41713"/>
    <cellStyle name="표준 3 6 4 4 2 3" xfId="41714"/>
    <cellStyle name="표준 3 6 4 4 2 4" xfId="41715"/>
    <cellStyle name="표준 3 6 4 4 3" xfId="41716"/>
    <cellStyle name="표준 3 6 4 4 3 2" xfId="41717"/>
    <cellStyle name="표준 3 6 4 4 3 3" xfId="41718"/>
    <cellStyle name="표준 3 6 4 4 4" xfId="41719"/>
    <cellStyle name="표준 3 6 4 4 5" xfId="41720"/>
    <cellStyle name="표준 3 6 4 5" xfId="41721"/>
    <cellStyle name="표준 3 6 4 5 2" xfId="41722"/>
    <cellStyle name="표준 3 6 4 5 2 2" xfId="41723"/>
    <cellStyle name="표준 3 6 4 5 2 2 2" xfId="41724"/>
    <cellStyle name="표준 3 6 4 5 2 2 3" xfId="41725"/>
    <cellStyle name="표준 3 6 4 5 2 3" xfId="41726"/>
    <cellStyle name="표준 3 6 4 5 2 4" xfId="41727"/>
    <cellStyle name="표준 3 6 4 5 3" xfId="41728"/>
    <cellStyle name="표준 3 6 4 5 3 2" xfId="41729"/>
    <cellStyle name="표준 3 6 4 5 3 3" xfId="41730"/>
    <cellStyle name="표준 3 6 4 5 4" xfId="41731"/>
    <cellStyle name="표준 3 6 4 5 5" xfId="41732"/>
    <cellStyle name="표준 3 6 4 6" xfId="41733"/>
    <cellStyle name="표준 3 6 4 6 2" xfId="41734"/>
    <cellStyle name="표준 3 6 4 6 2 2" xfId="41735"/>
    <cellStyle name="표준 3 6 4 6 2 2 2" xfId="41736"/>
    <cellStyle name="표준 3 6 4 6 2 2 3" xfId="41737"/>
    <cellStyle name="표준 3 6 4 6 2 3" xfId="41738"/>
    <cellStyle name="표준 3 6 4 6 2 4" xfId="41739"/>
    <cellStyle name="표준 3 6 4 6 3" xfId="41740"/>
    <cellStyle name="표준 3 6 4 6 3 2" xfId="41741"/>
    <cellStyle name="표준 3 6 4 6 3 3" xfId="41742"/>
    <cellStyle name="표준 3 6 4 6 4" xfId="41743"/>
    <cellStyle name="표준 3 6 4 6 5" xfId="41744"/>
    <cellStyle name="표준 3 6 4 7" xfId="41745"/>
    <cellStyle name="표준 3 6 4 7 2" xfId="41746"/>
    <cellStyle name="표준 3 6 4 7 2 2" xfId="41747"/>
    <cellStyle name="표준 3 6 4 7 2 3" xfId="41748"/>
    <cellStyle name="표준 3 6 4 7 3" xfId="41749"/>
    <cellStyle name="표준 3 6 4 7 4" xfId="41750"/>
    <cellStyle name="표준 3 6 4 8" xfId="41751"/>
    <cellStyle name="표준 3 6 4 8 2" xfId="41752"/>
    <cellStyle name="표준 3 6 4 8 3" xfId="41753"/>
    <cellStyle name="표준 3 6 4 9" xfId="41754"/>
    <cellStyle name="표준 3 6 5" xfId="41755"/>
    <cellStyle name="표준 3 6 5 2" xfId="41756"/>
    <cellStyle name="표준 3 6 5 2 2" xfId="41757"/>
    <cellStyle name="표준 3 6 5 2 2 2" xfId="41758"/>
    <cellStyle name="표준 3 6 5 2 2 2 2" xfId="41759"/>
    <cellStyle name="표준 3 6 5 2 2 2 3" xfId="41760"/>
    <cellStyle name="표준 3 6 5 2 2 3" xfId="41761"/>
    <cellStyle name="표준 3 6 5 2 2 4" xfId="41762"/>
    <cellStyle name="표준 3 6 5 2 3" xfId="41763"/>
    <cellStyle name="표준 3 6 5 2 3 2" xfId="41764"/>
    <cellStyle name="표준 3 6 5 2 3 3" xfId="41765"/>
    <cellStyle name="표준 3 6 5 2 4" xfId="41766"/>
    <cellStyle name="표준 3 6 5 2 5" xfId="41767"/>
    <cellStyle name="표준 3 6 5 3" xfId="41768"/>
    <cellStyle name="표준 3 6 5 3 2" xfId="41769"/>
    <cellStyle name="표준 3 6 5 3 2 2" xfId="41770"/>
    <cellStyle name="표준 3 6 5 3 2 2 2" xfId="41771"/>
    <cellStyle name="표준 3 6 5 3 2 2 3" xfId="41772"/>
    <cellStyle name="표준 3 6 5 3 2 3" xfId="41773"/>
    <cellStyle name="표준 3 6 5 3 2 4" xfId="41774"/>
    <cellStyle name="표준 3 6 5 3 3" xfId="41775"/>
    <cellStyle name="표준 3 6 5 3 3 2" xfId="41776"/>
    <cellStyle name="표준 3 6 5 3 3 3" xfId="41777"/>
    <cellStyle name="표준 3 6 5 3 4" xfId="41778"/>
    <cellStyle name="표준 3 6 5 3 5" xfId="41779"/>
    <cellStyle name="표준 3 6 5 4" xfId="41780"/>
    <cellStyle name="표준 3 6 5 4 2" xfId="41781"/>
    <cellStyle name="표준 3 6 5 4 2 2" xfId="41782"/>
    <cellStyle name="표준 3 6 5 4 2 3" xfId="41783"/>
    <cellStyle name="표준 3 6 5 4 3" xfId="41784"/>
    <cellStyle name="표준 3 6 5 4 4" xfId="41785"/>
    <cellStyle name="표준 3 6 5 5" xfId="41786"/>
    <cellStyle name="표준 3 6 5 5 2" xfId="41787"/>
    <cellStyle name="표준 3 6 5 5 3" xfId="41788"/>
    <cellStyle name="표준 3 6 5 6" xfId="41789"/>
    <cellStyle name="표준 3 6 5 7" xfId="41790"/>
    <cellStyle name="표준 3 6 6" xfId="41791"/>
    <cellStyle name="표준 3 6 6 2" xfId="41792"/>
    <cellStyle name="표준 3 6 6 2 2" xfId="41793"/>
    <cellStyle name="표준 3 6 6 2 2 2" xfId="41794"/>
    <cellStyle name="표준 3 6 6 2 2 2 2" xfId="41795"/>
    <cellStyle name="표준 3 6 6 2 2 2 3" xfId="41796"/>
    <cellStyle name="표준 3 6 6 2 2 3" xfId="41797"/>
    <cellStyle name="표준 3 6 6 2 2 4" xfId="41798"/>
    <cellStyle name="표준 3 6 6 2 3" xfId="41799"/>
    <cellStyle name="표준 3 6 6 2 3 2" xfId="41800"/>
    <cellStyle name="표준 3 6 6 2 3 3" xfId="41801"/>
    <cellStyle name="표준 3 6 6 2 4" xfId="41802"/>
    <cellStyle name="표준 3 6 6 2 5" xfId="41803"/>
    <cellStyle name="표준 3 6 6 3" xfId="41804"/>
    <cellStyle name="표준 3 6 6 3 2" xfId="41805"/>
    <cellStyle name="표준 3 6 6 3 2 2" xfId="41806"/>
    <cellStyle name="표준 3 6 6 3 2 2 2" xfId="41807"/>
    <cellStyle name="표준 3 6 6 3 2 2 3" xfId="41808"/>
    <cellStyle name="표준 3 6 6 3 2 3" xfId="41809"/>
    <cellStyle name="표준 3 6 6 3 2 4" xfId="41810"/>
    <cellStyle name="표준 3 6 6 3 3" xfId="41811"/>
    <cellStyle name="표준 3 6 6 3 3 2" xfId="41812"/>
    <cellStyle name="표준 3 6 6 3 3 3" xfId="41813"/>
    <cellStyle name="표준 3 6 6 3 4" xfId="41814"/>
    <cellStyle name="표준 3 6 6 3 5" xfId="41815"/>
    <cellStyle name="표준 3 6 6 4" xfId="41816"/>
    <cellStyle name="표준 3 6 6 4 2" xfId="41817"/>
    <cellStyle name="표준 3 6 6 4 2 2" xfId="41818"/>
    <cellStyle name="표준 3 6 6 4 2 3" xfId="41819"/>
    <cellStyle name="표준 3 6 6 4 3" xfId="41820"/>
    <cellStyle name="표준 3 6 6 4 4" xfId="41821"/>
    <cellStyle name="표준 3 6 6 5" xfId="41822"/>
    <cellStyle name="표준 3 6 6 5 2" xfId="41823"/>
    <cellStyle name="표준 3 6 6 5 3" xfId="41824"/>
    <cellStyle name="표준 3 6 6 6" xfId="41825"/>
    <cellStyle name="표준 3 6 6 7" xfId="41826"/>
    <cellStyle name="표준 3 6 7" xfId="41827"/>
    <cellStyle name="표준 3 6 7 2" xfId="41828"/>
    <cellStyle name="표준 3 6 7 2 2" xfId="41829"/>
    <cellStyle name="표준 3 6 7 2 2 2" xfId="41830"/>
    <cellStyle name="표준 3 6 7 2 2 3" xfId="41831"/>
    <cellStyle name="표준 3 6 7 2 3" xfId="41832"/>
    <cellStyle name="표준 3 6 7 2 4" xfId="41833"/>
    <cellStyle name="표준 3 6 7 3" xfId="41834"/>
    <cellStyle name="표준 3 6 7 3 2" xfId="41835"/>
    <cellStyle name="표준 3 6 7 3 3" xfId="41836"/>
    <cellStyle name="표준 3 6 7 4" xfId="41837"/>
    <cellStyle name="표준 3 6 7 5" xfId="41838"/>
    <cellStyle name="표준 3 6 8" xfId="41839"/>
    <cellStyle name="표준 3 6 8 2" xfId="41840"/>
    <cellStyle name="표준 3 6 8 2 2" xfId="41841"/>
    <cellStyle name="표준 3 6 8 2 2 2" xfId="41842"/>
    <cellStyle name="표준 3 6 8 2 2 3" xfId="41843"/>
    <cellStyle name="표준 3 6 8 2 3" xfId="41844"/>
    <cellStyle name="표준 3 6 8 2 4" xfId="41845"/>
    <cellStyle name="표준 3 6 8 3" xfId="41846"/>
    <cellStyle name="표준 3 6 8 3 2" xfId="41847"/>
    <cellStyle name="표준 3 6 8 3 3" xfId="41848"/>
    <cellStyle name="표준 3 6 8 4" xfId="41849"/>
    <cellStyle name="표준 3 6 8 5" xfId="41850"/>
    <cellStyle name="표준 3 6 9" xfId="41851"/>
    <cellStyle name="표준 3 6 9 2" xfId="41852"/>
    <cellStyle name="표준 3 6 9 2 2" xfId="41853"/>
    <cellStyle name="표준 3 6 9 2 2 2" xfId="41854"/>
    <cellStyle name="표준 3 6 9 2 2 3" xfId="41855"/>
    <cellStyle name="표준 3 6 9 2 3" xfId="41856"/>
    <cellStyle name="표준 3 6 9 2 4" xfId="41857"/>
    <cellStyle name="표준 3 6 9 3" xfId="41858"/>
    <cellStyle name="표준 3 6 9 3 2" xfId="41859"/>
    <cellStyle name="표준 3 6 9 3 3" xfId="41860"/>
    <cellStyle name="표준 3 6 9 4" xfId="41861"/>
    <cellStyle name="표준 3 6 9 5" xfId="41862"/>
    <cellStyle name="표준 3 7" xfId="41863"/>
    <cellStyle name="표준 3 7 10" xfId="41864"/>
    <cellStyle name="표준 3 7 11" xfId="41865"/>
    <cellStyle name="표준 3 7 2" xfId="41866"/>
    <cellStyle name="표준 3 7 2 2" xfId="41867"/>
    <cellStyle name="표준 3 7 2 2 2" xfId="41868"/>
    <cellStyle name="표준 3 7 2 2 2 2" xfId="41869"/>
    <cellStyle name="표준 3 7 2 2 2 2 2" xfId="41870"/>
    <cellStyle name="표준 3 7 2 2 2 2 3" xfId="41871"/>
    <cellStyle name="표준 3 7 2 2 2 3" xfId="41872"/>
    <cellStyle name="표준 3 7 2 2 2 4" xfId="41873"/>
    <cellStyle name="표준 3 7 2 2 3" xfId="41874"/>
    <cellStyle name="표준 3 7 2 2 3 2" xfId="41875"/>
    <cellStyle name="표준 3 7 2 2 3 3" xfId="41876"/>
    <cellStyle name="표준 3 7 2 2 4" xfId="41877"/>
    <cellStyle name="표준 3 7 2 2 5" xfId="41878"/>
    <cellStyle name="표준 3 7 2 3" xfId="41879"/>
    <cellStyle name="표준 3 7 2 3 2" xfId="41880"/>
    <cellStyle name="표준 3 7 2 3 2 2" xfId="41881"/>
    <cellStyle name="표준 3 7 2 3 2 2 2" xfId="41882"/>
    <cellStyle name="표준 3 7 2 3 2 2 3" xfId="41883"/>
    <cellStyle name="표준 3 7 2 3 2 3" xfId="41884"/>
    <cellStyle name="표준 3 7 2 3 2 4" xfId="41885"/>
    <cellStyle name="표준 3 7 2 3 3" xfId="41886"/>
    <cellStyle name="표준 3 7 2 3 3 2" xfId="41887"/>
    <cellStyle name="표준 3 7 2 3 3 3" xfId="41888"/>
    <cellStyle name="표준 3 7 2 3 4" xfId="41889"/>
    <cellStyle name="표준 3 7 2 3 5" xfId="41890"/>
    <cellStyle name="표준 3 7 2 4" xfId="41891"/>
    <cellStyle name="표준 3 7 2 4 2" xfId="41892"/>
    <cellStyle name="표준 3 7 2 4 2 2" xfId="41893"/>
    <cellStyle name="표준 3 7 2 4 2 3" xfId="41894"/>
    <cellStyle name="표준 3 7 2 4 3" xfId="41895"/>
    <cellStyle name="표준 3 7 2 4 4" xfId="41896"/>
    <cellStyle name="표준 3 7 2 5" xfId="41897"/>
    <cellStyle name="표준 3 7 2 5 2" xfId="41898"/>
    <cellStyle name="표준 3 7 2 5 3" xfId="41899"/>
    <cellStyle name="표준 3 7 2 6" xfId="41900"/>
    <cellStyle name="표준 3 7 2 7" xfId="41901"/>
    <cellStyle name="표준 3 7 3" xfId="41902"/>
    <cellStyle name="표준 3 7 3 2" xfId="41903"/>
    <cellStyle name="표준 3 7 3 2 2" xfId="41904"/>
    <cellStyle name="표준 3 7 3 2 2 2" xfId="41905"/>
    <cellStyle name="표준 3 7 3 2 2 2 2" xfId="41906"/>
    <cellStyle name="표준 3 7 3 2 2 2 3" xfId="41907"/>
    <cellStyle name="표준 3 7 3 2 2 3" xfId="41908"/>
    <cellStyle name="표준 3 7 3 2 2 4" xfId="41909"/>
    <cellStyle name="표준 3 7 3 2 3" xfId="41910"/>
    <cellStyle name="표준 3 7 3 2 3 2" xfId="41911"/>
    <cellStyle name="표준 3 7 3 2 3 3" xfId="41912"/>
    <cellStyle name="표준 3 7 3 2 4" xfId="41913"/>
    <cellStyle name="표준 3 7 3 2 5" xfId="41914"/>
    <cellStyle name="표준 3 7 3 3" xfId="41915"/>
    <cellStyle name="표준 3 7 3 3 2" xfId="41916"/>
    <cellStyle name="표준 3 7 3 3 2 2" xfId="41917"/>
    <cellStyle name="표준 3 7 3 3 2 2 2" xfId="41918"/>
    <cellStyle name="표준 3 7 3 3 2 2 3" xfId="41919"/>
    <cellStyle name="표준 3 7 3 3 2 3" xfId="41920"/>
    <cellStyle name="표준 3 7 3 3 2 4" xfId="41921"/>
    <cellStyle name="표준 3 7 3 3 3" xfId="41922"/>
    <cellStyle name="표준 3 7 3 3 3 2" xfId="41923"/>
    <cellStyle name="표준 3 7 3 3 3 3" xfId="41924"/>
    <cellStyle name="표준 3 7 3 3 4" xfId="41925"/>
    <cellStyle name="표준 3 7 3 3 5" xfId="41926"/>
    <cellStyle name="표준 3 7 3 4" xfId="41927"/>
    <cellStyle name="표준 3 7 3 4 2" xfId="41928"/>
    <cellStyle name="표준 3 7 3 4 2 2" xfId="41929"/>
    <cellStyle name="표준 3 7 3 4 2 3" xfId="41930"/>
    <cellStyle name="표준 3 7 3 4 3" xfId="41931"/>
    <cellStyle name="표준 3 7 3 4 4" xfId="41932"/>
    <cellStyle name="표준 3 7 3 5" xfId="41933"/>
    <cellStyle name="표준 3 7 3 5 2" xfId="41934"/>
    <cellStyle name="표준 3 7 3 5 3" xfId="41935"/>
    <cellStyle name="표준 3 7 3 6" xfId="41936"/>
    <cellStyle name="표준 3 7 3 7" xfId="41937"/>
    <cellStyle name="표준 3 7 4" xfId="41938"/>
    <cellStyle name="표준 3 7 4 2" xfId="41939"/>
    <cellStyle name="표준 3 7 4 2 2" xfId="41940"/>
    <cellStyle name="표준 3 7 4 2 2 2" xfId="41941"/>
    <cellStyle name="표준 3 7 4 2 2 3" xfId="41942"/>
    <cellStyle name="표준 3 7 4 2 3" xfId="41943"/>
    <cellStyle name="표준 3 7 4 2 4" xfId="41944"/>
    <cellStyle name="표준 3 7 4 3" xfId="41945"/>
    <cellStyle name="표준 3 7 4 3 2" xfId="41946"/>
    <cellStyle name="표준 3 7 4 3 3" xfId="41947"/>
    <cellStyle name="표준 3 7 4 4" xfId="41948"/>
    <cellStyle name="표준 3 7 4 5" xfId="41949"/>
    <cellStyle name="표준 3 7 5" xfId="41950"/>
    <cellStyle name="표준 3 7 5 2" xfId="41951"/>
    <cellStyle name="표준 3 7 5 2 2" xfId="41952"/>
    <cellStyle name="표준 3 7 5 2 2 2" xfId="41953"/>
    <cellStyle name="표준 3 7 5 2 2 3" xfId="41954"/>
    <cellStyle name="표준 3 7 5 2 3" xfId="41955"/>
    <cellStyle name="표준 3 7 5 2 4" xfId="41956"/>
    <cellStyle name="표준 3 7 5 3" xfId="41957"/>
    <cellStyle name="표준 3 7 5 3 2" xfId="41958"/>
    <cellStyle name="표준 3 7 5 3 3" xfId="41959"/>
    <cellStyle name="표준 3 7 5 4" xfId="41960"/>
    <cellStyle name="표준 3 7 5 5" xfId="41961"/>
    <cellStyle name="표준 3 7 6" xfId="41962"/>
    <cellStyle name="표준 3 7 6 2" xfId="41963"/>
    <cellStyle name="표준 3 7 6 2 2" xfId="41964"/>
    <cellStyle name="표준 3 7 6 2 2 2" xfId="41965"/>
    <cellStyle name="표준 3 7 6 2 2 3" xfId="41966"/>
    <cellStyle name="표준 3 7 6 2 3" xfId="41967"/>
    <cellStyle name="표준 3 7 6 2 4" xfId="41968"/>
    <cellStyle name="표준 3 7 6 3" xfId="41969"/>
    <cellStyle name="표준 3 7 6 3 2" xfId="41970"/>
    <cellStyle name="표준 3 7 6 3 3" xfId="41971"/>
    <cellStyle name="표준 3 7 6 4" xfId="41972"/>
    <cellStyle name="표준 3 7 6 5" xfId="41973"/>
    <cellStyle name="표준 3 7 7" xfId="41974"/>
    <cellStyle name="표준 3 7 7 2" xfId="41975"/>
    <cellStyle name="표준 3 7 7 2 2" xfId="41976"/>
    <cellStyle name="표준 3 7 7 2 3" xfId="41977"/>
    <cellStyle name="표준 3 7 7 3" xfId="41978"/>
    <cellStyle name="표준 3 7 7 4" xfId="41979"/>
    <cellStyle name="표준 3 7 8" xfId="41980"/>
    <cellStyle name="표준 3 7 8 2" xfId="41981"/>
    <cellStyle name="표준 3 7 8 3" xfId="41982"/>
    <cellStyle name="표준 3 7 9" xfId="41983"/>
    <cellStyle name="표준 3 8" xfId="41984"/>
    <cellStyle name="표준 3 8 10" xfId="41985"/>
    <cellStyle name="표준 3 8 11" xfId="41986"/>
    <cellStyle name="표준 3 8 2" xfId="41987"/>
    <cellStyle name="표준 3 8 2 2" xfId="41988"/>
    <cellStyle name="표준 3 8 2 2 2" xfId="41989"/>
    <cellStyle name="표준 3 8 2 2 2 2" xfId="41990"/>
    <cellStyle name="표준 3 8 2 2 2 2 2" xfId="41991"/>
    <cellStyle name="표준 3 8 2 2 2 2 3" xfId="41992"/>
    <cellStyle name="표준 3 8 2 2 2 3" xfId="41993"/>
    <cellStyle name="표준 3 8 2 2 2 4" xfId="41994"/>
    <cellStyle name="표준 3 8 2 2 3" xfId="41995"/>
    <cellStyle name="표준 3 8 2 2 3 2" xfId="41996"/>
    <cellStyle name="표준 3 8 2 2 3 3" xfId="41997"/>
    <cellStyle name="표준 3 8 2 2 4" xfId="41998"/>
    <cellStyle name="표준 3 8 2 2 5" xfId="41999"/>
    <cellStyle name="표준 3 8 2 3" xfId="42000"/>
    <cellStyle name="표준 3 8 2 3 2" xfId="42001"/>
    <cellStyle name="표준 3 8 2 3 2 2" xfId="42002"/>
    <cellStyle name="표준 3 8 2 3 2 2 2" xfId="42003"/>
    <cellStyle name="표준 3 8 2 3 2 2 3" xfId="42004"/>
    <cellStyle name="표준 3 8 2 3 2 3" xfId="42005"/>
    <cellStyle name="표준 3 8 2 3 2 4" xfId="42006"/>
    <cellStyle name="표준 3 8 2 3 3" xfId="42007"/>
    <cellStyle name="표준 3 8 2 3 3 2" xfId="42008"/>
    <cellStyle name="표준 3 8 2 3 3 3" xfId="42009"/>
    <cellStyle name="표준 3 8 2 3 4" xfId="42010"/>
    <cellStyle name="표준 3 8 2 3 5" xfId="42011"/>
    <cellStyle name="표준 3 8 2 4" xfId="42012"/>
    <cellStyle name="표준 3 8 2 4 2" xfId="42013"/>
    <cellStyle name="표준 3 8 2 4 2 2" xfId="42014"/>
    <cellStyle name="표준 3 8 2 4 2 3" xfId="42015"/>
    <cellStyle name="표준 3 8 2 4 3" xfId="42016"/>
    <cellStyle name="표준 3 8 2 4 4" xfId="42017"/>
    <cellStyle name="표준 3 8 2 5" xfId="42018"/>
    <cellStyle name="표준 3 8 2 5 2" xfId="42019"/>
    <cellStyle name="표준 3 8 2 5 3" xfId="42020"/>
    <cellStyle name="표준 3 8 2 6" xfId="42021"/>
    <cellStyle name="표준 3 8 2 7" xfId="42022"/>
    <cellStyle name="표준 3 8 3" xfId="42023"/>
    <cellStyle name="표준 3 8 3 2" xfId="42024"/>
    <cellStyle name="표준 3 8 3 2 2" xfId="42025"/>
    <cellStyle name="표준 3 8 3 2 2 2" xfId="42026"/>
    <cellStyle name="표준 3 8 3 2 2 2 2" xfId="42027"/>
    <cellStyle name="표준 3 8 3 2 2 2 3" xfId="42028"/>
    <cellStyle name="표준 3 8 3 2 2 3" xfId="42029"/>
    <cellStyle name="표준 3 8 3 2 2 4" xfId="42030"/>
    <cellStyle name="표준 3 8 3 2 3" xfId="42031"/>
    <cellStyle name="표준 3 8 3 2 3 2" xfId="42032"/>
    <cellStyle name="표준 3 8 3 2 3 3" xfId="42033"/>
    <cellStyle name="표준 3 8 3 2 4" xfId="42034"/>
    <cellStyle name="표준 3 8 3 2 5" xfId="42035"/>
    <cellStyle name="표준 3 8 3 3" xfId="42036"/>
    <cellStyle name="표준 3 8 3 3 2" xfId="42037"/>
    <cellStyle name="표준 3 8 3 3 2 2" xfId="42038"/>
    <cellStyle name="표준 3 8 3 3 2 2 2" xfId="42039"/>
    <cellStyle name="표준 3 8 3 3 2 2 3" xfId="42040"/>
    <cellStyle name="표준 3 8 3 3 2 3" xfId="42041"/>
    <cellStyle name="표준 3 8 3 3 2 4" xfId="42042"/>
    <cellStyle name="표준 3 8 3 3 3" xfId="42043"/>
    <cellStyle name="표준 3 8 3 3 3 2" xfId="42044"/>
    <cellStyle name="표준 3 8 3 3 3 3" xfId="42045"/>
    <cellStyle name="표준 3 8 3 3 4" xfId="42046"/>
    <cellStyle name="표준 3 8 3 3 5" xfId="42047"/>
    <cellStyle name="표준 3 8 3 4" xfId="42048"/>
    <cellStyle name="표준 3 8 3 4 2" xfId="42049"/>
    <cellStyle name="표준 3 8 3 4 2 2" xfId="42050"/>
    <cellStyle name="표준 3 8 3 4 2 3" xfId="42051"/>
    <cellStyle name="표준 3 8 3 4 3" xfId="42052"/>
    <cellStyle name="표준 3 8 3 4 4" xfId="42053"/>
    <cellStyle name="표준 3 8 3 5" xfId="42054"/>
    <cellStyle name="표준 3 8 3 5 2" xfId="42055"/>
    <cellStyle name="표준 3 8 3 5 3" xfId="42056"/>
    <cellStyle name="표준 3 8 3 6" xfId="42057"/>
    <cellStyle name="표준 3 8 3 7" xfId="42058"/>
    <cellStyle name="표준 3 8 4" xfId="42059"/>
    <cellStyle name="표준 3 8 4 2" xfId="42060"/>
    <cellStyle name="표준 3 8 4 2 2" xfId="42061"/>
    <cellStyle name="표준 3 8 4 2 2 2" xfId="42062"/>
    <cellStyle name="표준 3 8 4 2 2 3" xfId="42063"/>
    <cellStyle name="표준 3 8 4 2 3" xfId="42064"/>
    <cellStyle name="표준 3 8 4 2 4" xfId="42065"/>
    <cellStyle name="표준 3 8 4 3" xfId="42066"/>
    <cellStyle name="표준 3 8 4 3 2" xfId="42067"/>
    <cellStyle name="표준 3 8 4 3 3" xfId="42068"/>
    <cellStyle name="표준 3 8 4 4" xfId="42069"/>
    <cellStyle name="표준 3 8 4 5" xfId="42070"/>
    <cellStyle name="표준 3 8 5" xfId="42071"/>
    <cellStyle name="표준 3 8 5 2" xfId="42072"/>
    <cellStyle name="표준 3 8 5 2 2" xfId="42073"/>
    <cellStyle name="표준 3 8 5 2 2 2" xfId="42074"/>
    <cellStyle name="표준 3 8 5 2 2 3" xfId="42075"/>
    <cellStyle name="표준 3 8 5 2 3" xfId="42076"/>
    <cellStyle name="표준 3 8 5 2 4" xfId="42077"/>
    <cellStyle name="표준 3 8 5 3" xfId="42078"/>
    <cellStyle name="표준 3 8 5 3 2" xfId="42079"/>
    <cellStyle name="표준 3 8 5 3 3" xfId="42080"/>
    <cellStyle name="표준 3 8 5 4" xfId="42081"/>
    <cellStyle name="표준 3 8 5 5" xfId="42082"/>
    <cellStyle name="표준 3 8 6" xfId="42083"/>
    <cellStyle name="표준 3 8 6 2" xfId="42084"/>
    <cellStyle name="표준 3 8 6 2 2" xfId="42085"/>
    <cellStyle name="표준 3 8 6 2 2 2" xfId="42086"/>
    <cellStyle name="표준 3 8 6 2 2 3" xfId="42087"/>
    <cellStyle name="표준 3 8 6 2 3" xfId="42088"/>
    <cellStyle name="표준 3 8 6 2 4" xfId="42089"/>
    <cellStyle name="표준 3 8 6 3" xfId="42090"/>
    <cellStyle name="표준 3 8 6 3 2" xfId="42091"/>
    <cellStyle name="표준 3 8 6 3 3" xfId="42092"/>
    <cellStyle name="표준 3 8 6 4" xfId="42093"/>
    <cellStyle name="표준 3 8 6 5" xfId="42094"/>
    <cellStyle name="표준 3 8 7" xfId="42095"/>
    <cellStyle name="표준 3 8 7 2" xfId="42096"/>
    <cellStyle name="표준 3 8 7 2 2" xfId="42097"/>
    <cellStyle name="표준 3 8 7 2 3" xfId="42098"/>
    <cellStyle name="표준 3 8 7 3" xfId="42099"/>
    <cellStyle name="표준 3 8 7 4" xfId="42100"/>
    <cellStyle name="표준 3 8 8" xfId="42101"/>
    <cellStyle name="표준 3 8 8 2" xfId="42102"/>
    <cellStyle name="표준 3 8 8 3" xfId="42103"/>
    <cellStyle name="표준 3 8 9" xfId="42104"/>
    <cellStyle name="표준 3 9" xfId="42105"/>
    <cellStyle name="표준 3 9 10" xfId="42106"/>
    <cellStyle name="표준 3 9 11" xfId="42107"/>
    <cellStyle name="표준 3 9 2" xfId="42108"/>
    <cellStyle name="표준 3 9 2 2" xfId="42109"/>
    <cellStyle name="표준 3 9 2 2 2" xfId="42110"/>
    <cellStyle name="표준 3 9 2 2 2 2" xfId="42111"/>
    <cellStyle name="표준 3 9 2 2 2 2 2" xfId="42112"/>
    <cellStyle name="표준 3 9 2 2 2 2 3" xfId="42113"/>
    <cellStyle name="표준 3 9 2 2 2 3" xfId="42114"/>
    <cellStyle name="표준 3 9 2 2 2 4" xfId="42115"/>
    <cellStyle name="표준 3 9 2 2 3" xfId="42116"/>
    <cellStyle name="표준 3 9 2 2 3 2" xfId="42117"/>
    <cellStyle name="표준 3 9 2 2 3 3" xfId="42118"/>
    <cellStyle name="표준 3 9 2 2 4" xfId="42119"/>
    <cellStyle name="표준 3 9 2 2 5" xfId="42120"/>
    <cellStyle name="표준 3 9 2 3" xfId="42121"/>
    <cellStyle name="표준 3 9 2 3 2" xfId="42122"/>
    <cellStyle name="표준 3 9 2 3 2 2" xfId="42123"/>
    <cellStyle name="표준 3 9 2 3 2 2 2" xfId="42124"/>
    <cellStyle name="표준 3 9 2 3 2 2 3" xfId="42125"/>
    <cellStyle name="표준 3 9 2 3 2 3" xfId="42126"/>
    <cellStyle name="표준 3 9 2 3 2 4" xfId="42127"/>
    <cellStyle name="표준 3 9 2 3 3" xfId="42128"/>
    <cellStyle name="표준 3 9 2 3 3 2" xfId="42129"/>
    <cellStyle name="표준 3 9 2 3 3 3" xfId="42130"/>
    <cellStyle name="표준 3 9 2 3 4" xfId="42131"/>
    <cellStyle name="표준 3 9 2 3 5" xfId="42132"/>
    <cellStyle name="표준 3 9 2 4" xfId="42133"/>
    <cellStyle name="표준 3 9 2 4 2" xfId="42134"/>
    <cellStyle name="표준 3 9 2 4 2 2" xfId="42135"/>
    <cellStyle name="표준 3 9 2 4 2 3" xfId="42136"/>
    <cellStyle name="표준 3 9 2 4 3" xfId="42137"/>
    <cellStyle name="표준 3 9 2 4 4" xfId="42138"/>
    <cellStyle name="표준 3 9 2 5" xfId="42139"/>
    <cellStyle name="표준 3 9 2 5 2" xfId="42140"/>
    <cellStyle name="표준 3 9 2 5 3" xfId="42141"/>
    <cellStyle name="표준 3 9 2 6" xfId="42142"/>
    <cellStyle name="표준 3 9 2 7" xfId="42143"/>
    <cellStyle name="표준 3 9 3" xfId="42144"/>
    <cellStyle name="표준 3 9 3 2" xfId="42145"/>
    <cellStyle name="표준 3 9 3 2 2" xfId="42146"/>
    <cellStyle name="표준 3 9 3 2 2 2" xfId="42147"/>
    <cellStyle name="표준 3 9 3 2 2 2 2" xfId="42148"/>
    <cellStyle name="표준 3 9 3 2 2 2 3" xfId="42149"/>
    <cellStyle name="표준 3 9 3 2 2 3" xfId="42150"/>
    <cellStyle name="표준 3 9 3 2 2 4" xfId="42151"/>
    <cellStyle name="표준 3 9 3 2 3" xfId="42152"/>
    <cellStyle name="표준 3 9 3 2 3 2" xfId="42153"/>
    <cellStyle name="표준 3 9 3 2 3 3" xfId="42154"/>
    <cellStyle name="표준 3 9 3 2 4" xfId="42155"/>
    <cellStyle name="표준 3 9 3 2 5" xfId="42156"/>
    <cellStyle name="표준 3 9 3 3" xfId="42157"/>
    <cellStyle name="표준 3 9 3 3 2" xfId="42158"/>
    <cellStyle name="표준 3 9 3 3 2 2" xfId="42159"/>
    <cellStyle name="표준 3 9 3 3 2 2 2" xfId="42160"/>
    <cellStyle name="표준 3 9 3 3 2 2 3" xfId="42161"/>
    <cellStyle name="표준 3 9 3 3 2 3" xfId="42162"/>
    <cellStyle name="표준 3 9 3 3 2 4" xfId="42163"/>
    <cellStyle name="표준 3 9 3 3 3" xfId="42164"/>
    <cellStyle name="표준 3 9 3 3 3 2" xfId="42165"/>
    <cellStyle name="표준 3 9 3 3 3 3" xfId="42166"/>
    <cellStyle name="표준 3 9 3 3 4" xfId="42167"/>
    <cellStyle name="표준 3 9 3 3 5" xfId="42168"/>
    <cellStyle name="표준 3 9 3 4" xfId="42169"/>
    <cellStyle name="표준 3 9 3 4 2" xfId="42170"/>
    <cellStyle name="표준 3 9 3 4 2 2" xfId="42171"/>
    <cellStyle name="표준 3 9 3 4 2 3" xfId="42172"/>
    <cellStyle name="표준 3 9 3 4 3" xfId="42173"/>
    <cellStyle name="표준 3 9 3 4 4" xfId="42174"/>
    <cellStyle name="표준 3 9 3 5" xfId="42175"/>
    <cellStyle name="표준 3 9 3 5 2" xfId="42176"/>
    <cellStyle name="표준 3 9 3 5 3" xfId="42177"/>
    <cellStyle name="표준 3 9 3 6" xfId="42178"/>
    <cellStyle name="표준 3 9 3 7" xfId="42179"/>
    <cellStyle name="표준 3 9 4" xfId="42180"/>
    <cellStyle name="표준 3 9 4 2" xfId="42181"/>
    <cellStyle name="표준 3 9 4 2 2" xfId="42182"/>
    <cellStyle name="표준 3 9 4 2 2 2" xfId="42183"/>
    <cellStyle name="표준 3 9 4 2 2 3" xfId="42184"/>
    <cellStyle name="표준 3 9 4 2 3" xfId="42185"/>
    <cellStyle name="표준 3 9 4 2 4" xfId="42186"/>
    <cellStyle name="표준 3 9 4 3" xfId="42187"/>
    <cellStyle name="표준 3 9 4 3 2" xfId="42188"/>
    <cellStyle name="표준 3 9 4 3 3" xfId="42189"/>
    <cellStyle name="표준 3 9 4 4" xfId="42190"/>
    <cellStyle name="표준 3 9 4 5" xfId="42191"/>
    <cellStyle name="표준 3 9 5" xfId="42192"/>
    <cellStyle name="표준 3 9 5 2" xfId="42193"/>
    <cellStyle name="표준 3 9 5 2 2" xfId="42194"/>
    <cellStyle name="표준 3 9 5 2 2 2" xfId="42195"/>
    <cellStyle name="표준 3 9 5 2 2 3" xfId="42196"/>
    <cellStyle name="표준 3 9 5 2 3" xfId="42197"/>
    <cellStyle name="표준 3 9 5 2 4" xfId="42198"/>
    <cellStyle name="표준 3 9 5 3" xfId="42199"/>
    <cellStyle name="표준 3 9 5 3 2" xfId="42200"/>
    <cellStyle name="표준 3 9 5 3 3" xfId="42201"/>
    <cellStyle name="표준 3 9 5 4" xfId="42202"/>
    <cellStyle name="표준 3 9 5 5" xfId="42203"/>
    <cellStyle name="표준 3 9 6" xfId="42204"/>
    <cellStyle name="표준 3 9 6 2" xfId="42205"/>
    <cellStyle name="표준 3 9 6 2 2" xfId="42206"/>
    <cellStyle name="표준 3 9 6 2 2 2" xfId="42207"/>
    <cellStyle name="표준 3 9 6 2 2 3" xfId="42208"/>
    <cellStyle name="표준 3 9 6 2 3" xfId="42209"/>
    <cellStyle name="표준 3 9 6 2 4" xfId="42210"/>
    <cellStyle name="표준 3 9 6 3" xfId="42211"/>
    <cellStyle name="표준 3 9 6 3 2" xfId="42212"/>
    <cellStyle name="표준 3 9 6 3 3" xfId="42213"/>
    <cellStyle name="표준 3 9 6 4" xfId="42214"/>
    <cellStyle name="표준 3 9 6 5" xfId="42215"/>
    <cellStyle name="표준 3 9 7" xfId="42216"/>
    <cellStyle name="표준 3 9 7 2" xfId="42217"/>
    <cellStyle name="표준 3 9 7 2 2" xfId="42218"/>
    <cellStyle name="표준 3 9 7 2 3" xfId="42219"/>
    <cellStyle name="표준 3 9 7 3" xfId="42220"/>
    <cellStyle name="표준 3 9 7 4" xfId="42221"/>
    <cellStyle name="표준 3 9 8" xfId="42222"/>
    <cellStyle name="표준 3 9 8 2" xfId="42223"/>
    <cellStyle name="표준 3 9 8 3" xfId="42224"/>
    <cellStyle name="표준 3 9 9" xfId="42225"/>
    <cellStyle name="표준 3_Sheet3" xfId="42226"/>
    <cellStyle name="표준 30" xfId="42227"/>
    <cellStyle name="표준 30 2" xfId="42228"/>
    <cellStyle name="표준 31" xfId="42229"/>
    <cellStyle name="표준 31 2" xfId="42230"/>
    <cellStyle name="표준 32" xfId="42231"/>
    <cellStyle name="표준 32 2" xfId="42232"/>
    <cellStyle name="표준 32 2 2" xfId="42233"/>
    <cellStyle name="표준 32 2 3" xfId="42234"/>
    <cellStyle name="표준 32 2 3 2" xfId="42235"/>
    <cellStyle name="표준 32 2 3 2 2" xfId="42236"/>
    <cellStyle name="표준 32 2 3 2 3" xfId="42237"/>
    <cellStyle name="표준 32 2 3 3" xfId="42238"/>
    <cellStyle name="표준 32 2 3 4" xfId="42239"/>
    <cellStyle name="표준 32 2 3 5" xfId="42240"/>
    <cellStyle name="표준 32 3" xfId="42241"/>
    <cellStyle name="표준 32 3 2" xfId="42242"/>
    <cellStyle name="표준 32 3 2 2" xfId="42243"/>
    <cellStyle name="표준 32 3 2 3" xfId="42244"/>
    <cellStyle name="표준 32 3 3" xfId="42245"/>
    <cellStyle name="표준 32 3 4" xfId="42246"/>
    <cellStyle name="표준 32 3 5" xfId="42247"/>
    <cellStyle name="표준 33" xfId="42248"/>
    <cellStyle name="표준 33 2" xfId="42249"/>
    <cellStyle name="표준 34" xfId="42250"/>
    <cellStyle name="표준 34 2" xfId="42251"/>
    <cellStyle name="표준 34 2 2" xfId="42252"/>
    <cellStyle name="표준 34 2 2 2" xfId="42253"/>
    <cellStyle name="표준 34 2 2 3" xfId="42254"/>
    <cellStyle name="표준 34 2 3" xfId="42255"/>
    <cellStyle name="표준 34 2 4" xfId="42256"/>
    <cellStyle name="표준 34 2 5" xfId="42257"/>
    <cellStyle name="표준 35" xfId="42258"/>
    <cellStyle name="표준 35 2" xfId="42259"/>
    <cellStyle name="표준 35 2 2" xfId="42260"/>
    <cellStyle name="표준 35 2 3" xfId="42261"/>
    <cellStyle name="표준 35 3" xfId="42262"/>
    <cellStyle name="표준 35 4" xfId="42263"/>
    <cellStyle name="표준 35 5" xfId="42264"/>
    <cellStyle name="표준 36" xfId="42265"/>
    <cellStyle name="표준 36 2" xfId="42266"/>
    <cellStyle name="표준 37" xfId="42267"/>
    <cellStyle name="표준 37 2" xfId="42268"/>
    <cellStyle name="표준 38" xfId="42269"/>
    <cellStyle name="표준 38 2" xfId="42270"/>
    <cellStyle name="표준 39" xfId="42271"/>
    <cellStyle name="표준 39 2" xfId="42272"/>
    <cellStyle name="표준 4" xfId="42273"/>
    <cellStyle name="표준 4 10" xfId="42274"/>
    <cellStyle name="표준 4 10 2" xfId="42275"/>
    <cellStyle name="표준 4 10 3" xfId="42276"/>
    <cellStyle name="표준 4 11" xfId="42277"/>
    <cellStyle name="표준 4 11 2" xfId="42278"/>
    <cellStyle name="표준 4 12" xfId="42279"/>
    <cellStyle name="표준 4 12 2" xfId="42280"/>
    <cellStyle name="표준 4 13" xfId="42281"/>
    <cellStyle name="표준 4 13 2" xfId="42282"/>
    <cellStyle name="표준 4 14" xfId="42283"/>
    <cellStyle name="표준 4 14 2" xfId="42284"/>
    <cellStyle name="표준 4 15" xfId="42285"/>
    <cellStyle name="표준 4 15 2" xfId="42286"/>
    <cellStyle name="표준 4 16" xfId="42287"/>
    <cellStyle name="표준 4 16 2" xfId="42288"/>
    <cellStyle name="표준 4 17" xfId="42289"/>
    <cellStyle name="표준 4 17 2" xfId="42290"/>
    <cellStyle name="표준 4 18" xfId="42291"/>
    <cellStyle name="표준 4 18 2" xfId="42292"/>
    <cellStyle name="표준 4 19" xfId="42293"/>
    <cellStyle name="표준 4 19 2" xfId="42294"/>
    <cellStyle name="표준 4 2" xfId="42295"/>
    <cellStyle name="표준 4 2 10" xfId="42296"/>
    <cellStyle name="표준 4 2 10 2" xfId="42297"/>
    <cellStyle name="표준 4 2 10 2 2" xfId="42298"/>
    <cellStyle name="표준 4 2 10 2 2 2" xfId="42299"/>
    <cellStyle name="표준 4 2 10 2 2 3" xfId="42300"/>
    <cellStyle name="표준 4 2 10 2 3" xfId="42301"/>
    <cellStyle name="표준 4 2 10 2 4" xfId="42302"/>
    <cellStyle name="표준 4 2 10 2 5" xfId="42303"/>
    <cellStyle name="표준 4 2 10 3" xfId="42304"/>
    <cellStyle name="표준 4 2 11" xfId="42305"/>
    <cellStyle name="표준 4 2 12" xfId="42306"/>
    <cellStyle name="표준 4 2 13" xfId="42307"/>
    <cellStyle name="표준 4 2 14" xfId="42308"/>
    <cellStyle name="표준 4 2 15" xfId="42309"/>
    <cellStyle name="표준 4 2 16" xfId="42310"/>
    <cellStyle name="표준 4 2 17" xfId="42311"/>
    <cellStyle name="표준 4 2 18" xfId="42312"/>
    <cellStyle name="표준 4 2 19" xfId="42313"/>
    <cellStyle name="표준 4 2 2" xfId="42314"/>
    <cellStyle name="표준 4 2 2 10" xfId="42315"/>
    <cellStyle name="표준 4 2 2 11" xfId="42316"/>
    <cellStyle name="표준 4 2 2 12" xfId="42317"/>
    <cellStyle name="표준 4 2 2 13" xfId="42318"/>
    <cellStyle name="표준 4 2 2 14" xfId="42319"/>
    <cellStyle name="표준 4 2 2 15" xfId="42320"/>
    <cellStyle name="표준 4 2 2 16" xfId="42321"/>
    <cellStyle name="표준 4 2 2 17" xfId="42322"/>
    <cellStyle name="표준 4 2 2 18" xfId="42323"/>
    <cellStyle name="표준 4 2 2 19" xfId="42324"/>
    <cellStyle name="표준 4 2 2 2" xfId="42325"/>
    <cellStyle name="표준 4 2 2 2 10" xfId="42326"/>
    <cellStyle name="표준 4 2 2 2 11" xfId="42327"/>
    <cellStyle name="표준 4 2 2 2 12" xfId="42328"/>
    <cellStyle name="표준 4 2 2 2 13" xfId="42329"/>
    <cellStyle name="표준 4 2 2 2 14" xfId="42330"/>
    <cellStyle name="표준 4 2 2 2 15" xfId="42331"/>
    <cellStyle name="표준 4 2 2 2 16" xfId="42332"/>
    <cellStyle name="표준 4 2 2 2 17" xfId="42333"/>
    <cellStyle name="표준 4 2 2 2 18" xfId="42334"/>
    <cellStyle name="표준 4 2 2 2 19" xfId="42335"/>
    <cellStyle name="표준 4 2 2 2 2" xfId="42336"/>
    <cellStyle name="표준 4 2 2 2 2 10" xfId="42337"/>
    <cellStyle name="표준 4 2 2 2 2 11" xfId="42338"/>
    <cellStyle name="표준 4 2 2 2 2 12" xfId="42339"/>
    <cellStyle name="표준 4 2 2 2 2 13" xfId="42340"/>
    <cellStyle name="표준 4 2 2 2 2 14" xfId="42341"/>
    <cellStyle name="표준 4 2 2 2 2 15" xfId="42342"/>
    <cellStyle name="표준 4 2 2 2 2 16" xfId="42343"/>
    <cellStyle name="표준 4 2 2 2 2 17" xfId="42344"/>
    <cellStyle name="표준 4 2 2 2 2 18" xfId="42345"/>
    <cellStyle name="표준 4 2 2 2 2 19" xfId="42346"/>
    <cellStyle name="표준 4 2 2 2 2 19 2" xfId="42347"/>
    <cellStyle name="표준 4 2 2 2 2 19 3" xfId="42348"/>
    <cellStyle name="표준 4 2 2 2 2 2" xfId="42349"/>
    <cellStyle name="표준 4 2 2 2 2 2 10" xfId="42350"/>
    <cellStyle name="표준 4 2 2 2 2 2 11" xfId="42351"/>
    <cellStyle name="표준 4 2 2 2 2 2 12" xfId="42352"/>
    <cellStyle name="표준 4 2 2 2 2 2 13" xfId="42353"/>
    <cellStyle name="표준 4 2 2 2 2 2 14" xfId="42354"/>
    <cellStyle name="표준 4 2 2 2 2 2 15" xfId="42355"/>
    <cellStyle name="표준 4 2 2 2 2 2 16" xfId="42356"/>
    <cellStyle name="표준 4 2 2 2 2 2 17" xfId="42357"/>
    <cellStyle name="표준 4 2 2 2 2 2 17 2" xfId="42358"/>
    <cellStyle name="표준 4 2 2 2 2 2 17 3" xfId="42359"/>
    <cellStyle name="표준 4 2 2 2 2 2 18" xfId="42360"/>
    <cellStyle name="표준 4 2 2 2 2 2 19" xfId="42361"/>
    <cellStyle name="표준 4 2 2 2 2 2 2" xfId="42362"/>
    <cellStyle name="표준 4 2 2 2 2 2 2 10" xfId="42363"/>
    <cellStyle name="표준 4 2 2 2 2 2 2 11" xfId="42364"/>
    <cellStyle name="표준 4 2 2 2 2 2 2 12" xfId="42365"/>
    <cellStyle name="표준 4 2 2 2 2 2 2 13" xfId="42366"/>
    <cellStyle name="표준 4 2 2 2 2 2 2 14" xfId="42367"/>
    <cellStyle name="표준 4 2 2 2 2 2 2 15" xfId="42368"/>
    <cellStyle name="표준 4 2 2 2 2 2 2 16" xfId="42369"/>
    <cellStyle name="표준 4 2 2 2 2 2 2 16 2" xfId="42370"/>
    <cellStyle name="표준 4 2 2 2 2 2 2 16 3" xfId="42371"/>
    <cellStyle name="표준 4 2 2 2 2 2 2 17" xfId="42372"/>
    <cellStyle name="표준 4 2 2 2 2 2 2 18" xfId="42373"/>
    <cellStyle name="표준 4 2 2 2 2 2 2 19" xfId="42374"/>
    <cellStyle name="표준 4 2 2 2 2 2 2 2" xfId="42375"/>
    <cellStyle name="표준 4 2 2 2 2 2 2 2 2" xfId="42376"/>
    <cellStyle name="표준 4 2 2 2 2 2 2 2 2 2" xfId="42377"/>
    <cellStyle name="표준 4 2 2 2 2 2 2 2 2 2 2" xfId="42378"/>
    <cellStyle name="표준 4 2 2 2 2 2 2 2 2 2 3" xfId="42379"/>
    <cellStyle name="표준 4 2 2 2 2 2 2 2 2 3" xfId="42380"/>
    <cellStyle name="표준 4 2 2 2 2 2 2 2 2 4" xfId="42381"/>
    <cellStyle name="표준 4 2 2 2 2 2 2 2 2 5" xfId="42382"/>
    <cellStyle name="표준 4 2 2 2 2 2 2 2 3" xfId="42383"/>
    <cellStyle name="표준 4 2 2 2 2 2 2 2 3 2" xfId="42384"/>
    <cellStyle name="표준 4 2 2 2 2 2 2 2 3 3" xfId="42385"/>
    <cellStyle name="표준 4 2 2 2 2 2 2 2 4" xfId="42386"/>
    <cellStyle name="표준 4 2 2 2 2 2 2 2 5" xfId="42387"/>
    <cellStyle name="표준 4 2 2 2 2 2 2 2 6" xfId="42388"/>
    <cellStyle name="표준 4 2 2 2 2 2 2 3" xfId="42389"/>
    <cellStyle name="표준 4 2 2 2 2 2 2 3 2" xfId="42390"/>
    <cellStyle name="표준 4 2 2 2 2 2 2 3 2 2" xfId="42391"/>
    <cellStyle name="표준 4 2 2 2 2 2 2 3 2 2 2" xfId="42392"/>
    <cellStyle name="표준 4 2 2 2 2 2 2 3 2 2 3" xfId="42393"/>
    <cellStyle name="표준 4 2 2 2 2 2 2 3 2 3" xfId="42394"/>
    <cellStyle name="표준 4 2 2 2 2 2 2 3 2 4" xfId="42395"/>
    <cellStyle name="표준 4 2 2 2 2 2 2 3 2 5" xfId="42396"/>
    <cellStyle name="표준 4 2 2 2 2 2 2 3 3" xfId="42397"/>
    <cellStyle name="표준 4 2 2 2 2 2 2 4" xfId="42398"/>
    <cellStyle name="표준 4 2 2 2 2 2 2 4 2" xfId="42399"/>
    <cellStyle name="표준 4 2 2 2 2 2 2 4 2 2" xfId="42400"/>
    <cellStyle name="표준 4 2 2 2 2 2 2 4 2 2 2" xfId="42401"/>
    <cellStyle name="표준 4 2 2 2 2 2 2 4 2 2 3" xfId="42402"/>
    <cellStyle name="표준 4 2 2 2 2 2 2 4 2 3" xfId="42403"/>
    <cellStyle name="표준 4 2 2 2 2 2 2 4 2 4" xfId="42404"/>
    <cellStyle name="표준 4 2 2 2 2 2 2 4 2 5" xfId="42405"/>
    <cellStyle name="표준 4 2 2 2 2 2 2 4 3" xfId="42406"/>
    <cellStyle name="표준 4 2 2 2 2 2 2 5" xfId="42407"/>
    <cellStyle name="표준 4 2 2 2 2 2 2 6" xfId="42408"/>
    <cellStyle name="표준 4 2 2 2 2 2 2 7" xfId="42409"/>
    <cellStyle name="표준 4 2 2 2 2 2 2 8" xfId="42410"/>
    <cellStyle name="표준 4 2 2 2 2 2 2 9" xfId="42411"/>
    <cellStyle name="표준 4 2 2 2 2 2 20" xfId="42412"/>
    <cellStyle name="표준 4 2 2 2 2 2 3" xfId="42413"/>
    <cellStyle name="표준 4 2 2 2 2 2 3 2" xfId="42414"/>
    <cellStyle name="표준 4 2 2 2 2 2 3 2 2" xfId="42415"/>
    <cellStyle name="표준 4 2 2 2 2 2 3 2 2 2" xfId="42416"/>
    <cellStyle name="표준 4 2 2 2 2 2 3 2 2 3" xfId="42417"/>
    <cellStyle name="표준 4 2 2 2 2 2 3 2 3" xfId="42418"/>
    <cellStyle name="표준 4 2 2 2 2 2 3 2 4" xfId="42419"/>
    <cellStyle name="표준 4 2 2 2 2 2 3 2 5" xfId="42420"/>
    <cellStyle name="표준 4 2 2 2 2 2 3 3" xfId="42421"/>
    <cellStyle name="표준 4 2 2 2 2 2 3 3 2" xfId="42422"/>
    <cellStyle name="표준 4 2 2 2 2 2 3 3 3" xfId="42423"/>
    <cellStyle name="표준 4 2 2 2 2 2 3 4" xfId="42424"/>
    <cellStyle name="표준 4 2 2 2 2 2 3 5" xfId="42425"/>
    <cellStyle name="표준 4 2 2 2 2 2 3 6" xfId="42426"/>
    <cellStyle name="표준 4 2 2 2 2 2 4" xfId="42427"/>
    <cellStyle name="표준 4 2 2 2 2 2 4 2" xfId="42428"/>
    <cellStyle name="표준 4 2 2 2 2 2 4 2 2" xfId="42429"/>
    <cellStyle name="표준 4 2 2 2 2 2 4 2 2 2" xfId="42430"/>
    <cellStyle name="표준 4 2 2 2 2 2 4 2 2 3" xfId="42431"/>
    <cellStyle name="표준 4 2 2 2 2 2 4 2 3" xfId="42432"/>
    <cellStyle name="표준 4 2 2 2 2 2 4 2 4" xfId="42433"/>
    <cellStyle name="표준 4 2 2 2 2 2 4 2 5" xfId="42434"/>
    <cellStyle name="표준 4 2 2 2 2 2 4 3" xfId="42435"/>
    <cellStyle name="표준 4 2 2 2 2 2 5" xfId="42436"/>
    <cellStyle name="표준 4 2 2 2 2 2 5 2" xfId="42437"/>
    <cellStyle name="표준 4 2 2 2 2 2 5 2 2" xfId="42438"/>
    <cellStyle name="표준 4 2 2 2 2 2 5 2 2 2" xfId="42439"/>
    <cellStyle name="표준 4 2 2 2 2 2 5 2 2 3" xfId="42440"/>
    <cellStyle name="표준 4 2 2 2 2 2 5 2 3" xfId="42441"/>
    <cellStyle name="표준 4 2 2 2 2 2 5 2 4" xfId="42442"/>
    <cellStyle name="표준 4 2 2 2 2 2 5 2 5" xfId="42443"/>
    <cellStyle name="표준 4 2 2 2 2 2 5 3" xfId="42444"/>
    <cellStyle name="표준 4 2 2 2 2 2 6" xfId="42445"/>
    <cellStyle name="표준 4 2 2 2 2 2 7" xfId="42446"/>
    <cellStyle name="표준 4 2 2 2 2 2 8" xfId="42447"/>
    <cellStyle name="표준 4 2 2 2 2 2 9" xfId="42448"/>
    <cellStyle name="표준 4 2 2 2 2 20" xfId="42449"/>
    <cellStyle name="표준 4 2 2 2 2 21" xfId="42450"/>
    <cellStyle name="표준 4 2 2 2 2 22" xfId="42451"/>
    <cellStyle name="표준 4 2 2 2 2 3" xfId="42452"/>
    <cellStyle name="표준 4 2 2 2 2 3 10" xfId="42453"/>
    <cellStyle name="표준 4 2 2 2 2 3 11" xfId="42454"/>
    <cellStyle name="표준 4 2 2 2 2 3 12" xfId="42455"/>
    <cellStyle name="표준 4 2 2 2 2 3 13" xfId="42456"/>
    <cellStyle name="표준 4 2 2 2 2 3 14" xfId="42457"/>
    <cellStyle name="표준 4 2 2 2 2 3 15" xfId="42458"/>
    <cellStyle name="표준 4 2 2 2 2 3 16" xfId="42459"/>
    <cellStyle name="표준 4 2 2 2 2 3 17" xfId="42460"/>
    <cellStyle name="표준 4 2 2 2 2 3 17 2" xfId="42461"/>
    <cellStyle name="표준 4 2 2 2 2 3 17 3" xfId="42462"/>
    <cellStyle name="표준 4 2 2 2 2 3 18" xfId="42463"/>
    <cellStyle name="표준 4 2 2 2 2 3 19" xfId="42464"/>
    <cellStyle name="표준 4 2 2 2 2 3 2" xfId="42465"/>
    <cellStyle name="표준 4 2 2 2 2 3 2 10" xfId="42466"/>
    <cellStyle name="표준 4 2 2 2 2 3 2 11" xfId="42467"/>
    <cellStyle name="표준 4 2 2 2 2 3 2 12" xfId="42468"/>
    <cellStyle name="표준 4 2 2 2 2 3 2 13" xfId="42469"/>
    <cellStyle name="표준 4 2 2 2 2 3 2 14" xfId="42470"/>
    <cellStyle name="표준 4 2 2 2 2 3 2 15" xfId="42471"/>
    <cellStyle name="표준 4 2 2 2 2 3 2 16" xfId="42472"/>
    <cellStyle name="표준 4 2 2 2 2 3 2 16 2" xfId="42473"/>
    <cellStyle name="표준 4 2 2 2 2 3 2 16 3" xfId="42474"/>
    <cellStyle name="표준 4 2 2 2 2 3 2 17" xfId="42475"/>
    <cellStyle name="표준 4 2 2 2 2 3 2 18" xfId="42476"/>
    <cellStyle name="표준 4 2 2 2 2 3 2 19" xfId="42477"/>
    <cellStyle name="표준 4 2 2 2 2 3 2 2" xfId="42478"/>
    <cellStyle name="표준 4 2 2 2 2 3 2 2 2" xfId="42479"/>
    <cellStyle name="표준 4 2 2 2 2 3 2 2 2 2" xfId="42480"/>
    <cellStyle name="표준 4 2 2 2 2 3 2 2 2 2 2" xfId="42481"/>
    <cellStyle name="표준 4 2 2 2 2 3 2 2 2 2 3" xfId="42482"/>
    <cellStyle name="표준 4 2 2 2 2 3 2 2 2 3" xfId="42483"/>
    <cellStyle name="표준 4 2 2 2 2 3 2 2 2 4" xfId="42484"/>
    <cellStyle name="표준 4 2 2 2 2 3 2 2 2 5" xfId="42485"/>
    <cellStyle name="표준 4 2 2 2 2 3 2 2 3" xfId="42486"/>
    <cellStyle name="표준 4 2 2 2 2 3 2 2 3 2" xfId="42487"/>
    <cellStyle name="표준 4 2 2 2 2 3 2 2 3 3" xfId="42488"/>
    <cellStyle name="표준 4 2 2 2 2 3 2 2 4" xfId="42489"/>
    <cellStyle name="표준 4 2 2 2 2 3 2 2 5" xfId="42490"/>
    <cellStyle name="표준 4 2 2 2 2 3 2 2 6" xfId="42491"/>
    <cellStyle name="표준 4 2 2 2 2 3 2 3" xfId="42492"/>
    <cellStyle name="표준 4 2 2 2 2 3 2 3 2" xfId="42493"/>
    <cellStyle name="표준 4 2 2 2 2 3 2 3 2 2" xfId="42494"/>
    <cellStyle name="표준 4 2 2 2 2 3 2 3 2 2 2" xfId="42495"/>
    <cellStyle name="표준 4 2 2 2 2 3 2 3 2 2 3" xfId="42496"/>
    <cellStyle name="표준 4 2 2 2 2 3 2 3 2 3" xfId="42497"/>
    <cellStyle name="표준 4 2 2 2 2 3 2 3 2 4" xfId="42498"/>
    <cellStyle name="표준 4 2 2 2 2 3 2 3 2 5" xfId="42499"/>
    <cellStyle name="표준 4 2 2 2 2 3 2 3 3" xfId="42500"/>
    <cellStyle name="표준 4 2 2 2 2 3 2 4" xfId="42501"/>
    <cellStyle name="표준 4 2 2 2 2 3 2 4 2" xfId="42502"/>
    <cellStyle name="표준 4 2 2 2 2 3 2 4 2 2" xfId="42503"/>
    <cellStyle name="표준 4 2 2 2 2 3 2 4 2 2 2" xfId="42504"/>
    <cellStyle name="표준 4 2 2 2 2 3 2 4 2 2 3" xfId="42505"/>
    <cellStyle name="표준 4 2 2 2 2 3 2 4 2 3" xfId="42506"/>
    <cellStyle name="표준 4 2 2 2 2 3 2 4 2 4" xfId="42507"/>
    <cellStyle name="표준 4 2 2 2 2 3 2 4 2 5" xfId="42508"/>
    <cellStyle name="표준 4 2 2 2 2 3 2 4 3" xfId="42509"/>
    <cellStyle name="표준 4 2 2 2 2 3 2 5" xfId="42510"/>
    <cellStyle name="표준 4 2 2 2 2 3 2 6" xfId="42511"/>
    <cellStyle name="표준 4 2 2 2 2 3 2 7" xfId="42512"/>
    <cellStyle name="표준 4 2 2 2 2 3 2 8" xfId="42513"/>
    <cellStyle name="표준 4 2 2 2 2 3 2 9" xfId="42514"/>
    <cellStyle name="표준 4 2 2 2 2 3 20" xfId="42515"/>
    <cellStyle name="표준 4 2 2 2 2 3 3" xfId="42516"/>
    <cellStyle name="표준 4 2 2 2 2 3 3 2" xfId="42517"/>
    <cellStyle name="표준 4 2 2 2 2 3 3 2 2" xfId="42518"/>
    <cellStyle name="표준 4 2 2 2 2 3 3 2 2 2" xfId="42519"/>
    <cellStyle name="표준 4 2 2 2 2 3 3 2 2 3" xfId="42520"/>
    <cellStyle name="표준 4 2 2 2 2 3 3 2 3" xfId="42521"/>
    <cellStyle name="표준 4 2 2 2 2 3 3 2 4" xfId="42522"/>
    <cellStyle name="표준 4 2 2 2 2 3 3 2 5" xfId="42523"/>
    <cellStyle name="표준 4 2 2 2 2 3 3 3" xfId="42524"/>
    <cellStyle name="표준 4 2 2 2 2 3 3 3 2" xfId="42525"/>
    <cellStyle name="표준 4 2 2 2 2 3 3 3 3" xfId="42526"/>
    <cellStyle name="표준 4 2 2 2 2 3 3 4" xfId="42527"/>
    <cellStyle name="표준 4 2 2 2 2 3 3 5" xfId="42528"/>
    <cellStyle name="표준 4 2 2 2 2 3 3 6" xfId="42529"/>
    <cellStyle name="표준 4 2 2 2 2 3 4" xfId="42530"/>
    <cellStyle name="표준 4 2 2 2 2 3 4 2" xfId="42531"/>
    <cellStyle name="표준 4 2 2 2 2 3 4 2 2" xfId="42532"/>
    <cellStyle name="표준 4 2 2 2 2 3 4 2 2 2" xfId="42533"/>
    <cellStyle name="표준 4 2 2 2 2 3 4 2 2 3" xfId="42534"/>
    <cellStyle name="표준 4 2 2 2 2 3 4 2 3" xfId="42535"/>
    <cellStyle name="표준 4 2 2 2 2 3 4 2 4" xfId="42536"/>
    <cellStyle name="표준 4 2 2 2 2 3 4 2 5" xfId="42537"/>
    <cellStyle name="표준 4 2 2 2 2 3 4 3" xfId="42538"/>
    <cellStyle name="표준 4 2 2 2 2 3 5" xfId="42539"/>
    <cellStyle name="표준 4 2 2 2 2 3 5 2" xfId="42540"/>
    <cellStyle name="표준 4 2 2 2 2 3 5 2 2" xfId="42541"/>
    <cellStyle name="표준 4 2 2 2 2 3 5 2 2 2" xfId="42542"/>
    <cellStyle name="표준 4 2 2 2 2 3 5 2 2 3" xfId="42543"/>
    <cellStyle name="표준 4 2 2 2 2 3 5 2 3" xfId="42544"/>
    <cellStyle name="표준 4 2 2 2 2 3 5 2 4" xfId="42545"/>
    <cellStyle name="표준 4 2 2 2 2 3 5 2 5" xfId="42546"/>
    <cellStyle name="표준 4 2 2 2 2 3 5 3" xfId="42547"/>
    <cellStyle name="표준 4 2 2 2 2 3 6" xfId="42548"/>
    <cellStyle name="표준 4 2 2 2 2 3 7" xfId="42549"/>
    <cellStyle name="표준 4 2 2 2 2 3 8" xfId="42550"/>
    <cellStyle name="표준 4 2 2 2 2 3 9" xfId="42551"/>
    <cellStyle name="표준 4 2 2 2 2 4" xfId="42552"/>
    <cellStyle name="표준 4 2 2 2 2 4 10" xfId="42553"/>
    <cellStyle name="표준 4 2 2 2 2 4 11" xfId="42554"/>
    <cellStyle name="표준 4 2 2 2 2 4 12" xfId="42555"/>
    <cellStyle name="표준 4 2 2 2 2 4 13" xfId="42556"/>
    <cellStyle name="표준 4 2 2 2 2 4 14" xfId="42557"/>
    <cellStyle name="표준 4 2 2 2 2 4 15" xfId="42558"/>
    <cellStyle name="표준 4 2 2 2 2 4 16" xfId="42559"/>
    <cellStyle name="표준 4 2 2 2 2 4 16 2" xfId="42560"/>
    <cellStyle name="표준 4 2 2 2 2 4 16 3" xfId="42561"/>
    <cellStyle name="표준 4 2 2 2 2 4 17" xfId="42562"/>
    <cellStyle name="표준 4 2 2 2 2 4 18" xfId="42563"/>
    <cellStyle name="표준 4 2 2 2 2 4 19" xfId="42564"/>
    <cellStyle name="표준 4 2 2 2 2 4 2" xfId="42565"/>
    <cellStyle name="표준 4 2 2 2 2 4 2 2" xfId="42566"/>
    <cellStyle name="표준 4 2 2 2 2 4 2 2 2" xfId="42567"/>
    <cellStyle name="표준 4 2 2 2 2 4 2 2 2 2" xfId="42568"/>
    <cellStyle name="표준 4 2 2 2 2 4 2 2 2 3" xfId="42569"/>
    <cellStyle name="표준 4 2 2 2 2 4 2 2 3" xfId="42570"/>
    <cellStyle name="표준 4 2 2 2 2 4 2 2 4" xfId="42571"/>
    <cellStyle name="표준 4 2 2 2 2 4 2 2 5" xfId="42572"/>
    <cellStyle name="표준 4 2 2 2 2 4 2 3" xfId="42573"/>
    <cellStyle name="표준 4 2 2 2 2 4 2 3 2" xfId="42574"/>
    <cellStyle name="표준 4 2 2 2 2 4 2 3 3" xfId="42575"/>
    <cellStyle name="표준 4 2 2 2 2 4 2 4" xfId="42576"/>
    <cellStyle name="표준 4 2 2 2 2 4 2 5" xfId="42577"/>
    <cellStyle name="표준 4 2 2 2 2 4 2 6" xfId="42578"/>
    <cellStyle name="표준 4 2 2 2 2 4 3" xfId="42579"/>
    <cellStyle name="표준 4 2 2 2 2 4 3 2" xfId="42580"/>
    <cellStyle name="표준 4 2 2 2 2 4 3 2 2" xfId="42581"/>
    <cellStyle name="표준 4 2 2 2 2 4 3 2 2 2" xfId="42582"/>
    <cellStyle name="표준 4 2 2 2 2 4 3 2 2 3" xfId="42583"/>
    <cellStyle name="표준 4 2 2 2 2 4 3 2 3" xfId="42584"/>
    <cellStyle name="표준 4 2 2 2 2 4 3 2 4" xfId="42585"/>
    <cellStyle name="표준 4 2 2 2 2 4 3 2 5" xfId="42586"/>
    <cellStyle name="표준 4 2 2 2 2 4 3 3" xfId="42587"/>
    <cellStyle name="표준 4 2 2 2 2 4 4" xfId="42588"/>
    <cellStyle name="표준 4 2 2 2 2 4 4 2" xfId="42589"/>
    <cellStyle name="표준 4 2 2 2 2 4 4 2 2" xfId="42590"/>
    <cellStyle name="표준 4 2 2 2 2 4 4 2 2 2" xfId="42591"/>
    <cellStyle name="표준 4 2 2 2 2 4 4 2 2 3" xfId="42592"/>
    <cellStyle name="표준 4 2 2 2 2 4 4 2 3" xfId="42593"/>
    <cellStyle name="표준 4 2 2 2 2 4 4 2 4" xfId="42594"/>
    <cellStyle name="표준 4 2 2 2 2 4 4 2 5" xfId="42595"/>
    <cellStyle name="표준 4 2 2 2 2 4 4 3" xfId="42596"/>
    <cellStyle name="표준 4 2 2 2 2 4 5" xfId="42597"/>
    <cellStyle name="표준 4 2 2 2 2 4 6" xfId="42598"/>
    <cellStyle name="표준 4 2 2 2 2 4 7" xfId="42599"/>
    <cellStyle name="표준 4 2 2 2 2 4 8" xfId="42600"/>
    <cellStyle name="표준 4 2 2 2 2 4 9" xfId="42601"/>
    <cellStyle name="표준 4 2 2 2 2 5" xfId="42602"/>
    <cellStyle name="표준 4 2 2 2 2 5 2" xfId="42603"/>
    <cellStyle name="표준 4 2 2 2 2 5 2 2" xfId="42604"/>
    <cellStyle name="표준 4 2 2 2 2 5 2 2 2" xfId="42605"/>
    <cellStyle name="표준 4 2 2 2 2 5 2 2 3" xfId="42606"/>
    <cellStyle name="표준 4 2 2 2 2 5 2 3" xfId="42607"/>
    <cellStyle name="표준 4 2 2 2 2 5 2 4" xfId="42608"/>
    <cellStyle name="표준 4 2 2 2 2 5 2 5" xfId="42609"/>
    <cellStyle name="표준 4 2 2 2 2 5 3" xfId="42610"/>
    <cellStyle name="표준 4 2 2 2 2 5 3 2" xfId="42611"/>
    <cellStyle name="표준 4 2 2 2 2 5 3 3" xfId="42612"/>
    <cellStyle name="표준 4 2 2 2 2 5 4" xfId="42613"/>
    <cellStyle name="표준 4 2 2 2 2 5 5" xfId="42614"/>
    <cellStyle name="표준 4 2 2 2 2 5 6" xfId="42615"/>
    <cellStyle name="표준 4 2 2 2 2 6" xfId="42616"/>
    <cellStyle name="표준 4 2 2 2 2 6 2" xfId="42617"/>
    <cellStyle name="표준 4 2 2 2 2 6 2 2" xfId="42618"/>
    <cellStyle name="표준 4 2 2 2 2 6 2 2 2" xfId="42619"/>
    <cellStyle name="표준 4 2 2 2 2 6 2 2 3" xfId="42620"/>
    <cellStyle name="표준 4 2 2 2 2 6 2 3" xfId="42621"/>
    <cellStyle name="표준 4 2 2 2 2 6 2 4" xfId="42622"/>
    <cellStyle name="표준 4 2 2 2 2 6 2 5" xfId="42623"/>
    <cellStyle name="표준 4 2 2 2 2 6 3" xfId="42624"/>
    <cellStyle name="표준 4 2 2 2 2 7" xfId="42625"/>
    <cellStyle name="표준 4 2 2 2 2 7 2" xfId="42626"/>
    <cellStyle name="표준 4 2 2 2 2 7 2 2" xfId="42627"/>
    <cellStyle name="표준 4 2 2 2 2 7 2 2 2" xfId="42628"/>
    <cellStyle name="표준 4 2 2 2 2 7 2 2 3" xfId="42629"/>
    <cellStyle name="표준 4 2 2 2 2 7 2 3" xfId="42630"/>
    <cellStyle name="표준 4 2 2 2 2 7 2 4" xfId="42631"/>
    <cellStyle name="표준 4 2 2 2 2 7 2 5" xfId="42632"/>
    <cellStyle name="표준 4 2 2 2 2 7 3" xfId="42633"/>
    <cellStyle name="표준 4 2 2 2 2 8" xfId="42634"/>
    <cellStyle name="표준 4 2 2 2 2 9" xfId="42635"/>
    <cellStyle name="표준 4 2 2 2 20" xfId="42636"/>
    <cellStyle name="표준 4 2 2 2 20 2" xfId="42637"/>
    <cellStyle name="표준 4 2 2 2 20 3" xfId="42638"/>
    <cellStyle name="표준 4 2 2 2 21" xfId="42639"/>
    <cellStyle name="표준 4 2 2 2 22" xfId="42640"/>
    <cellStyle name="표준 4 2 2 2 23" xfId="42641"/>
    <cellStyle name="표준 4 2 2 2 3" xfId="42642"/>
    <cellStyle name="표준 4 2 2 2 3 10" xfId="42643"/>
    <cellStyle name="표준 4 2 2 2 3 11" xfId="42644"/>
    <cellStyle name="표준 4 2 2 2 3 12" xfId="42645"/>
    <cellStyle name="표준 4 2 2 2 3 13" xfId="42646"/>
    <cellStyle name="표준 4 2 2 2 3 14" xfId="42647"/>
    <cellStyle name="표준 4 2 2 2 3 15" xfId="42648"/>
    <cellStyle name="표준 4 2 2 2 3 16" xfId="42649"/>
    <cellStyle name="표준 4 2 2 2 3 17" xfId="42650"/>
    <cellStyle name="표준 4 2 2 2 3 17 2" xfId="42651"/>
    <cellStyle name="표준 4 2 2 2 3 17 3" xfId="42652"/>
    <cellStyle name="표준 4 2 2 2 3 18" xfId="42653"/>
    <cellStyle name="표준 4 2 2 2 3 19" xfId="42654"/>
    <cellStyle name="표준 4 2 2 2 3 2" xfId="42655"/>
    <cellStyle name="표준 4 2 2 2 3 2 10" xfId="42656"/>
    <cellStyle name="표준 4 2 2 2 3 2 11" xfId="42657"/>
    <cellStyle name="표준 4 2 2 2 3 2 12" xfId="42658"/>
    <cellStyle name="표준 4 2 2 2 3 2 13" xfId="42659"/>
    <cellStyle name="표준 4 2 2 2 3 2 14" xfId="42660"/>
    <cellStyle name="표준 4 2 2 2 3 2 15" xfId="42661"/>
    <cellStyle name="표준 4 2 2 2 3 2 16" xfId="42662"/>
    <cellStyle name="표준 4 2 2 2 3 2 16 2" xfId="42663"/>
    <cellStyle name="표준 4 2 2 2 3 2 16 3" xfId="42664"/>
    <cellStyle name="표준 4 2 2 2 3 2 17" xfId="42665"/>
    <cellStyle name="표준 4 2 2 2 3 2 18" xfId="42666"/>
    <cellStyle name="표준 4 2 2 2 3 2 19" xfId="42667"/>
    <cellStyle name="표준 4 2 2 2 3 2 2" xfId="42668"/>
    <cellStyle name="표준 4 2 2 2 3 2 2 2" xfId="42669"/>
    <cellStyle name="표준 4 2 2 2 3 2 2 2 2" xfId="42670"/>
    <cellStyle name="표준 4 2 2 2 3 2 2 2 2 2" xfId="42671"/>
    <cellStyle name="표준 4 2 2 2 3 2 2 2 2 3" xfId="42672"/>
    <cellStyle name="표준 4 2 2 2 3 2 2 2 3" xfId="42673"/>
    <cellStyle name="표준 4 2 2 2 3 2 2 2 4" xfId="42674"/>
    <cellStyle name="표준 4 2 2 2 3 2 2 2 5" xfId="42675"/>
    <cellStyle name="표준 4 2 2 2 3 2 2 3" xfId="42676"/>
    <cellStyle name="표준 4 2 2 2 3 2 2 3 2" xfId="42677"/>
    <cellStyle name="표준 4 2 2 2 3 2 2 3 3" xfId="42678"/>
    <cellStyle name="표준 4 2 2 2 3 2 2 4" xfId="42679"/>
    <cellStyle name="표준 4 2 2 2 3 2 2 5" xfId="42680"/>
    <cellStyle name="표준 4 2 2 2 3 2 2 6" xfId="42681"/>
    <cellStyle name="표준 4 2 2 2 3 2 3" xfId="42682"/>
    <cellStyle name="표준 4 2 2 2 3 2 3 2" xfId="42683"/>
    <cellStyle name="표준 4 2 2 2 3 2 3 2 2" xfId="42684"/>
    <cellStyle name="표준 4 2 2 2 3 2 3 2 2 2" xfId="42685"/>
    <cellStyle name="표준 4 2 2 2 3 2 3 2 2 3" xfId="42686"/>
    <cellStyle name="표준 4 2 2 2 3 2 3 2 3" xfId="42687"/>
    <cellStyle name="표준 4 2 2 2 3 2 3 2 4" xfId="42688"/>
    <cellStyle name="표준 4 2 2 2 3 2 3 2 5" xfId="42689"/>
    <cellStyle name="표준 4 2 2 2 3 2 3 3" xfId="42690"/>
    <cellStyle name="표준 4 2 2 2 3 2 4" xfId="42691"/>
    <cellStyle name="표준 4 2 2 2 3 2 4 2" xfId="42692"/>
    <cellStyle name="표준 4 2 2 2 3 2 4 2 2" xfId="42693"/>
    <cellStyle name="표준 4 2 2 2 3 2 4 2 2 2" xfId="42694"/>
    <cellStyle name="표준 4 2 2 2 3 2 4 2 2 3" xfId="42695"/>
    <cellStyle name="표준 4 2 2 2 3 2 4 2 3" xfId="42696"/>
    <cellStyle name="표준 4 2 2 2 3 2 4 2 4" xfId="42697"/>
    <cellStyle name="표준 4 2 2 2 3 2 4 2 5" xfId="42698"/>
    <cellStyle name="표준 4 2 2 2 3 2 4 3" xfId="42699"/>
    <cellStyle name="표준 4 2 2 2 3 2 5" xfId="42700"/>
    <cellStyle name="표준 4 2 2 2 3 2 6" xfId="42701"/>
    <cellStyle name="표준 4 2 2 2 3 2 7" xfId="42702"/>
    <cellStyle name="표준 4 2 2 2 3 2 8" xfId="42703"/>
    <cellStyle name="표준 4 2 2 2 3 2 9" xfId="42704"/>
    <cellStyle name="표준 4 2 2 2 3 20" xfId="42705"/>
    <cellStyle name="표준 4 2 2 2 3 3" xfId="42706"/>
    <cellStyle name="표준 4 2 2 2 3 3 2" xfId="42707"/>
    <cellStyle name="표준 4 2 2 2 3 3 2 2" xfId="42708"/>
    <cellStyle name="표준 4 2 2 2 3 3 2 2 2" xfId="42709"/>
    <cellStyle name="표준 4 2 2 2 3 3 2 2 3" xfId="42710"/>
    <cellStyle name="표준 4 2 2 2 3 3 2 3" xfId="42711"/>
    <cellStyle name="표준 4 2 2 2 3 3 2 4" xfId="42712"/>
    <cellStyle name="표준 4 2 2 2 3 3 2 5" xfId="42713"/>
    <cellStyle name="표준 4 2 2 2 3 3 3" xfId="42714"/>
    <cellStyle name="표준 4 2 2 2 3 3 3 2" xfId="42715"/>
    <cellStyle name="표준 4 2 2 2 3 3 3 3" xfId="42716"/>
    <cellStyle name="표준 4 2 2 2 3 3 4" xfId="42717"/>
    <cellStyle name="표준 4 2 2 2 3 3 5" xfId="42718"/>
    <cellStyle name="표준 4 2 2 2 3 3 6" xfId="42719"/>
    <cellStyle name="표준 4 2 2 2 3 4" xfId="42720"/>
    <cellStyle name="표준 4 2 2 2 3 4 2" xfId="42721"/>
    <cellStyle name="표준 4 2 2 2 3 4 2 2" xfId="42722"/>
    <cellStyle name="표준 4 2 2 2 3 4 2 2 2" xfId="42723"/>
    <cellStyle name="표준 4 2 2 2 3 4 2 2 3" xfId="42724"/>
    <cellStyle name="표준 4 2 2 2 3 4 2 3" xfId="42725"/>
    <cellStyle name="표준 4 2 2 2 3 4 2 4" xfId="42726"/>
    <cellStyle name="표준 4 2 2 2 3 4 2 5" xfId="42727"/>
    <cellStyle name="표준 4 2 2 2 3 4 3" xfId="42728"/>
    <cellStyle name="표준 4 2 2 2 3 5" xfId="42729"/>
    <cellStyle name="표준 4 2 2 2 3 5 2" xfId="42730"/>
    <cellStyle name="표준 4 2 2 2 3 5 2 2" xfId="42731"/>
    <cellStyle name="표준 4 2 2 2 3 5 2 2 2" xfId="42732"/>
    <cellStyle name="표준 4 2 2 2 3 5 2 2 3" xfId="42733"/>
    <cellStyle name="표준 4 2 2 2 3 5 2 3" xfId="42734"/>
    <cellStyle name="표준 4 2 2 2 3 5 2 4" xfId="42735"/>
    <cellStyle name="표준 4 2 2 2 3 5 2 5" xfId="42736"/>
    <cellStyle name="표준 4 2 2 2 3 5 3" xfId="42737"/>
    <cellStyle name="표준 4 2 2 2 3 6" xfId="42738"/>
    <cellStyle name="표준 4 2 2 2 3 7" xfId="42739"/>
    <cellStyle name="표준 4 2 2 2 3 8" xfId="42740"/>
    <cellStyle name="표준 4 2 2 2 3 9" xfId="42741"/>
    <cellStyle name="표준 4 2 2 2 4" xfId="42742"/>
    <cellStyle name="표준 4 2 2 2 4 10" xfId="42743"/>
    <cellStyle name="표준 4 2 2 2 4 11" xfId="42744"/>
    <cellStyle name="표준 4 2 2 2 4 12" xfId="42745"/>
    <cellStyle name="표준 4 2 2 2 4 13" xfId="42746"/>
    <cellStyle name="표준 4 2 2 2 4 14" xfId="42747"/>
    <cellStyle name="표준 4 2 2 2 4 15" xfId="42748"/>
    <cellStyle name="표준 4 2 2 2 4 16" xfId="42749"/>
    <cellStyle name="표준 4 2 2 2 4 17" xfId="42750"/>
    <cellStyle name="표준 4 2 2 2 4 17 2" xfId="42751"/>
    <cellStyle name="표준 4 2 2 2 4 17 3" xfId="42752"/>
    <cellStyle name="표준 4 2 2 2 4 18" xfId="42753"/>
    <cellStyle name="표준 4 2 2 2 4 19" xfId="42754"/>
    <cellStyle name="표준 4 2 2 2 4 2" xfId="42755"/>
    <cellStyle name="표준 4 2 2 2 4 2 10" xfId="42756"/>
    <cellStyle name="표준 4 2 2 2 4 2 11" xfId="42757"/>
    <cellStyle name="표준 4 2 2 2 4 2 12" xfId="42758"/>
    <cellStyle name="표준 4 2 2 2 4 2 13" xfId="42759"/>
    <cellStyle name="표준 4 2 2 2 4 2 14" xfId="42760"/>
    <cellStyle name="표준 4 2 2 2 4 2 15" xfId="42761"/>
    <cellStyle name="표준 4 2 2 2 4 2 16" xfId="42762"/>
    <cellStyle name="표준 4 2 2 2 4 2 16 2" xfId="42763"/>
    <cellStyle name="표준 4 2 2 2 4 2 16 3" xfId="42764"/>
    <cellStyle name="표준 4 2 2 2 4 2 17" xfId="42765"/>
    <cellStyle name="표준 4 2 2 2 4 2 18" xfId="42766"/>
    <cellStyle name="표준 4 2 2 2 4 2 19" xfId="42767"/>
    <cellStyle name="표준 4 2 2 2 4 2 2" xfId="42768"/>
    <cellStyle name="표준 4 2 2 2 4 2 2 2" xfId="42769"/>
    <cellStyle name="표준 4 2 2 2 4 2 2 2 2" xfId="42770"/>
    <cellStyle name="표준 4 2 2 2 4 2 2 2 2 2" xfId="42771"/>
    <cellStyle name="표준 4 2 2 2 4 2 2 2 2 3" xfId="42772"/>
    <cellStyle name="표준 4 2 2 2 4 2 2 2 3" xfId="42773"/>
    <cellStyle name="표준 4 2 2 2 4 2 2 2 4" xfId="42774"/>
    <cellStyle name="표준 4 2 2 2 4 2 2 2 5" xfId="42775"/>
    <cellStyle name="표준 4 2 2 2 4 2 2 3" xfId="42776"/>
    <cellStyle name="표준 4 2 2 2 4 2 2 3 2" xfId="42777"/>
    <cellStyle name="표준 4 2 2 2 4 2 2 3 3" xfId="42778"/>
    <cellStyle name="표준 4 2 2 2 4 2 2 4" xfId="42779"/>
    <cellStyle name="표준 4 2 2 2 4 2 2 5" xfId="42780"/>
    <cellStyle name="표준 4 2 2 2 4 2 2 6" xfId="42781"/>
    <cellStyle name="표준 4 2 2 2 4 2 3" xfId="42782"/>
    <cellStyle name="표준 4 2 2 2 4 2 3 2" xfId="42783"/>
    <cellStyle name="표준 4 2 2 2 4 2 3 2 2" xfId="42784"/>
    <cellStyle name="표준 4 2 2 2 4 2 3 2 2 2" xfId="42785"/>
    <cellStyle name="표준 4 2 2 2 4 2 3 2 2 3" xfId="42786"/>
    <cellStyle name="표준 4 2 2 2 4 2 3 2 3" xfId="42787"/>
    <cellStyle name="표준 4 2 2 2 4 2 3 2 4" xfId="42788"/>
    <cellStyle name="표준 4 2 2 2 4 2 3 2 5" xfId="42789"/>
    <cellStyle name="표준 4 2 2 2 4 2 3 3" xfId="42790"/>
    <cellStyle name="표준 4 2 2 2 4 2 4" xfId="42791"/>
    <cellStyle name="표준 4 2 2 2 4 2 4 2" xfId="42792"/>
    <cellStyle name="표준 4 2 2 2 4 2 4 2 2" xfId="42793"/>
    <cellStyle name="표준 4 2 2 2 4 2 4 2 2 2" xfId="42794"/>
    <cellStyle name="표준 4 2 2 2 4 2 4 2 2 3" xfId="42795"/>
    <cellStyle name="표준 4 2 2 2 4 2 4 2 3" xfId="42796"/>
    <cellStyle name="표준 4 2 2 2 4 2 4 2 4" xfId="42797"/>
    <cellStyle name="표준 4 2 2 2 4 2 4 2 5" xfId="42798"/>
    <cellStyle name="표준 4 2 2 2 4 2 4 3" xfId="42799"/>
    <cellStyle name="표준 4 2 2 2 4 2 5" xfId="42800"/>
    <cellStyle name="표준 4 2 2 2 4 2 6" xfId="42801"/>
    <cellStyle name="표준 4 2 2 2 4 2 7" xfId="42802"/>
    <cellStyle name="표준 4 2 2 2 4 2 8" xfId="42803"/>
    <cellStyle name="표준 4 2 2 2 4 2 9" xfId="42804"/>
    <cellStyle name="표준 4 2 2 2 4 20" xfId="42805"/>
    <cellStyle name="표준 4 2 2 2 4 3" xfId="42806"/>
    <cellStyle name="표준 4 2 2 2 4 3 2" xfId="42807"/>
    <cellStyle name="표준 4 2 2 2 4 3 2 2" xfId="42808"/>
    <cellStyle name="표준 4 2 2 2 4 3 2 2 2" xfId="42809"/>
    <cellStyle name="표준 4 2 2 2 4 3 2 2 3" xfId="42810"/>
    <cellStyle name="표준 4 2 2 2 4 3 2 3" xfId="42811"/>
    <cellStyle name="표준 4 2 2 2 4 3 2 4" xfId="42812"/>
    <cellStyle name="표준 4 2 2 2 4 3 2 5" xfId="42813"/>
    <cellStyle name="표준 4 2 2 2 4 3 3" xfId="42814"/>
    <cellStyle name="표준 4 2 2 2 4 3 3 2" xfId="42815"/>
    <cellStyle name="표준 4 2 2 2 4 3 3 3" xfId="42816"/>
    <cellStyle name="표준 4 2 2 2 4 3 4" xfId="42817"/>
    <cellStyle name="표준 4 2 2 2 4 3 5" xfId="42818"/>
    <cellStyle name="표준 4 2 2 2 4 3 6" xfId="42819"/>
    <cellStyle name="표준 4 2 2 2 4 4" xfId="42820"/>
    <cellStyle name="표준 4 2 2 2 4 4 2" xfId="42821"/>
    <cellStyle name="표준 4 2 2 2 4 4 2 2" xfId="42822"/>
    <cellStyle name="표준 4 2 2 2 4 4 2 2 2" xfId="42823"/>
    <cellStyle name="표준 4 2 2 2 4 4 2 2 3" xfId="42824"/>
    <cellStyle name="표준 4 2 2 2 4 4 2 3" xfId="42825"/>
    <cellStyle name="표준 4 2 2 2 4 4 2 4" xfId="42826"/>
    <cellStyle name="표준 4 2 2 2 4 4 2 5" xfId="42827"/>
    <cellStyle name="표준 4 2 2 2 4 4 3" xfId="42828"/>
    <cellStyle name="표준 4 2 2 2 4 5" xfId="42829"/>
    <cellStyle name="표준 4 2 2 2 4 5 2" xfId="42830"/>
    <cellStyle name="표준 4 2 2 2 4 5 2 2" xfId="42831"/>
    <cellStyle name="표준 4 2 2 2 4 5 2 2 2" xfId="42832"/>
    <cellStyle name="표준 4 2 2 2 4 5 2 2 3" xfId="42833"/>
    <cellStyle name="표준 4 2 2 2 4 5 2 3" xfId="42834"/>
    <cellStyle name="표준 4 2 2 2 4 5 2 4" xfId="42835"/>
    <cellStyle name="표준 4 2 2 2 4 5 2 5" xfId="42836"/>
    <cellStyle name="표준 4 2 2 2 4 5 3" xfId="42837"/>
    <cellStyle name="표준 4 2 2 2 4 6" xfId="42838"/>
    <cellStyle name="표준 4 2 2 2 4 7" xfId="42839"/>
    <cellStyle name="표준 4 2 2 2 4 8" xfId="42840"/>
    <cellStyle name="표준 4 2 2 2 4 9" xfId="42841"/>
    <cellStyle name="표준 4 2 2 2 5" xfId="42842"/>
    <cellStyle name="표준 4 2 2 2 5 10" xfId="42843"/>
    <cellStyle name="표준 4 2 2 2 5 11" xfId="42844"/>
    <cellStyle name="표준 4 2 2 2 5 12" xfId="42845"/>
    <cellStyle name="표준 4 2 2 2 5 13" xfId="42846"/>
    <cellStyle name="표준 4 2 2 2 5 14" xfId="42847"/>
    <cellStyle name="표준 4 2 2 2 5 15" xfId="42848"/>
    <cellStyle name="표준 4 2 2 2 5 16" xfId="42849"/>
    <cellStyle name="표준 4 2 2 2 5 16 2" xfId="42850"/>
    <cellStyle name="표준 4 2 2 2 5 16 3" xfId="42851"/>
    <cellStyle name="표준 4 2 2 2 5 17" xfId="42852"/>
    <cellStyle name="표준 4 2 2 2 5 18" xfId="42853"/>
    <cellStyle name="표준 4 2 2 2 5 19" xfId="42854"/>
    <cellStyle name="표준 4 2 2 2 5 2" xfId="42855"/>
    <cellStyle name="표준 4 2 2 2 5 2 2" xfId="42856"/>
    <cellStyle name="표준 4 2 2 2 5 2 2 2" xfId="42857"/>
    <cellStyle name="표준 4 2 2 2 5 2 2 2 2" xfId="42858"/>
    <cellStyle name="표준 4 2 2 2 5 2 2 2 3" xfId="42859"/>
    <cellStyle name="표준 4 2 2 2 5 2 2 3" xfId="42860"/>
    <cellStyle name="표준 4 2 2 2 5 2 2 4" xfId="42861"/>
    <cellStyle name="표준 4 2 2 2 5 2 2 5" xfId="42862"/>
    <cellStyle name="표준 4 2 2 2 5 2 3" xfId="42863"/>
    <cellStyle name="표준 4 2 2 2 5 2 3 2" xfId="42864"/>
    <cellStyle name="표준 4 2 2 2 5 2 3 3" xfId="42865"/>
    <cellStyle name="표준 4 2 2 2 5 2 4" xfId="42866"/>
    <cellStyle name="표준 4 2 2 2 5 2 5" xfId="42867"/>
    <cellStyle name="표준 4 2 2 2 5 2 6" xfId="42868"/>
    <cellStyle name="표준 4 2 2 2 5 3" xfId="42869"/>
    <cellStyle name="표준 4 2 2 2 5 3 2" xfId="42870"/>
    <cellStyle name="표준 4 2 2 2 5 3 2 2" xfId="42871"/>
    <cellStyle name="표준 4 2 2 2 5 3 2 2 2" xfId="42872"/>
    <cellStyle name="표준 4 2 2 2 5 3 2 2 3" xfId="42873"/>
    <cellStyle name="표준 4 2 2 2 5 3 2 3" xfId="42874"/>
    <cellStyle name="표준 4 2 2 2 5 3 2 4" xfId="42875"/>
    <cellStyle name="표준 4 2 2 2 5 3 2 5" xfId="42876"/>
    <cellStyle name="표준 4 2 2 2 5 3 3" xfId="42877"/>
    <cellStyle name="표준 4 2 2 2 5 4" xfId="42878"/>
    <cellStyle name="표준 4 2 2 2 5 4 2" xfId="42879"/>
    <cellStyle name="표준 4 2 2 2 5 4 2 2" xfId="42880"/>
    <cellStyle name="표준 4 2 2 2 5 4 2 2 2" xfId="42881"/>
    <cellStyle name="표준 4 2 2 2 5 4 2 2 3" xfId="42882"/>
    <cellStyle name="표준 4 2 2 2 5 4 2 3" xfId="42883"/>
    <cellStyle name="표준 4 2 2 2 5 4 2 4" xfId="42884"/>
    <cellStyle name="표준 4 2 2 2 5 4 2 5" xfId="42885"/>
    <cellStyle name="표준 4 2 2 2 5 4 3" xfId="42886"/>
    <cellStyle name="표준 4 2 2 2 5 5" xfId="42887"/>
    <cellStyle name="표준 4 2 2 2 5 6" xfId="42888"/>
    <cellStyle name="표준 4 2 2 2 5 7" xfId="42889"/>
    <cellStyle name="표준 4 2 2 2 5 8" xfId="42890"/>
    <cellStyle name="표준 4 2 2 2 5 9" xfId="42891"/>
    <cellStyle name="표준 4 2 2 2 6" xfId="42892"/>
    <cellStyle name="표준 4 2 2 2 6 2" xfId="42893"/>
    <cellStyle name="표준 4 2 2 2 6 2 2" xfId="42894"/>
    <cellStyle name="표준 4 2 2 2 6 2 2 2" xfId="42895"/>
    <cellStyle name="표준 4 2 2 2 6 2 2 3" xfId="42896"/>
    <cellStyle name="표준 4 2 2 2 6 2 3" xfId="42897"/>
    <cellStyle name="표준 4 2 2 2 6 2 4" xfId="42898"/>
    <cellStyle name="표준 4 2 2 2 6 2 5" xfId="42899"/>
    <cellStyle name="표준 4 2 2 2 6 3" xfId="42900"/>
    <cellStyle name="표준 4 2 2 2 6 3 2" xfId="42901"/>
    <cellStyle name="표준 4 2 2 2 6 3 3" xfId="42902"/>
    <cellStyle name="표준 4 2 2 2 6 4" xfId="42903"/>
    <cellStyle name="표준 4 2 2 2 6 5" xfId="42904"/>
    <cellStyle name="표준 4 2 2 2 6 6" xfId="42905"/>
    <cellStyle name="표준 4 2 2 2 7" xfId="42906"/>
    <cellStyle name="표준 4 2 2 2 7 2" xfId="42907"/>
    <cellStyle name="표준 4 2 2 2 7 2 2" xfId="42908"/>
    <cellStyle name="표준 4 2 2 2 7 2 2 2" xfId="42909"/>
    <cellStyle name="표준 4 2 2 2 7 2 2 3" xfId="42910"/>
    <cellStyle name="표준 4 2 2 2 7 2 3" xfId="42911"/>
    <cellStyle name="표준 4 2 2 2 7 2 4" xfId="42912"/>
    <cellStyle name="표준 4 2 2 2 7 2 5" xfId="42913"/>
    <cellStyle name="표준 4 2 2 2 7 3" xfId="42914"/>
    <cellStyle name="표준 4 2 2 2 8" xfId="42915"/>
    <cellStyle name="표준 4 2 2 2 8 2" xfId="42916"/>
    <cellStyle name="표준 4 2 2 2 8 2 2" xfId="42917"/>
    <cellStyle name="표준 4 2 2 2 8 2 2 2" xfId="42918"/>
    <cellStyle name="표준 4 2 2 2 8 2 2 3" xfId="42919"/>
    <cellStyle name="표준 4 2 2 2 8 2 3" xfId="42920"/>
    <cellStyle name="표준 4 2 2 2 8 2 4" xfId="42921"/>
    <cellStyle name="표준 4 2 2 2 8 2 5" xfId="42922"/>
    <cellStyle name="표준 4 2 2 2 8 3" xfId="42923"/>
    <cellStyle name="표준 4 2 2 2 9" xfId="42924"/>
    <cellStyle name="표준 4 2 2 20" xfId="42925"/>
    <cellStyle name="표준 4 2 2 21" xfId="42926"/>
    <cellStyle name="표준 4 2 2 21 2" xfId="42927"/>
    <cellStyle name="표준 4 2 2 21 3" xfId="42928"/>
    <cellStyle name="표준 4 2 2 22" xfId="42929"/>
    <cellStyle name="표준 4 2 2 23" xfId="42930"/>
    <cellStyle name="표준 4 2 2 24" xfId="42931"/>
    <cellStyle name="표준 4 2 2 3" xfId="42932"/>
    <cellStyle name="표준 4 2 2 3 10" xfId="42933"/>
    <cellStyle name="표준 4 2 2 3 11" xfId="42934"/>
    <cellStyle name="표준 4 2 2 3 12" xfId="42935"/>
    <cellStyle name="표준 4 2 2 3 13" xfId="42936"/>
    <cellStyle name="표준 4 2 2 3 14" xfId="42937"/>
    <cellStyle name="표준 4 2 2 3 15" xfId="42938"/>
    <cellStyle name="표준 4 2 2 3 16" xfId="42939"/>
    <cellStyle name="표준 4 2 2 3 17" xfId="42940"/>
    <cellStyle name="표준 4 2 2 3 18" xfId="42941"/>
    <cellStyle name="표준 4 2 2 3 19" xfId="42942"/>
    <cellStyle name="표준 4 2 2 3 19 2" xfId="42943"/>
    <cellStyle name="표준 4 2 2 3 19 3" xfId="42944"/>
    <cellStyle name="표준 4 2 2 3 2" xfId="42945"/>
    <cellStyle name="표준 4 2 2 3 2 10" xfId="42946"/>
    <cellStyle name="표준 4 2 2 3 2 11" xfId="42947"/>
    <cellStyle name="표준 4 2 2 3 2 12" xfId="42948"/>
    <cellStyle name="표준 4 2 2 3 2 13" xfId="42949"/>
    <cellStyle name="표준 4 2 2 3 2 14" xfId="42950"/>
    <cellStyle name="표준 4 2 2 3 2 15" xfId="42951"/>
    <cellStyle name="표준 4 2 2 3 2 16" xfId="42952"/>
    <cellStyle name="표준 4 2 2 3 2 17" xfId="42953"/>
    <cellStyle name="표준 4 2 2 3 2 17 2" xfId="42954"/>
    <cellStyle name="표준 4 2 2 3 2 17 3" xfId="42955"/>
    <cellStyle name="표준 4 2 2 3 2 18" xfId="42956"/>
    <cellStyle name="표준 4 2 2 3 2 19" xfId="42957"/>
    <cellStyle name="표준 4 2 2 3 2 2" xfId="42958"/>
    <cellStyle name="표준 4 2 2 3 2 2 10" xfId="42959"/>
    <cellStyle name="표준 4 2 2 3 2 2 11" xfId="42960"/>
    <cellStyle name="표준 4 2 2 3 2 2 12" xfId="42961"/>
    <cellStyle name="표준 4 2 2 3 2 2 13" xfId="42962"/>
    <cellStyle name="표준 4 2 2 3 2 2 14" xfId="42963"/>
    <cellStyle name="표준 4 2 2 3 2 2 15" xfId="42964"/>
    <cellStyle name="표준 4 2 2 3 2 2 16" xfId="42965"/>
    <cellStyle name="표준 4 2 2 3 2 2 16 2" xfId="42966"/>
    <cellStyle name="표준 4 2 2 3 2 2 16 3" xfId="42967"/>
    <cellStyle name="표준 4 2 2 3 2 2 17" xfId="42968"/>
    <cellStyle name="표준 4 2 2 3 2 2 18" xfId="42969"/>
    <cellStyle name="표준 4 2 2 3 2 2 19" xfId="42970"/>
    <cellStyle name="표준 4 2 2 3 2 2 2" xfId="42971"/>
    <cellStyle name="표준 4 2 2 3 2 2 2 2" xfId="42972"/>
    <cellStyle name="표준 4 2 2 3 2 2 2 2 2" xfId="42973"/>
    <cellStyle name="표준 4 2 2 3 2 2 2 2 2 2" xfId="42974"/>
    <cellStyle name="표준 4 2 2 3 2 2 2 2 2 3" xfId="42975"/>
    <cellStyle name="표준 4 2 2 3 2 2 2 2 3" xfId="42976"/>
    <cellStyle name="표준 4 2 2 3 2 2 2 2 4" xfId="42977"/>
    <cellStyle name="표준 4 2 2 3 2 2 2 2 5" xfId="42978"/>
    <cellStyle name="표준 4 2 2 3 2 2 2 3" xfId="42979"/>
    <cellStyle name="표준 4 2 2 3 2 2 2 3 2" xfId="42980"/>
    <cellStyle name="표준 4 2 2 3 2 2 2 3 3" xfId="42981"/>
    <cellStyle name="표준 4 2 2 3 2 2 2 4" xfId="42982"/>
    <cellStyle name="표준 4 2 2 3 2 2 2 5" xfId="42983"/>
    <cellStyle name="표준 4 2 2 3 2 2 2 6" xfId="42984"/>
    <cellStyle name="표준 4 2 2 3 2 2 3" xfId="42985"/>
    <cellStyle name="표준 4 2 2 3 2 2 3 2" xfId="42986"/>
    <cellStyle name="표준 4 2 2 3 2 2 3 2 2" xfId="42987"/>
    <cellStyle name="표준 4 2 2 3 2 2 3 2 2 2" xfId="42988"/>
    <cellStyle name="표준 4 2 2 3 2 2 3 2 2 3" xfId="42989"/>
    <cellStyle name="표준 4 2 2 3 2 2 3 2 3" xfId="42990"/>
    <cellStyle name="표준 4 2 2 3 2 2 3 2 4" xfId="42991"/>
    <cellStyle name="표준 4 2 2 3 2 2 3 2 5" xfId="42992"/>
    <cellStyle name="표준 4 2 2 3 2 2 3 3" xfId="42993"/>
    <cellStyle name="표준 4 2 2 3 2 2 4" xfId="42994"/>
    <cellStyle name="표준 4 2 2 3 2 2 4 2" xfId="42995"/>
    <cellStyle name="표준 4 2 2 3 2 2 4 2 2" xfId="42996"/>
    <cellStyle name="표준 4 2 2 3 2 2 4 2 2 2" xfId="42997"/>
    <cellStyle name="표준 4 2 2 3 2 2 4 2 2 3" xfId="42998"/>
    <cellStyle name="표준 4 2 2 3 2 2 4 2 3" xfId="42999"/>
    <cellStyle name="표준 4 2 2 3 2 2 4 2 4" xfId="43000"/>
    <cellStyle name="표준 4 2 2 3 2 2 4 2 5" xfId="43001"/>
    <cellStyle name="표준 4 2 2 3 2 2 4 3" xfId="43002"/>
    <cellStyle name="표준 4 2 2 3 2 2 5" xfId="43003"/>
    <cellStyle name="표준 4 2 2 3 2 2 6" xfId="43004"/>
    <cellStyle name="표준 4 2 2 3 2 2 7" xfId="43005"/>
    <cellStyle name="표준 4 2 2 3 2 2 8" xfId="43006"/>
    <cellStyle name="표준 4 2 2 3 2 2 9" xfId="43007"/>
    <cellStyle name="표준 4 2 2 3 2 20" xfId="43008"/>
    <cellStyle name="표준 4 2 2 3 2 3" xfId="43009"/>
    <cellStyle name="표준 4 2 2 3 2 3 2" xfId="43010"/>
    <cellStyle name="표준 4 2 2 3 2 3 2 2" xfId="43011"/>
    <cellStyle name="표준 4 2 2 3 2 3 2 2 2" xfId="43012"/>
    <cellStyle name="표준 4 2 2 3 2 3 2 2 3" xfId="43013"/>
    <cellStyle name="표준 4 2 2 3 2 3 2 3" xfId="43014"/>
    <cellStyle name="표준 4 2 2 3 2 3 2 4" xfId="43015"/>
    <cellStyle name="표준 4 2 2 3 2 3 2 5" xfId="43016"/>
    <cellStyle name="표준 4 2 2 3 2 3 3" xfId="43017"/>
    <cellStyle name="표준 4 2 2 3 2 3 3 2" xfId="43018"/>
    <cellStyle name="표준 4 2 2 3 2 3 3 3" xfId="43019"/>
    <cellStyle name="표준 4 2 2 3 2 3 4" xfId="43020"/>
    <cellStyle name="표준 4 2 2 3 2 3 5" xfId="43021"/>
    <cellStyle name="표준 4 2 2 3 2 3 6" xfId="43022"/>
    <cellStyle name="표준 4 2 2 3 2 4" xfId="43023"/>
    <cellStyle name="표준 4 2 2 3 2 4 2" xfId="43024"/>
    <cellStyle name="표준 4 2 2 3 2 4 2 2" xfId="43025"/>
    <cellStyle name="표준 4 2 2 3 2 4 2 2 2" xfId="43026"/>
    <cellStyle name="표준 4 2 2 3 2 4 2 2 3" xfId="43027"/>
    <cellStyle name="표준 4 2 2 3 2 4 2 3" xfId="43028"/>
    <cellStyle name="표준 4 2 2 3 2 4 2 4" xfId="43029"/>
    <cellStyle name="표준 4 2 2 3 2 4 2 5" xfId="43030"/>
    <cellStyle name="표준 4 2 2 3 2 4 3" xfId="43031"/>
    <cellStyle name="표준 4 2 2 3 2 5" xfId="43032"/>
    <cellStyle name="표준 4 2 2 3 2 5 2" xfId="43033"/>
    <cellStyle name="표준 4 2 2 3 2 5 2 2" xfId="43034"/>
    <cellStyle name="표준 4 2 2 3 2 5 2 2 2" xfId="43035"/>
    <cellStyle name="표준 4 2 2 3 2 5 2 2 3" xfId="43036"/>
    <cellStyle name="표준 4 2 2 3 2 5 2 3" xfId="43037"/>
    <cellStyle name="표준 4 2 2 3 2 5 2 4" xfId="43038"/>
    <cellStyle name="표준 4 2 2 3 2 5 2 5" xfId="43039"/>
    <cellStyle name="표준 4 2 2 3 2 5 3" xfId="43040"/>
    <cellStyle name="표준 4 2 2 3 2 6" xfId="43041"/>
    <cellStyle name="표준 4 2 2 3 2 7" xfId="43042"/>
    <cellStyle name="표준 4 2 2 3 2 8" xfId="43043"/>
    <cellStyle name="표준 4 2 2 3 2 9" xfId="43044"/>
    <cellStyle name="표준 4 2 2 3 20" xfId="43045"/>
    <cellStyle name="표준 4 2 2 3 21" xfId="43046"/>
    <cellStyle name="표준 4 2 2 3 22" xfId="43047"/>
    <cellStyle name="표준 4 2 2 3 3" xfId="43048"/>
    <cellStyle name="표준 4 2 2 3 3 10" xfId="43049"/>
    <cellStyle name="표준 4 2 2 3 3 11" xfId="43050"/>
    <cellStyle name="표준 4 2 2 3 3 12" xfId="43051"/>
    <cellStyle name="표준 4 2 2 3 3 13" xfId="43052"/>
    <cellStyle name="표준 4 2 2 3 3 14" xfId="43053"/>
    <cellStyle name="표준 4 2 2 3 3 15" xfId="43054"/>
    <cellStyle name="표준 4 2 2 3 3 16" xfId="43055"/>
    <cellStyle name="표준 4 2 2 3 3 17" xfId="43056"/>
    <cellStyle name="표준 4 2 2 3 3 17 2" xfId="43057"/>
    <cellStyle name="표준 4 2 2 3 3 17 3" xfId="43058"/>
    <cellStyle name="표준 4 2 2 3 3 18" xfId="43059"/>
    <cellStyle name="표준 4 2 2 3 3 19" xfId="43060"/>
    <cellStyle name="표준 4 2 2 3 3 2" xfId="43061"/>
    <cellStyle name="표준 4 2 2 3 3 2 10" xfId="43062"/>
    <cellStyle name="표준 4 2 2 3 3 2 11" xfId="43063"/>
    <cellStyle name="표준 4 2 2 3 3 2 12" xfId="43064"/>
    <cellStyle name="표준 4 2 2 3 3 2 13" xfId="43065"/>
    <cellStyle name="표준 4 2 2 3 3 2 14" xfId="43066"/>
    <cellStyle name="표준 4 2 2 3 3 2 15" xfId="43067"/>
    <cellStyle name="표준 4 2 2 3 3 2 16" xfId="43068"/>
    <cellStyle name="표준 4 2 2 3 3 2 16 2" xfId="43069"/>
    <cellStyle name="표준 4 2 2 3 3 2 16 3" xfId="43070"/>
    <cellStyle name="표준 4 2 2 3 3 2 17" xfId="43071"/>
    <cellStyle name="표준 4 2 2 3 3 2 18" xfId="43072"/>
    <cellStyle name="표준 4 2 2 3 3 2 19" xfId="43073"/>
    <cellStyle name="표준 4 2 2 3 3 2 2" xfId="43074"/>
    <cellStyle name="표준 4 2 2 3 3 2 2 2" xfId="43075"/>
    <cellStyle name="표준 4 2 2 3 3 2 2 2 2" xfId="43076"/>
    <cellStyle name="표준 4 2 2 3 3 2 2 2 2 2" xfId="43077"/>
    <cellStyle name="표준 4 2 2 3 3 2 2 2 2 3" xfId="43078"/>
    <cellStyle name="표준 4 2 2 3 3 2 2 2 3" xfId="43079"/>
    <cellStyle name="표준 4 2 2 3 3 2 2 2 4" xfId="43080"/>
    <cellStyle name="표준 4 2 2 3 3 2 2 2 5" xfId="43081"/>
    <cellStyle name="표준 4 2 2 3 3 2 2 3" xfId="43082"/>
    <cellStyle name="표준 4 2 2 3 3 2 2 3 2" xfId="43083"/>
    <cellStyle name="표준 4 2 2 3 3 2 2 3 3" xfId="43084"/>
    <cellStyle name="표준 4 2 2 3 3 2 2 4" xfId="43085"/>
    <cellStyle name="표준 4 2 2 3 3 2 2 5" xfId="43086"/>
    <cellStyle name="표준 4 2 2 3 3 2 2 6" xfId="43087"/>
    <cellStyle name="표준 4 2 2 3 3 2 3" xfId="43088"/>
    <cellStyle name="표준 4 2 2 3 3 2 3 2" xfId="43089"/>
    <cellStyle name="표준 4 2 2 3 3 2 3 2 2" xfId="43090"/>
    <cellStyle name="표준 4 2 2 3 3 2 3 2 2 2" xfId="43091"/>
    <cellStyle name="표준 4 2 2 3 3 2 3 2 2 3" xfId="43092"/>
    <cellStyle name="표준 4 2 2 3 3 2 3 2 3" xfId="43093"/>
    <cellStyle name="표준 4 2 2 3 3 2 3 2 4" xfId="43094"/>
    <cellStyle name="표준 4 2 2 3 3 2 3 2 5" xfId="43095"/>
    <cellStyle name="표준 4 2 2 3 3 2 3 3" xfId="43096"/>
    <cellStyle name="표준 4 2 2 3 3 2 4" xfId="43097"/>
    <cellStyle name="표준 4 2 2 3 3 2 4 2" xfId="43098"/>
    <cellStyle name="표준 4 2 2 3 3 2 4 2 2" xfId="43099"/>
    <cellStyle name="표준 4 2 2 3 3 2 4 2 2 2" xfId="43100"/>
    <cellStyle name="표준 4 2 2 3 3 2 4 2 2 3" xfId="43101"/>
    <cellStyle name="표준 4 2 2 3 3 2 4 2 3" xfId="43102"/>
    <cellStyle name="표준 4 2 2 3 3 2 4 2 4" xfId="43103"/>
    <cellStyle name="표준 4 2 2 3 3 2 4 2 5" xfId="43104"/>
    <cellStyle name="표준 4 2 2 3 3 2 4 3" xfId="43105"/>
    <cellStyle name="표준 4 2 2 3 3 2 5" xfId="43106"/>
    <cellStyle name="표준 4 2 2 3 3 2 6" xfId="43107"/>
    <cellStyle name="표준 4 2 2 3 3 2 7" xfId="43108"/>
    <cellStyle name="표준 4 2 2 3 3 2 8" xfId="43109"/>
    <cellStyle name="표준 4 2 2 3 3 2 9" xfId="43110"/>
    <cellStyle name="표준 4 2 2 3 3 20" xfId="43111"/>
    <cellStyle name="표준 4 2 2 3 3 3" xfId="43112"/>
    <cellStyle name="표준 4 2 2 3 3 3 2" xfId="43113"/>
    <cellStyle name="표준 4 2 2 3 3 3 2 2" xfId="43114"/>
    <cellStyle name="표준 4 2 2 3 3 3 2 2 2" xfId="43115"/>
    <cellStyle name="표준 4 2 2 3 3 3 2 2 3" xfId="43116"/>
    <cellStyle name="표준 4 2 2 3 3 3 2 3" xfId="43117"/>
    <cellStyle name="표준 4 2 2 3 3 3 2 4" xfId="43118"/>
    <cellStyle name="표준 4 2 2 3 3 3 2 5" xfId="43119"/>
    <cellStyle name="표준 4 2 2 3 3 3 3" xfId="43120"/>
    <cellStyle name="표준 4 2 2 3 3 3 3 2" xfId="43121"/>
    <cellStyle name="표준 4 2 2 3 3 3 3 3" xfId="43122"/>
    <cellStyle name="표준 4 2 2 3 3 3 4" xfId="43123"/>
    <cellStyle name="표준 4 2 2 3 3 3 5" xfId="43124"/>
    <cellStyle name="표준 4 2 2 3 3 3 6" xfId="43125"/>
    <cellStyle name="표준 4 2 2 3 3 4" xfId="43126"/>
    <cellStyle name="표준 4 2 2 3 3 4 2" xfId="43127"/>
    <cellStyle name="표준 4 2 2 3 3 4 2 2" xfId="43128"/>
    <cellStyle name="표준 4 2 2 3 3 4 2 2 2" xfId="43129"/>
    <cellStyle name="표준 4 2 2 3 3 4 2 2 3" xfId="43130"/>
    <cellStyle name="표준 4 2 2 3 3 4 2 3" xfId="43131"/>
    <cellStyle name="표준 4 2 2 3 3 4 2 4" xfId="43132"/>
    <cellStyle name="표준 4 2 2 3 3 4 2 5" xfId="43133"/>
    <cellStyle name="표준 4 2 2 3 3 4 3" xfId="43134"/>
    <cellStyle name="표준 4 2 2 3 3 5" xfId="43135"/>
    <cellStyle name="표준 4 2 2 3 3 5 2" xfId="43136"/>
    <cellStyle name="표준 4 2 2 3 3 5 2 2" xfId="43137"/>
    <cellStyle name="표준 4 2 2 3 3 5 2 2 2" xfId="43138"/>
    <cellStyle name="표준 4 2 2 3 3 5 2 2 3" xfId="43139"/>
    <cellStyle name="표준 4 2 2 3 3 5 2 3" xfId="43140"/>
    <cellStyle name="표준 4 2 2 3 3 5 2 4" xfId="43141"/>
    <cellStyle name="표준 4 2 2 3 3 5 2 5" xfId="43142"/>
    <cellStyle name="표준 4 2 2 3 3 5 3" xfId="43143"/>
    <cellStyle name="표준 4 2 2 3 3 6" xfId="43144"/>
    <cellStyle name="표준 4 2 2 3 3 7" xfId="43145"/>
    <cellStyle name="표준 4 2 2 3 3 8" xfId="43146"/>
    <cellStyle name="표준 4 2 2 3 3 9" xfId="43147"/>
    <cellStyle name="표준 4 2 2 3 4" xfId="43148"/>
    <cellStyle name="표준 4 2 2 3 4 10" xfId="43149"/>
    <cellStyle name="표준 4 2 2 3 4 11" xfId="43150"/>
    <cellStyle name="표준 4 2 2 3 4 12" xfId="43151"/>
    <cellStyle name="표준 4 2 2 3 4 13" xfId="43152"/>
    <cellStyle name="표준 4 2 2 3 4 14" xfId="43153"/>
    <cellStyle name="표준 4 2 2 3 4 15" xfId="43154"/>
    <cellStyle name="표준 4 2 2 3 4 16" xfId="43155"/>
    <cellStyle name="표준 4 2 2 3 4 16 2" xfId="43156"/>
    <cellStyle name="표준 4 2 2 3 4 16 3" xfId="43157"/>
    <cellStyle name="표준 4 2 2 3 4 17" xfId="43158"/>
    <cellStyle name="표준 4 2 2 3 4 18" xfId="43159"/>
    <cellStyle name="표준 4 2 2 3 4 19" xfId="43160"/>
    <cellStyle name="표준 4 2 2 3 4 2" xfId="43161"/>
    <cellStyle name="표준 4 2 2 3 4 2 2" xfId="43162"/>
    <cellStyle name="표준 4 2 2 3 4 2 2 2" xfId="43163"/>
    <cellStyle name="표준 4 2 2 3 4 2 2 2 2" xfId="43164"/>
    <cellStyle name="표준 4 2 2 3 4 2 2 2 3" xfId="43165"/>
    <cellStyle name="표준 4 2 2 3 4 2 2 3" xfId="43166"/>
    <cellStyle name="표준 4 2 2 3 4 2 2 4" xfId="43167"/>
    <cellStyle name="표준 4 2 2 3 4 2 2 5" xfId="43168"/>
    <cellStyle name="표준 4 2 2 3 4 2 3" xfId="43169"/>
    <cellStyle name="표준 4 2 2 3 4 2 3 2" xfId="43170"/>
    <cellStyle name="표준 4 2 2 3 4 2 3 3" xfId="43171"/>
    <cellStyle name="표준 4 2 2 3 4 2 4" xfId="43172"/>
    <cellStyle name="표준 4 2 2 3 4 2 5" xfId="43173"/>
    <cellStyle name="표준 4 2 2 3 4 2 6" xfId="43174"/>
    <cellStyle name="표준 4 2 2 3 4 3" xfId="43175"/>
    <cellStyle name="표준 4 2 2 3 4 3 2" xfId="43176"/>
    <cellStyle name="표준 4 2 2 3 4 3 2 2" xfId="43177"/>
    <cellStyle name="표준 4 2 2 3 4 3 2 2 2" xfId="43178"/>
    <cellStyle name="표준 4 2 2 3 4 3 2 2 3" xfId="43179"/>
    <cellStyle name="표준 4 2 2 3 4 3 2 3" xfId="43180"/>
    <cellStyle name="표준 4 2 2 3 4 3 2 4" xfId="43181"/>
    <cellStyle name="표준 4 2 2 3 4 3 2 5" xfId="43182"/>
    <cellStyle name="표준 4 2 2 3 4 3 3" xfId="43183"/>
    <cellStyle name="표준 4 2 2 3 4 4" xfId="43184"/>
    <cellStyle name="표준 4 2 2 3 4 4 2" xfId="43185"/>
    <cellStyle name="표준 4 2 2 3 4 4 2 2" xfId="43186"/>
    <cellStyle name="표준 4 2 2 3 4 4 2 2 2" xfId="43187"/>
    <cellStyle name="표준 4 2 2 3 4 4 2 2 3" xfId="43188"/>
    <cellStyle name="표준 4 2 2 3 4 4 2 3" xfId="43189"/>
    <cellStyle name="표준 4 2 2 3 4 4 2 4" xfId="43190"/>
    <cellStyle name="표준 4 2 2 3 4 4 2 5" xfId="43191"/>
    <cellStyle name="표준 4 2 2 3 4 4 3" xfId="43192"/>
    <cellStyle name="표준 4 2 2 3 4 5" xfId="43193"/>
    <cellStyle name="표준 4 2 2 3 4 6" xfId="43194"/>
    <cellStyle name="표준 4 2 2 3 4 7" xfId="43195"/>
    <cellStyle name="표준 4 2 2 3 4 8" xfId="43196"/>
    <cellStyle name="표준 4 2 2 3 4 9" xfId="43197"/>
    <cellStyle name="표준 4 2 2 3 5" xfId="43198"/>
    <cellStyle name="표준 4 2 2 3 5 2" xfId="43199"/>
    <cellStyle name="표준 4 2 2 3 5 2 2" xfId="43200"/>
    <cellStyle name="표준 4 2 2 3 5 2 2 2" xfId="43201"/>
    <cellStyle name="표준 4 2 2 3 5 2 2 3" xfId="43202"/>
    <cellStyle name="표준 4 2 2 3 5 2 3" xfId="43203"/>
    <cellStyle name="표준 4 2 2 3 5 2 4" xfId="43204"/>
    <cellStyle name="표준 4 2 2 3 5 2 5" xfId="43205"/>
    <cellStyle name="표준 4 2 2 3 5 3" xfId="43206"/>
    <cellStyle name="표준 4 2 2 3 5 3 2" xfId="43207"/>
    <cellStyle name="표준 4 2 2 3 5 3 3" xfId="43208"/>
    <cellStyle name="표준 4 2 2 3 5 4" xfId="43209"/>
    <cellStyle name="표준 4 2 2 3 5 5" xfId="43210"/>
    <cellStyle name="표준 4 2 2 3 5 6" xfId="43211"/>
    <cellStyle name="표준 4 2 2 3 6" xfId="43212"/>
    <cellStyle name="표준 4 2 2 3 6 2" xfId="43213"/>
    <cellStyle name="표준 4 2 2 3 6 2 2" xfId="43214"/>
    <cellStyle name="표준 4 2 2 3 6 2 2 2" xfId="43215"/>
    <cellStyle name="표준 4 2 2 3 6 2 2 3" xfId="43216"/>
    <cellStyle name="표준 4 2 2 3 6 2 3" xfId="43217"/>
    <cellStyle name="표준 4 2 2 3 6 2 4" xfId="43218"/>
    <cellStyle name="표준 4 2 2 3 6 2 5" xfId="43219"/>
    <cellStyle name="표준 4 2 2 3 6 3" xfId="43220"/>
    <cellStyle name="표준 4 2 2 3 7" xfId="43221"/>
    <cellStyle name="표준 4 2 2 3 7 2" xfId="43222"/>
    <cellStyle name="표준 4 2 2 3 7 2 2" xfId="43223"/>
    <cellStyle name="표준 4 2 2 3 7 2 2 2" xfId="43224"/>
    <cellStyle name="표준 4 2 2 3 7 2 2 3" xfId="43225"/>
    <cellStyle name="표준 4 2 2 3 7 2 3" xfId="43226"/>
    <cellStyle name="표준 4 2 2 3 7 2 4" xfId="43227"/>
    <cellStyle name="표준 4 2 2 3 7 2 5" xfId="43228"/>
    <cellStyle name="표준 4 2 2 3 7 3" xfId="43229"/>
    <cellStyle name="표준 4 2 2 3 8" xfId="43230"/>
    <cellStyle name="표준 4 2 2 3 9" xfId="43231"/>
    <cellStyle name="표준 4 2 2 4" xfId="43232"/>
    <cellStyle name="표준 4 2 2 4 10" xfId="43233"/>
    <cellStyle name="표준 4 2 2 4 11" xfId="43234"/>
    <cellStyle name="표준 4 2 2 4 12" xfId="43235"/>
    <cellStyle name="표준 4 2 2 4 13" xfId="43236"/>
    <cellStyle name="표준 4 2 2 4 14" xfId="43237"/>
    <cellStyle name="표준 4 2 2 4 15" xfId="43238"/>
    <cellStyle name="표준 4 2 2 4 16" xfId="43239"/>
    <cellStyle name="표준 4 2 2 4 17" xfId="43240"/>
    <cellStyle name="표준 4 2 2 4 17 2" xfId="43241"/>
    <cellStyle name="표준 4 2 2 4 17 3" xfId="43242"/>
    <cellStyle name="표준 4 2 2 4 18" xfId="43243"/>
    <cellStyle name="표준 4 2 2 4 19" xfId="43244"/>
    <cellStyle name="표준 4 2 2 4 2" xfId="43245"/>
    <cellStyle name="표준 4 2 2 4 2 10" xfId="43246"/>
    <cellStyle name="표준 4 2 2 4 2 11" xfId="43247"/>
    <cellStyle name="표준 4 2 2 4 2 12" xfId="43248"/>
    <cellStyle name="표준 4 2 2 4 2 13" xfId="43249"/>
    <cellStyle name="표준 4 2 2 4 2 14" xfId="43250"/>
    <cellStyle name="표준 4 2 2 4 2 15" xfId="43251"/>
    <cellStyle name="표준 4 2 2 4 2 16" xfId="43252"/>
    <cellStyle name="표준 4 2 2 4 2 16 2" xfId="43253"/>
    <cellStyle name="표준 4 2 2 4 2 16 3" xfId="43254"/>
    <cellStyle name="표준 4 2 2 4 2 17" xfId="43255"/>
    <cellStyle name="표준 4 2 2 4 2 18" xfId="43256"/>
    <cellStyle name="표준 4 2 2 4 2 19" xfId="43257"/>
    <cellStyle name="표준 4 2 2 4 2 2" xfId="43258"/>
    <cellStyle name="표준 4 2 2 4 2 2 2" xfId="43259"/>
    <cellStyle name="표준 4 2 2 4 2 2 2 2" xfId="43260"/>
    <cellStyle name="표준 4 2 2 4 2 2 2 2 2" xfId="43261"/>
    <cellStyle name="표준 4 2 2 4 2 2 2 2 3" xfId="43262"/>
    <cellStyle name="표준 4 2 2 4 2 2 2 3" xfId="43263"/>
    <cellStyle name="표준 4 2 2 4 2 2 2 4" xfId="43264"/>
    <cellStyle name="표준 4 2 2 4 2 2 2 5" xfId="43265"/>
    <cellStyle name="표준 4 2 2 4 2 2 3" xfId="43266"/>
    <cellStyle name="표준 4 2 2 4 2 2 3 2" xfId="43267"/>
    <cellStyle name="표준 4 2 2 4 2 2 3 3" xfId="43268"/>
    <cellStyle name="표준 4 2 2 4 2 2 4" xfId="43269"/>
    <cellStyle name="표준 4 2 2 4 2 2 5" xfId="43270"/>
    <cellStyle name="표준 4 2 2 4 2 2 6" xfId="43271"/>
    <cellStyle name="표준 4 2 2 4 2 3" xfId="43272"/>
    <cellStyle name="표준 4 2 2 4 2 3 2" xfId="43273"/>
    <cellStyle name="표준 4 2 2 4 2 3 2 2" xfId="43274"/>
    <cellStyle name="표준 4 2 2 4 2 3 2 2 2" xfId="43275"/>
    <cellStyle name="표준 4 2 2 4 2 3 2 2 3" xfId="43276"/>
    <cellStyle name="표준 4 2 2 4 2 3 2 3" xfId="43277"/>
    <cellStyle name="표준 4 2 2 4 2 3 2 4" xfId="43278"/>
    <cellStyle name="표준 4 2 2 4 2 3 2 5" xfId="43279"/>
    <cellStyle name="표준 4 2 2 4 2 3 3" xfId="43280"/>
    <cellStyle name="표준 4 2 2 4 2 4" xfId="43281"/>
    <cellStyle name="표준 4 2 2 4 2 4 2" xfId="43282"/>
    <cellStyle name="표준 4 2 2 4 2 4 2 2" xfId="43283"/>
    <cellStyle name="표준 4 2 2 4 2 4 2 2 2" xfId="43284"/>
    <cellStyle name="표준 4 2 2 4 2 4 2 2 3" xfId="43285"/>
    <cellStyle name="표준 4 2 2 4 2 4 2 3" xfId="43286"/>
    <cellStyle name="표준 4 2 2 4 2 4 2 4" xfId="43287"/>
    <cellStyle name="표준 4 2 2 4 2 4 2 5" xfId="43288"/>
    <cellStyle name="표준 4 2 2 4 2 4 3" xfId="43289"/>
    <cellStyle name="표준 4 2 2 4 2 5" xfId="43290"/>
    <cellStyle name="표준 4 2 2 4 2 6" xfId="43291"/>
    <cellStyle name="표준 4 2 2 4 2 7" xfId="43292"/>
    <cellStyle name="표준 4 2 2 4 2 8" xfId="43293"/>
    <cellStyle name="표준 4 2 2 4 2 9" xfId="43294"/>
    <cellStyle name="표준 4 2 2 4 20" xfId="43295"/>
    <cellStyle name="표준 4 2 2 4 3" xfId="43296"/>
    <cellStyle name="표준 4 2 2 4 3 2" xfId="43297"/>
    <cellStyle name="표준 4 2 2 4 3 2 2" xfId="43298"/>
    <cellStyle name="표준 4 2 2 4 3 2 2 2" xfId="43299"/>
    <cellStyle name="표준 4 2 2 4 3 2 2 3" xfId="43300"/>
    <cellStyle name="표준 4 2 2 4 3 2 3" xfId="43301"/>
    <cellStyle name="표준 4 2 2 4 3 2 4" xfId="43302"/>
    <cellStyle name="표준 4 2 2 4 3 2 5" xfId="43303"/>
    <cellStyle name="표준 4 2 2 4 3 3" xfId="43304"/>
    <cellStyle name="표준 4 2 2 4 3 3 2" xfId="43305"/>
    <cellStyle name="표준 4 2 2 4 3 3 3" xfId="43306"/>
    <cellStyle name="표준 4 2 2 4 3 4" xfId="43307"/>
    <cellStyle name="표준 4 2 2 4 3 5" xfId="43308"/>
    <cellStyle name="표준 4 2 2 4 3 6" xfId="43309"/>
    <cellStyle name="표준 4 2 2 4 4" xfId="43310"/>
    <cellStyle name="표준 4 2 2 4 4 2" xfId="43311"/>
    <cellStyle name="표준 4 2 2 4 4 2 2" xfId="43312"/>
    <cellStyle name="표준 4 2 2 4 4 2 2 2" xfId="43313"/>
    <cellStyle name="표준 4 2 2 4 4 2 2 3" xfId="43314"/>
    <cellStyle name="표준 4 2 2 4 4 2 3" xfId="43315"/>
    <cellStyle name="표준 4 2 2 4 4 2 4" xfId="43316"/>
    <cellStyle name="표준 4 2 2 4 4 2 5" xfId="43317"/>
    <cellStyle name="표준 4 2 2 4 4 3" xfId="43318"/>
    <cellStyle name="표준 4 2 2 4 5" xfId="43319"/>
    <cellStyle name="표준 4 2 2 4 5 2" xfId="43320"/>
    <cellStyle name="표준 4 2 2 4 5 2 2" xfId="43321"/>
    <cellStyle name="표준 4 2 2 4 5 2 2 2" xfId="43322"/>
    <cellStyle name="표준 4 2 2 4 5 2 2 3" xfId="43323"/>
    <cellStyle name="표준 4 2 2 4 5 2 3" xfId="43324"/>
    <cellStyle name="표준 4 2 2 4 5 2 4" xfId="43325"/>
    <cellStyle name="표준 4 2 2 4 5 2 5" xfId="43326"/>
    <cellStyle name="표준 4 2 2 4 5 3" xfId="43327"/>
    <cellStyle name="표준 4 2 2 4 6" xfId="43328"/>
    <cellStyle name="표준 4 2 2 4 7" xfId="43329"/>
    <cellStyle name="표준 4 2 2 4 8" xfId="43330"/>
    <cellStyle name="표준 4 2 2 4 9" xfId="43331"/>
    <cellStyle name="표준 4 2 2 5" xfId="43332"/>
    <cellStyle name="표준 4 2 2 5 10" xfId="43333"/>
    <cellStyle name="표준 4 2 2 5 11" xfId="43334"/>
    <cellStyle name="표준 4 2 2 5 12" xfId="43335"/>
    <cellStyle name="표준 4 2 2 5 13" xfId="43336"/>
    <cellStyle name="표준 4 2 2 5 14" xfId="43337"/>
    <cellStyle name="표준 4 2 2 5 15" xfId="43338"/>
    <cellStyle name="표준 4 2 2 5 16" xfId="43339"/>
    <cellStyle name="표준 4 2 2 5 17" xfId="43340"/>
    <cellStyle name="표준 4 2 2 5 17 2" xfId="43341"/>
    <cellStyle name="표준 4 2 2 5 17 3" xfId="43342"/>
    <cellStyle name="표준 4 2 2 5 18" xfId="43343"/>
    <cellStyle name="표준 4 2 2 5 19" xfId="43344"/>
    <cellStyle name="표준 4 2 2 5 2" xfId="43345"/>
    <cellStyle name="표준 4 2 2 5 2 10" xfId="43346"/>
    <cellStyle name="표준 4 2 2 5 2 11" xfId="43347"/>
    <cellStyle name="표준 4 2 2 5 2 12" xfId="43348"/>
    <cellStyle name="표준 4 2 2 5 2 13" xfId="43349"/>
    <cellStyle name="표준 4 2 2 5 2 14" xfId="43350"/>
    <cellStyle name="표준 4 2 2 5 2 15" xfId="43351"/>
    <cellStyle name="표준 4 2 2 5 2 16" xfId="43352"/>
    <cellStyle name="표준 4 2 2 5 2 16 2" xfId="43353"/>
    <cellStyle name="표준 4 2 2 5 2 16 3" xfId="43354"/>
    <cellStyle name="표준 4 2 2 5 2 17" xfId="43355"/>
    <cellStyle name="표준 4 2 2 5 2 18" xfId="43356"/>
    <cellStyle name="표준 4 2 2 5 2 19" xfId="43357"/>
    <cellStyle name="표준 4 2 2 5 2 2" xfId="43358"/>
    <cellStyle name="표준 4 2 2 5 2 2 2" xfId="43359"/>
    <cellStyle name="표준 4 2 2 5 2 2 2 2" xfId="43360"/>
    <cellStyle name="표준 4 2 2 5 2 2 2 2 2" xfId="43361"/>
    <cellStyle name="표준 4 2 2 5 2 2 2 2 3" xfId="43362"/>
    <cellStyle name="표준 4 2 2 5 2 2 2 3" xfId="43363"/>
    <cellStyle name="표준 4 2 2 5 2 2 2 4" xfId="43364"/>
    <cellStyle name="표준 4 2 2 5 2 2 2 5" xfId="43365"/>
    <cellStyle name="표준 4 2 2 5 2 2 3" xfId="43366"/>
    <cellStyle name="표준 4 2 2 5 2 2 3 2" xfId="43367"/>
    <cellStyle name="표준 4 2 2 5 2 2 3 3" xfId="43368"/>
    <cellStyle name="표준 4 2 2 5 2 2 4" xfId="43369"/>
    <cellStyle name="표준 4 2 2 5 2 2 5" xfId="43370"/>
    <cellStyle name="표준 4 2 2 5 2 2 6" xfId="43371"/>
    <cellStyle name="표준 4 2 2 5 2 3" xfId="43372"/>
    <cellStyle name="표준 4 2 2 5 2 3 2" xfId="43373"/>
    <cellStyle name="표준 4 2 2 5 2 3 2 2" xfId="43374"/>
    <cellStyle name="표준 4 2 2 5 2 3 2 2 2" xfId="43375"/>
    <cellStyle name="표준 4 2 2 5 2 3 2 2 3" xfId="43376"/>
    <cellStyle name="표준 4 2 2 5 2 3 2 3" xfId="43377"/>
    <cellStyle name="표준 4 2 2 5 2 3 2 4" xfId="43378"/>
    <cellStyle name="표준 4 2 2 5 2 3 2 5" xfId="43379"/>
    <cellStyle name="표준 4 2 2 5 2 3 3" xfId="43380"/>
    <cellStyle name="표준 4 2 2 5 2 4" xfId="43381"/>
    <cellStyle name="표준 4 2 2 5 2 4 2" xfId="43382"/>
    <cellStyle name="표준 4 2 2 5 2 4 2 2" xfId="43383"/>
    <cellStyle name="표준 4 2 2 5 2 4 2 2 2" xfId="43384"/>
    <cellStyle name="표준 4 2 2 5 2 4 2 2 3" xfId="43385"/>
    <cellStyle name="표준 4 2 2 5 2 4 2 3" xfId="43386"/>
    <cellStyle name="표준 4 2 2 5 2 4 2 4" xfId="43387"/>
    <cellStyle name="표준 4 2 2 5 2 4 2 5" xfId="43388"/>
    <cellStyle name="표준 4 2 2 5 2 4 3" xfId="43389"/>
    <cellStyle name="표준 4 2 2 5 2 5" xfId="43390"/>
    <cellStyle name="표준 4 2 2 5 2 6" xfId="43391"/>
    <cellStyle name="표준 4 2 2 5 2 7" xfId="43392"/>
    <cellStyle name="표준 4 2 2 5 2 8" xfId="43393"/>
    <cellStyle name="표준 4 2 2 5 2 9" xfId="43394"/>
    <cellStyle name="표준 4 2 2 5 20" xfId="43395"/>
    <cellStyle name="표준 4 2 2 5 3" xfId="43396"/>
    <cellStyle name="표준 4 2 2 5 3 2" xfId="43397"/>
    <cellStyle name="표준 4 2 2 5 3 2 2" xfId="43398"/>
    <cellStyle name="표준 4 2 2 5 3 2 2 2" xfId="43399"/>
    <cellStyle name="표준 4 2 2 5 3 2 2 3" xfId="43400"/>
    <cellStyle name="표준 4 2 2 5 3 2 3" xfId="43401"/>
    <cellStyle name="표준 4 2 2 5 3 2 4" xfId="43402"/>
    <cellStyle name="표준 4 2 2 5 3 2 5" xfId="43403"/>
    <cellStyle name="표준 4 2 2 5 3 3" xfId="43404"/>
    <cellStyle name="표준 4 2 2 5 3 3 2" xfId="43405"/>
    <cellStyle name="표준 4 2 2 5 3 3 3" xfId="43406"/>
    <cellStyle name="표준 4 2 2 5 3 4" xfId="43407"/>
    <cellStyle name="표준 4 2 2 5 3 5" xfId="43408"/>
    <cellStyle name="표준 4 2 2 5 3 6" xfId="43409"/>
    <cellStyle name="표준 4 2 2 5 4" xfId="43410"/>
    <cellStyle name="표준 4 2 2 5 4 2" xfId="43411"/>
    <cellStyle name="표준 4 2 2 5 4 2 2" xfId="43412"/>
    <cellStyle name="표준 4 2 2 5 4 2 2 2" xfId="43413"/>
    <cellStyle name="표준 4 2 2 5 4 2 2 3" xfId="43414"/>
    <cellStyle name="표준 4 2 2 5 4 2 3" xfId="43415"/>
    <cellStyle name="표준 4 2 2 5 4 2 4" xfId="43416"/>
    <cellStyle name="표준 4 2 2 5 4 2 5" xfId="43417"/>
    <cellStyle name="표준 4 2 2 5 4 3" xfId="43418"/>
    <cellStyle name="표준 4 2 2 5 5" xfId="43419"/>
    <cellStyle name="표준 4 2 2 5 5 2" xfId="43420"/>
    <cellStyle name="표준 4 2 2 5 5 2 2" xfId="43421"/>
    <cellStyle name="표준 4 2 2 5 5 2 2 2" xfId="43422"/>
    <cellStyle name="표준 4 2 2 5 5 2 2 3" xfId="43423"/>
    <cellStyle name="표준 4 2 2 5 5 2 3" xfId="43424"/>
    <cellStyle name="표준 4 2 2 5 5 2 4" xfId="43425"/>
    <cellStyle name="표준 4 2 2 5 5 2 5" xfId="43426"/>
    <cellStyle name="표준 4 2 2 5 5 3" xfId="43427"/>
    <cellStyle name="표준 4 2 2 5 6" xfId="43428"/>
    <cellStyle name="표준 4 2 2 5 7" xfId="43429"/>
    <cellStyle name="표준 4 2 2 5 8" xfId="43430"/>
    <cellStyle name="표준 4 2 2 5 9" xfId="43431"/>
    <cellStyle name="표준 4 2 2 6" xfId="43432"/>
    <cellStyle name="표준 4 2 2 6 10" xfId="43433"/>
    <cellStyle name="표준 4 2 2 6 11" xfId="43434"/>
    <cellStyle name="표준 4 2 2 6 12" xfId="43435"/>
    <cellStyle name="표준 4 2 2 6 13" xfId="43436"/>
    <cellStyle name="표준 4 2 2 6 14" xfId="43437"/>
    <cellStyle name="표준 4 2 2 6 15" xfId="43438"/>
    <cellStyle name="표준 4 2 2 6 16" xfId="43439"/>
    <cellStyle name="표준 4 2 2 6 16 2" xfId="43440"/>
    <cellStyle name="표준 4 2 2 6 16 3" xfId="43441"/>
    <cellStyle name="표준 4 2 2 6 17" xfId="43442"/>
    <cellStyle name="표준 4 2 2 6 18" xfId="43443"/>
    <cellStyle name="표준 4 2 2 6 19" xfId="43444"/>
    <cellStyle name="표준 4 2 2 6 2" xfId="43445"/>
    <cellStyle name="표준 4 2 2 6 2 2" xfId="43446"/>
    <cellStyle name="표준 4 2 2 6 2 2 2" xfId="43447"/>
    <cellStyle name="표준 4 2 2 6 2 2 2 2" xfId="43448"/>
    <cellStyle name="표준 4 2 2 6 2 2 2 3" xfId="43449"/>
    <cellStyle name="표준 4 2 2 6 2 2 3" xfId="43450"/>
    <cellStyle name="표준 4 2 2 6 2 2 4" xfId="43451"/>
    <cellStyle name="표준 4 2 2 6 2 2 5" xfId="43452"/>
    <cellStyle name="표준 4 2 2 6 2 3" xfId="43453"/>
    <cellStyle name="표준 4 2 2 6 2 3 2" xfId="43454"/>
    <cellStyle name="표준 4 2 2 6 2 3 3" xfId="43455"/>
    <cellStyle name="표준 4 2 2 6 2 4" xfId="43456"/>
    <cellStyle name="표준 4 2 2 6 2 5" xfId="43457"/>
    <cellStyle name="표준 4 2 2 6 2 6" xfId="43458"/>
    <cellStyle name="표준 4 2 2 6 3" xfId="43459"/>
    <cellStyle name="표준 4 2 2 6 3 2" xfId="43460"/>
    <cellStyle name="표준 4 2 2 6 3 2 2" xfId="43461"/>
    <cellStyle name="표준 4 2 2 6 3 2 2 2" xfId="43462"/>
    <cellStyle name="표준 4 2 2 6 3 2 2 3" xfId="43463"/>
    <cellStyle name="표준 4 2 2 6 3 2 3" xfId="43464"/>
    <cellStyle name="표준 4 2 2 6 3 2 4" xfId="43465"/>
    <cellStyle name="표준 4 2 2 6 3 2 5" xfId="43466"/>
    <cellStyle name="표준 4 2 2 6 3 3" xfId="43467"/>
    <cellStyle name="표준 4 2 2 6 4" xfId="43468"/>
    <cellStyle name="표준 4 2 2 6 4 2" xfId="43469"/>
    <cellStyle name="표준 4 2 2 6 4 2 2" xfId="43470"/>
    <cellStyle name="표준 4 2 2 6 4 2 2 2" xfId="43471"/>
    <cellStyle name="표준 4 2 2 6 4 2 2 3" xfId="43472"/>
    <cellStyle name="표준 4 2 2 6 4 2 3" xfId="43473"/>
    <cellStyle name="표준 4 2 2 6 4 2 4" xfId="43474"/>
    <cellStyle name="표준 4 2 2 6 4 2 5" xfId="43475"/>
    <cellStyle name="표준 4 2 2 6 4 3" xfId="43476"/>
    <cellStyle name="표준 4 2 2 6 5" xfId="43477"/>
    <cellStyle name="표준 4 2 2 6 6" xfId="43478"/>
    <cellStyle name="표준 4 2 2 6 7" xfId="43479"/>
    <cellStyle name="표준 4 2 2 6 8" xfId="43480"/>
    <cellStyle name="표준 4 2 2 6 9" xfId="43481"/>
    <cellStyle name="표준 4 2 2 7" xfId="43482"/>
    <cellStyle name="표준 4 2 2 7 2" xfId="43483"/>
    <cellStyle name="표준 4 2 2 7 2 2" xfId="43484"/>
    <cellStyle name="표준 4 2 2 7 2 2 2" xfId="43485"/>
    <cellStyle name="표준 4 2 2 7 2 2 3" xfId="43486"/>
    <cellStyle name="표준 4 2 2 7 2 3" xfId="43487"/>
    <cellStyle name="표준 4 2 2 7 2 4" xfId="43488"/>
    <cellStyle name="표준 4 2 2 7 2 5" xfId="43489"/>
    <cellStyle name="표준 4 2 2 7 3" xfId="43490"/>
    <cellStyle name="표준 4 2 2 7 3 2" xfId="43491"/>
    <cellStyle name="표준 4 2 2 7 3 3" xfId="43492"/>
    <cellStyle name="표준 4 2 2 7 4" xfId="43493"/>
    <cellStyle name="표준 4 2 2 7 5" xfId="43494"/>
    <cellStyle name="표준 4 2 2 7 6" xfId="43495"/>
    <cellStyle name="표준 4 2 2 8" xfId="43496"/>
    <cellStyle name="표준 4 2 2 8 2" xfId="43497"/>
    <cellStyle name="표준 4 2 2 8 2 2" xfId="43498"/>
    <cellStyle name="표준 4 2 2 8 2 2 2" xfId="43499"/>
    <cellStyle name="표준 4 2 2 8 2 2 3" xfId="43500"/>
    <cellStyle name="표준 4 2 2 8 2 3" xfId="43501"/>
    <cellStyle name="표준 4 2 2 8 2 4" xfId="43502"/>
    <cellStyle name="표준 4 2 2 8 2 5" xfId="43503"/>
    <cellStyle name="표준 4 2 2 8 3" xfId="43504"/>
    <cellStyle name="표준 4 2 2 9" xfId="43505"/>
    <cellStyle name="표준 4 2 2 9 2" xfId="43506"/>
    <cellStyle name="표준 4 2 2 9 2 2" xfId="43507"/>
    <cellStyle name="표준 4 2 2 9 2 2 2" xfId="43508"/>
    <cellStyle name="표준 4 2 2 9 2 2 3" xfId="43509"/>
    <cellStyle name="표준 4 2 2 9 2 3" xfId="43510"/>
    <cellStyle name="표준 4 2 2 9 2 4" xfId="43511"/>
    <cellStyle name="표준 4 2 2 9 2 5" xfId="43512"/>
    <cellStyle name="표준 4 2 2 9 3" xfId="43513"/>
    <cellStyle name="표준 4 2 20" xfId="43514"/>
    <cellStyle name="표준 4 2 21" xfId="43515"/>
    <cellStyle name="표준 4 2 22" xfId="43516"/>
    <cellStyle name="표준 4 2 22 2" xfId="43517"/>
    <cellStyle name="표준 4 2 22 3" xfId="43518"/>
    <cellStyle name="표준 4 2 23" xfId="43519"/>
    <cellStyle name="표준 4 2 24" xfId="43520"/>
    <cellStyle name="표준 4 2 25" xfId="43521"/>
    <cellStyle name="표준 4 2 3" xfId="43522"/>
    <cellStyle name="표준 4 2 3 10" xfId="43523"/>
    <cellStyle name="표준 4 2 3 11" xfId="43524"/>
    <cellStyle name="표준 4 2 3 12" xfId="43525"/>
    <cellStyle name="표준 4 2 3 13" xfId="43526"/>
    <cellStyle name="표준 4 2 3 14" xfId="43527"/>
    <cellStyle name="표준 4 2 3 15" xfId="43528"/>
    <cellStyle name="표준 4 2 3 16" xfId="43529"/>
    <cellStyle name="표준 4 2 3 17" xfId="43530"/>
    <cellStyle name="표준 4 2 3 18" xfId="43531"/>
    <cellStyle name="표준 4 2 3 19" xfId="43532"/>
    <cellStyle name="표준 4 2 3 2" xfId="43533"/>
    <cellStyle name="표준 4 2 3 2 10" xfId="43534"/>
    <cellStyle name="표준 4 2 3 2 11" xfId="43535"/>
    <cellStyle name="표준 4 2 3 2 12" xfId="43536"/>
    <cellStyle name="표준 4 2 3 2 13" xfId="43537"/>
    <cellStyle name="표준 4 2 3 2 14" xfId="43538"/>
    <cellStyle name="표준 4 2 3 2 15" xfId="43539"/>
    <cellStyle name="표준 4 2 3 2 16" xfId="43540"/>
    <cellStyle name="표준 4 2 3 2 17" xfId="43541"/>
    <cellStyle name="표준 4 2 3 2 18" xfId="43542"/>
    <cellStyle name="표준 4 2 3 2 19" xfId="43543"/>
    <cellStyle name="표준 4 2 3 2 19 2" xfId="43544"/>
    <cellStyle name="표준 4 2 3 2 19 3" xfId="43545"/>
    <cellStyle name="표준 4 2 3 2 2" xfId="43546"/>
    <cellStyle name="표준 4 2 3 2 2 10" xfId="43547"/>
    <cellStyle name="표준 4 2 3 2 2 11" xfId="43548"/>
    <cellStyle name="표준 4 2 3 2 2 12" xfId="43549"/>
    <cellStyle name="표준 4 2 3 2 2 13" xfId="43550"/>
    <cellStyle name="표준 4 2 3 2 2 14" xfId="43551"/>
    <cellStyle name="표준 4 2 3 2 2 15" xfId="43552"/>
    <cellStyle name="표준 4 2 3 2 2 16" xfId="43553"/>
    <cellStyle name="표준 4 2 3 2 2 17" xfId="43554"/>
    <cellStyle name="표준 4 2 3 2 2 17 2" xfId="43555"/>
    <cellStyle name="표준 4 2 3 2 2 17 3" xfId="43556"/>
    <cellStyle name="표준 4 2 3 2 2 18" xfId="43557"/>
    <cellStyle name="표준 4 2 3 2 2 19" xfId="43558"/>
    <cellStyle name="표준 4 2 3 2 2 2" xfId="43559"/>
    <cellStyle name="표준 4 2 3 2 2 2 10" xfId="43560"/>
    <cellStyle name="표준 4 2 3 2 2 2 11" xfId="43561"/>
    <cellStyle name="표준 4 2 3 2 2 2 12" xfId="43562"/>
    <cellStyle name="표준 4 2 3 2 2 2 13" xfId="43563"/>
    <cellStyle name="표준 4 2 3 2 2 2 14" xfId="43564"/>
    <cellStyle name="표준 4 2 3 2 2 2 15" xfId="43565"/>
    <cellStyle name="표준 4 2 3 2 2 2 16" xfId="43566"/>
    <cellStyle name="표준 4 2 3 2 2 2 16 2" xfId="43567"/>
    <cellStyle name="표준 4 2 3 2 2 2 16 3" xfId="43568"/>
    <cellStyle name="표준 4 2 3 2 2 2 17" xfId="43569"/>
    <cellStyle name="표준 4 2 3 2 2 2 18" xfId="43570"/>
    <cellStyle name="표준 4 2 3 2 2 2 19" xfId="43571"/>
    <cellStyle name="표준 4 2 3 2 2 2 2" xfId="43572"/>
    <cellStyle name="표준 4 2 3 2 2 2 2 2" xfId="43573"/>
    <cellStyle name="표준 4 2 3 2 2 2 2 2 2" xfId="43574"/>
    <cellStyle name="표준 4 2 3 2 2 2 2 2 2 2" xfId="43575"/>
    <cellStyle name="표준 4 2 3 2 2 2 2 2 2 3" xfId="43576"/>
    <cellStyle name="표준 4 2 3 2 2 2 2 2 3" xfId="43577"/>
    <cellStyle name="표준 4 2 3 2 2 2 2 2 4" xfId="43578"/>
    <cellStyle name="표준 4 2 3 2 2 2 2 2 5" xfId="43579"/>
    <cellStyle name="표준 4 2 3 2 2 2 2 3" xfId="43580"/>
    <cellStyle name="표준 4 2 3 2 2 2 2 3 2" xfId="43581"/>
    <cellStyle name="표준 4 2 3 2 2 2 2 3 3" xfId="43582"/>
    <cellStyle name="표준 4 2 3 2 2 2 2 4" xfId="43583"/>
    <cellStyle name="표준 4 2 3 2 2 2 2 5" xfId="43584"/>
    <cellStyle name="표준 4 2 3 2 2 2 2 6" xfId="43585"/>
    <cellStyle name="표준 4 2 3 2 2 2 3" xfId="43586"/>
    <cellStyle name="표준 4 2 3 2 2 2 3 2" xfId="43587"/>
    <cellStyle name="표준 4 2 3 2 2 2 3 2 2" xfId="43588"/>
    <cellStyle name="표준 4 2 3 2 2 2 3 2 2 2" xfId="43589"/>
    <cellStyle name="표준 4 2 3 2 2 2 3 2 2 3" xfId="43590"/>
    <cellStyle name="표준 4 2 3 2 2 2 3 2 3" xfId="43591"/>
    <cellStyle name="표준 4 2 3 2 2 2 3 2 4" xfId="43592"/>
    <cellStyle name="표준 4 2 3 2 2 2 3 2 5" xfId="43593"/>
    <cellStyle name="표준 4 2 3 2 2 2 3 3" xfId="43594"/>
    <cellStyle name="표준 4 2 3 2 2 2 4" xfId="43595"/>
    <cellStyle name="표준 4 2 3 2 2 2 4 2" xfId="43596"/>
    <cellStyle name="표준 4 2 3 2 2 2 4 2 2" xfId="43597"/>
    <cellStyle name="표준 4 2 3 2 2 2 4 2 2 2" xfId="43598"/>
    <cellStyle name="표준 4 2 3 2 2 2 4 2 2 3" xfId="43599"/>
    <cellStyle name="표준 4 2 3 2 2 2 4 2 3" xfId="43600"/>
    <cellStyle name="표준 4 2 3 2 2 2 4 2 4" xfId="43601"/>
    <cellStyle name="표준 4 2 3 2 2 2 4 2 5" xfId="43602"/>
    <cellStyle name="표준 4 2 3 2 2 2 4 3" xfId="43603"/>
    <cellStyle name="표준 4 2 3 2 2 2 5" xfId="43604"/>
    <cellStyle name="표준 4 2 3 2 2 2 6" xfId="43605"/>
    <cellStyle name="표준 4 2 3 2 2 2 7" xfId="43606"/>
    <cellStyle name="표준 4 2 3 2 2 2 8" xfId="43607"/>
    <cellStyle name="표준 4 2 3 2 2 2 9" xfId="43608"/>
    <cellStyle name="표준 4 2 3 2 2 20" xfId="43609"/>
    <cellStyle name="표준 4 2 3 2 2 3" xfId="43610"/>
    <cellStyle name="표준 4 2 3 2 2 3 2" xfId="43611"/>
    <cellStyle name="표준 4 2 3 2 2 3 2 2" xfId="43612"/>
    <cellStyle name="표준 4 2 3 2 2 3 2 2 2" xfId="43613"/>
    <cellStyle name="표준 4 2 3 2 2 3 2 2 3" xfId="43614"/>
    <cellStyle name="표준 4 2 3 2 2 3 2 3" xfId="43615"/>
    <cellStyle name="표준 4 2 3 2 2 3 2 4" xfId="43616"/>
    <cellStyle name="표준 4 2 3 2 2 3 2 5" xfId="43617"/>
    <cellStyle name="표준 4 2 3 2 2 3 3" xfId="43618"/>
    <cellStyle name="표준 4 2 3 2 2 3 3 2" xfId="43619"/>
    <cellStyle name="표준 4 2 3 2 2 3 3 3" xfId="43620"/>
    <cellStyle name="표준 4 2 3 2 2 3 4" xfId="43621"/>
    <cellStyle name="표준 4 2 3 2 2 3 5" xfId="43622"/>
    <cellStyle name="표준 4 2 3 2 2 3 6" xfId="43623"/>
    <cellStyle name="표준 4 2 3 2 2 4" xfId="43624"/>
    <cellStyle name="표준 4 2 3 2 2 4 2" xfId="43625"/>
    <cellStyle name="표준 4 2 3 2 2 4 2 2" xfId="43626"/>
    <cellStyle name="표준 4 2 3 2 2 4 2 2 2" xfId="43627"/>
    <cellStyle name="표준 4 2 3 2 2 4 2 2 3" xfId="43628"/>
    <cellStyle name="표준 4 2 3 2 2 4 2 3" xfId="43629"/>
    <cellStyle name="표준 4 2 3 2 2 4 2 4" xfId="43630"/>
    <cellStyle name="표준 4 2 3 2 2 4 2 5" xfId="43631"/>
    <cellStyle name="표준 4 2 3 2 2 4 3" xfId="43632"/>
    <cellStyle name="표준 4 2 3 2 2 5" xfId="43633"/>
    <cellStyle name="표준 4 2 3 2 2 5 2" xfId="43634"/>
    <cellStyle name="표준 4 2 3 2 2 5 2 2" xfId="43635"/>
    <cellStyle name="표준 4 2 3 2 2 5 2 2 2" xfId="43636"/>
    <cellStyle name="표준 4 2 3 2 2 5 2 2 3" xfId="43637"/>
    <cellStyle name="표준 4 2 3 2 2 5 2 3" xfId="43638"/>
    <cellStyle name="표준 4 2 3 2 2 5 2 4" xfId="43639"/>
    <cellStyle name="표준 4 2 3 2 2 5 2 5" xfId="43640"/>
    <cellStyle name="표준 4 2 3 2 2 5 3" xfId="43641"/>
    <cellStyle name="표준 4 2 3 2 2 6" xfId="43642"/>
    <cellStyle name="표준 4 2 3 2 2 7" xfId="43643"/>
    <cellStyle name="표준 4 2 3 2 2 8" xfId="43644"/>
    <cellStyle name="표준 4 2 3 2 2 9" xfId="43645"/>
    <cellStyle name="표준 4 2 3 2 20" xfId="43646"/>
    <cellStyle name="표준 4 2 3 2 21" xfId="43647"/>
    <cellStyle name="표준 4 2 3 2 22" xfId="43648"/>
    <cellStyle name="표준 4 2 3 2 3" xfId="43649"/>
    <cellStyle name="표준 4 2 3 2 3 10" xfId="43650"/>
    <cellStyle name="표준 4 2 3 2 3 11" xfId="43651"/>
    <cellStyle name="표준 4 2 3 2 3 12" xfId="43652"/>
    <cellStyle name="표준 4 2 3 2 3 13" xfId="43653"/>
    <cellStyle name="표준 4 2 3 2 3 14" xfId="43654"/>
    <cellStyle name="표준 4 2 3 2 3 15" xfId="43655"/>
    <cellStyle name="표준 4 2 3 2 3 16" xfId="43656"/>
    <cellStyle name="표준 4 2 3 2 3 17" xfId="43657"/>
    <cellStyle name="표준 4 2 3 2 3 17 2" xfId="43658"/>
    <cellStyle name="표준 4 2 3 2 3 17 3" xfId="43659"/>
    <cellStyle name="표준 4 2 3 2 3 18" xfId="43660"/>
    <cellStyle name="표준 4 2 3 2 3 19" xfId="43661"/>
    <cellStyle name="표준 4 2 3 2 3 2" xfId="43662"/>
    <cellStyle name="표준 4 2 3 2 3 2 10" xfId="43663"/>
    <cellStyle name="표준 4 2 3 2 3 2 11" xfId="43664"/>
    <cellStyle name="표준 4 2 3 2 3 2 12" xfId="43665"/>
    <cellStyle name="표준 4 2 3 2 3 2 13" xfId="43666"/>
    <cellStyle name="표준 4 2 3 2 3 2 14" xfId="43667"/>
    <cellStyle name="표준 4 2 3 2 3 2 15" xfId="43668"/>
    <cellStyle name="표준 4 2 3 2 3 2 16" xfId="43669"/>
    <cellStyle name="표준 4 2 3 2 3 2 16 2" xfId="43670"/>
    <cellStyle name="표준 4 2 3 2 3 2 16 3" xfId="43671"/>
    <cellStyle name="표준 4 2 3 2 3 2 17" xfId="43672"/>
    <cellStyle name="표준 4 2 3 2 3 2 18" xfId="43673"/>
    <cellStyle name="표준 4 2 3 2 3 2 19" xfId="43674"/>
    <cellStyle name="표준 4 2 3 2 3 2 2" xfId="43675"/>
    <cellStyle name="표준 4 2 3 2 3 2 2 2" xfId="43676"/>
    <cellStyle name="표준 4 2 3 2 3 2 2 2 2" xfId="43677"/>
    <cellStyle name="표준 4 2 3 2 3 2 2 2 2 2" xfId="43678"/>
    <cellStyle name="표준 4 2 3 2 3 2 2 2 2 3" xfId="43679"/>
    <cellStyle name="표준 4 2 3 2 3 2 2 2 3" xfId="43680"/>
    <cellStyle name="표준 4 2 3 2 3 2 2 2 4" xfId="43681"/>
    <cellStyle name="표준 4 2 3 2 3 2 2 2 5" xfId="43682"/>
    <cellStyle name="표준 4 2 3 2 3 2 2 3" xfId="43683"/>
    <cellStyle name="표준 4 2 3 2 3 2 2 3 2" xfId="43684"/>
    <cellStyle name="표준 4 2 3 2 3 2 2 3 3" xfId="43685"/>
    <cellStyle name="표준 4 2 3 2 3 2 2 4" xfId="43686"/>
    <cellStyle name="표준 4 2 3 2 3 2 2 5" xfId="43687"/>
    <cellStyle name="표준 4 2 3 2 3 2 2 6" xfId="43688"/>
    <cellStyle name="표준 4 2 3 2 3 2 3" xfId="43689"/>
    <cellStyle name="표준 4 2 3 2 3 2 3 2" xfId="43690"/>
    <cellStyle name="표준 4 2 3 2 3 2 3 2 2" xfId="43691"/>
    <cellStyle name="표준 4 2 3 2 3 2 3 2 2 2" xfId="43692"/>
    <cellStyle name="표준 4 2 3 2 3 2 3 2 2 3" xfId="43693"/>
    <cellStyle name="표준 4 2 3 2 3 2 3 2 3" xfId="43694"/>
    <cellStyle name="표준 4 2 3 2 3 2 3 2 4" xfId="43695"/>
    <cellStyle name="표준 4 2 3 2 3 2 3 2 5" xfId="43696"/>
    <cellStyle name="표준 4 2 3 2 3 2 3 3" xfId="43697"/>
    <cellStyle name="표준 4 2 3 2 3 2 4" xfId="43698"/>
    <cellStyle name="표준 4 2 3 2 3 2 4 2" xfId="43699"/>
    <cellStyle name="표준 4 2 3 2 3 2 4 2 2" xfId="43700"/>
    <cellStyle name="표준 4 2 3 2 3 2 4 2 2 2" xfId="43701"/>
    <cellStyle name="표준 4 2 3 2 3 2 4 2 2 3" xfId="43702"/>
    <cellStyle name="표준 4 2 3 2 3 2 4 2 3" xfId="43703"/>
    <cellStyle name="표준 4 2 3 2 3 2 4 2 4" xfId="43704"/>
    <cellStyle name="표준 4 2 3 2 3 2 4 2 5" xfId="43705"/>
    <cellStyle name="표준 4 2 3 2 3 2 4 3" xfId="43706"/>
    <cellStyle name="표준 4 2 3 2 3 2 5" xfId="43707"/>
    <cellStyle name="표준 4 2 3 2 3 2 6" xfId="43708"/>
    <cellStyle name="표준 4 2 3 2 3 2 7" xfId="43709"/>
    <cellStyle name="표준 4 2 3 2 3 2 8" xfId="43710"/>
    <cellStyle name="표준 4 2 3 2 3 2 9" xfId="43711"/>
    <cellStyle name="표준 4 2 3 2 3 20" xfId="43712"/>
    <cellStyle name="표준 4 2 3 2 3 3" xfId="43713"/>
    <cellStyle name="표준 4 2 3 2 3 3 2" xfId="43714"/>
    <cellStyle name="표준 4 2 3 2 3 3 2 2" xfId="43715"/>
    <cellStyle name="표준 4 2 3 2 3 3 2 2 2" xfId="43716"/>
    <cellStyle name="표준 4 2 3 2 3 3 2 2 3" xfId="43717"/>
    <cellStyle name="표준 4 2 3 2 3 3 2 3" xfId="43718"/>
    <cellStyle name="표준 4 2 3 2 3 3 2 4" xfId="43719"/>
    <cellStyle name="표준 4 2 3 2 3 3 2 5" xfId="43720"/>
    <cellStyle name="표준 4 2 3 2 3 3 3" xfId="43721"/>
    <cellStyle name="표준 4 2 3 2 3 3 3 2" xfId="43722"/>
    <cellStyle name="표준 4 2 3 2 3 3 3 3" xfId="43723"/>
    <cellStyle name="표준 4 2 3 2 3 3 4" xfId="43724"/>
    <cellStyle name="표준 4 2 3 2 3 3 5" xfId="43725"/>
    <cellStyle name="표준 4 2 3 2 3 3 6" xfId="43726"/>
    <cellStyle name="표준 4 2 3 2 3 4" xfId="43727"/>
    <cellStyle name="표준 4 2 3 2 3 4 2" xfId="43728"/>
    <cellStyle name="표준 4 2 3 2 3 4 2 2" xfId="43729"/>
    <cellStyle name="표준 4 2 3 2 3 4 2 2 2" xfId="43730"/>
    <cellStyle name="표준 4 2 3 2 3 4 2 2 3" xfId="43731"/>
    <cellStyle name="표준 4 2 3 2 3 4 2 3" xfId="43732"/>
    <cellStyle name="표준 4 2 3 2 3 4 2 4" xfId="43733"/>
    <cellStyle name="표준 4 2 3 2 3 4 2 5" xfId="43734"/>
    <cellStyle name="표준 4 2 3 2 3 4 3" xfId="43735"/>
    <cellStyle name="표준 4 2 3 2 3 5" xfId="43736"/>
    <cellStyle name="표준 4 2 3 2 3 5 2" xfId="43737"/>
    <cellStyle name="표준 4 2 3 2 3 5 2 2" xfId="43738"/>
    <cellStyle name="표준 4 2 3 2 3 5 2 2 2" xfId="43739"/>
    <cellStyle name="표준 4 2 3 2 3 5 2 2 3" xfId="43740"/>
    <cellStyle name="표준 4 2 3 2 3 5 2 3" xfId="43741"/>
    <cellStyle name="표준 4 2 3 2 3 5 2 4" xfId="43742"/>
    <cellStyle name="표준 4 2 3 2 3 5 2 5" xfId="43743"/>
    <cellStyle name="표준 4 2 3 2 3 5 3" xfId="43744"/>
    <cellStyle name="표준 4 2 3 2 3 6" xfId="43745"/>
    <cellStyle name="표준 4 2 3 2 3 7" xfId="43746"/>
    <cellStyle name="표준 4 2 3 2 3 8" xfId="43747"/>
    <cellStyle name="표준 4 2 3 2 3 9" xfId="43748"/>
    <cellStyle name="표준 4 2 3 2 4" xfId="43749"/>
    <cellStyle name="표준 4 2 3 2 4 10" xfId="43750"/>
    <cellStyle name="표준 4 2 3 2 4 11" xfId="43751"/>
    <cellStyle name="표준 4 2 3 2 4 12" xfId="43752"/>
    <cellStyle name="표준 4 2 3 2 4 13" xfId="43753"/>
    <cellStyle name="표준 4 2 3 2 4 14" xfId="43754"/>
    <cellStyle name="표준 4 2 3 2 4 15" xfId="43755"/>
    <cellStyle name="표준 4 2 3 2 4 16" xfId="43756"/>
    <cellStyle name="표준 4 2 3 2 4 16 2" xfId="43757"/>
    <cellStyle name="표준 4 2 3 2 4 16 3" xfId="43758"/>
    <cellStyle name="표준 4 2 3 2 4 17" xfId="43759"/>
    <cellStyle name="표준 4 2 3 2 4 18" xfId="43760"/>
    <cellStyle name="표준 4 2 3 2 4 19" xfId="43761"/>
    <cellStyle name="표준 4 2 3 2 4 2" xfId="43762"/>
    <cellStyle name="표준 4 2 3 2 4 2 2" xfId="43763"/>
    <cellStyle name="표준 4 2 3 2 4 2 2 2" xfId="43764"/>
    <cellStyle name="표준 4 2 3 2 4 2 2 2 2" xfId="43765"/>
    <cellStyle name="표준 4 2 3 2 4 2 2 2 3" xfId="43766"/>
    <cellStyle name="표준 4 2 3 2 4 2 2 3" xfId="43767"/>
    <cellStyle name="표준 4 2 3 2 4 2 2 4" xfId="43768"/>
    <cellStyle name="표준 4 2 3 2 4 2 2 5" xfId="43769"/>
    <cellStyle name="표준 4 2 3 2 4 2 3" xfId="43770"/>
    <cellStyle name="표준 4 2 3 2 4 2 3 2" xfId="43771"/>
    <cellStyle name="표준 4 2 3 2 4 2 3 3" xfId="43772"/>
    <cellStyle name="표준 4 2 3 2 4 2 4" xfId="43773"/>
    <cellStyle name="표준 4 2 3 2 4 2 5" xfId="43774"/>
    <cellStyle name="표준 4 2 3 2 4 2 6" xfId="43775"/>
    <cellStyle name="표준 4 2 3 2 4 3" xfId="43776"/>
    <cellStyle name="표준 4 2 3 2 4 3 2" xfId="43777"/>
    <cellStyle name="표준 4 2 3 2 4 3 2 2" xfId="43778"/>
    <cellStyle name="표준 4 2 3 2 4 3 2 2 2" xfId="43779"/>
    <cellStyle name="표준 4 2 3 2 4 3 2 2 3" xfId="43780"/>
    <cellStyle name="표준 4 2 3 2 4 3 2 3" xfId="43781"/>
    <cellStyle name="표준 4 2 3 2 4 3 2 4" xfId="43782"/>
    <cellStyle name="표준 4 2 3 2 4 3 2 5" xfId="43783"/>
    <cellStyle name="표준 4 2 3 2 4 3 3" xfId="43784"/>
    <cellStyle name="표준 4 2 3 2 4 4" xfId="43785"/>
    <cellStyle name="표준 4 2 3 2 4 4 2" xfId="43786"/>
    <cellStyle name="표준 4 2 3 2 4 4 2 2" xfId="43787"/>
    <cellStyle name="표준 4 2 3 2 4 4 2 2 2" xfId="43788"/>
    <cellStyle name="표준 4 2 3 2 4 4 2 2 3" xfId="43789"/>
    <cellStyle name="표준 4 2 3 2 4 4 2 3" xfId="43790"/>
    <cellStyle name="표준 4 2 3 2 4 4 2 4" xfId="43791"/>
    <cellStyle name="표준 4 2 3 2 4 4 2 5" xfId="43792"/>
    <cellStyle name="표준 4 2 3 2 4 4 3" xfId="43793"/>
    <cellStyle name="표준 4 2 3 2 4 5" xfId="43794"/>
    <cellStyle name="표준 4 2 3 2 4 6" xfId="43795"/>
    <cellStyle name="표준 4 2 3 2 4 7" xfId="43796"/>
    <cellStyle name="표준 4 2 3 2 4 8" xfId="43797"/>
    <cellStyle name="표준 4 2 3 2 4 9" xfId="43798"/>
    <cellStyle name="표준 4 2 3 2 5" xfId="43799"/>
    <cellStyle name="표준 4 2 3 2 5 2" xfId="43800"/>
    <cellStyle name="표준 4 2 3 2 5 2 2" xfId="43801"/>
    <cellStyle name="표준 4 2 3 2 5 2 2 2" xfId="43802"/>
    <cellStyle name="표준 4 2 3 2 5 2 2 3" xfId="43803"/>
    <cellStyle name="표준 4 2 3 2 5 2 3" xfId="43804"/>
    <cellStyle name="표준 4 2 3 2 5 2 4" xfId="43805"/>
    <cellStyle name="표준 4 2 3 2 5 2 5" xfId="43806"/>
    <cellStyle name="표준 4 2 3 2 5 3" xfId="43807"/>
    <cellStyle name="표준 4 2 3 2 5 3 2" xfId="43808"/>
    <cellStyle name="표준 4 2 3 2 5 3 3" xfId="43809"/>
    <cellStyle name="표준 4 2 3 2 5 4" xfId="43810"/>
    <cellStyle name="표준 4 2 3 2 5 5" xfId="43811"/>
    <cellStyle name="표준 4 2 3 2 5 6" xfId="43812"/>
    <cellStyle name="표준 4 2 3 2 6" xfId="43813"/>
    <cellStyle name="표준 4 2 3 2 6 2" xfId="43814"/>
    <cellStyle name="표준 4 2 3 2 6 2 2" xfId="43815"/>
    <cellStyle name="표준 4 2 3 2 6 2 2 2" xfId="43816"/>
    <cellStyle name="표준 4 2 3 2 6 2 2 3" xfId="43817"/>
    <cellStyle name="표준 4 2 3 2 6 2 3" xfId="43818"/>
    <cellStyle name="표준 4 2 3 2 6 2 4" xfId="43819"/>
    <cellStyle name="표준 4 2 3 2 6 2 5" xfId="43820"/>
    <cellStyle name="표준 4 2 3 2 6 3" xfId="43821"/>
    <cellStyle name="표준 4 2 3 2 7" xfId="43822"/>
    <cellStyle name="표준 4 2 3 2 7 2" xfId="43823"/>
    <cellStyle name="표준 4 2 3 2 7 2 2" xfId="43824"/>
    <cellStyle name="표준 4 2 3 2 7 2 2 2" xfId="43825"/>
    <cellStyle name="표준 4 2 3 2 7 2 2 3" xfId="43826"/>
    <cellStyle name="표준 4 2 3 2 7 2 3" xfId="43827"/>
    <cellStyle name="표준 4 2 3 2 7 2 4" xfId="43828"/>
    <cellStyle name="표준 4 2 3 2 7 2 5" xfId="43829"/>
    <cellStyle name="표준 4 2 3 2 7 3" xfId="43830"/>
    <cellStyle name="표준 4 2 3 2 8" xfId="43831"/>
    <cellStyle name="표준 4 2 3 2 9" xfId="43832"/>
    <cellStyle name="표준 4 2 3 20" xfId="43833"/>
    <cellStyle name="표준 4 2 3 20 2" xfId="43834"/>
    <cellStyle name="표준 4 2 3 20 3" xfId="43835"/>
    <cellStyle name="표준 4 2 3 21" xfId="43836"/>
    <cellStyle name="표준 4 2 3 22" xfId="43837"/>
    <cellStyle name="표준 4 2 3 23" xfId="43838"/>
    <cellStyle name="표준 4 2 3 3" xfId="43839"/>
    <cellStyle name="표준 4 2 3 3 10" xfId="43840"/>
    <cellStyle name="표준 4 2 3 3 11" xfId="43841"/>
    <cellStyle name="표준 4 2 3 3 12" xfId="43842"/>
    <cellStyle name="표준 4 2 3 3 13" xfId="43843"/>
    <cellStyle name="표준 4 2 3 3 14" xfId="43844"/>
    <cellStyle name="표준 4 2 3 3 15" xfId="43845"/>
    <cellStyle name="표준 4 2 3 3 16" xfId="43846"/>
    <cellStyle name="표준 4 2 3 3 17" xfId="43847"/>
    <cellStyle name="표준 4 2 3 3 17 2" xfId="43848"/>
    <cellStyle name="표준 4 2 3 3 17 3" xfId="43849"/>
    <cellStyle name="표준 4 2 3 3 18" xfId="43850"/>
    <cellStyle name="표준 4 2 3 3 19" xfId="43851"/>
    <cellStyle name="표준 4 2 3 3 2" xfId="43852"/>
    <cellStyle name="표준 4 2 3 3 2 10" xfId="43853"/>
    <cellStyle name="표준 4 2 3 3 2 11" xfId="43854"/>
    <cellStyle name="표준 4 2 3 3 2 12" xfId="43855"/>
    <cellStyle name="표준 4 2 3 3 2 13" xfId="43856"/>
    <cellStyle name="표준 4 2 3 3 2 14" xfId="43857"/>
    <cellStyle name="표준 4 2 3 3 2 15" xfId="43858"/>
    <cellStyle name="표준 4 2 3 3 2 16" xfId="43859"/>
    <cellStyle name="표준 4 2 3 3 2 16 2" xfId="43860"/>
    <cellStyle name="표준 4 2 3 3 2 16 3" xfId="43861"/>
    <cellStyle name="표준 4 2 3 3 2 17" xfId="43862"/>
    <cellStyle name="표준 4 2 3 3 2 18" xfId="43863"/>
    <cellStyle name="표준 4 2 3 3 2 19" xfId="43864"/>
    <cellStyle name="표준 4 2 3 3 2 2" xfId="43865"/>
    <cellStyle name="표준 4 2 3 3 2 2 2" xfId="43866"/>
    <cellStyle name="표준 4 2 3 3 2 2 2 2" xfId="43867"/>
    <cellStyle name="표준 4 2 3 3 2 2 2 2 2" xfId="43868"/>
    <cellStyle name="표준 4 2 3 3 2 2 2 2 3" xfId="43869"/>
    <cellStyle name="표준 4 2 3 3 2 2 2 3" xfId="43870"/>
    <cellStyle name="표준 4 2 3 3 2 2 2 4" xfId="43871"/>
    <cellStyle name="표준 4 2 3 3 2 2 2 5" xfId="43872"/>
    <cellStyle name="표준 4 2 3 3 2 2 3" xfId="43873"/>
    <cellStyle name="표준 4 2 3 3 2 2 3 2" xfId="43874"/>
    <cellStyle name="표준 4 2 3 3 2 2 3 3" xfId="43875"/>
    <cellStyle name="표준 4 2 3 3 2 2 4" xfId="43876"/>
    <cellStyle name="표준 4 2 3 3 2 2 5" xfId="43877"/>
    <cellStyle name="표준 4 2 3 3 2 2 6" xfId="43878"/>
    <cellStyle name="표준 4 2 3 3 2 3" xfId="43879"/>
    <cellStyle name="표준 4 2 3 3 2 3 2" xfId="43880"/>
    <cellStyle name="표준 4 2 3 3 2 3 2 2" xfId="43881"/>
    <cellStyle name="표준 4 2 3 3 2 3 2 2 2" xfId="43882"/>
    <cellStyle name="표준 4 2 3 3 2 3 2 2 3" xfId="43883"/>
    <cellStyle name="표준 4 2 3 3 2 3 2 3" xfId="43884"/>
    <cellStyle name="표준 4 2 3 3 2 3 2 4" xfId="43885"/>
    <cellStyle name="표준 4 2 3 3 2 3 2 5" xfId="43886"/>
    <cellStyle name="표준 4 2 3 3 2 3 3" xfId="43887"/>
    <cellStyle name="표준 4 2 3 3 2 4" xfId="43888"/>
    <cellStyle name="표준 4 2 3 3 2 4 2" xfId="43889"/>
    <cellStyle name="표준 4 2 3 3 2 4 2 2" xfId="43890"/>
    <cellStyle name="표준 4 2 3 3 2 4 2 2 2" xfId="43891"/>
    <cellStyle name="표준 4 2 3 3 2 4 2 2 3" xfId="43892"/>
    <cellStyle name="표준 4 2 3 3 2 4 2 3" xfId="43893"/>
    <cellStyle name="표준 4 2 3 3 2 4 2 4" xfId="43894"/>
    <cellStyle name="표준 4 2 3 3 2 4 2 5" xfId="43895"/>
    <cellStyle name="표준 4 2 3 3 2 4 3" xfId="43896"/>
    <cellStyle name="표준 4 2 3 3 2 5" xfId="43897"/>
    <cellStyle name="표준 4 2 3 3 2 6" xfId="43898"/>
    <cellStyle name="표준 4 2 3 3 2 7" xfId="43899"/>
    <cellStyle name="표준 4 2 3 3 2 8" xfId="43900"/>
    <cellStyle name="표준 4 2 3 3 2 9" xfId="43901"/>
    <cellStyle name="표준 4 2 3 3 20" xfId="43902"/>
    <cellStyle name="표준 4 2 3 3 3" xfId="43903"/>
    <cellStyle name="표준 4 2 3 3 3 2" xfId="43904"/>
    <cellStyle name="표준 4 2 3 3 3 2 2" xfId="43905"/>
    <cellStyle name="표준 4 2 3 3 3 2 2 2" xfId="43906"/>
    <cellStyle name="표준 4 2 3 3 3 2 2 3" xfId="43907"/>
    <cellStyle name="표준 4 2 3 3 3 2 3" xfId="43908"/>
    <cellStyle name="표준 4 2 3 3 3 2 4" xfId="43909"/>
    <cellStyle name="표준 4 2 3 3 3 2 5" xfId="43910"/>
    <cellStyle name="표준 4 2 3 3 3 3" xfId="43911"/>
    <cellStyle name="표준 4 2 3 3 3 3 2" xfId="43912"/>
    <cellStyle name="표준 4 2 3 3 3 3 3" xfId="43913"/>
    <cellStyle name="표준 4 2 3 3 3 4" xfId="43914"/>
    <cellStyle name="표준 4 2 3 3 3 5" xfId="43915"/>
    <cellStyle name="표준 4 2 3 3 3 6" xfId="43916"/>
    <cellStyle name="표준 4 2 3 3 4" xfId="43917"/>
    <cellStyle name="표준 4 2 3 3 4 2" xfId="43918"/>
    <cellStyle name="표준 4 2 3 3 4 2 2" xfId="43919"/>
    <cellStyle name="표준 4 2 3 3 4 2 2 2" xfId="43920"/>
    <cellStyle name="표준 4 2 3 3 4 2 2 3" xfId="43921"/>
    <cellStyle name="표준 4 2 3 3 4 2 3" xfId="43922"/>
    <cellStyle name="표준 4 2 3 3 4 2 4" xfId="43923"/>
    <cellStyle name="표준 4 2 3 3 4 2 5" xfId="43924"/>
    <cellStyle name="표준 4 2 3 3 4 3" xfId="43925"/>
    <cellStyle name="표준 4 2 3 3 5" xfId="43926"/>
    <cellStyle name="표준 4 2 3 3 5 2" xfId="43927"/>
    <cellStyle name="표준 4 2 3 3 5 2 2" xfId="43928"/>
    <cellStyle name="표준 4 2 3 3 5 2 2 2" xfId="43929"/>
    <cellStyle name="표준 4 2 3 3 5 2 2 3" xfId="43930"/>
    <cellStyle name="표준 4 2 3 3 5 2 3" xfId="43931"/>
    <cellStyle name="표준 4 2 3 3 5 2 4" xfId="43932"/>
    <cellStyle name="표준 4 2 3 3 5 2 5" xfId="43933"/>
    <cellStyle name="표준 4 2 3 3 5 3" xfId="43934"/>
    <cellStyle name="표준 4 2 3 3 6" xfId="43935"/>
    <cellStyle name="표준 4 2 3 3 7" xfId="43936"/>
    <cellStyle name="표준 4 2 3 3 8" xfId="43937"/>
    <cellStyle name="표준 4 2 3 3 9" xfId="43938"/>
    <cellStyle name="표준 4 2 3 4" xfId="43939"/>
    <cellStyle name="표준 4 2 3 4 10" xfId="43940"/>
    <cellStyle name="표준 4 2 3 4 11" xfId="43941"/>
    <cellStyle name="표준 4 2 3 4 12" xfId="43942"/>
    <cellStyle name="표준 4 2 3 4 13" xfId="43943"/>
    <cellStyle name="표준 4 2 3 4 14" xfId="43944"/>
    <cellStyle name="표준 4 2 3 4 15" xfId="43945"/>
    <cellStyle name="표준 4 2 3 4 16" xfId="43946"/>
    <cellStyle name="표준 4 2 3 4 17" xfId="43947"/>
    <cellStyle name="표준 4 2 3 4 17 2" xfId="43948"/>
    <cellStyle name="표준 4 2 3 4 17 3" xfId="43949"/>
    <cellStyle name="표준 4 2 3 4 18" xfId="43950"/>
    <cellStyle name="표준 4 2 3 4 19" xfId="43951"/>
    <cellStyle name="표준 4 2 3 4 2" xfId="43952"/>
    <cellStyle name="표준 4 2 3 4 2 10" xfId="43953"/>
    <cellStyle name="표준 4 2 3 4 2 11" xfId="43954"/>
    <cellStyle name="표준 4 2 3 4 2 12" xfId="43955"/>
    <cellStyle name="표준 4 2 3 4 2 13" xfId="43956"/>
    <cellStyle name="표준 4 2 3 4 2 14" xfId="43957"/>
    <cellStyle name="표준 4 2 3 4 2 15" xfId="43958"/>
    <cellStyle name="표준 4 2 3 4 2 16" xfId="43959"/>
    <cellStyle name="표준 4 2 3 4 2 16 2" xfId="43960"/>
    <cellStyle name="표준 4 2 3 4 2 16 3" xfId="43961"/>
    <cellStyle name="표준 4 2 3 4 2 17" xfId="43962"/>
    <cellStyle name="표준 4 2 3 4 2 18" xfId="43963"/>
    <cellStyle name="표준 4 2 3 4 2 19" xfId="43964"/>
    <cellStyle name="표준 4 2 3 4 2 2" xfId="43965"/>
    <cellStyle name="표준 4 2 3 4 2 2 2" xfId="43966"/>
    <cellStyle name="표준 4 2 3 4 2 2 2 2" xfId="43967"/>
    <cellStyle name="표준 4 2 3 4 2 2 2 2 2" xfId="43968"/>
    <cellStyle name="표준 4 2 3 4 2 2 2 2 3" xfId="43969"/>
    <cellStyle name="표준 4 2 3 4 2 2 2 3" xfId="43970"/>
    <cellStyle name="표준 4 2 3 4 2 2 2 4" xfId="43971"/>
    <cellStyle name="표준 4 2 3 4 2 2 2 5" xfId="43972"/>
    <cellStyle name="표준 4 2 3 4 2 2 3" xfId="43973"/>
    <cellStyle name="표준 4 2 3 4 2 2 3 2" xfId="43974"/>
    <cellStyle name="표준 4 2 3 4 2 2 3 3" xfId="43975"/>
    <cellStyle name="표준 4 2 3 4 2 2 4" xfId="43976"/>
    <cellStyle name="표준 4 2 3 4 2 2 5" xfId="43977"/>
    <cellStyle name="표준 4 2 3 4 2 2 6" xfId="43978"/>
    <cellStyle name="표준 4 2 3 4 2 3" xfId="43979"/>
    <cellStyle name="표준 4 2 3 4 2 3 2" xfId="43980"/>
    <cellStyle name="표준 4 2 3 4 2 3 2 2" xfId="43981"/>
    <cellStyle name="표준 4 2 3 4 2 3 2 2 2" xfId="43982"/>
    <cellStyle name="표준 4 2 3 4 2 3 2 2 3" xfId="43983"/>
    <cellStyle name="표준 4 2 3 4 2 3 2 3" xfId="43984"/>
    <cellStyle name="표준 4 2 3 4 2 3 2 4" xfId="43985"/>
    <cellStyle name="표준 4 2 3 4 2 3 2 5" xfId="43986"/>
    <cellStyle name="표준 4 2 3 4 2 3 3" xfId="43987"/>
    <cellStyle name="표준 4 2 3 4 2 4" xfId="43988"/>
    <cellStyle name="표준 4 2 3 4 2 4 2" xfId="43989"/>
    <cellStyle name="표준 4 2 3 4 2 4 2 2" xfId="43990"/>
    <cellStyle name="표준 4 2 3 4 2 4 2 2 2" xfId="43991"/>
    <cellStyle name="표준 4 2 3 4 2 4 2 2 3" xfId="43992"/>
    <cellStyle name="표준 4 2 3 4 2 4 2 3" xfId="43993"/>
    <cellStyle name="표준 4 2 3 4 2 4 2 4" xfId="43994"/>
    <cellStyle name="표준 4 2 3 4 2 4 2 5" xfId="43995"/>
    <cellStyle name="표준 4 2 3 4 2 4 3" xfId="43996"/>
    <cellStyle name="표준 4 2 3 4 2 5" xfId="43997"/>
    <cellStyle name="표준 4 2 3 4 2 6" xfId="43998"/>
    <cellStyle name="표준 4 2 3 4 2 7" xfId="43999"/>
    <cellStyle name="표준 4 2 3 4 2 8" xfId="44000"/>
    <cellStyle name="표준 4 2 3 4 2 9" xfId="44001"/>
    <cellStyle name="표준 4 2 3 4 20" xfId="44002"/>
    <cellStyle name="표준 4 2 3 4 3" xfId="44003"/>
    <cellStyle name="표준 4 2 3 4 3 2" xfId="44004"/>
    <cellStyle name="표준 4 2 3 4 3 2 2" xfId="44005"/>
    <cellStyle name="표준 4 2 3 4 3 2 2 2" xfId="44006"/>
    <cellStyle name="표준 4 2 3 4 3 2 2 3" xfId="44007"/>
    <cellStyle name="표준 4 2 3 4 3 2 3" xfId="44008"/>
    <cellStyle name="표준 4 2 3 4 3 2 4" xfId="44009"/>
    <cellStyle name="표준 4 2 3 4 3 2 5" xfId="44010"/>
    <cellStyle name="표준 4 2 3 4 3 3" xfId="44011"/>
    <cellStyle name="표준 4 2 3 4 3 3 2" xfId="44012"/>
    <cellStyle name="표준 4 2 3 4 3 3 3" xfId="44013"/>
    <cellStyle name="표준 4 2 3 4 3 4" xfId="44014"/>
    <cellStyle name="표준 4 2 3 4 3 5" xfId="44015"/>
    <cellStyle name="표준 4 2 3 4 3 6" xfId="44016"/>
    <cellStyle name="표준 4 2 3 4 4" xfId="44017"/>
    <cellStyle name="표준 4 2 3 4 4 2" xfId="44018"/>
    <cellStyle name="표준 4 2 3 4 4 2 2" xfId="44019"/>
    <cellStyle name="표준 4 2 3 4 4 2 2 2" xfId="44020"/>
    <cellStyle name="표준 4 2 3 4 4 2 2 3" xfId="44021"/>
    <cellStyle name="표준 4 2 3 4 4 2 3" xfId="44022"/>
    <cellStyle name="표준 4 2 3 4 4 2 4" xfId="44023"/>
    <cellStyle name="표준 4 2 3 4 4 2 5" xfId="44024"/>
    <cellStyle name="표준 4 2 3 4 4 3" xfId="44025"/>
    <cellStyle name="표준 4 2 3 4 5" xfId="44026"/>
    <cellStyle name="표준 4 2 3 4 5 2" xfId="44027"/>
    <cellStyle name="표준 4 2 3 4 5 2 2" xfId="44028"/>
    <cellStyle name="표준 4 2 3 4 5 2 2 2" xfId="44029"/>
    <cellStyle name="표준 4 2 3 4 5 2 2 3" xfId="44030"/>
    <cellStyle name="표준 4 2 3 4 5 2 3" xfId="44031"/>
    <cellStyle name="표준 4 2 3 4 5 2 4" xfId="44032"/>
    <cellStyle name="표준 4 2 3 4 5 2 5" xfId="44033"/>
    <cellStyle name="표준 4 2 3 4 5 3" xfId="44034"/>
    <cellStyle name="표준 4 2 3 4 6" xfId="44035"/>
    <cellStyle name="표준 4 2 3 4 7" xfId="44036"/>
    <cellStyle name="표준 4 2 3 4 8" xfId="44037"/>
    <cellStyle name="표준 4 2 3 4 9" xfId="44038"/>
    <cellStyle name="표준 4 2 3 5" xfId="44039"/>
    <cellStyle name="표준 4 2 3 5 10" xfId="44040"/>
    <cellStyle name="표준 4 2 3 5 11" xfId="44041"/>
    <cellStyle name="표준 4 2 3 5 12" xfId="44042"/>
    <cellStyle name="표준 4 2 3 5 13" xfId="44043"/>
    <cellStyle name="표준 4 2 3 5 14" xfId="44044"/>
    <cellStyle name="표준 4 2 3 5 15" xfId="44045"/>
    <cellStyle name="표준 4 2 3 5 16" xfId="44046"/>
    <cellStyle name="표준 4 2 3 5 16 2" xfId="44047"/>
    <cellStyle name="표준 4 2 3 5 16 3" xfId="44048"/>
    <cellStyle name="표준 4 2 3 5 17" xfId="44049"/>
    <cellStyle name="표준 4 2 3 5 18" xfId="44050"/>
    <cellStyle name="표준 4 2 3 5 19" xfId="44051"/>
    <cellStyle name="표준 4 2 3 5 2" xfId="44052"/>
    <cellStyle name="표준 4 2 3 5 2 2" xfId="44053"/>
    <cellStyle name="표준 4 2 3 5 2 2 2" xfId="44054"/>
    <cellStyle name="표준 4 2 3 5 2 2 2 2" xfId="44055"/>
    <cellStyle name="표준 4 2 3 5 2 2 2 3" xfId="44056"/>
    <cellStyle name="표준 4 2 3 5 2 2 3" xfId="44057"/>
    <cellStyle name="표준 4 2 3 5 2 2 4" xfId="44058"/>
    <cellStyle name="표준 4 2 3 5 2 2 5" xfId="44059"/>
    <cellStyle name="표준 4 2 3 5 2 3" xfId="44060"/>
    <cellStyle name="표준 4 2 3 5 2 3 2" xfId="44061"/>
    <cellStyle name="표준 4 2 3 5 2 3 3" xfId="44062"/>
    <cellStyle name="표준 4 2 3 5 2 4" xfId="44063"/>
    <cellStyle name="표준 4 2 3 5 2 5" xfId="44064"/>
    <cellStyle name="표준 4 2 3 5 2 6" xfId="44065"/>
    <cellStyle name="표준 4 2 3 5 3" xfId="44066"/>
    <cellStyle name="표준 4 2 3 5 3 2" xfId="44067"/>
    <cellStyle name="표준 4 2 3 5 3 2 2" xfId="44068"/>
    <cellStyle name="표준 4 2 3 5 3 2 2 2" xfId="44069"/>
    <cellStyle name="표준 4 2 3 5 3 2 2 3" xfId="44070"/>
    <cellStyle name="표준 4 2 3 5 3 2 3" xfId="44071"/>
    <cellStyle name="표준 4 2 3 5 3 2 4" xfId="44072"/>
    <cellStyle name="표준 4 2 3 5 3 2 5" xfId="44073"/>
    <cellStyle name="표준 4 2 3 5 3 3" xfId="44074"/>
    <cellStyle name="표준 4 2 3 5 4" xfId="44075"/>
    <cellStyle name="표준 4 2 3 5 4 2" xfId="44076"/>
    <cellStyle name="표준 4 2 3 5 4 2 2" xfId="44077"/>
    <cellStyle name="표준 4 2 3 5 4 2 2 2" xfId="44078"/>
    <cellStyle name="표준 4 2 3 5 4 2 2 3" xfId="44079"/>
    <cellStyle name="표준 4 2 3 5 4 2 3" xfId="44080"/>
    <cellStyle name="표준 4 2 3 5 4 2 4" xfId="44081"/>
    <cellStyle name="표준 4 2 3 5 4 2 5" xfId="44082"/>
    <cellStyle name="표준 4 2 3 5 4 3" xfId="44083"/>
    <cellStyle name="표준 4 2 3 5 5" xfId="44084"/>
    <cellStyle name="표준 4 2 3 5 6" xfId="44085"/>
    <cellStyle name="표준 4 2 3 5 7" xfId="44086"/>
    <cellStyle name="표준 4 2 3 5 8" xfId="44087"/>
    <cellStyle name="표준 4 2 3 5 9" xfId="44088"/>
    <cellStyle name="표준 4 2 3 6" xfId="44089"/>
    <cellStyle name="표준 4 2 3 6 2" xfId="44090"/>
    <cellStyle name="표준 4 2 3 6 2 2" xfId="44091"/>
    <cellStyle name="표준 4 2 3 6 2 2 2" xfId="44092"/>
    <cellStyle name="표준 4 2 3 6 2 2 3" xfId="44093"/>
    <cellStyle name="표준 4 2 3 6 2 3" xfId="44094"/>
    <cellStyle name="표준 4 2 3 6 2 4" xfId="44095"/>
    <cellStyle name="표준 4 2 3 6 2 5" xfId="44096"/>
    <cellStyle name="표준 4 2 3 6 3" xfId="44097"/>
    <cellStyle name="표준 4 2 3 6 3 2" xfId="44098"/>
    <cellStyle name="표준 4 2 3 6 3 3" xfId="44099"/>
    <cellStyle name="표준 4 2 3 6 4" xfId="44100"/>
    <cellStyle name="표준 4 2 3 6 5" xfId="44101"/>
    <cellStyle name="표준 4 2 3 6 6" xfId="44102"/>
    <cellStyle name="표준 4 2 3 7" xfId="44103"/>
    <cellStyle name="표준 4 2 3 7 2" xfId="44104"/>
    <cellStyle name="표준 4 2 3 7 2 2" xfId="44105"/>
    <cellStyle name="표준 4 2 3 7 2 2 2" xfId="44106"/>
    <cellStyle name="표준 4 2 3 7 2 2 3" xfId="44107"/>
    <cellStyle name="표준 4 2 3 7 2 3" xfId="44108"/>
    <cellStyle name="표준 4 2 3 7 2 4" xfId="44109"/>
    <cellStyle name="표준 4 2 3 7 2 5" xfId="44110"/>
    <cellStyle name="표준 4 2 3 7 3" xfId="44111"/>
    <cellStyle name="표준 4 2 3 8" xfId="44112"/>
    <cellStyle name="표준 4 2 3 8 2" xfId="44113"/>
    <cellStyle name="표준 4 2 3 8 2 2" xfId="44114"/>
    <cellStyle name="표준 4 2 3 8 2 2 2" xfId="44115"/>
    <cellStyle name="표준 4 2 3 8 2 2 3" xfId="44116"/>
    <cellStyle name="표준 4 2 3 8 2 3" xfId="44117"/>
    <cellStyle name="표준 4 2 3 8 2 4" xfId="44118"/>
    <cellStyle name="표준 4 2 3 8 2 5" xfId="44119"/>
    <cellStyle name="표준 4 2 3 8 3" xfId="44120"/>
    <cellStyle name="표준 4 2 3 9" xfId="44121"/>
    <cellStyle name="표준 4 2 4" xfId="44122"/>
    <cellStyle name="표준 4 2 4 10" xfId="44123"/>
    <cellStyle name="표준 4 2 4 11" xfId="44124"/>
    <cellStyle name="표준 4 2 4 12" xfId="44125"/>
    <cellStyle name="표준 4 2 4 13" xfId="44126"/>
    <cellStyle name="표준 4 2 4 14" xfId="44127"/>
    <cellStyle name="표준 4 2 4 15" xfId="44128"/>
    <cellStyle name="표준 4 2 4 16" xfId="44129"/>
    <cellStyle name="표준 4 2 4 17" xfId="44130"/>
    <cellStyle name="표준 4 2 4 18" xfId="44131"/>
    <cellStyle name="표준 4 2 4 19" xfId="44132"/>
    <cellStyle name="표준 4 2 4 19 2" xfId="44133"/>
    <cellStyle name="표준 4 2 4 19 3" xfId="44134"/>
    <cellStyle name="표준 4 2 4 2" xfId="44135"/>
    <cellStyle name="표준 4 2 4 2 10" xfId="44136"/>
    <cellStyle name="표준 4 2 4 2 11" xfId="44137"/>
    <cellStyle name="표준 4 2 4 2 12" xfId="44138"/>
    <cellStyle name="표준 4 2 4 2 13" xfId="44139"/>
    <cellStyle name="표준 4 2 4 2 14" xfId="44140"/>
    <cellStyle name="표준 4 2 4 2 15" xfId="44141"/>
    <cellStyle name="표준 4 2 4 2 16" xfId="44142"/>
    <cellStyle name="표준 4 2 4 2 17" xfId="44143"/>
    <cellStyle name="표준 4 2 4 2 17 2" xfId="44144"/>
    <cellStyle name="표준 4 2 4 2 17 3" xfId="44145"/>
    <cellStyle name="표준 4 2 4 2 18" xfId="44146"/>
    <cellStyle name="표준 4 2 4 2 19" xfId="44147"/>
    <cellStyle name="표준 4 2 4 2 2" xfId="44148"/>
    <cellStyle name="표준 4 2 4 2 2 10" xfId="44149"/>
    <cellStyle name="표준 4 2 4 2 2 11" xfId="44150"/>
    <cellStyle name="표준 4 2 4 2 2 12" xfId="44151"/>
    <cellStyle name="표준 4 2 4 2 2 13" xfId="44152"/>
    <cellStyle name="표준 4 2 4 2 2 14" xfId="44153"/>
    <cellStyle name="표준 4 2 4 2 2 15" xfId="44154"/>
    <cellStyle name="표준 4 2 4 2 2 16" xfId="44155"/>
    <cellStyle name="표준 4 2 4 2 2 16 2" xfId="44156"/>
    <cellStyle name="표준 4 2 4 2 2 16 3" xfId="44157"/>
    <cellStyle name="표준 4 2 4 2 2 17" xfId="44158"/>
    <cellStyle name="표준 4 2 4 2 2 18" xfId="44159"/>
    <cellStyle name="표준 4 2 4 2 2 19" xfId="44160"/>
    <cellStyle name="표준 4 2 4 2 2 2" xfId="44161"/>
    <cellStyle name="표준 4 2 4 2 2 2 2" xfId="44162"/>
    <cellStyle name="표준 4 2 4 2 2 2 2 2" xfId="44163"/>
    <cellStyle name="표준 4 2 4 2 2 2 2 2 2" xfId="44164"/>
    <cellStyle name="표준 4 2 4 2 2 2 2 2 3" xfId="44165"/>
    <cellStyle name="표준 4 2 4 2 2 2 2 3" xfId="44166"/>
    <cellStyle name="표준 4 2 4 2 2 2 2 4" xfId="44167"/>
    <cellStyle name="표준 4 2 4 2 2 2 2 5" xfId="44168"/>
    <cellStyle name="표준 4 2 4 2 2 2 3" xfId="44169"/>
    <cellStyle name="표준 4 2 4 2 2 2 3 2" xfId="44170"/>
    <cellStyle name="표준 4 2 4 2 2 2 3 3" xfId="44171"/>
    <cellStyle name="표준 4 2 4 2 2 2 4" xfId="44172"/>
    <cellStyle name="표준 4 2 4 2 2 2 5" xfId="44173"/>
    <cellStyle name="표준 4 2 4 2 2 2 6" xfId="44174"/>
    <cellStyle name="표준 4 2 4 2 2 3" xfId="44175"/>
    <cellStyle name="표준 4 2 4 2 2 3 2" xfId="44176"/>
    <cellStyle name="표준 4 2 4 2 2 3 2 2" xfId="44177"/>
    <cellStyle name="표준 4 2 4 2 2 3 2 2 2" xfId="44178"/>
    <cellStyle name="표준 4 2 4 2 2 3 2 2 3" xfId="44179"/>
    <cellStyle name="표준 4 2 4 2 2 3 2 3" xfId="44180"/>
    <cellStyle name="표준 4 2 4 2 2 3 2 4" xfId="44181"/>
    <cellStyle name="표준 4 2 4 2 2 3 2 5" xfId="44182"/>
    <cellStyle name="표준 4 2 4 2 2 3 3" xfId="44183"/>
    <cellStyle name="표준 4 2 4 2 2 4" xfId="44184"/>
    <cellStyle name="표준 4 2 4 2 2 4 2" xfId="44185"/>
    <cellStyle name="표준 4 2 4 2 2 4 2 2" xfId="44186"/>
    <cellStyle name="표준 4 2 4 2 2 4 2 2 2" xfId="44187"/>
    <cellStyle name="표준 4 2 4 2 2 4 2 2 3" xfId="44188"/>
    <cellStyle name="표준 4 2 4 2 2 4 2 3" xfId="44189"/>
    <cellStyle name="표준 4 2 4 2 2 4 2 4" xfId="44190"/>
    <cellStyle name="표준 4 2 4 2 2 4 2 5" xfId="44191"/>
    <cellStyle name="표준 4 2 4 2 2 4 3" xfId="44192"/>
    <cellStyle name="표준 4 2 4 2 2 5" xfId="44193"/>
    <cellStyle name="표준 4 2 4 2 2 6" xfId="44194"/>
    <cellStyle name="표준 4 2 4 2 2 7" xfId="44195"/>
    <cellStyle name="표준 4 2 4 2 2 8" xfId="44196"/>
    <cellStyle name="표준 4 2 4 2 2 9" xfId="44197"/>
    <cellStyle name="표준 4 2 4 2 20" xfId="44198"/>
    <cellStyle name="표준 4 2 4 2 3" xfId="44199"/>
    <cellStyle name="표준 4 2 4 2 3 2" xfId="44200"/>
    <cellStyle name="표준 4 2 4 2 3 2 2" xfId="44201"/>
    <cellStyle name="표준 4 2 4 2 3 2 2 2" xfId="44202"/>
    <cellStyle name="표준 4 2 4 2 3 2 2 3" xfId="44203"/>
    <cellStyle name="표준 4 2 4 2 3 2 3" xfId="44204"/>
    <cellStyle name="표준 4 2 4 2 3 2 4" xfId="44205"/>
    <cellStyle name="표준 4 2 4 2 3 2 5" xfId="44206"/>
    <cellStyle name="표준 4 2 4 2 3 3" xfId="44207"/>
    <cellStyle name="표준 4 2 4 2 3 3 2" xfId="44208"/>
    <cellStyle name="표준 4 2 4 2 3 3 3" xfId="44209"/>
    <cellStyle name="표준 4 2 4 2 3 4" xfId="44210"/>
    <cellStyle name="표준 4 2 4 2 3 5" xfId="44211"/>
    <cellStyle name="표준 4 2 4 2 3 6" xfId="44212"/>
    <cellStyle name="표준 4 2 4 2 4" xfId="44213"/>
    <cellStyle name="표준 4 2 4 2 4 2" xfId="44214"/>
    <cellStyle name="표준 4 2 4 2 4 2 2" xfId="44215"/>
    <cellStyle name="표준 4 2 4 2 4 2 2 2" xfId="44216"/>
    <cellStyle name="표준 4 2 4 2 4 2 2 3" xfId="44217"/>
    <cellStyle name="표준 4 2 4 2 4 2 3" xfId="44218"/>
    <cellStyle name="표준 4 2 4 2 4 2 4" xfId="44219"/>
    <cellStyle name="표준 4 2 4 2 4 2 5" xfId="44220"/>
    <cellStyle name="표준 4 2 4 2 4 3" xfId="44221"/>
    <cellStyle name="표준 4 2 4 2 5" xfId="44222"/>
    <cellStyle name="표준 4 2 4 2 5 2" xfId="44223"/>
    <cellStyle name="표준 4 2 4 2 5 2 2" xfId="44224"/>
    <cellStyle name="표준 4 2 4 2 5 2 2 2" xfId="44225"/>
    <cellStyle name="표준 4 2 4 2 5 2 2 3" xfId="44226"/>
    <cellStyle name="표준 4 2 4 2 5 2 3" xfId="44227"/>
    <cellStyle name="표준 4 2 4 2 5 2 4" xfId="44228"/>
    <cellStyle name="표준 4 2 4 2 5 2 5" xfId="44229"/>
    <cellStyle name="표준 4 2 4 2 5 3" xfId="44230"/>
    <cellStyle name="표준 4 2 4 2 6" xfId="44231"/>
    <cellStyle name="표준 4 2 4 2 7" xfId="44232"/>
    <cellStyle name="표준 4 2 4 2 8" xfId="44233"/>
    <cellStyle name="표준 4 2 4 2 9" xfId="44234"/>
    <cellStyle name="표준 4 2 4 20" xfId="44235"/>
    <cellStyle name="표준 4 2 4 21" xfId="44236"/>
    <cellStyle name="표준 4 2 4 22" xfId="44237"/>
    <cellStyle name="표준 4 2 4 3" xfId="44238"/>
    <cellStyle name="표준 4 2 4 3 10" xfId="44239"/>
    <cellStyle name="표준 4 2 4 3 11" xfId="44240"/>
    <cellStyle name="표준 4 2 4 3 12" xfId="44241"/>
    <cellStyle name="표준 4 2 4 3 13" xfId="44242"/>
    <cellStyle name="표준 4 2 4 3 14" xfId="44243"/>
    <cellStyle name="표준 4 2 4 3 15" xfId="44244"/>
    <cellStyle name="표준 4 2 4 3 16" xfId="44245"/>
    <cellStyle name="표준 4 2 4 3 17" xfId="44246"/>
    <cellStyle name="표준 4 2 4 3 17 2" xfId="44247"/>
    <cellStyle name="표준 4 2 4 3 17 3" xfId="44248"/>
    <cellStyle name="표준 4 2 4 3 18" xfId="44249"/>
    <cellStyle name="표준 4 2 4 3 19" xfId="44250"/>
    <cellStyle name="표준 4 2 4 3 2" xfId="44251"/>
    <cellStyle name="표준 4 2 4 3 2 10" xfId="44252"/>
    <cellStyle name="표준 4 2 4 3 2 11" xfId="44253"/>
    <cellStyle name="표준 4 2 4 3 2 12" xfId="44254"/>
    <cellStyle name="표준 4 2 4 3 2 13" xfId="44255"/>
    <cellStyle name="표준 4 2 4 3 2 14" xfId="44256"/>
    <cellStyle name="표준 4 2 4 3 2 15" xfId="44257"/>
    <cellStyle name="표준 4 2 4 3 2 16" xfId="44258"/>
    <cellStyle name="표준 4 2 4 3 2 16 2" xfId="44259"/>
    <cellStyle name="표준 4 2 4 3 2 16 3" xfId="44260"/>
    <cellStyle name="표준 4 2 4 3 2 17" xfId="44261"/>
    <cellStyle name="표준 4 2 4 3 2 18" xfId="44262"/>
    <cellStyle name="표준 4 2 4 3 2 19" xfId="44263"/>
    <cellStyle name="표준 4 2 4 3 2 2" xfId="44264"/>
    <cellStyle name="표준 4 2 4 3 2 2 2" xfId="44265"/>
    <cellStyle name="표준 4 2 4 3 2 2 2 2" xfId="44266"/>
    <cellStyle name="표준 4 2 4 3 2 2 2 2 2" xfId="44267"/>
    <cellStyle name="표준 4 2 4 3 2 2 2 2 3" xfId="44268"/>
    <cellStyle name="표준 4 2 4 3 2 2 2 3" xfId="44269"/>
    <cellStyle name="표준 4 2 4 3 2 2 2 4" xfId="44270"/>
    <cellStyle name="표준 4 2 4 3 2 2 2 5" xfId="44271"/>
    <cellStyle name="표준 4 2 4 3 2 2 3" xfId="44272"/>
    <cellStyle name="표준 4 2 4 3 2 2 3 2" xfId="44273"/>
    <cellStyle name="표준 4 2 4 3 2 2 3 3" xfId="44274"/>
    <cellStyle name="표준 4 2 4 3 2 2 4" xfId="44275"/>
    <cellStyle name="표준 4 2 4 3 2 2 5" xfId="44276"/>
    <cellStyle name="표준 4 2 4 3 2 2 6" xfId="44277"/>
    <cellStyle name="표준 4 2 4 3 2 3" xfId="44278"/>
    <cellStyle name="표준 4 2 4 3 2 3 2" xfId="44279"/>
    <cellStyle name="표준 4 2 4 3 2 3 2 2" xfId="44280"/>
    <cellStyle name="표준 4 2 4 3 2 3 2 2 2" xfId="44281"/>
    <cellStyle name="표준 4 2 4 3 2 3 2 2 3" xfId="44282"/>
    <cellStyle name="표준 4 2 4 3 2 3 2 3" xfId="44283"/>
    <cellStyle name="표준 4 2 4 3 2 3 2 4" xfId="44284"/>
    <cellStyle name="표준 4 2 4 3 2 3 2 5" xfId="44285"/>
    <cellStyle name="표준 4 2 4 3 2 3 3" xfId="44286"/>
    <cellStyle name="표준 4 2 4 3 2 4" xfId="44287"/>
    <cellStyle name="표준 4 2 4 3 2 4 2" xfId="44288"/>
    <cellStyle name="표준 4 2 4 3 2 4 2 2" xfId="44289"/>
    <cellStyle name="표준 4 2 4 3 2 4 2 2 2" xfId="44290"/>
    <cellStyle name="표준 4 2 4 3 2 4 2 2 3" xfId="44291"/>
    <cellStyle name="표준 4 2 4 3 2 4 2 3" xfId="44292"/>
    <cellStyle name="표준 4 2 4 3 2 4 2 4" xfId="44293"/>
    <cellStyle name="표준 4 2 4 3 2 4 2 5" xfId="44294"/>
    <cellStyle name="표준 4 2 4 3 2 4 3" xfId="44295"/>
    <cellStyle name="표준 4 2 4 3 2 5" xfId="44296"/>
    <cellStyle name="표준 4 2 4 3 2 6" xfId="44297"/>
    <cellStyle name="표준 4 2 4 3 2 7" xfId="44298"/>
    <cellStyle name="표준 4 2 4 3 2 8" xfId="44299"/>
    <cellStyle name="표준 4 2 4 3 2 9" xfId="44300"/>
    <cellStyle name="표준 4 2 4 3 20" xfId="44301"/>
    <cellStyle name="표준 4 2 4 3 3" xfId="44302"/>
    <cellStyle name="표준 4 2 4 3 3 2" xfId="44303"/>
    <cellStyle name="표준 4 2 4 3 3 2 2" xfId="44304"/>
    <cellStyle name="표준 4 2 4 3 3 2 2 2" xfId="44305"/>
    <cellStyle name="표준 4 2 4 3 3 2 2 3" xfId="44306"/>
    <cellStyle name="표준 4 2 4 3 3 2 3" xfId="44307"/>
    <cellStyle name="표준 4 2 4 3 3 2 4" xfId="44308"/>
    <cellStyle name="표준 4 2 4 3 3 2 5" xfId="44309"/>
    <cellStyle name="표준 4 2 4 3 3 3" xfId="44310"/>
    <cellStyle name="표준 4 2 4 3 3 3 2" xfId="44311"/>
    <cellStyle name="표준 4 2 4 3 3 3 3" xfId="44312"/>
    <cellStyle name="표준 4 2 4 3 3 4" xfId="44313"/>
    <cellStyle name="표준 4 2 4 3 3 5" xfId="44314"/>
    <cellStyle name="표준 4 2 4 3 3 6" xfId="44315"/>
    <cellStyle name="표준 4 2 4 3 4" xfId="44316"/>
    <cellStyle name="표준 4 2 4 3 4 2" xfId="44317"/>
    <cellStyle name="표준 4 2 4 3 4 2 2" xfId="44318"/>
    <cellStyle name="표준 4 2 4 3 4 2 2 2" xfId="44319"/>
    <cellStyle name="표준 4 2 4 3 4 2 2 3" xfId="44320"/>
    <cellStyle name="표준 4 2 4 3 4 2 3" xfId="44321"/>
    <cellStyle name="표준 4 2 4 3 4 2 4" xfId="44322"/>
    <cellStyle name="표준 4 2 4 3 4 2 5" xfId="44323"/>
    <cellStyle name="표준 4 2 4 3 4 3" xfId="44324"/>
    <cellStyle name="표준 4 2 4 3 5" xfId="44325"/>
    <cellStyle name="표준 4 2 4 3 5 2" xfId="44326"/>
    <cellStyle name="표준 4 2 4 3 5 2 2" xfId="44327"/>
    <cellStyle name="표준 4 2 4 3 5 2 2 2" xfId="44328"/>
    <cellStyle name="표준 4 2 4 3 5 2 2 3" xfId="44329"/>
    <cellStyle name="표준 4 2 4 3 5 2 3" xfId="44330"/>
    <cellStyle name="표준 4 2 4 3 5 2 4" xfId="44331"/>
    <cellStyle name="표준 4 2 4 3 5 2 5" xfId="44332"/>
    <cellStyle name="표준 4 2 4 3 5 3" xfId="44333"/>
    <cellStyle name="표준 4 2 4 3 6" xfId="44334"/>
    <cellStyle name="표준 4 2 4 3 7" xfId="44335"/>
    <cellStyle name="표준 4 2 4 3 8" xfId="44336"/>
    <cellStyle name="표준 4 2 4 3 9" xfId="44337"/>
    <cellStyle name="표준 4 2 4 4" xfId="44338"/>
    <cellStyle name="표준 4 2 4 4 10" xfId="44339"/>
    <cellStyle name="표준 4 2 4 4 11" xfId="44340"/>
    <cellStyle name="표준 4 2 4 4 12" xfId="44341"/>
    <cellStyle name="표준 4 2 4 4 13" xfId="44342"/>
    <cellStyle name="표준 4 2 4 4 14" xfId="44343"/>
    <cellStyle name="표준 4 2 4 4 15" xfId="44344"/>
    <cellStyle name="표준 4 2 4 4 16" xfId="44345"/>
    <cellStyle name="표준 4 2 4 4 16 2" xfId="44346"/>
    <cellStyle name="표준 4 2 4 4 16 3" xfId="44347"/>
    <cellStyle name="표준 4 2 4 4 17" xfId="44348"/>
    <cellStyle name="표준 4 2 4 4 18" xfId="44349"/>
    <cellStyle name="표준 4 2 4 4 19" xfId="44350"/>
    <cellStyle name="표준 4 2 4 4 2" xfId="44351"/>
    <cellStyle name="표준 4 2 4 4 2 2" xfId="44352"/>
    <cellStyle name="표준 4 2 4 4 2 2 2" xfId="44353"/>
    <cellStyle name="표준 4 2 4 4 2 2 2 2" xfId="44354"/>
    <cellStyle name="표준 4 2 4 4 2 2 2 3" xfId="44355"/>
    <cellStyle name="표준 4 2 4 4 2 2 3" xfId="44356"/>
    <cellStyle name="표준 4 2 4 4 2 2 4" xfId="44357"/>
    <cellStyle name="표준 4 2 4 4 2 2 5" xfId="44358"/>
    <cellStyle name="표준 4 2 4 4 2 3" xfId="44359"/>
    <cellStyle name="표준 4 2 4 4 2 3 2" xfId="44360"/>
    <cellStyle name="표준 4 2 4 4 2 3 3" xfId="44361"/>
    <cellStyle name="표준 4 2 4 4 2 4" xfId="44362"/>
    <cellStyle name="표준 4 2 4 4 2 5" xfId="44363"/>
    <cellStyle name="표준 4 2 4 4 2 6" xfId="44364"/>
    <cellStyle name="표준 4 2 4 4 3" xfId="44365"/>
    <cellStyle name="표준 4 2 4 4 3 2" xfId="44366"/>
    <cellStyle name="표준 4 2 4 4 3 2 2" xfId="44367"/>
    <cellStyle name="표준 4 2 4 4 3 2 2 2" xfId="44368"/>
    <cellStyle name="표준 4 2 4 4 3 2 2 3" xfId="44369"/>
    <cellStyle name="표준 4 2 4 4 3 2 3" xfId="44370"/>
    <cellStyle name="표준 4 2 4 4 3 2 4" xfId="44371"/>
    <cellStyle name="표준 4 2 4 4 3 2 5" xfId="44372"/>
    <cellStyle name="표준 4 2 4 4 3 3" xfId="44373"/>
    <cellStyle name="표준 4 2 4 4 4" xfId="44374"/>
    <cellStyle name="표준 4 2 4 4 4 2" xfId="44375"/>
    <cellStyle name="표준 4 2 4 4 4 2 2" xfId="44376"/>
    <cellStyle name="표준 4 2 4 4 4 2 2 2" xfId="44377"/>
    <cellStyle name="표준 4 2 4 4 4 2 2 3" xfId="44378"/>
    <cellStyle name="표준 4 2 4 4 4 2 3" xfId="44379"/>
    <cellStyle name="표준 4 2 4 4 4 2 4" xfId="44380"/>
    <cellStyle name="표준 4 2 4 4 4 2 5" xfId="44381"/>
    <cellStyle name="표준 4 2 4 4 4 3" xfId="44382"/>
    <cellStyle name="표준 4 2 4 4 5" xfId="44383"/>
    <cellStyle name="표준 4 2 4 4 6" xfId="44384"/>
    <cellStyle name="표준 4 2 4 4 7" xfId="44385"/>
    <cellStyle name="표준 4 2 4 4 8" xfId="44386"/>
    <cellStyle name="표준 4 2 4 4 9" xfId="44387"/>
    <cellStyle name="표준 4 2 4 5" xfId="44388"/>
    <cellStyle name="표준 4 2 4 5 2" xfId="44389"/>
    <cellStyle name="표준 4 2 4 5 2 2" xfId="44390"/>
    <cellStyle name="표준 4 2 4 5 2 2 2" xfId="44391"/>
    <cellStyle name="표준 4 2 4 5 2 2 3" xfId="44392"/>
    <cellStyle name="표준 4 2 4 5 2 3" xfId="44393"/>
    <cellStyle name="표준 4 2 4 5 2 4" xfId="44394"/>
    <cellStyle name="표준 4 2 4 5 2 5" xfId="44395"/>
    <cellStyle name="표준 4 2 4 5 3" xfId="44396"/>
    <cellStyle name="표준 4 2 4 5 3 2" xfId="44397"/>
    <cellStyle name="표준 4 2 4 5 3 3" xfId="44398"/>
    <cellStyle name="표준 4 2 4 5 4" xfId="44399"/>
    <cellStyle name="표준 4 2 4 5 5" xfId="44400"/>
    <cellStyle name="표준 4 2 4 5 6" xfId="44401"/>
    <cellStyle name="표준 4 2 4 6" xfId="44402"/>
    <cellStyle name="표준 4 2 4 6 2" xfId="44403"/>
    <cellStyle name="표준 4 2 4 6 2 2" xfId="44404"/>
    <cellStyle name="표준 4 2 4 6 2 2 2" xfId="44405"/>
    <cellStyle name="표준 4 2 4 6 2 2 3" xfId="44406"/>
    <cellStyle name="표준 4 2 4 6 2 3" xfId="44407"/>
    <cellStyle name="표준 4 2 4 6 2 4" xfId="44408"/>
    <cellStyle name="표준 4 2 4 6 2 5" xfId="44409"/>
    <cellStyle name="표준 4 2 4 6 3" xfId="44410"/>
    <cellStyle name="표준 4 2 4 7" xfId="44411"/>
    <cellStyle name="표준 4 2 4 7 2" xfId="44412"/>
    <cellStyle name="표준 4 2 4 7 2 2" xfId="44413"/>
    <cellStyle name="표준 4 2 4 7 2 2 2" xfId="44414"/>
    <cellStyle name="표준 4 2 4 7 2 2 3" xfId="44415"/>
    <cellStyle name="표준 4 2 4 7 2 3" xfId="44416"/>
    <cellStyle name="표준 4 2 4 7 2 4" xfId="44417"/>
    <cellStyle name="표준 4 2 4 7 2 5" xfId="44418"/>
    <cellStyle name="표준 4 2 4 7 3" xfId="44419"/>
    <cellStyle name="표준 4 2 4 8" xfId="44420"/>
    <cellStyle name="표준 4 2 4 9" xfId="44421"/>
    <cellStyle name="표준 4 2 5" xfId="44422"/>
    <cellStyle name="표준 4 2 5 10" xfId="44423"/>
    <cellStyle name="표준 4 2 5 11" xfId="44424"/>
    <cellStyle name="표준 4 2 5 12" xfId="44425"/>
    <cellStyle name="표준 4 2 5 13" xfId="44426"/>
    <cellStyle name="표준 4 2 5 14" xfId="44427"/>
    <cellStyle name="표준 4 2 5 15" xfId="44428"/>
    <cellStyle name="표준 4 2 5 16" xfId="44429"/>
    <cellStyle name="표준 4 2 5 17" xfId="44430"/>
    <cellStyle name="표준 4 2 5 17 2" xfId="44431"/>
    <cellStyle name="표준 4 2 5 17 3" xfId="44432"/>
    <cellStyle name="표준 4 2 5 18" xfId="44433"/>
    <cellStyle name="표준 4 2 5 19" xfId="44434"/>
    <cellStyle name="표준 4 2 5 2" xfId="44435"/>
    <cellStyle name="표준 4 2 5 2 10" xfId="44436"/>
    <cellStyle name="표준 4 2 5 2 11" xfId="44437"/>
    <cellStyle name="표준 4 2 5 2 12" xfId="44438"/>
    <cellStyle name="표준 4 2 5 2 13" xfId="44439"/>
    <cellStyle name="표준 4 2 5 2 14" xfId="44440"/>
    <cellStyle name="표준 4 2 5 2 15" xfId="44441"/>
    <cellStyle name="표준 4 2 5 2 16" xfId="44442"/>
    <cellStyle name="표준 4 2 5 2 16 2" xfId="44443"/>
    <cellStyle name="표준 4 2 5 2 16 3" xfId="44444"/>
    <cellStyle name="표준 4 2 5 2 17" xfId="44445"/>
    <cellStyle name="표준 4 2 5 2 18" xfId="44446"/>
    <cellStyle name="표준 4 2 5 2 19" xfId="44447"/>
    <cellStyle name="표준 4 2 5 2 2" xfId="44448"/>
    <cellStyle name="표준 4 2 5 2 2 2" xfId="44449"/>
    <cellStyle name="표준 4 2 5 2 2 2 2" xfId="44450"/>
    <cellStyle name="표준 4 2 5 2 2 2 2 2" xfId="44451"/>
    <cellStyle name="표준 4 2 5 2 2 2 2 3" xfId="44452"/>
    <cellStyle name="표준 4 2 5 2 2 2 3" xfId="44453"/>
    <cellStyle name="표준 4 2 5 2 2 2 4" xfId="44454"/>
    <cellStyle name="표준 4 2 5 2 2 2 5" xfId="44455"/>
    <cellStyle name="표준 4 2 5 2 2 3" xfId="44456"/>
    <cellStyle name="표준 4 2 5 2 2 3 2" xfId="44457"/>
    <cellStyle name="표준 4 2 5 2 2 3 3" xfId="44458"/>
    <cellStyle name="표준 4 2 5 2 2 4" xfId="44459"/>
    <cellStyle name="표준 4 2 5 2 2 5" xfId="44460"/>
    <cellStyle name="표준 4 2 5 2 2 6" xfId="44461"/>
    <cellStyle name="표준 4 2 5 2 3" xfId="44462"/>
    <cellStyle name="표준 4 2 5 2 3 2" xfId="44463"/>
    <cellStyle name="표준 4 2 5 2 3 2 2" xfId="44464"/>
    <cellStyle name="표준 4 2 5 2 3 2 2 2" xfId="44465"/>
    <cellStyle name="표준 4 2 5 2 3 2 2 3" xfId="44466"/>
    <cellStyle name="표준 4 2 5 2 3 2 3" xfId="44467"/>
    <cellStyle name="표준 4 2 5 2 3 2 4" xfId="44468"/>
    <cellStyle name="표준 4 2 5 2 3 2 5" xfId="44469"/>
    <cellStyle name="표준 4 2 5 2 3 3" xfId="44470"/>
    <cellStyle name="표준 4 2 5 2 4" xfId="44471"/>
    <cellStyle name="표준 4 2 5 2 4 2" xfId="44472"/>
    <cellStyle name="표준 4 2 5 2 4 2 2" xfId="44473"/>
    <cellStyle name="표준 4 2 5 2 4 2 2 2" xfId="44474"/>
    <cellStyle name="표준 4 2 5 2 4 2 2 3" xfId="44475"/>
    <cellStyle name="표준 4 2 5 2 4 2 3" xfId="44476"/>
    <cellStyle name="표준 4 2 5 2 4 2 4" xfId="44477"/>
    <cellStyle name="표준 4 2 5 2 4 2 5" xfId="44478"/>
    <cellStyle name="표준 4 2 5 2 4 3" xfId="44479"/>
    <cellStyle name="표준 4 2 5 2 5" xfId="44480"/>
    <cellStyle name="표준 4 2 5 2 6" xfId="44481"/>
    <cellStyle name="표준 4 2 5 2 7" xfId="44482"/>
    <cellStyle name="표준 4 2 5 2 8" xfId="44483"/>
    <cellStyle name="표준 4 2 5 2 9" xfId="44484"/>
    <cellStyle name="표준 4 2 5 20" xfId="44485"/>
    <cellStyle name="표준 4 2 5 3" xfId="44486"/>
    <cellStyle name="표준 4 2 5 3 2" xfId="44487"/>
    <cellStyle name="표준 4 2 5 3 2 2" xfId="44488"/>
    <cellStyle name="표준 4 2 5 3 2 2 2" xfId="44489"/>
    <cellStyle name="표준 4 2 5 3 2 2 3" xfId="44490"/>
    <cellStyle name="표준 4 2 5 3 2 3" xfId="44491"/>
    <cellStyle name="표준 4 2 5 3 2 4" xfId="44492"/>
    <cellStyle name="표준 4 2 5 3 2 5" xfId="44493"/>
    <cellStyle name="표준 4 2 5 3 3" xfId="44494"/>
    <cellStyle name="표준 4 2 5 3 3 2" xfId="44495"/>
    <cellStyle name="표준 4 2 5 3 3 3" xfId="44496"/>
    <cellStyle name="표준 4 2 5 3 4" xfId="44497"/>
    <cellStyle name="표준 4 2 5 3 5" xfId="44498"/>
    <cellStyle name="표준 4 2 5 3 6" xfId="44499"/>
    <cellStyle name="표준 4 2 5 4" xfId="44500"/>
    <cellStyle name="표준 4 2 5 4 2" xfId="44501"/>
    <cellStyle name="표준 4 2 5 4 2 2" xfId="44502"/>
    <cellStyle name="표준 4 2 5 4 2 2 2" xfId="44503"/>
    <cellStyle name="표준 4 2 5 4 2 2 3" xfId="44504"/>
    <cellStyle name="표준 4 2 5 4 2 3" xfId="44505"/>
    <cellStyle name="표준 4 2 5 4 2 4" xfId="44506"/>
    <cellStyle name="표준 4 2 5 4 2 5" xfId="44507"/>
    <cellStyle name="표준 4 2 5 4 3" xfId="44508"/>
    <cellStyle name="표준 4 2 5 5" xfId="44509"/>
    <cellStyle name="표준 4 2 5 5 2" xfId="44510"/>
    <cellStyle name="표준 4 2 5 5 2 2" xfId="44511"/>
    <cellStyle name="표준 4 2 5 5 2 2 2" xfId="44512"/>
    <cellStyle name="표준 4 2 5 5 2 2 3" xfId="44513"/>
    <cellStyle name="표준 4 2 5 5 2 3" xfId="44514"/>
    <cellStyle name="표준 4 2 5 5 2 4" xfId="44515"/>
    <cellStyle name="표준 4 2 5 5 2 5" xfId="44516"/>
    <cellStyle name="표준 4 2 5 5 3" xfId="44517"/>
    <cellStyle name="표준 4 2 5 6" xfId="44518"/>
    <cellStyle name="표준 4 2 5 7" xfId="44519"/>
    <cellStyle name="표준 4 2 5 8" xfId="44520"/>
    <cellStyle name="표준 4 2 5 9" xfId="44521"/>
    <cellStyle name="표준 4 2 6" xfId="44522"/>
    <cellStyle name="표준 4 2 6 10" xfId="44523"/>
    <cellStyle name="표준 4 2 6 11" xfId="44524"/>
    <cellStyle name="표준 4 2 6 12" xfId="44525"/>
    <cellStyle name="표준 4 2 6 13" xfId="44526"/>
    <cellStyle name="표준 4 2 6 14" xfId="44527"/>
    <cellStyle name="표준 4 2 6 15" xfId="44528"/>
    <cellStyle name="표준 4 2 6 16" xfId="44529"/>
    <cellStyle name="표준 4 2 6 17" xfId="44530"/>
    <cellStyle name="표준 4 2 6 17 2" xfId="44531"/>
    <cellStyle name="표준 4 2 6 17 3" xfId="44532"/>
    <cellStyle name="표준 4 2 6 18" xfId="44533"/>
    <cellStyle name="표준 4 2 6 19" xfId="44534"/>
    <cellStyle name="표준 4 2 6 2" xfId="44535"/>
    <cellStyle name="표준 4 2 6 2 10" xfId="44536"/>
    <cellStyle name="표준 4 2 6 2 11" xfId="44537"/>
    <cellStyle name="표준 4 2 6 2 12" xfId="44538"/>
    <cellStyle name="표준 4 2 6 2 13" xfId="44539"/>
    <cellStyle name="표준 4 2 6 2 14" xfId="44540"/>
    <cellStyle name="표준 4 2 6 2 15" xfId="44541"/>
    <cellStyle name="표준 4 2 6 2 16" xfId="44542"/>
    <cellStyle name="표준 4 2 6 2 16 2" xfId="44543"/>
    <cellStyle name="표준 4 2 6 2 16 3" xfId="44544"/>
    <cellStyle name="표준 4 2 6 2 17" xfId="44545"/>
    <cellStyle name="표준 4 2 6 2 18" xfId="44546"/>
    <cellStyle name="표준 4 2 6 2 19" xfId="44547"/>
    <cellStyle name="표준 4 2 6 2 2" xfId="44548"/>
    <cellStyle name="표준 4 2 6 2 2 2" xfId="44549"/>
    <cellStyle name="표준 4 2 6 2 2 2 2" xfId="44550"/>
    <cellStyle name="표준 4 2 6 2 2 2 2 2" xfId="44551"/>
    <cellStyle name="표준 4 2 6 2 2 2 2 3" xfId="44552"/>
    <cellStyle name="표준 4 2 6 2 2 2 3" xfId="44553"/>
    <cellStyle name="표준 4 2 6 2 2 2 4" xfId="44554"/>
    <cellStyle name="표준 4 2 6 2 2 2 5" xfId="44555"/>
    <cellStyle name="표준 4 2 6 2 2 3" xfId="44556"/>
    <cellStyle name="표준 4 2 6 2 2 3 2" xfId="44557"/>
    <cellStyle name="표준 4 2 6 2 2 3 3" xfId="44558"/>
    <cellStyle name="표준 4 2 6 2 2 4" xfId="44559"/>
    <cellStyle name="표준 4 2 6 2 2 5" xfId="44560"/>
    <cellStyle name="표준 4 2 6 2 2 6" xfId="44561"/>
    <cellStyle name="표준 4 2 6 2 3" xfId="44562"/>
    <cellStyle name="표준 4 2 6 2 3 2" xfId="44563"/>
    <cellStyle name="표준 4 2 6 2 3 2 2" xfId="44564"/>
    <cellStyle name="표준 4 2 6 2 3 2 2 2" xfId="44565"/>
    <cellStyle name="표준 4 2 6 2 3 2 2 3" xfId="44566"/>
    <cellStyle name="표준 4 2 6 2 3 2 3" xfId="44567"/>
    <cellStyle name="표준 4 2 6 2 3 2 4" xfId="44568"/>
    <cellStyle name="표준 4 2 6 2 3 2 5" xfId="44569"/>
    <cellStyle name="표준 4 2 6 2 3 3" xfId="44570"/>
    <cellStyle name="표준 4 2 6 2 4" xfId="44571"/>
    <cellStyle name="표준 4 2 6 2 4 2" xfId="44572"/>
    <cellStyle name="표준 4 2 6 2 4 2 2" xfId="44573"/>
    <cellStyle name="표준 4 2 6 2 4 2 2 2" xfId="44574"/>
    <cellStyle name="표준 4 2 6 2 4 2 2 3" xfId="44575"/>
    <cellStyle name="표준 4 2 6 2 4 2 3" xfId="44576"/>
    <cellStyle name="표준 4 2 6 2 4 2 4" xfId="44577"/>
    <cellStyle name="표준 4 2 6 2 4 2 5" xfId="44578"/>
    <cellStyle name="표준 4 2 6 2 4 3" xfId="44579"/>
    <cellStyle name="표준 4 2 6 2 5" xfId="44580"/>
    <cellStyle name="표준 4 2 6 2 6" xfId="44581"/>
    <cellStyle name="표준 4 2 6 2 7" xfId="44582"/>
    <cellStyle name="표준 4 2 6 2 8" xfId="44583"/>
    <cellStyle name="표준 4 2 6 2 9" xfId="44584"/>
    <cellStyle name="표준 4 2 6 20" xfId="44585"/>
    <cellStyle name="표준 4 2 6 3" xfId="44586"/>
    <cellStyle name="표준 4 2 6 3 2" xfId="44587"/>
    <cellStyle name="표준 4 2 6 3 2 2" xfId="44588"/>
    <cellStyle name="표준 4 2 6 3 2 2 2" xfId="44589"/>
    <cellStyle name="표준 4 2 6 3 2 2 3" xfId="44590"/>
    <cellStyle name="표준 4 2 6 3 2 3" xfId="44591"/>
    <cellStyle name="표준 4 2 6 3 2 4" xfId="44592"/>
    <cellStyle name="표준 4 2 6 3 2 5" xfId="44593"/>
    <cellStyle name="표준 4 2 6 3 3" xfId="44594"/>
    <cellStyle name="표준 4 2 6 3 3 2" xfId="44595"/>
    <cellStyle name="표준 4 2 6 3 3 3" xfId="44596"/>
    <cellStyle name="표준 4 2 6 3 4" xfId="44597"/>
    <cellStyle name="표준 4 2 6 3 5" xfId="44598"/>
    <cellStyle name="표준 4 2 6 3 6" xfId="44599"/>
    <cellStyle name="표준 4 2 6 4" xfId="44600"/>
    <cellStyle name="표준 4 2 6 4 2" xfId="44601"/>
    <cellStyle name="표준 4 2 6 4 2 2" xfId="44602"/>
    <cellStyle name="표준 4 2 6 4 2 2 2" xfId="44603"/>
    <cellStyle name="표준 4 2 6 4 2 2 3" xfId="44604"/>
    <cellStyle name="표준 4 2 6 4 2 3" xfId="44605"/>
    <cellStyle name="표준 4 2 6 4 2 4" xfId="44606"/>
    <cellStyle name="표준 4 2 6 4 2 5" xfId="44607"/>
    <cellStyle name="표준 4 2 6 4 3" xfId="44608"/>
    <cellStyle name="표준 4 2 6 5" xfId="44609"/>
    <cellStyle name="표준 4 2 6 5 2" xfId="44610"/>
    <cellStyle name="표준 4 2 6 5 2 2" xfId="44611"/>
    <cellStyle name="표준 4 2 6 5 2 2 2" xfId="44612"/>
    <cellStyle name="표준 4 2 6 5 2 2 3" xfId="44613"/>
    <cellStyle name="표준 4 2 6 5 2 3" xfId="44614"/>
    <cellStyle name="표준 4 2 6 5 2 4" xfId="44615"/>
    <cellStyle name="표준 4 2 6 5 2 5" xfId="44616"/>
    <cellStyle name="표준 4 2 6 5 3" xfId="44617"/>
    <cellStyle name="표준 4 2 6 6" xfId="44618"/>
    <cellStyle name="표준 4 2 6 7" xfId="44619"/>
    <cellStyle name="표준 4 2 6 8" xfId="44620"/>
    <cellStyle name="표준 4 2 6 9" xfId="44621"/>
    <cellStyle name="표준 4 2 7" xfId="44622"/>
    <cellStyle name="표준 4 2 7 10" xfId="44623"/>
    <cellStyle name="표준 4 2 7 11" xfId="44624"/>
    <cellStyle name="표준 4 2 7 12" xfId="44625"/>
    <cellStyle name="표준 4 2 7 13" xfId="44626"/>
    <cellStyle name="표준 4 2 7 14" xfId="44627"/>
    <cellStyle name="표준 4 2 7 15" xfId="44628"/>
    <cellStyle name="표준 4 2 7 16" xfId="44629"/>
    <cellStyle name="표준 4 2 7 16 2" xfId="44630"/>
    <cellStyle name="표준 4 2 7 16 3" xfId="44631"/>
    <cellStyle name="표준 4 2 7 17" xfId="44632"/>
    <cellStyle name="표준 4 2 7 18" xfId="44633"/>
    <cellStyle name="표준 4 2 7 19" xfId="44634"/>
    <cellStyle name="표준 4 2 7 2" xfId="44635"/>
    <cellStyle name="표준 4 2 7 2 2" xfId="44636"/>
    <cellStyle name="표준 4 2 7 2 3" xfId="44637"/>
    <cellStyle name="표준 4 2 7 2 3 2" xfId="44638"/>
    <cellStyle name="표준 4 2 7 2 3 3" xfId="44639"/>
    <cellStyle name="표준 4 2 7 2 4" xfId="44640"/>
    <cellStyle name="표준 4 2 7 2 5" xfId="44641"/>
    <cellStyle name="표준 4 2 7 2 6" xfId="44642"/>
    <cellStyle name="표준 4 2 7 3" xfId="44643"/>
    <cellStyle name="표준 4 2 7 3 2" xfId="44644"/>
    <cellStyle name="표준 4 2 7 3 2 2" xfId="44645"/>
    <cellStyle name="표준 4 2 7 3 2 2 2" xfId="44646"/>
    <cellStyle name="표준 4 2 7 3 2 2 3" xfId="44647"/>
    <cellStyle name="표준 4 2 7 3 2 3" xfId="44648"/>
    <cellStyle name="표준 4 2 7 3 2 4" xfId="44649"/>
    <cellStyle name="표준 4 2 7 3 2 5" xfId="44650"/>
    <cellStyle name="표준 4 2 7 3 3" xfId="44651"/>
    <cellStyle name="표준 4 2 7 4" xfId="44652"/>
    <cellStyle name="표준 4 2 7 4 2" xfId="44653"/>
    <cellStyle name="표준 4 2 7 4 2 2" xfId="44654"/>
    <cellStyle name="표준 4 2 7 4 2 2 2" xfId="44655"/>
    <cellStyle name="표준 4 2 7 4 2 2 3" xfId="44656"/>
    <cellStyle name="표준 4 2 7 4 2 3" xfId="44657"/>
    <cellStyle name="표준 4 2 7 4 2 4" xfId="44658"/>
    <cellStyle name="표준 4 2 7 4 2 5" xfId="44659"/>
    <cellStyle name="표준 4 2 7 4 3" xfId="44660"/>
    <cellStyle name="표준 4 2 7 5" xfId="44661"/>
    <cellStyle name="표준 4 2 7 6" xfId="44662"/>
    <cellStyle name="표준 4 2 7 7" xfId="44663"/>
    <cellStyle name="표준 4 2 7 8" xfId="44664"/>
    <cellStyle name="표준 4 2 7 9" xfId="44665"/>
    <cellStyle name="표준 4 2 8" xfId="44666"/>
    <cellStyle name="표준 4 2 8 2" xfId="44667"/>
    <cellStyle name="표준 4 2 8 3" xfId="44668"/>
    <cellStyle name="표준 4 2 8 3 2" xfId="44669"/>
    <cellStyle name="표준 4 2 8 3 3" xfId="44670"/>
    <cellStyle name="표준 4 2 8 4" xfId="44671"/>
    <cellStyle name="표준 4 2 8 5" xfId="44672"/>
    <cellStyle name="표준 4 2 8 6" xfId="44673"/>
    <cellStyle name="표준 4 2 9" xfId="44674"/>
    <cellStyle name="표준 4 2 9 2" xfId="44675"/>
    <cellStyle name="표준 4 2 9 2 2" xfId="44676"/>
    <cellStyle name="표준 4 2 9 2 2 2" xfId="44677"/>
    <cellStyle name="표준 4 2 9 2 2 3" xfId="44678"/>
    <cellStyle name="표준 4 2 9 2 3" xfId="44679"/>
    <cellStyle name="표준 4 2 9 2 4" xfId="44680"/>
    <cellStyle name="표준 4 2 9 2 5" xfId="44681"/>
    <cellStyle name="표준 4 2 9 3" xfId="44682"/>
    <cellStyle name="표준 4 20" xfId="44683"/>
    <cellStyle name="표준 4 20 2" xfId="44684"/>
    <cellStyle name="표준 4 21" xfId="44685"/>
    <cellStyle name="표준 4 21 2" xfId="44686"/>
    <cellStyle name="표준 4 22" xfId="44687"/>
    <cellStyle name="표준 4 22 2" xfId="44688"/>
    <cellStyle name="표준 4 23" xfId="44689"/>
    <cellStyle name="표준 4 23 2" xfId="44690"/>
    <cellStyle name="표준 4 24" xfId="44691"/>
    <cellStyle name="표준 4 25" xfId="44692"/>
    <cellStyle name="표준 4 3" xfId="44693"/>
    <cellStyle name="표준 4 3 10" xfId="44694"/>
    <cellStyle name="표준 4 3 11" xfId="44695"/>
    <cellStyle name="표준 4 3 12" xfId="44696"/>
    <cellStyle name="표준 4 3 13" xfId="44697"/>
    <cellStyle name="표준 4 3 14" xfId="44698"/>
    <cellStyle name="표준 4 3 15" xfId="44699"/>
    <cellStyle name="표준 4 3 16" xfId="44700"/>
    <cellStyle name="표준 4 3 17" xfId="44701"/>
    <cellStyle name="표준 4 3 18" xfId="44702"/>
    <cellStyle name="표준 4 3 19" xfId="44703"/>
    <cellStyle name="표준 4 3 2" xfId="44704"/>
    <cellStyle name="표준 4 3 2 10" xfId="44705"/>
    <cellStyle name="표준 4 3 2 11" xfId="44706"/>
    <cellStyle name="표준 4 3 2 12" xfId="44707"/>
    <cellStyle name="표준 4 3 2 13" xfId="44708"/>
    <cellStyle name="표준 4 3 2 14" xfId="44709"/>
    <cellStyle name="표준 4 3 2 15" xfId="44710"/>
    <cellStyle name="표준 4 3 2 16" xfId="44711"/>
    <cellStyle name="표준 4 3 2 17" xfId="44712"/>
    <cellStyle name="표준 4 3 2 18" xfId="44713"/>
    <cellStyle name="표준 4 3 2 19" xfId="44714"/>
    <cellStyle name="표준 4 3 2 2" xfId="44715"/>
    <cellStyle name="표준 4 3 2 2 10" xfId="44716"/>
    <cellStyle name="표준 4 3 2 2 11" xfId="44717"/>
    <cellStyle name="표준 4 3 2 2 12" xfId="44718"/>
    <cellStyle name="표준 4 3 2 2 13" xfId="44719"/>
    <cellStyle name="표준 4 3 2 2 14" xfId="44720"/>
    <cellStyle name="표준 4 3 2 2 15" xfId="44721"/>
    <cellStyle name="표준 4 3 2 2 16" xfId="44722"/>
    <cellStyle name="표준 4 3 2 2 17" xfId="44723"/>
    <cellStyle name="표준 4 3 2 2 18" xfId="44724"/>
    <cellStyle name="표준 4 3 2 2 19" xfId="44725"/>
    <cellStyle name="표준 4 3 2 2 19 2" xfId="44726"/>
    <cellStyle name="표준 4 3 2 2 19 3" xfId="44727"/>
    <cellStyle name="표준 4 3 2 2 2" xfId="44728"/>
    <cellStyle name="표준 4 3 2 2 2 10" xfId="44729"/>
    <cellStyle name="표준 4 3 2 2 2 11" xfId="44730"/>
    <cellStyle name="표준 4 3 2 2 2 12" xfId="44731"/>
    <cellStyle name="표준 4 3 2 2 2 13" xfId="44732"/>
    <cellStyle name="표준 4 3 2 2 2 14" xfId="44733"/>
    <cellStyle name="표준 4 3 2 2 2 15" xfId="44734"/>
    <cellStyle name="표준 4 3 2 2 2 16" xfId="44735"/>
    <cellStyle name="표준 4 3 2 2 2 17" xfId="44736"/>
    <cellStyle name="표준 4 3 2 2 2 17 2" xfId="44737"/>
    <cellStyle name="표준 4 3 2 2 2 17 3" xfId="44738"/>
    <cellStyle name="표준 4 3 2 2 2 18" xfId="44739"/>
    <cellStyle name="표준 4 3 2 2 2 19" xfId="44740"/>
    <cellStyle name="표준 4 3 2 2 2 2" xfId="44741"/>
    <cellStyle name="표준 4 3 2 2 2 2 10" xfId="44742"/>
    <cellStyle name="표준 4 3 2 2 2 2 11" xfId="44743"/>
    <cellStyle name="표준 4 3 2 2 2 2 12" xfId="44744"/>
    <cellStyle name="표준 4 3 2 2 2 2 13" xfId="44745"/>
    <cellStyle name="표준 4 3 2 2 2 2 14" xfId="44746"/>
    <cellStyle name="표준 4 3 2 2 2 2 15" xfId="44747"/>
    <cellStyle name="표준 4 3 2 2 2 2 16" xfId="44748"/>
    <cellStyle name="표준 4 3 2 2 2 2 16 2" xfId="44749"/>
    <cellStyle name="표준 4 3 2 2 2 2 16 3" xfId="44750"/>
    <cellStyle name="표준 4 3 2 2 2 2 17" xfId="44751"/>
    <cellStyle name="표준 4 3 2 2 2 2 18" xfId="44752"/>
    <cellStyle name="표준 4 3 2 2 2 2 19" xfId="44753"/>
    <cellStyle name="표준 4 3 2 2 2 2 2" xfId="44754"/>
    <cellStyle name="표준 4 3 2 2 2 2 2 2" xfId="44755"/>
    <cellStyle name="표준 4 3 2 2 2 2 2 2 2" xfId="44756"/>
    <cellStyle name="표준 4 3 2 2 2 2 2 2 2 2" xfId="44757"/>
    <cellStyle name="표준 4 3 2 2 2 2 2 2 2 3" xfId="44758"/>
    <cellStyle name="표준 4 3 2 2 2 2 2 2 3" xfId="44759"/>
    <cellStyle name="표준 4 3 2 2 2 2 2 2 4" xfId="44760"/>
    <cellStyle name="표준 4 3 2 2 2 2 2 2 5" xfId="44761"/>
    <cellStyle name="표준 4 3 2 2 2 2 2 3" xfId="44762"/>
    <cellStyle name="표준 4 3 2 2 2 2 2 3 2" xfId="44763"/>
    <cellStyle name="표준 4 3 2 2 2 2 2 3 3" xfId="44764"/>
    <cellStyle name="표준 4 3 2 2 2 2 2 4" xfId="44765"/>
    <cellStyle name="표준 4 3 2 2 2 2 2 5" xfId="44766"/>
    <cellStyle name="표준 4 3 2 2 2 2 2 6" xfId="44767"/>
    <cellStyle name="표준 4 3 2 2 2 2 3" xfId="44768"/>
    <cellStyle name="표준 4 3 2 2 2 2 3 2" xfId="44769"/>
    <cellStyle name="표준 4 3 2 2 2 2 3 2 2" xfId="44770"/>
    <cellStyle name="표준 4 3 2 2 2 2 3 2 2 2" xfId="44771"/>
    <cellStyle name="표준 4 3 2 2 2 2 3 2 2 3" xfId="44772"/>
    <cellStyle name="표준 4 3 2 2 2 2 3 2 3" xfId="44773"/>
    <cellStyle name="표준 4 3 2 2 2 2 3 2 4" xfId="44774"/>
    <cellStyle name="표준 4 3 2 2 2 2 3 2 5" xfId="44775"/>
    <cellStyle name="표준 4 3 2 2 2 2 3 3" xfId="44776"/>
    <cellStyle name="표준 4 3 2 2 2 2 4" xfId="44777"/>
    <cellStyle name="표준 4 3 2 2 2 2 4 2" xfId="44778"/>
    <cellStyle name="표준 4 3 2 2 2 2 4 2 2" xfId="44779"/>
    <cellStyle name="표준 4 3 2 2 2 2 4 2 2 2" xfId="44780"/>
    <cellStyle name="표준 4 3 2 2 2 2 4 2 2 3" xfId="44781"/>
    <cellStyle name="표준 4 3 2 2 2 2 4 2 3" xfId="44782"/>
    <cellStyle name="표준 4 3 2 2 2 2 4 2 4" xfId="44783"/>
    <cellStyle name="표준 4 3 2 2 2 2 4 2 5" xfId="44784"/>
    <cellStyle name="표준 4 3 2 2 2 2 4 3" xfId="44785"/>
    <cellStyle name="표준 4 3 2 2 2 2 5" xfId="44786"/>
    <cellStyle name="표준 4 3 2 2 2 2 6" xfId="44787"/>
    <cellStyle name="표준 4 3 2 2 2 2 7" xfId="44788"/>
    <cellStyle name="표준 4 3 2 2 2 2 8" xfId="44789"/>
    <cellStyle name="표준 4 3 2 2 2 2 9" xfId="44790"/>
    <cellStyle name="표준 4 3 2 2 2 20" xfId="44791"/>
    <cellStyle name="표준 4 3 2 2 2 3" xfId="44792"/>
    <cellStyle name="표준 4 3 2 2 2 3 2" xfId="44793"/>
    <cellStyle name="표준 4 3 2 2 2 3 2 2" xfId="44794"/>
    <cellStyle name="표준 4 3 2 2 2 3 2 2 2" xfId="44795"/>
    <cellStyle name="표준 4 3 2 2 2 3 2 2 3" xfId="44796"/>
    <cellStyle name="표준 4 3 2 2 2 3 2 3" xfId="44797"/>
    <cellStyle name="표준 4 3 2 2 2 3 2 4" xfId="44798"/>
    <cellStyle name="표준 4 3 2 2 2 3 2 5" xfId="44799"/>
    <cellStyle name="표준 4 3 2 2 2 3 3" xfId="44800"/>
    <cellStyle name="표준 4 3 2 2 2 3 3 2" xfId="44801"/>
    <cellStyle name="표준 4 3 2 2 2 3 3 3" xfId="44802"/>
    <cellStyle name="표준 4 3 2 2 2 3 4" xfId="44803"/>
    <cellStyle name="표준 4 3 2 2 2 3 5" xfId="44804"/>
    <cellStyle name="표준 4 3 2 2 2 3 6" xfId="44805"/>
    <cellStyle name="표준 4 3 2 2 2 4" xfId="44806"/>
    <cellStyle name="표준 4 3 2 2 2 4 2" xfId="44807"/>
    <cellStyle name="표준 4 3 2 2 2 4 2 2" xfId="44808"/>
    <cellStyle name="표준 4 3 2 2 2 4 2 2 2" xfId="44809"/>
    <cellStyle name="표준 4 3 2 2 2 4 2 2 3" xfId="44810"/>
    <cellStyle name="표준 4 3 2 2 2 4 2 3" xfId="44811"/>
    <cellStyle name="표준 4 3 2 2 2 4 2 4" xfId="44812"/>
    <cellStyle name="표준 4 3 2 2 2 4 2 5" xfId="44813"/>
    <cellStyle name="표준 4 3 2 2 2 4 3" xfId="44814"/>
    <cellStyle name="표준 4 3 2 2 2 5" xfId="44815"/>
    <cellStyle name="표준 4 3 2 2 2 5 2" xfId="44816"/>
    <cellStyle name="표준 4 3 2 2 2 5 2 2" xfId="44817"/>
    <cellStyle name="표준 4 3 2 2 2 5 2 2 2" xfId="44818"/>
    <cellStyle name="표준 4 3 2 2 2 5 2 2 3" xfId="44819"/>
    <cellStyle name="표준 4 3 2 2 2 5 2 3" xfId="44820"/>
    <cellStyle name="표준 4 3 2 2 2 5 2 4" xfId="44821"/>
    <cellStyle name="표준 4 3 2 2 2 5 2 5" xfId="44822"/>
    <cellStyle name="표준 4 3 2 2 2 5 3" xfId="44823"/>
    <cellStyle name="표준 4 3 2 2 2 6" xfId="44824"/>
    <cellStyle name="표준 4 3 2 2 2 7" xfId="44825"/>
    <cellStyle name="표준 4 3 2 2 2 8" xfId="44826"/>
    <cellStyle name="표준 4 3 2 2 2 9" xfId="44827"/>
    <cellStyle name="표준 4 3 2 2 20" xfId="44828"/>
    <cellStyle name="표준 4 3 2 2 21" xfId="44829"/>
    <cellStyle name="표준 4 3 2 2 22" xfId="44830"/>
    <cellStyle name="표준 4 3 2 2 3" xfId="44831"/>
    <cellStyle name="표준 4 3 2 2 3 10" xfId="44832"/>
    <cellStyle name="표준 4 3 2 2 3 11" xfId="44833"/>
    <cellStyle name="표준 4 3 2 2 3 12" xfId="44834"/>
    <cellStyle name="표준 4 3 2 2 3 13" xfId="44835"/>
    <cellStyle name="표준 4 3 2 2 3 14" xfId="44836"/>
    <cellStyle name="표준 4 3 2 2 3 15" xfId="44837"/>
    <cellStyle name="표준 4 3 2 2 3 16" xfId="44838"/>
    <cellStyle name="표준 4 3 2 2 3 17" xfId="44839"/>
    <cellStyle name="표준 4 3 2 2 3 17 2" xfId="44840"/>
    <cellStyle name="표준 4 3 2 2 3 17 3" xfId="44841"/>
    <cellStyle name="표준 4 3 2 2 3 18" xfId="44842"/>
    <cellStyle name="표준 4 3 2 2 3 19" xfId="44843"/>
    <cellStyle name="표준 4 3 2 2 3 2" xfId="44844"/>
    <cellStyle name="표준 4 3 2 2 3 2 10" xfId="44845"/>
    <cellStyle name="표준 4 3 2 2 3 2 11" xfId="44846"/>
    <cellStyle name="표준 4 3 2 2 3 2 12" xfId="44847"/>
    <cellStyle name="표준 4 3 2 2 3 2 13" xfId="44848"/>
    <cellStyle name="표준 4 3 2 2 3 2 14" xfId="44849"/>
    <cellStyle name="표준 4 3 2 2 3 2 15" xfId="44850"/>
    <cellStyle name="표준 4 3 2 2 3 2 16" xfId="44851"/>
    <cellStyle name="표준 4 3 2 2 3 2 16 2" xfId="44852"/>
    <cellStyle name="표준 4 3 2 2 3 2 16 3" xfId="44853"/>
    <cellStyle name="표준 4 3 2 2 3 2 17" xfId="44854"/>
    <cellStyle name="표준 4 3 2 2 3 2 18" xfId="44855"/>
    <cellStyle name="표준 4 3 2 2 3 2 19" xfId="44856"/>
    <cellStyle name="표준 4 3 2 2 3 2 2" xfId="44857"/>
    <cellStyle name="표준 4 3 2 2 3 2 2 2" xfId="44858"/>
    <cellStyle name="표준 4 3 2 2 3 2 2 2 2" xfId="44859"/>
    <cellStyle name="표준 4 3 2 2 3 2 2 2 2 2" xfId="44860"/>
    <cellStyle name="표준 4 3 2 2 3 2 2 2 2 3" xfId="44861"/>
    <cellStyle name="표준 4 3 2 2 3 2 2 2 3" xfId="44862"/>
    <cellStyle name="표준 4 3 2 2 3 2 2 2 4" xfId="44863"/>
    <cellStyle name="표준 4 3 2 2 3 2 2 2 5" xfId="44864"/>
    <cellStyle name="표준 4 3 2 2 3 2 2 3" xfId="44865"/>
    <cellStyle name="표준 4 3 2 2 3 2 2 3 2" xfId="44866"/>
    <cellStyle name="표준 4 3 2 2 3 2 2 3 3" xfId="44867"/>
    <cellStyle name="표준 4 3 2 2 3 2 2 4" xfId="44868"/>
    <cellStyle name="표준 4 3 2 2 3 2 2 5" xfId="44869"/>
    <cellStyle name="표준 4 3 2 2 3 2 2 6" xfId="44870"/>
    <cellStyle name="표준 4 3 2 2 3 2 3" xfId="44871"/>
    <cellStyle name="표준 4 3 2 2 3 2 3 2" xfId="44872"/>
    <cellStyle name="표준 4 3 2 2 3 2 3 2 2" xfId="44873"/>
    <cellStyle name="표준 4 3 2 2 3 2 3 2 2 2" xfId="44874"/>
    <cellStyle name="표준 4 3 2 2 3 2 3 2 2 3" xfId="44875"/>
    <cellStyle name="표준 4 3 2 2 3 2 3 2 3" xfId="44876"/>
    <cellStyle name="표준 4 3 2 2 3 2 3 2 4" xfId="44877"/>
    <cellStyle name="표준 4 3 2 2 3 2 3 2 5" xfId="44878"/>
    <cellStyle name="표준 4 3 2 2 3 2 3 3" xfId="44879"/>
    <cellStyle name="표준 4 3 2 2 3 2 4" xfId="44880"/>
    <cellStyle name="표준 4 3 2 2 3 2 4 2" xfId="44881"/>
    <cellStyle name="표준 4 3 2 2 3 2 4 2 2" xfId="44882"/>
    <cellStyle name="표준 4 3 2 2 3 2 4 2 2 2" xfId="44883"/>
    <cellStyle name="표준 4 3 2 2 3 2 4 2 2 3" xfId="44884"/>
    <cellStyle name="표준 4 3 2 2 3 2 4 2 3" xfId="44885"/>
    <cellStyle name="표준 4 3 2 2 3 2 4 2 4" xfId="44886"/>
    <cellStyle name="표준 4 3 2 2 3 2 4 2 5" xfId="44887"/>
    <cellStyle name="표준 4 3 2 2 3 2 4 3" xfId="44888"/>
    <cellStyle name="표준 4 3 2 2 3 2 5" xfId="44889"/>
    <cellStyle name="표준 4 3 2 2 3 2 6" xfId="44890"/>
    <cellStyle name="표준 4 3 2 2 3 2 7" xfId="44891"/>
    <cellStyle name="표준 4 3 2 2 3 2 8" xfId="44892"/>
    <cellStyle name="표준 4 3 2 2 3 2 9" xfId="44893"/>
    <cellStyle name="표준 4 3 2 2 3 20" xfId="44894"/>
    <cellStyle name="표준 4 3 2 2 3 3" xfId="44895"/>
    <cellStyle name="표준 4 3 2 2 3 3 2" xfId="44896"/>
    <cellStyle name="표준 4 3 2 2 3 3 2 2" xfId="44897"/>
    <cellStyle name="표준 4 3 2 2 3 3 2 2 2" xfId="44898"/>
    <cellStyle name="표준 4 3 2 2 3 3 2 2 3" xfId="44899"/>
    <cellStyle name="표준 4 3 2 2 3 3 2 3" xfId="44900"/>
    <cellStyle name="표준 4 3 2 2 3 3 2 4" xfId="44901"/>
    <cellStyle name="표준 4 3 2 2 3 3 2 5" xfId="44902"/>
    <cellStyle name="표준 4 3 2 2 3 3 3" xfId="44903"/>
    <cellStyle name="표준 4 3 2 2 3 3 3 2" xfId="44904"/>
    <cellStyle name="표준 4 3 2 2 3 3 3 3" xfId="44905"/>
    <cellStyle name="표준 4 3 2 2 3 3 4" xfId="44906"/>
    <cellStyle name="표준 4 3 2 2 3 3 5" xfId="44907"/>
    <cellStyle name="표준 4 3 2 2 3 3 6" xfId="44908"/>
    <cellStyle name="표준 4 3 2 2 3 4" xfId="44909"/>
    <cellStyle name="표준 4 3 2 2 3 4 2" xfId="44910"/>
    <cellStyle name="표준 4 3 2 2 3 4 2 2" xfId="44911"/>
    <cellStyle name="표준 4 3 2 2 3 4 2 2 2" xfId="44912"/>
    <cellStyle name="표준 4 3 2 2 3 4 2 2 3" xfId="44913"/>
    <cellStyle name="표준 4 3 2 2 3 4 2 3" xfId="44914"/>
    <cellStyle name="표준 4 3 2 2 3 4 2 4" xfId="44915"/>
    <cellStyle name="표준 4 3 2 2 3 4 2 5" xfId="44916"/>
    <cellStyle name="표준 4 3 2 2 3 4 3" xfId="44917"/>
    <cellStyle name="표준 4 3 2 2 3 5" xfId="44918"/>
    <cellStyle name="표준 4 3 2 2 3 5 2" xfId="44919"/>
    <cellStyle name="표준 4 3 2 2 3 5 2 2" xfId="44920"/>
    <cellStyle name="표준 4 3 2 2 3 5 2 2 2" xfId="44921"/>
    <cellStyle name="표준 4 3 2 2 3 5 2 2 3" xfId="44922"/>
    <cellStyle name="표준 4 3 2 2 3 5 2 3" xfId="44923"/>
    <cellStyle name="표준 4 3 2 2 3 5 2 4" xfId="44924"/>
    <cellStyle name="표준 4 3 2 2 3 5 2 5" xfId="44925"/>
    <cellStyle name="표준 4 3 2 2 3 5 3" xfId="44926"/>
    <cellStyle name="표준 4 3 2 2 3 6" xfId="44927"/>
    <cellStyle name="표준 4 3 2 2 3 7" xfId="44928"/>
    <cellStyle name="표준 4 3 2 2 3 8" xfId="44929"/>
    <cellStyle name="표준 4 3 2 2 3 9" xfId="44930"/>
    <cellStyle name="표준 4 3 2 2 4" xfId="44931"/>
    <cellStyle name="표준 4 3 2 2 4 10" xfId="44932"/>
    <cellStyle name="표준 4 3 2 2 4 11" xfId="44933"/>
    <cellStyle name="표준 4 3 2 2 4 12" xfId="44934"/>
    <cellStyle name="표준 4 3 2 2 4 13" xfId="44935"/>
    <cellStyle name="표준 4 3 2 2 4 14" xfId="44936"/>
    <cellStyle name="표준 4 3 2 2 4 15" xfId="44937"/>
    <cellStyle name="표준 4 3 2 2 4 16" xfId="44938"/>
    <cellStyle name="표준 4 3 2 2 4 16 2" xfId="44939"/>
    <cellStyle name="표준 4 3 2 2 4 16 3" xfId="44940"/>
    <cellStyle name="표준 4 3 2 2 4 17" xfId="44941"/>
    <cellStyle name="표준 4 3 2 2 4 18" xfId="44942"/>
    <cellStyle name="표준 4 3 2 2 4 19" xfId="44943"/>
    <cellStyle name="표준 4 3 2 2 4 2" xfId="44944"/>
    <cellStyle name="표준 4 3 2 2 4 2 2" xfId="44945"/>
    <cellStyle name="표준 4 3 2 2 4 2 2 2" xfId="44946"/>
    <cellStyle name="표준 4 3 2 2 4 2 2 2 2" xfId="44947"/>
    <cellStyle name="표준 4 3 2 2 4 2 2 2 3" xfId="44948"/>
    <cellStyle name="표준 4 3 2 2 4 2 2 3" xfId="44949"/>
    <cellStyle name="표준 4 3 2 2 4 2 2 4" xfId="44950"/>
    <cellStyle name="표준 4 3 2 2 4 2 2 5" xfId="44951"/>
    <cellStyle name="표준 4 3 2 2 4 2 3" xfId="44952"/>
    <cellStyle name="표준 4 3 2 2 4 2 3 2" xfId="44953"/>
    <cellStyle name="표준 4 3 2 2 4 2 3 3" xfId="44954"/>
    <cellStyle name="표준 4 3 2 2 4 2 4" xfId="44955"/>
    <cellStyle name="표준 4 3 2 2 4 2 5" xfId="44956"/>
    <cellStyle name="표준 4 3 2 2 4 2 6" xfId="44957"/>
    <cellStyle name="표준 4 3 2 2 4 3" xfId="44958"/>
    <cellStyle name="표준 4 3 2 2 4 3 2" xfId="44959"/>
    <cellStyle name="표준 4 3 2 2 4 3 2 2" xfId="44960"/>
    <cellStyle name="표준 4 3 2 2 4 3 2 2 2" xfId="44961"/>
    <cellStyle name="표준 4 3 2 2 4 3 2 2 3" xfId="44962"/>
    <cellStyle name="표준 4 3 2 2 4 3 2 3" xfId="44963"/>
    <cellStyle name="표준 4 3 2 2 4 3 2 4" xfId="44964"/>
    <cellStyle name="표준 4 3 2 2 4 3 2 5" xfId="44965"/>
    <cellStyle name="표준 4 3 2 2 4 3 3" xfId="44966"/>
    <cellStyle name="표준 4 3 2 2 4 4" xfId="44967"/>
    <cellStyle name="표준 4 3 2 2 4 4 2" xfId="44968"/>
    <cellStyle name="표준 4 3 2 2 4 4 2 2" xfId="44969"/>
    <cellStyle name="표준 4 3 2 2 4 4 2 2 2" xfId="44970"/>
    <cellStyle name="표준 4 3 2 2 4 4 2 2 3" xfId="44971"/>
    <cellStyle name="표준 4 3 2 2 4 4 2 3" xfId="44972"/>
    <cellStyle name="표준 4 3 2 2 4 4 2 4" xfId="44973"/>
    <cellStyle name="표준 4 3 2 2 4 4 2 5" xfId="44974"/>
    <cellStyle name="표준 4 3 2 2 4 4 3" xfId="44975"/>
    <cellStyle name="표준 4 3 2 2 4 5" xfId="44976"/>
    <cellStyle name="표준 4 3 2 2 4 6" xfId="44977"/>
    <cellStyle name="표준 4 3 2 2 4 7" xfId="44978"/>
    <cellStyle name="표준 4 3 2 2 4 8" xfId="44979"/>
    <cellStyle name="표준 4 3 2 2 4 9" xfId="44980"/>
    <cellStyle name="표준 4 3 2 2 5" xfId="44981"/>
    <cellStyle name="표준 4 3 2 2 5 2" xfId="44982"/>
    <cellStyle name="표준 4 3 2 2 5 2 2" xfId="44983"/>
    <cellStyle name="표준 4 3 2 2 5 2 2 2" xfId="44984"/>
    <cellStyle name="표준 4 3 2 2 5 2 2 3" xfId="44985"/>
    <cellStyle name="표준 4 3 2 2 5 2 3" xfId="44986"/>
    <cellStyle name="표준 4 3 2 2 5 2 4" xfId="44987"/>
    <cellStyle name="표준 4 3 2 2 5 2 5" xfId="44988"/>
    <cellStyle name="표준 4 3 2 2 5 3" xfId="44989"/>
    <cellStyle name="표준 4 3 2 2 5 3 2" xfId="44990"/>
    <cellStyle name="표준 4 3 2 2 5 3 3" xfId="44991"/>
    <cellStyle name="표준 4 3 2 2 5 4" xfId="44992"/>
    <cellStyle name="표준 4 3 2 2 5 5" xfId="44993"/>
    <cellStyle name="표준 4 3 2 2 5 6" xfId="44994"/>
    <cellStyle name="표준 4 3 2 2 6" xfId="44995"/>
    <cellStyle name="표준 4 3 2 2 6 2" xfId="44996"/>
    <cellStyle name="표준 4 3 2 2 6 2 2" xfId="44997"/>
    <cellStyle name="표준 4 3 2 2 6 2 2 2" xfId="44998"/>
    <cellStyle name="표준 4 3 2 2 6 2 2 3" xfId="44999"/>
    <cellStyle name="표준 4 3 2 2 6 2 3" xfId="45000"/>
    <cellStyle name="표준 4 3 2 2 6 2 4" xfId="45001"/>
    <cellStyle name="표준 4 3 2 2 6 2 5" xfId="45002"/>
    <cellStyle name="표준 4 3 2 2 6 3" xfId="45003"/>
    <cellStyle name="표준 4 3 2 2 7" xfId="45004"/>
    <cellStyle name="표준 4 3 2 2 7 2" xfId="45005"/>
    <cellStyle name="표준 4 3 2 2 7 2 2" xfId="45006"/>
    <cellStyle name="표준 4 3 2 2 7 2 2 2" xfId="45007"/>
    <cellStyle name="표준 4 3 2 2 7 2 2 3" xfId="45008"/>
    <cellStyle name="표준 4 3 2 2 7 2 3" xfId="45009"/>
    <cellStyle name="표준 4 3 2 2 7 2 4" xfId="45010"/>
    <cellStyle name="표준 4 3 2 2 7 2 5" xfId="45011"/>
    <cellStyle name="표준 4 3 2 2 7 3" xfId="45012"/>
    <cellStyle name="표준 4 3 2 2 8" xfId="45013"/>
    <cellStyle name="표준 4 3 2 2 9" xfId="45014"/>
    <cellStyle name="표준 4 3 2 20" xfId="45015"/>
    <cellStyle name="표준 4 3 2 20 2" xfId="45016"/>
    <cellStyle name="표준 4 3 2 20 3" xfId="45017"/>
    <cellStyle name="표준 4 3 2 21" xfId="45018"/>
    <cellStyle name="표준 4 3 2 22" xfId="45019"/>
    <cellStyle name="표준 4 3 2 23" xfId="45020"/>
    <cellStyle name="표준 4 3 2 3" xfId="45021"/>
    <cellStyle name="표준 4 3 2 3 10" xfId="45022"/>
    <cellStyle name="표준 4 3 2 3 11" xfId="45023"/>
    <cellStyle name="표준 4 3 2 3 12" xfId="45024"/>
    <cellStyle name="표준 4 3 2 3 13" xfId="45025"/>
    <cellStyle name="표준 4 3 2 3 14" xfId="45026"/>
    <cellStyle name="표준 4 3 2 3 15" xfId="45027"/>
    <cellStyle name="표준 4 3 2 3 16" xfId="45028"/>
    <cellStyle name="표준 4 3 2 3 17" xfId="45029"/>
    <cellStyle name="표준 4 3 2 3 17 2" xfId="45030"/>
    <cellStyle name="표준 4 3 2 3 17 3" xfId="45031"/>
    <cellStyle name="표준 4 3 2 3 18" xfId="45032"/>
    <cellStyle name="표준 4 3 2 3 19" xfId="45033"/>
    <cellStyle name="표준 4 3 2 3 2" xfId="45034"/>
    <cellStyle name="표준 4 3 2 3 2 10" xfId="45035"/>
    <cellStyle name="표준 4 3 2 3 2 11" xfId="45036"/>
    <cellStyle name="표준 4 3 2 3 2 12" xfId="45037"/>
    <cellStyle name="표준 4 3 2 3 2 13" xfId="45038"/>
    <cellStyle name="표준 4 3 2 3 2 14" xfId="45039"/>
    <cellStyle name="표준 4 3 2 3 2 15" xfId="45040"/>
    <cellStyle name="표준 4 3 2 3 2 16" xfId="45041"/>
    <cellStyle name="표준 4 3 2 3 2 16 2" xfId="45042"/>
    <cellStyle name="표준 4 3 2 3 2 16 3" xfId="45043"/>
    <cellStyle name="표준 4 3 2 3 2 17" xfId="45044"/>
    <cellStyle name="표준 4 3 2 3 2 18" xfId="45045"/>
    <cellStyle name="표준 4 3 2 3 2 19" xfId="45046"/>
    <cellStyle name="표준 4 3 2 3 2 2" xfId="45047"/>
    <cellStyle name="표준 4 3 2 3 2 2 2" xfId="45048"/>
    <cellStyle name="표준 4 3 2 3 2 2 2 2" xfId="45049"/>
    <cellStyle name="표준 4 3 2 3 2 2 2 2 2" xfId="45050"/>
    <cellStyle name="표준 4 3 2 3 2 2 2 2 3" xfId="45051"/>
    <cellStyle name="표준 4 3 2 3 2 2 2 3" xfId="45052"/>
    <cellStyle name="표준 4 3 2 3 2 2 2 4" xfId="45053"/>
    <cellStyle name="표준 4 3 2 3 2 2 2 5" xfId="45054"/>
    <cellStyle name="표준 4 3 2 3 2 2 3" xfId="45055"/>
    <cellStyle name="표준 4 3 2 3 2 2 3 2" xfId="45056"/>
    <cellStyle name="표준 4 3 2 3 2 2 3 3" xfId="45057"/>
    <cellStyle name="표준 4 3 2 3 2 2 4" xfId="45058"/>
    <cellStyle name="표준 4 3 2 3 2 2 5" xfId="45059"/>
    <cellStyle name="표준 4 3 2 3 2 2 6" xfId="45060"/>
    <cellStyle name="표준 4 3 2 3 2 3" xfId="45061"/>
    <cellStyle name="표준 4 3 2 3 2 3 2" xfId="45062"/>
    <cellStyle name="표준 4 3 2 3 2 3 2 2" xfId="45063"/>
    <cellStyle name="표준 4 3 2 3 2 3 2 2 2" xfId="45064"/>
    <cellStyle name="표준 4 3 2 3 2 3 2 2 3" xfId="45065"/>
    <cellStyle name="표준 4 3 2 3 2 3 2 3" xfId="45066"/>
    <cellStyle name="표준 4 3 2 3 2 3 2 4" xfId="45067"/>
    <cellStyle name="표준 4 3 2 3 2 3 2 5" xfId="45068"/>
    <cellStyle name="표준 4 3 2 3 2 3 3" xfId="45069"/>
    <cellStyle name="표준 4 3 2 3 2 4" xfId="45070"/>
    <cellStyle name="표준 4 3 2 3 2 4 2" xfId="45071"/>
    <cellStyle name="표준 4 3 2 3 2 4 2 2" xfId="45072"/>
    <cellStyle name="표준 4 3 2 3 2 4 2 2 2" xfId="45073"/>
    <cellStyle name="표준 4 3 2 3 2 4 2 2 3" xfId="45074"/>
    <cellStyle name="표준 4 3 2 3 2 4 2 3" xfId="45075"/>
    <cellStyle name="표준 4 3 2 3 2 4 2 4" xfId="45076"/>
    <cellStyle name="표준 4 3 2 3 2 4 2 5" xfId="45077"/>
    <cellStyle name="표준 4 3 2 3 2 4 3" xfId="45078"/>
    <cellStyle name="표준 4 3 2 3 2 5" xfId="45079"/>
    <cellStyle name="표준 4 3 2 3 2 6" xfId="45080"/>
    <cellStyle name="표준 4 3 2 3 2 7" xfId="45081"/>
    <cellStyle name="표준 4 3 2 3 2 8" xfId="45082"/>
    <cellStyle name="표준 4 3 2 3 2 9" xfId="45083"/>
    <cellStyle name="표준 4 3 2 3 20" xfId="45084"/>
    <cellStyle name="표준 4 3 2 3 3" xfId="45085"/>
    <cellStyle name="표준 4 3 2 3 3 2" xfId="45086"/>
    <cellStyle name="표준 4 3 2 3 3 2 2" xfId="45087"/>
    <cellStyle name="표준 4 3 2 3 3 2 2 2" xfId="45088"/>
    <cellStyle name="표준 4 3 2 3 3 2 2 3" xfId="45089"/>
    <cellStyle name="표준 4 3 2 3 3 2 3" xfId="45090"/>
    <cellStyle name="표준 4 3 2 3 3 2 4" xfId="45091"/>
    <cellStyle name="표준 4 3 2 3 3 2 5" xfId="45092"/>
    <cellStyle name="표준 4 3 2 3 3 3" xfId="45093"/>
    <cellStyle name="표준 4 3 2 3 3 3 2" xfId="45094"/>
    <cellStyle name="표준 4 3 2 3 3 3 3" xfId="45095"/>
    <cellStyle name="표준 4 3 2 3 3 4" xfId="45096"/>
    <cellStyle name="표준 4 3 2 3 3 5" xfId="45097"/>
    <cellStyle name="표준 4 3 2 3 3 6" xfId="45098"/>
    <cellStyle name="표준 4 3 2 3 4" xfId="45099"/>
    <cellStyle name="표준 4 3 2 3 4 2" xfId="45100"/>
    <cellStyle name="표준 4 3 2 3 4 2 2" xfId="45101"/>
    <cellStyle name="표준 4 3 2 3 4 2 2 2" xfId="45102"/>
    <cellStyle name="표준 4 3 2 3 4 2 2 3" xfId="45103"/>
    <cellStyle name="표준 4 3 2 3 4 2 3" xfId="45104"/>
    <cellStyle name="표준 4 3 2 3 4 2 4" xfId="45105"/>
    <cellStyle name="표준 4 3 2 3 4 2 5" xfId="45106"/>
    <cellStyle name="표준 4 3 2 3 4 3" xfId="45107"/>
    <cellStyle name="표준 4 3 2 3 5" xfId="45108"/>
    <cellStyle name="표준 4 3 2 3 5 2" xfId="45109"/>
    <cellStyle name="표준 4 3 2 3 5 2 2" xfId="45110"/>
    <cellStyle name="표준 4 3 2 3 5 2 2 2" xfId="45111"/>
    <cellStyle name="표준 4 3 2 3 5 2 2 3" xfId="45112"/>
    <cellStyle name="표준 4 3 2 3 5 2 3" xfId="45113"/>
    <cellStyle name="표준 4 3 2 3 5 2 4" xfId="45114"/>
    <cellStyle name="표준 4 3 2 3 5 2 5" xfId="45115"/>
    <cellStyle name="표준 4 3 2 3 5 3" xfId="45116"/>
    <cellStyle name="표준 4 3 2 3 6" xfId="45117"/>
    <cellStyle name="표준 4 3 2 3 7" xfId="45118"/>
    <cellStyle name="표준 4 3 2 3 8" xfId="45119"/>
    <cellStyle name="표준 4 3 2 3 9" xfId="45120"/>
    <cellStyle name="표준 4 3 2 4" xfId="45121"/>
    <cellStyle name="표준 4 3 2 4 10" xfId="45122"/>
    <cellStyle name="표준 4 3 2 4 11" xfId="45123"/>
    <cellStyle name="표준 4 3 2 4 12" xfId="45124"/>
    <cellStyle name="표준 4 3 2 4 13" xfId="45125"/>
    <cellStyle name="표준 4 3 2 4 14" xfId="45126"/>
    <cellStyle name="표준 4 3 2 4 15" xfId="45127"/>
    <cellStyle name="표준 4 3 2 4 16" xfId="45128"/>
    <cellStyle name="표준 4 3 2 4 17" xfId="45129"/>
    <cellStyle name="표준 4 3 2 4 17 2" xfId="45130"/>
    <cellStyle name="표준 4 3 2 4 17 3" xfId="45131"/>
    <cellStyle name="표준 4 3 2 4 18" xfId="45132"/>
    <cellStyle name="표준 4 3 2 4 19" xfId="45133"/>
    <cellStyle name="표준 4 3 2 4 2" xfId="45134"/>
    <cellStyle name="표준 4 3 2 4 2 10" xfId="45135"/>
    <cellStyle name="표준 4 3 2 4 2 11" xfId="45136"/>
    <cellStyle name="표준 4 3 2 4 2 12" xfId="45137"/>
    <cellStyle name="표준 4 3 2 4 2 13" xfId="45138"/>
    <cellStyle name="표준 4 3 2 4 2 14" xfId="45139"/>
    <cellStyle name="표준 4 3 2 4 2 15" xfId="45140"/>
    <cellStyle name="표준 4 3 2 4 2 16" xfId="45141"/>
    <cellStyle name="표준 4 3 2 4 2 16 2" xfId="45142"/>
    <cellStyle name="표준 4 3 2 4 2 16 3" xfId="45143"/>
    <cellStyle name="표준 4 3 2 4 2 17" xfId="45144"/>
    <cellStyle name="표준 4 3 2 4 2 18" xfId="45145"/>
    <cellStyle name="표준 4 3 2 4 2 19" xfId="45146"/>
    <cellStyle name="표준 4 3 2 4 2 2" xfId="45147"/>
    <cellStyle name="표준 4 3 2 4 2 2 2" xfId="45148"/>
    <cellStyle name="표준 4 3 2 4 2 2 2 2" xfId="45149"/>
    <cellStyle name="표준 4 3 2 4 2 2 2 2 2" xfId="45150"/>
    <cellStyle name="표준 4 3 2 4 2 2 2 2 3" xfId="45151"/>
    <cellStyle name="표준 4 3 2 4 2 2 2 3" xfId="45152"/>
    <cellStyle name="표준 4 3 2 4 2 2 2 4" xfId="45153"/>
    <cellStyle name="표준 4 3 2 4 2 2 2 5" xfId="45154"/>
    <cellStyle name="표준 4 3 2 4 2 2 3" xfId="45155"/>
    <cellStyle name="표준 4 3 2 4 2 2 3 2" xfId="45156"/>
    <cellStyle name="표준 4 3 2 4 2 2 3 3" xfId="45157"/>
    <cellStyle name="표준 4 3 2 4 2 2 4" xfId="45158"/>
    <cellStyle name="표준 4 3 2 4 2 2 5" xfId="45159"/>
    <cellStyle name="표준 4 3 2 4 2 2 6" xfId="45160"/>
    <cellStyle name="표준 4 3 2 4 2 3" xfId="45161"/>
    <cellStyle name="표준 4 3 2 4 2 3 2" xfId="45162"/>
    <cellStyle name="표준 4 3 2 4 2 3 2 2" xfId="45163"/>
    <cellStyle name="표준 4 3 2 4 2 3 2 2 2" xfId="45164"/>
    <cellStyle name="표준 4 3 2 4 2 3 2 2 3" xfId="45165"/>
    <cellStyle name="표준 4 3 2 4 2 3 2 3" xfId="45166"/>
    <cellStyle name="표준 4 3 2 4 2 3 2 4" xfId="45167"/>
    <cellStyle name="표준 4 3 2 4 2 3 2 5" xfId="45168"/>
    <cellStyle name="표준 4 3 2 4 2 3 3" xfId="45169"/>
    <cellStyle name="표준 4 3 2 4 2 4" xfId="45170"/>
    <cellStyle name="표준 4 3 2 4 2 4 2" xfId="45171"/>
    <cellStyle name="표준 4 3 2 4 2 4 2 2" xfId="45172"/>
    <cellStyle name="표준 4 3 2 4 2 4 2 2 2" xfId="45173"/>
    <cellStyle name="표준 4 3 2 4 2 4 2 2 3" xfId="45174"/>
    <cellStyle name="표준 4 3 2 4 2 4 2 3" xfId="45175"/>
    <cellStyle name="표준 4 3 2 4 2 4 2 4" xfId="45176"/>
    <cellStyle name="표준 4 3 2 4 2 4 2 5" xfId="45177"/>
    <cellStyle name="표준 4 3 2 4 2 4 3" xfId="45178"/>
    <cellStyle name="표준 4 3 2 4 2 5" xfId="45179"/>
    <cellStyle name="표준 4 3 2 4 2 6" xfId="45180"/>
    <cellStyle name="표준 4 3 2 4 2 7" xfId="45181"/>
    <cellStyle name="표준 4 3 2 4 2 8" xfId="45182"/>
    <cellStyle name="표준 4 3 2 4 2 9" xfId="45183"/>
    <cellStyle name="표준 4 3 2 4 20" xfId="45184"/>
    <cellStyle name="표준 4 3 2 4 3" xfId="45185"/>
    <cellStyle name="표준 4 3 2 4 3 2" xfId="45186"/>
    <cellStyle name="표준 4 3 2 4 3 2 2" xfId="45187"/>
    <cellStyle name="표준 4 3 2 4 3 2 2 2" xfId="45188"/>
    <cellStyle name="표준 4 3 2 4 3 2 2 3" xfId="45189"/>
    <cellStyle name="표준 4 3 2 4 3 2 3" xfId="45190"/>
    <cellStyle name="표준 4 3 2 4 3 2 4" xfId="45191"/>
    <cellStyle name="표준 4 3 2 4 3 2 5" xfId="45192"/>
    <cellStyle name="표준 4 3 2 4 3 3" xfId="45193"/>
    <cellStyle name="표준 4 3 2 4 3 3 2" xfId="45194"/>
    <cellStyle name="표준 4 3 2 4 3 3 3" xfId="45195"/>
    <cellStyle name="표준 4 3 2 4 3 4" xfId="45196"/>
    <cellStyle name="표준 4 3 2 4 3 5" xfId="45197"/>
    <cellStyle name="표준 4 3 2 4 3 6" xfId="45198"/>
    <cellStyle name="표준 4 3 2 4 4" xfId="45199"/>
    <cellStyle name="표준 4 3 2 4 4 2" xfId="45200"/>
    <cellStyle name="표준 4 3 2 4 4 2 2" xfId="45201"/>
    <cellStyle name="표준 4 3 2 4 4 2 2 2" xfId="45202"/>
    <cellStyle name="표준 4 3 2 4 4 2 2 3" xfId="45203"/>
    <cellStyle name="표준 4 3 2 4 4 2 3" xfId="45204"/>
    <cellStyle name="표준 4 3 2 4 4 2 4" xfId="45205"/>
    <cellStyle name="표준 4 3 2 4 4 2 5" xfId="45206"/>
    <cellStyle name="표준 4 3 2 4 4 3" xfId="45207"/>
    <cellStyle name="표준 4 3 2 4 5" xfId="45208"/>
    <cellStyle name="표준 4 3 2 4 5 2" xfId="45209"/>
    <cellStyle name="표준 4 3 2 4 5 2 2" xfId="45210"/>
    <cellStyle name="표준 4 3 2 4 5 2 2 2" xfId="45211"/>
    <cellStyle name="표준 4 3 2 4 5 2 2 3" xfId="45212"/>
    <cellStyle name="표준 4 3 2 4 5 2 3" xfId="45213"/>
    <cellStyle name="표준 4 3 2 4 5 2 4" xfId="45214"/>
    <cellStyle name="표준 4 3 2 4 5 2 5" xfId="45215"/>
    <cellStyle name="표준 4 3 2 4 5 3" xfId="45216"/>
    <cellStyle name="표준 4 3 2 4 6" xfId="45217"/>
    <cellStyle name="표준 4 3 2 4 7" xfId="45218"/>
    <cellStyle name="표준 4 3 2 4 8" xfId="45219"/>
    <cellStyle name="표준 4 3 2 4 9" xfId="45220"/>
    <cellStyle name="표준 4 3 2 5" xfId="45221"/>
    <cellStyle name="표준 4 3 2 5 10" xfId="45222"/>
    <cellStyle name="표준 4 3 2 5 11" xfId="45223"/>
    <cellStyle name="표준 4 3 2 5 12" xfId="45224"/>
    <cellStyle name="표준 4 3 2 5 13" xfId="45225"/>
    <cellStyle name="표준 4 3 2 5 14" xfId="45226"/>
    <cellStyle name="표준 4 3 2 5 15" xfId="45227"/>
    <cellStyle name="표준 4 3 2 5 16" xfId="45228"/>
    <cellStyle name="표준 4 3 2 5 16 2" xfId="45229"/>
    <cellStyle name="표준 4 3 2 5 16 3" xfId="45230"/>
    <cellStyle name="표준 4 3 2 5 17" xfId="45231"/>
    <cellStyle name="표준 4 3 2 5 18" xfId="45232"/>
    <cellStyle name="표준 4 3 2 5 19" xfId="45233"/>
    <cellStyle name="표준 4 3 2 5 2" xfId="45234"/>
    <cellStyle name="표준 4 3 2 5 2 2" xfId="45235"/>
    <cellStyle name="표준 4 3 2 5 2 2 2" xfId="45236"/>
    <cellStyle name="표준 4 3 2 5 2 2 2 2" xfId="45237"/>
    <cellStyle name="표준 4 3 2 5 2 2 2 3" xfId="45238"/>
    <cellStyle name="표준 4 3 2 5 2 2 3" xfId="45239"/>
    <cellStyle name="표준 4 3 2 5 2 2 4" xfId="45240"/>
    <cellStyle name="표준 4 3 2 5 2 2 5" xfId="45241"/>
    <cellStyle name="표준 4 3 2 5 2 3" xfId="45242"/>
    <cellStyle name="표준 4 3 2 5 2 3 2" xfId="45243"/>
    <cellStyle name="표준 4 3 2 5 2 3 3" xfId="45244"/>
    <cellStyle name="표준 4 3 2 5 2 4" xfId="45245"/>
    <cellStyle name="표준 4 3 2 5 2 5" xfId="45246"/>
    <cellStyle name="표준 4 3 2 5 2 6" xfId="45247"/>
    <cellStyle name="표준 4 3 2 5 3" xfId="45248"/>
    <cellStyle name="표준 4 3 2 5 3 2" xfId="45249"/>
    <cellStyle name="표준 4 3 2 5 3 2 2" xfId="45250"/>
    <cellStyle name="표준 4 3 2 5 3 2 2 2" xfId="45251"/>
    <cellStyle name="표준 4 3 2 5 3 2 2 3" xfId="45252"/>
    <cellStyle name="표준 4 3 2 5 3 2 3" xfId="45253"/>
    <cellStyle name="표준 4 3 2 5 3 2 4" xfId="45254"/>
    <cellStyle name="표준 4 3 2 5 3 2 5" xfId="45255"/>
    <cellStyle name="표준 4 3 2 5 3 3" xfId="45256"/>
    <cellStyle name="표준 4 3 2 5 4" xfId="45257"/>
    <cellStyle name="표준 4 3 2 5 4 2" xfId="45258"/>
    <cellStyle name="표준 4 3 2 5 4 2 2" xfId="45259"/>
    <cellStyle name="표준 4 3 2 5 4 2 2 2" xfId="45260"/>
    <cellStyle name="표준 4 3 2 5 4 2 2 3" xfId="45261"/>
    <cellStyle name="표준 4 3 2 5 4 2 3" xfId="45262"/>
    <cellStyle name="표준 4 3 2 5 4 2 4" xfId="45263"/>
    <cellStyle name="표준 4 3 2 5 4 2 5" xfId="45264"/>
    <cellStyle name="표준 4 3 2 5 4 3" xfId="45265"/>
    <cellStyle name="표준 4 3 2 5 5" xfId="45266"/>
    <cellStyle name="표준 4 3 2 5 6" xfId="45267"/>
    <cellStyle name="표준 4 3 2 5 7" xfId="45268"/>
    <cellStyle name="표준 4 3 2 5 8" xfId="45269"/>
    <cellStyle name="표준 4 3 2 5 9" xfId="45270"/>
    <cellStyle name="표준 4 3 2 6" xfId="45271"/>
    <cellStyle name="표준 4 3 2 6 2" xfId="45272"/>
    <cellStyle name="표준 4 3 2 6 2 2" xfId="45273"/>
    <cellStyle name="표준 4 3 2 6 2 2 2" xfId="45274"/>
    <cellStyle name="표준 4 3 2 6 2 2 3" xfId="45275"/>
    <cellStyle name="표준 4 3 2 6 2 3" xfId="45276"/>
    <cellStyle name="표준 4 3 2 6 2 4" xfId="45277"/>
    <cellStyle name="표준 4 3 2 6 2 5" xfId="45278"/>
    <cellStyle name="표준 4 3 2 6 3" xfId="45279"/>
    <cellStyle name="표준 4 3 2 6 3 2" xfId="45280"/>
    <cellStyle name="표준 4 3 2 6 3 3" xfId="45281"/>
    <cellStyle name="표준 4 3 2 6 4" xfId="45282"/>
    <cellStyle name="표준 4 3 2 6 5" xfId="45283"/>
    <cellStyle name="표준 4 3 2 6 6" xfId="45284"/>
    <cellStyle name="표준 4 3 2 7" xfId="45285"/>
    <cellStyle name="표준 4 3 2 7 2" xfId="45286"/>
    <cellStyle name="표준 4 3 2 7 2 2" xfId="45287"/>
    <cellStyle name="표준 4 3 2 7 2 2 2" xfId="45288"/>
    <cellStyle name="표준 4 3 2 7 2 2 3" xfId="45289"/>
    <cellStyle name="표준 4 3 2 7 2 3" xfId="45290"/>
    <cellStyle name="표준 4 3 2 7 2 4" xfId="45291"/>
    <cellStyle name="표준 4 3 2 7 2 5" xfId="45292"/>
    <cellStyle name="표준 4 3 2 7 3" xfId="45293"/>
    <cellStyle name="표준 4 3 2 8" xfId="45294"/>
    <cellStyle name="표준 4 3 2 8 2" xfId="45295"/>
    <cellStyle name="표준 4 3 2 8 2 2" xfId="45296"/>
    <cellStyle name="표준 4 3 2 8 2 2 2" xfId="45297"/>
    <cellStyle name="표준 4 3 2 8 2 2 3" xfId="45298"/>
    <cellStyle name="표준 4 3 2 8 2 3" xfId="45299"/>
    <cellStyle name="표준 4 3 2 8 2 4" xfId="45300"/>
    <cellStyle name="표준 4 3 2 8 2 5" xfId="45301"/>
    <cellStyle name="표준 4 3 2 8 3" xfId="45302"/>
    <cellStyle name="표준 4 3 2 9" xfId="45303"/>
    <cellStyle name="표준 4 3 20" xfId="45304"/>
    <cellStyle name="표준 4 3 21" xfId="45305"/>
    <cellStyle name="표준 4 3 21 2" xfId="45306"/>
    <cellStyle name="표준 4 3 21 3" xfId="45307"/>
    <cellStyle name="표준 4 3 22" xfId="45308"/>
    <cellStyle name="표준 4 3 23" xfId="45309"/>
    <cellStyle name="표준 4 3 24" xfId="45310"/>
    <cellStyle name="표준 4 3 3" xfId="45311"/>
    <cellStyle name="표준 4 3 3 10" xfId="45312"/>
    <cellStyle name="표준 4 3 3 11" xfId="45313"/>
    <cellStyle name="표준 4 3 3 12" xfId="45314"/>
    <cellStyle name="표준 4 3 3 13" xfId="45315"/>
    <cellStyle name="표준 4 3 3 14" xfId="45316"/>
    <cellStyle name="표준 4 3 3 15" xfId="45317"/>
    <cellStyle name="표준 4 3 3 16" xfId="45318"/>
    <cellStyle name="표준 4 3 3 17" xfId="45319"/>
    <cellStyle name="표준 4 3 3 18" xfId="45320"/>
    <cellStyle name="표준 4 3 3 19" xfId="45321"/>
    <cellStyle name="표준 4 3 3 19 2" xfId="45322"/>
    <cellStyle name="표준 4 3 3 19 3" xfId="45323"/>
    <cellStyle name="표준 4 3 3 2" xfId="45324"/>
    <cellStyle name="표준 4 3 3 2 10" xfId="45325"/>
    <cellStyle name="표준 4 3 3 2 11" xfId="45326"/>
    <cellStyle name="표준 4 3 3 2 12" xfId="45327"/>
    <cellStyle name="표준 4 3 3 2 13" xfId="45328"/>
    <cellStyle name="표준 4 3 3 2 14" xfId="45329"/>
    <cellStyle name="표준 4 3 3 2 15" xfId="45330"/>
    <cellStyle name="표준 4 3 3 2 16" xfId="45331"/>
    <cellStyle name="표준 4 3 3 2 17" xfId="45332"/>
    <cellStyle name="표준 4 3 3 2 17 2" xfId="45333"/>
    <cellStyle name="표준 4 3 3 2 17 3" xfId="45334"/>
    <cellStyle name="표준 4 3 3 2 18" xfId="45335"/>
    <cellStyle name="표준 4 3 3 2 19" xfId="45336"/>
    <cellStyle name="표준 4 3 3 2 2" xfId="45337"/>
    <cellStyle name="표준 4 3 3 2 2 10" xfId="45338"/>
    <cellStyle name="표준 4 3 3 2 2 11" xfId="45339"/>
    <cellStyle name="표준 4 3 3 2 2 12" xfId="45340"/>
    <cellStyle name="표준 4 3 3 2 2 13" xfId="45341"/>
    <cellStyle name="표준 4 3 3 2 2 14" xfId="45342"/>
    <cellStyle name="표준 4 3 3 2 2 15" xfId="45343"/>
    <cellStyle name="표준 4 3 3 2 2 16" xfId="45344"/>
    <cellStyle name="표준 4 3 3 2 2 16 2" xfId="45345"/>
    <cellStyle name="표준 4 3 3 2 2 16 3" xfId="45346"/>
    <cellStyle name="표준 4 3 3 2 2 17" xfId="45347"/>
    <cellStyle name="표준 4 3 3 2 2 18" xfId="45348"/>
    <cellStyle name="표준 4 3 3 2 2 19" xfId="45349"/>
    <cellStyle name="표준 4 3 3 2 2 2" xfId="45350"/>
    <cellStyle name="표준 4 3 3 2 2 2 2" xfId="45351"/>
    <cellStyle name="표준 4 3 3 2 2 2 2 2" xfId="45352"/>
    <cellStyle name="표준 4 3 3 2 2 2 2 2 2" xfId="45353"/>
    <cellStyle name="표준 4 3 3 2 2 2 2 2 3" xfId="45354"/>
    <cellStyle name="표준 4 3 3 2 2 2 2 3" xfId="45355"/>
    <cellStyle name="표준 4 3 3 2 2 2 2 4" xfId="45356"/>
    <cellStyle name="표준 4 3 3 2 2 2 2 5" xfId="45357"/>
    <cellStyle name="표준 4 3 3 2 2 2 3" xfId="45358"/>
    <cellStyle name="표준 4 3 3 2 2 2 3 2" xfId="45359"/>
    <cellStyle name="표준 4 3 3 2 2 2 3 3" xfId="45360"/>
    <cellStyle name="표준 4 3 3 2 2 2 4" xfId="45361"/>
    <cellStyle name="표준 4 3 3 2 2 2 5" xfId="45362"/>
    <cellStyle name="표준 4 3 3 2 2 2 6" xfId="45363"/>
    <cellStyle name="표준 4 3 3 2 2 3" xfId="45364"/>
    <cellStyle name="표준 4 3 3 2 2 3 2" xfId="45365"/>
    <cellStyle name="표준 4 3 3 2 2 3 2 2" xfId="45366"/>
    <cellStyle name="표준 4 3 3 2 2 3 2 2 2" xfId="45367"/>
    <cellStyle name="표준 4 3 3 2 2 3 2 2 3" xfId="45368"/>
    <cellStyle name="표준 4 3 3 2 2 3 2 3" xfId="45369"/>
    <cellStyle name="표준 4 3 3 2 2 3 2 4" xfId="45370"/>
    <cellStyle name="표준 4 3 3 2 2 3 2 5" xfId="45371"/>
    <cellStyle name="표준 4 3 3 2 2 3 3" xfId="45372"/>
    <cellStyle name="표준 4 3 3 2 2 4" xfId="45373"/>
    <cellStyle name="표준 4 3 3 2 2 4 2" xfId="45374"/>
    <cellStyle name="표준 4 3 3 2 2 4 2 2" xfId="45375"/>
    <cellStyle name="표준 4 3 3 2 2 4 2 2 2" xfId="45376"/>
    <cellStyle name="표준 4 3 3 2 2 4 2 2 3" xfId="45377"/>
    <cellStyle name="표준 4 3 3 2 2 4 2 3" xfId="45378"/>
    <cellStyle name="표준 4 3 3 2 2 4 2 4" xfId="45379"/>
    <cellStyle name="표준 4 3 3 2 2 4 2 5" xfId="45380"/>
    <cellStyle name="표준 4 3 3 2 2 4 3" xfId="45381"/>
    <cellStyle name="표준 4 3 3 2 2 5" xfId="45382"/>
    <cellStyle name="표준 4 3 3 2 2 6" xfId="45383"/>
    <cellStyle name="표준 4 3 3 2 2 7" xfId="45384"/>
    <cellStyle name="표준 4 3 3 2 2 8" xfId="45385"/>
    <cellStyle name="표준 4 3 3 2 2 9" xfId="45386"/>
    <cellStyle name="표준 4 3 3 2 20" xfId="45387"/>
    <cellStyle name="표준 4 3 3 2 3" xfId="45388"/>
    <cellStyle name="표준 4 3 3 2 3 2" xfId="45389"/>
    <cellStyle name="표준 4 3 3 2 3 2 2" xfId="45390"/>
    <cellStyle name="표준 4 3 3 2 3 2 2 2" xfId="45391"/>
    <cellStyle name="표준 4 3 3 2 3 2 2 3" xfId="45392"/>
    <cellStyle name="표준 4 3 3 2 3 2 3" xfId="45393"/>
    <cellStyle name="표준 4 3 3 2 3 2 4" xfId="45394"/>
    <cellStyle name="표준 4 3 3 2 3 2 5" xfId="45395"/>
    <cellStyle name="표준 4 3 3 2 3 3" xfId="45396"/>
    <cellStyle name="표준 4 3 3 2 3 3 2" xfId="45397"/>
    <cellStyle name="표준 4 3 3 2 3 3 3" xfId="45398"/>
    <cellStyle name="표준 4 3 3 2 3 4" xfId="45399"/>
    <cellStyle name="표준 4 3 3 2 3 5" xfId="45400"/>
    <cellStyle name="표준 4 3 3 2 3 6" xfId="45401"/>
    <cellStyle name="표준 4 3 3 2 4" xfId="45402"/>
    <cellStyle name="표준 4 3 3 2 4 2" xfId="45403"/>
    <cellStyle name="표준 4 3 3 2 4 2 2" xfId="45404"/>
    <cellStyle name="표준 4 3 3 2 4 2 2 2" xfId="45405"/>
    <cellStyle name="표준 4 3 3 2 4 2 2 3" xfId="45406"/>
    <cellStyle name="표준 4 3 3 2 4 2 3" xfId="45407"/>
    <cellStyle name="표준 4 3 3 2 4 2 4" xfId="45408"/>
    <cellStyle name="표준 4 3 3 2 4 2 5" xfId="45409"/>
    <cellStyle name="표준 4 3 3 2 4 3" xfId="45410"/>
    <cellStyle name="표준 4 3 3 2 5" xfId="45411"/>
    <cellStyle name="표준 4 3 3 2 5 2" xfId="45412"/>
    <cellStyle name="표준 4 3 3 2 5 2 2" xfId="45413"/>
    <cellStyle name="표준 4 3 3 2 5 2 2 2" xfId="45414"/>
    <cellStyle name="표준 4 3 3 2 5 2 2 3" xfId="45415"/>
    <cellStyle name="표준 4 3 3 2 5 2 3" xfId="45416"/>
    <cellStyle name="표준 4 3 3 2 5 2 4" xfId="45417"/>
    <cellStyle name="표준 4 3 3 2 5 2 5" xfId="45418"/>
    <cellStyle name="표준 4 3 3 2 5 3" xfId="45419"/>
    <cellStyle name="표준 4 3 3 2 6" xfId="45420"/>
    <cellStyle name="표준 4 3 3 2 7" xfId="45421"/>
    <cellStyle name="표준 4 3 3 2 8" xfId="45422"/>
    <cellStyle name="표준 4 3 3 2 9" xfId="45423"/>
    <cellStyle name="표준 4 3 3 20" xfId="45424"/>
    <cellStyle name="표준 4 3 3 21" xfId="45425"/>
    <cellStyle name="표준 4 3 3 22" xfId="45426"/>
    <cellStyle name="표준 4 3 3 3" xfId="45427"/>
    <cellStyle name="표준 4 3 3 3 10" xfId="45428"/>
    <cellStyle name="표준 4 3 3 3 11" xfId="45429"/>
    <cellStyle name="표준 4 3 3 3 12" xfId="45430"/>
    <cellStyle name="표준 4 3 3 3 13" xfId="45431"/>
    <cellStyle name="표준 4 3 3 3 14" xfId="45432"/>
    <cellStyle name="표준 4 3 3 3 15" xfId="45433"/>
    <cellStyle name="표준 4 3 3 3 16" xfId="45434"/>
    <cellStyle name="표준 4 3 3 3 17" xfId="45435"/>
    <cellStyle name="표준 4 3 3 3 17 2" xfId="45436"/>
    <cellStyle name="표준 4 3 3 3 17 3" xfId="45437"/>
    <cellStyle name="표준 4 3 3 3 18" xfId="45438"/>
    <cellStyle name="표준 4 3 3 3 19" xfId="45439"/>
    <cellStyle name="표준 4 3 3 3 2" xfId="45440"/>
    <cellStyle name="표준 4 3 3 3 2 10" xfId="45441"/>
    <cellStyle name="표준 4 3 3 3 2 11" xfId="45442"/>
    <cellStyle name="표준 4 3 3 3 2 12" xfId="45443"/>
    <cellStyle name="표준 4 3 3 3 2 13" xfId="45444"/>
    <cellStyle name="표준 4 3 3 3 2 14" xfId="45445"/>
    <cellStyle name="표준 4 3 3 3 2 15" xfId="45446"/>
    <cellStyle name="표준 4 3 3 3 2 16" xfId="45447"/>
    <cellStyle name="표준 4 3 3 3 2 16 2" xfId="45448"/>
    <cellStyle name="표준 4 3 3 3 2 16 3" xfId="45449"/>
    <cellStyle name="표준 4 3 3 3 2 17" xfId="45450"/>
    <cellStyle name="표준 4 3 3 3 2 18" xfId="45451"/>
    <cellStyle name="표준 4 3 3 3 2 19" xfId="45452"/>
    <cellStyle name="표준 4 3 3 3 2 2" xfId="45453"/>
    <cellStyle name="표준 4 3 3 3 2 2 2" xfId="45454"/>
    <cellStyle name="표준 4 3 3 3 2 2 2 2" xfId="45455"/>
    <cellStyle name="표준 4 3 3 3 2 2 2 2 2" xfId="45456"/>
    <cellStyle name="표준 4 3 3 3 2 2 2 2 3" xfId="45457"/>
    <cellStyle name="표준 4 3 3 3 2 2 2 3" xfId="45458"/>
    <cellStyle name="표준 4 3 3 3 2 2 2 4" xfId="45459"/>
    <cellStyle name="표준 4 3 3 3 2 2 2 5" xfId="45460"/>
    <cellStyle name="표준 4 3 3 3 2 2 3" xfId="45461"/>
    <cellStyle name="표준 4 3 3 3 2 2 3 2" xfId="45462"/>
    <cellStyle name="표준 4 3 3 3 2 2 3 3" xfId="45463"/>
    <cellStyle name="표준 4 3 3 3 2 2 4" xfId="45464"/>
    <cellStyle name="표준 4 3 3 3 2 2 5" xfId="45465"/>
    <cellStyle name="표준 4 3 3 3 2 2 6" xfId="45466"/>
    <cellStyle name="표준 4 3 3 3 2 3" xfId="45467"/>
    <cellStyle name="표준 4 3 3 3 2 3 2" xfId="45468"/>
    <cellStyle name="표준 4 3 3 3 2 3 2 2" xfId="45469"/>
    <cellStyle name="표준 4 3 3 3 2 3 2 2 2" xfId="45470"/>
    <cellStyle name="표준 4 3 3 3 2 3 2 2 3" xfId="45471"/>
    <cellStyle name="표준 4 3 3 3 2 3 2 3" xfId="45472"/>
    <cellStyle name="표준 4 3 3 3 2 3 2 4" xfId="45473"/>
    <cellStyle name="표준 4 3 3 3 2 3 2 5" xfId="45474"/>
    <cellStyle name="표준 4 3 3 3 2 3 3" xfId="45475"/>
    <cellStyle name="표준 4 3 3 3 2 4" xfId="45476"/>
    <cellStyle name="표준 4 3 3 3 2 4 2" xfId="45477"/>
    <cellStyle name="표준 4 3 3 3 2 4 2 2" xfId="45478"/>
    <cellStyle name="표준 4 3 3 3 2 4 2 2 2" xfId="45479"/>
    <cellStyle name="표준 4 3 3 3 2 4 2 2 3" xfId="45480"/>
    <cellStyle name="표준 4 3 3 3 2 4 2 3" xfId="45481"/>
    <cellStyle name="표준 4 3 3 3 2 4 2 4" xfId="45482"/>
    <cellStyle name="표준 4 3 3 3 2 4 2 5" xfId="45483"/>
    <cellStyle name="표준 4 3 3 3 2 4 3" xfId="45484"/>
    <cellStyle name="표준 4 3 3 3 2 5" xfId="45485"/>
    <cellStyle name="표준 4 3 3 3 2 6" xfId="45486"/>
    <cellStyle name="표준 4 3 3 3 2 7" xfId="45487"/>
    <cellStyle name="표준 4 3 3 3 2 8" xfId="45488"/>
    <cellStyle name="표준 4 3 3 3 2 9" xfId="45489"/>
    <cellStyle name="표준 4 3 3 3 20" xfId="45490"/>
    <cellStyle name="표준 4 3 3 3 3" xfId="45491"/>
    <cellStyle name="표준 4 3 3 3 3 2" xfId="45492"/>
    <cellStyle name="표준 4 3 3 3 3 2 2" xfId="45493"/>
    <cellStyle name="표준 4 3 3 3 3 2 2 2" xfId="45494"/>
    <cellStyle name="표준 4 3 3 3 3 2 2 3" xfId="45495"/>
    <cellStyle name="표준 4 3 3 3 3 2 3" xfId="45496"/>
    <cellStyle name="표준 4 3 3 3 3 2 4" xfId="45497"/>
    <cellStyle name="표준 4 3 3 3 3 2 5" xfId="45498"/>
    <cellStyle name="표준 4 3 3 3 3 3" xfId="45499"/>
    <cellStyle name="표준 4 3 3 3 3 3 2" xfId="45500"/>
    <cellStyle name="표준 4 3 3 3 3 3 3" xfId="45501"/>
    <cellStyle name="표준 4 3 3 3 3 4" xfId="45502"/>
    <cellStyle name="표준 4 3 3 3 3 5" xfId="45503"/>
    <cellStyle name="표준 4 3 3 3 3 6" xfId="45504"/>
    <cellStyle name="표준 4 3 3 3 4" xfId="45505"/>
    <cellStyle name="표준 4 3 3 3 4 2" xfId="45506"/>
    <cellStyle name="표준 4 3 3 3 4 2 2" xfId="45507"/>
    <cellStyle name="표준 4 3 3 3 4 2 2 2" xfId="45508"/>
    <cellStyle name="표준 4 3 3 3 4 2 2 3" xfId="45509"/>
    <cellStyle name="표준 4 3 3 3 4 2 3" xfId="45510"/>
    <cellStyle name="표준 4 3 3 3 4 2 4" xfId="45511"/>
    <cellStyle name="표준 4 3 3 3 4 2 5" xfId="45512"/>
    <cellStyle name="표준 4 3 3 3 4 3" xfId="45513"/>
    <cellStyle name="표준 4 3 3 3 5" xfId="45514"/>
    <cellStyle name="표준 4 3 3 3 5 2" xfId="45515"/>
    <cellStyle name="표준 4 3 3 3 5 2 2" xfId="45516"/>
    <cellStyle name="표준 4 3 3 3 5 2 2 2" xfId="45517"/>
    <cellStyle name="표준 4 3 3 3 5 2 2 3" xfId="45518"/>
    <cellStyle name="표준 4 3 3 3 5 2 3" xfId="45519"/>
    <cellStyle name="표준 4 3 3 3 5 2 4" xfId="45520"/>
    <cellStyle name="표준 4 3 3 3 5 2 5" xfId="45521"/>
    <cellStyle name="표준 4 3 3 3 5 3" xfId="45522"/>
    <cellStyle name="표준 4 3 3 3 6" xfId="45523"/>
    <cellStyle name="표준 4 3 3 3 7" xfId="45524"/>
    <cellStyle name="표준 4 3 3 3 8" xfId="45525"/>
    <cellStyle name="표준 4 3 3 3 9" xfId="45526"/>
    <cellStyle name="표준 4 3 3 4" xfId="45527"/>
    <cellStyle name="표준 4 3 3 4 10" xfId="45528"/>
    <cellStyle name="표준 4 3 3 4 11" xfId="45529"/>
    <cellStyle name="표준 4 3 3 4 12" xfId="45530"/>
    <cellStyle name="표준 4 3 3 4 13" xfId="45531"/>
    <cellStyle name="표준 4 3 3 4 14" xfId="45532"/>
    <cellStyle name="표준 4 3 3 4 15" xfId="45533"/>
    <cellStyle name="표준 4 3 3 4 16" xfId="45534"/>
    <cellStyle name="표준 4 3 3 4 16 2" xfId="45535"/>
    <cellStyle name="표준 4 3 3 4 16 3" xfId="45536"/>
    <cellStyle name="표준 4 3 3 4 17" xfId="45537"/>
    <cellStyle name="표준 4 3 3 4 18" xfId="45538"/>
    <cellStyle name="표준 4 3 3 4 19" xfId="45539"/>
    <cellStyle name="표준 4 3 3 4 2" xfId="45540"/>
    <cellStyle name="표준 4 3 3 4 2 2" xfId="45541"/>
    <cellStyle name="표준 4 3 3 4 2 2 2" xfId="45542"/>
    <cellStyle name="표준 4 3 3 4 2 2 2 2" xfId="45543"/>
    <cellStyle name="표준 4 3 3 4 2 2 2 3" xfId="45544"/>
    <cellStyle name="표준 4 3 3 4 2 2 3" xfId="45545"/>
    <cellStyle name="표준 4 3 3 4 2 2 4" xfId="45546"/>
    <cellStyle name="표준 4 3 3 4 2 2 5" xfId="45547"/>
    <cellStyle name="표준 4 3 3 4 2 3" xfId="45548"/>
    <cellStyle name="표준 4 3 3 4 2 3 2" xfId="45549"/>
    <cellStyle name="표준 4 3 3 4 2 3 3" xfId="45550"/>
    <cellStyle name="표준 4 3 3 4 2 4" xfId="45551"/>
    <cellStyle name="표준 4 3 3 4 2 5" xfId="45552"/>
    <cellStyle name="표준 4 3 3 4 2 6" xfId="45553"/>
    <cellStyle name="표준 4 3 3 4 3" xfId="45554"/>
    <cellStyle name="표준 4 3 3 4 3 2" xfId="45555"/>
    <cellStyle name="표준 4 3 3 4 3 2 2" xfId="45556"/>
    <cellStyle name="표준 4 3 3 4 3 2 2 2" xfId="45557"/>
    <cellStyle name="표준 4 3 3 4 3 2 2 3" xfId="45558"/>
    <cellStyle name="표준 4 3 3 4 3 2 3" xfId="45559"/>
    <cellStyle name="표준 4 3 3 4 3 2 4" xfId="45560"/>
    <cellStyle name="표준 4 3 3 4 3 2 5" xfId="45561"/>
    <cellStyle name="표준 4 3 3 4 3 3" xfId="45562"/>
    <cellStyle name="표준 4 3 3 4 4" xfId="45563"/>
    <cellStyle name="표준 4 3 3 4 4 2" xfId="45564"/>
    <cellStyle name="표준 4 3 3 4 4 2 2" xfId="45565"/>
    <cellStyle name="표준 4 3 3 4 4 2 2 2" xfId="45566"/>
    <cellStyle name="표준 4 3 3 4 4 2 2 3" xfId="45567"/>
    <cellStyle name="표준 4 3 3 4 4 2 3" xfId="45568"/>
    <cellStyle name="표준 4 3 3 4 4 2 4" xfId="45569"/>
    <cellStyle name="표준 4 3 3 4 4 2 5" xfId="45570"/>
    <cellStyle name="표준 4 3 3 4 4 3" xfId="45571"/>
    <cellStyle name="표준 4 3 3 4 5" xfId="45572"/>
    <cellStyle name="표준 4 3 3 4 6" xfId="45573"/>
    <cellStyle name="표준 4 3 3 4 7" xfId="45574"/>
    <cellStyle name="표준 4 3 3 4 8" xfId="45575"/>
    <cellStyle name="표준 4 3 3 4 9" xfId="45576"/>
    <cellStyle name="표준 4 3 3 5" xfId="45577"/>
    <cellStyle name="표준 4 3 3 5 2" xfId="45578"/>
    <cellStyle name="표준 4 3 3 5 2 2" xfId="45579"/>
    <cellStyle name="표준 4 3 3 5 2 2 2" xfId="45580"/>
    <cellStyle name="표준 4 3 3 5 2 2 3" xfId="45581"/>
    <cellStyle name="표준 4 3 3 5 2 3" xfId="45582"/>
    <cellStyle name="표준 4 3 3 5 2 4" xfId="45583"/>
    <cellStyle name="표준 4 3 3 5 2 5" xfId="45584"/>
    <cellStyle name="표준 4 3 3 5 3" xfId="45585"/>
    <cellStyle name="표준 4 3 3 5 3 2" xfId="45586"/>
    <cellStyle name="표준 4 3 3 5 3 3" xfId="45587"/>
    <cellStyle name="표준 4 3 3 5 4" xfId="45588"/>
    <cellStyle name="표준 4 3 3 5 5" xfId="45589"/>
    <cellStyle name="표준 4 3 3 5 6" xfId="45590"/>
    <cellStyle name="표준 4 3 3 6" xfId="45591"/>
    <cellStyle name="표준 4 3 3 6 2" xfId="45592"/>
    <cellStyle name="표준 4 3 3 6 2 2" xfId="45593"/>
    <cellStyle name="표준 4 3 3 6 2 2 2" xfId="45594"/>
    <cellStyle name="표준 4 3 3 6 2 2 3" xfId="45595"/>
    <cellStyle name="표준 4 3 3 6 2 3" xfId="45596"/>
    <cellStyle name="표준 4 3 3 6 2 4" xfId="45597"/>
    <cellStyle name="표준 4 3 3 6 2 5" xfId="45598"/>
    <cellStyle name="표준 4 3 3 6 3" xfId="45599"/>
    <cellStyle name="표준 4 3 3 7" xfId="45600"/>
    <cellStyle name="표준 4 3 3 7 2" xfId="45601"/>
    <cellStyle name="표준 4 3 3 7 2 2" xfId="45602"/>
    <cellStyle name="표준 4 3 3 7 2 2 2" xfId="45603"/>
    <cellStyle name="표준 4 3 3 7 2 2 3" xfId="45604"/>
    <cellStyle name="표준 4 3 3 7 2 3" xfId="45605"/>
    <cellStyle name="표준 4 3 3 7 2 4" xfId="45606"/>
    <cellStyle name="표준 4 3 3 7 2 5" xfId="45607"/>
    <cellStyle name="표준 4 3 3 7 3" xfId="45608"/>
    <cellStyle name="표준 4 3 3 8" xfId="45609"/>
    <cellStyle name="표준 4 3 3 9" xfId="45610"/>
    <cellStyle name="표준 4 3 4" xfId="45611"/>
    <cellStyle name="표준 4 3 4 10" xfId="45612"/>
    <cellStyle name="표준 4 3 4 11" xfId="45613"/>
    <cellStyle name="표준 4 3 4 12" xfId="45614"/>
    <cellStyle name="표준 4 3 4 13" xfId="45615"/>
    <cellStyle name="표준 4 3 4 14" xfId="45616"/>
    <cellStyle name="표준 4 3 4 15" xfId="45617"/>
    <cellStyle name="표준 4 3 4 16" xfId="45618"/>
    <cellStyle name="표준 4 3 4 17" xfId="45619"/>
    <cellStyle name="표준 4 3 4 17 2" xfId="45620"/>
    <cellStyle name="표준 4 3 4 17 3" xfId="45621"/>
    <cellStyle name="표준 4 3 4 18" xfId="45622"/>
    <cellStyle name="표준 4 3 4 19" xfId="45623"/>
    <cellStyle name="표준 4 3 4 2" xfId="45624"/>
    <cellStyle name="표준 4 3 4 2 10" xfId="45625"/>
    <cellStyle name="표준 4 3 4 2 11" xfId="45626"/>
    <cellStyle name="표준 4 3 4 2 12" xfId="45627"/>
    <cellStyle name="표준 4 3 4 2 13" xfId="45628"/>
    <cellStyle name="표준 4 3 4 2 14" xfId="45629"/>
    <cellStyle name="표준 4 3 4 2 15" xfId="45630"/>
    <cellStyle name="표준 4 3 4 2 16" xfId="45631"/>
    <cellStyle name="표준 4 3 4 2 16 2" xfId="45632"/>
    <cellStyle name="표준 4 3 4 2 16 3" xfId="45633"/>
    <cellStyle name="표준 4 3 4 2 17" xfId="45634"/>
    <cellStyle name="표준 4 3 4 2 18" xfId="45635"/>
    <cellStyle name="표준 4 3 4 2 19" xfId="45636"/>
    <cellStyle name="표준 4 3 4 2 2" xfId="45637"/>
    <cellStyle name="표준 4 3 4 2 2 2" xfId="45638"/>
    <cellStyle name="표준 4 3 4 2 2 2 2" xfId="45639"/>
    <cellStyle name="표준 4 3 4 2 2 2 2 2" xfId="45640"/>
    <cellStyle name="표준 4 3 4 2 2 2 2 3" xfId="45641"/>
    <cellStyle name="표준 4 3 4 2 2 2 3" xfId="45642"/>
    <cellStyle name="표준 4 3 4 2 2 2 4" xfId="45643"/>
    <cellStyle name="표준 4 3 4 2 2 2 5" xfId="45644"/>
    <cellStyle name="표준 4 3 4 2 2 3" xfId="45645"/>
    <cellStyle name="표준 4 3 4 2 2 3 2" xfId="45646"/>
    <cellStyle name="표준 4 3 4 2 2 3 3" xfId="45647"/>
    <cellStyle name="표준 4 3 4 2 2 4" xfId="45648"/>
    <cellStyle name="표준 4 3 4 2 2 5" xfId="45649"/>
    <cellStyle name="표준 4 3 4 2 2 6" xfId="45650"/>
    <cellStyle name="표준 4 3 4 2 3" xfId="45651"/>
    <cellStyle name="표준 4 3 4 2 3 2" xfId="45652"/>
    <cellStyle name="표준 4 3 4 2 3 2 2" xfId="45653"/>
    <cellStyle name="표준 4 3 4 2 3 2 2 2" xfId="45654"/>
    <cellStyle name="표준 4 3 4 2 3 2 2 3" xfId="45655"/>
    <cellStyle name="표준 4 3 4 2 3 2 3" xfId="45656"/>
    <cellStyle name="표준 4 3 4 2 3 2 4" xfId="45657"/>
    <cellStyle name="표준 4 3 4 2 3 2 5" xfId="45658"/>
    <cellStyle name="표준 4 3 4 2 3 3" xfId="45659"/>
    <cellStyle name="표준 4 3 4 2 4" xfId="45660"/>
    <cellStyle name="표준 4 3 4 2 4 2" xfId="45661"/>
    <cellStyle name="표준 4 3 4 2 4 2 2" xfId="45662"/>
    <cellStyle name="표준 4 3 4 2 4 2 2 2" xfId="45663"/>
    <cellStyle name="표준 4 3 4 2 4 2 2 3" xfId="45664"/>
    <cellStyle name="표준 4 3 4 2 4 2 3" xfId="45665"/>
    <cellStyle name="표준 4 3 4 2 4 2 4" xfId="45666"/>
    <cellStyle name="표준 4 3 4 2 4 2 5" xfId="45667"/>
    <cellStyle name="표준 4 3 4 2 4 3" xfId="45668"/>
    <cellStyle name="표준 4 3 4 2 5" xfId="45669"/>
    <cellStyle name="표준 4 3 4 2 6" xfId="45670"/>
    <cellStyle name="표준 4 3 4 2 7" xfId="45671"/>
    <cellStyle name="표준 4 3 4 2 8" xfId="45672"/>
    <cellStyle name="표준 4 3 4 2 9" xfId="45673"/>
    <cellStyle name="표준 4 3 4 20" xfId="45674"/>
    <cellStyle name="표준 4 3 4 3" xfId="45675"/>
    <cellStyle name="표준 4 3 4 3 2" xfId="45676"/>
    <cellStyle name="표준 4 3 4 3 2 2" xfId="45677"/>
    <cellStyle name="표준 4 3 4 3 2 2 2" xfId="45678"/>
    <cellStyle name="표준 4 3 4 3 2 2 3" xfId="45679"/>
    <cellStyle name="표준 4 3 4 3 2 3" xfId="45680"/>
    <cellStyle name="표준 4 3 4 3 2 4" xfId="45681"/>
    <cellStyle name="표준 4 3 4 3 2 5" xfId="45682"/>
    <cellStyle name="표준 4 3 4 3 3" xfId="45683"/>
    <cellStyle name="표준 4 3 4 3 3 2" xfId="45684"/>
    <cellStyle name="표준 4 3 4 3 3 3" xfId="45685"/>
    <cellStyle name="표준 4 3 4 3 4" xfId="45686"/>
    <cellStyle name="표준 4 3 4 3 5" xfId="45687"/>
    <cellStyle name="표준 4 3 4 3 6" xfId="45688"/>
    <cellStyle name="표준 4 3 4 4" xfId="45689"/>
    <cellStyle name="표준 4 3 4 4 2" xfId="45690"/>
    <cellStyle name="표준 4 3 4 4 2 2" xfId="45691"/>
    <cellStyle name="표준 4 3 4 4 2 2 2" xfId="45692"/>
    <cellStyle name="표준 4 3 4 4 2 2 3" xfId="45693"/>
    <cellStyle name="표준 4 3 4 4 2 3" xfId="45694"/>
    <cellStyle name="표준 4 3 4 4 2 4" xfId="45695"/>
    <cellStyle name="표준 4 3 4 4 2 5" xfId="45696"/>
    <cellStyle name="표준 4 3 4 4 3" xfId="45697"/>
    <cellStyle name="표준 4 3 4 5" xfId="45698"/>
    <cellStyle name="표준 4 3 4 5 2" xfId="45699"/>
    <cellStyle name="표준 4 3 4 5 2 2" xfId="45700"/>
    <cellStyle name="표준 4 3 4 5 2 2 2" xfId="45701"/>
    <cellStyle name="표준 4 3 4 5 2 2 3" xfId="45702"/>
    <cellStyle name="표준 4 3 4 5 2 3" xfId="45703"/>
    <cellStyle name="표준 4 3 4 5 2 4" xfId="45704"/>
    <cellStyle name="표준 4 3 4 5 2 5" xfId="45705"/>
    <cellStyle name="표준 4 3 4 5 3" xfId="45706"/>
    <cellStyle name="표준 4 3 4 6" xfId="45707"/>
    <cellStyle name="표준 4 3 4 7" xfId="45708"/>
    <cellStyle name="표준 4 3 4 8" xfId="45709"/>
    <cellStyle name="표준 4 3 4 9" xfId="45710"/>
    <cellStyle name="표준 4 3 5" xfId="45711"/>
    <cellStyle name="표준 4 3 5 10" xfId="45712"/>
    <cellStyle name="표준 4 3 5 11" xfId="45713"/>
    <cellStyle name="표준 4 3 5 12" xfId="45714"/>
    <cellStyle name="표준 4 3 5 13" xfId="45715"/>
    <cellStyle name="표준 4 3 5 14" xfId="45716"/>
    <cellStyle name="표준 4 3 5 15" xfId="45717"/>
    <cellStyle name="표준 4 3 5 16" xfId="45718"/>
    <cellStyle name="표준 4 3 5 17" xfId="45719"/>
    <cellStyle name="표준 4 3 5 17 2" xfId="45720"/>
    <cellStyle name="표준 4 3 5 17 3" xfId="45721"/>
    <cellStyle name="표준 4 3 5 18" xfId="45722"/>
    <cellStyle name="표준 4 3 5 19" xfId="45723"/>
    <cellStyle name="표준 4 3 5 2" xfId="45724"/>
    <cellStyle name="표준 4 3 5 2 10" xfId="45725"/>
    <cellStyle name="표준 4 3 5 2 11" xfId="45726"/>
    <cellStyle name="표준 4 3 5 2 12" xfId="45727"/>
    <cellStyle name="표준 4 3 5 2 13" xfId="45728"/>
    <cellStyle name="표준 4 3 5 2 14" xfId="45729"/>
    <cellStyle name="표준 4 3 5 2 15" xfId="45730"/>
    <cellStyle name="표준 4 3 5 2 16" xfId="45731"/>
    <cellStyle name="표준 4 3 5 2 16 2" xfId="45732"/>
    <cellStyle name="표준 4 3 5 2 16 3" xfId="45733"/>
    <cellStyle name="표준 4 3 5 2 17" xfId="45734"/>
    <cellStyle name="표준 4 3 5 2 18" xfId="45735"/>
    <cellStyle name="표준 4 3 5 2 19" xfId="45736"/>
    <cellStyle name="표준 4 3 5 2 2" xfId="45737"/>
    <cellStyle name="표준 4 3 5 2 2 2" xfId="45738"/>
    <cellStyle name="표준 4 3 5 2 2 2 2" xfId="45739"/>
    <cellStyle name="표준 4 3 5 2 2 2 2 2" xfId="45740"/>
    <cellStyle name="표준 4 3 5 2 2 2 2 3" xfId="45741"/>
    <cellStyle name="표준 4 3 5 2 2 2 3" xfId="45742"/>
    <cellStyle name="표준 4 3 5 2 2 2 4" xfId="45743"/>
    <cellStyle name="표준 4 3 5 2 2 2 5" xfId="45744"/>
    <cellStyle name="표준 4 3 5 2 2 3" xfId="45745"/>
    <cellStyle name="표준 4 3 5 2 2 3 2" xfId="45746"/>
    <cellStyle name="표준 4 3 5 2 2 3 3" xfId="45747"/>
    <cellStyle name="표준 4 3 5 2 2 4" xfId="45748"/>
    <cellStyle name="표준 4 3 5 2 2 5" xfId="45749"/>
    <cellStyle name="표준 4 3 5 2 2 6" xfId="45750"/>
    <cellStyle name="표준 4 3 5 2 3" xfId="45751"/>
    <cellStyle name="표준 4 3 5 2 3 2" xfId="45752"/>
    <cellStyle name="표준 4 3 5 2 3 2 2" xfId="45753"/>
    <cellStyle name="표준 4 3 5 2 3 2 2 2" xfId="45754"/>
    <cellStyle name="표준 4 3 5 2 3 2 2 3" xfId="45755"/>
    <cellStyle name="표준 4 3 5 2 3 2 3" xfId="45756"/>
    <cellStyle name="표준 4 3 5 2 3 2 4" xfId="45757"/>
    <cellStyle name="표준 4 3 5 2 3 2 5" xfId="45758"/>
    <cellStyle name="표준 4 3 5 2 3 3" xfId="45759"/>
    <cellStyle name="표준 4 3 5 2 4" xfId="45760"/>
    <cellStyle name="표준 4 3 5 2 4 2" xfId="45761"/>
    <cellStyle name="표준 4 3 5 2 4 2 2" xfId="45762"/>
    <cellStyle name="표준 4 3 5 2 4 2 2 2" xfId="45763"/>
    <cellStyle name="표준 4 3 5 2 4 2 2 3" xfId="45764"/>
    <cellStyle name="표준 4 3 5 2 4 2 3" xfId="45765"/>
    <cellStyle name="표준 4 3 5 2 4 2 4" xfId="45766"/>
    <cellStyle name="표준 4 3 5 2 4 2 5" xfId="45767"/>
    <cellStyle name="표준 4 3 5 2 4 3" xfId="45768"/>
    <cellStyle name="표준 4 3 5 2 5" xfId="45769"/>
    <cellStyle name="표준 4 3 5 2 6" xfId="45770"/>
    <cellStyle name="표준 4 3 5 2 7" xfId="45771"/>
    <cellStyle name="표준 4 3 5 2 8" xfId="45772"/>
    <cellStyle name="표준 4 3 5 2 9" xfId="45773"/>
    <cellStyle name="표준 4 3 5 20" xfId="45774"/>
    <cellStyle name="표준 4 3 5 3" xfId="45775"/>
    <cellStyle name="표준 4 3 5 3 2" xfId="45776"/>
    <cellStyle name="표준 4 3 5 3 2 2" xfId="45777"/>
    <cellStyle name="표준 4 3 5 3 2 2 2" xfId="45778"/>
    <cellStyle name="표준 4 3 5 3 2 2 3" xfId="45779"/>
    <cellStyle name="표준 4 3 5 3 2 3" xfId="45780"/>
    <cellStyle name="표준 4 3 5 3 2 4" xfId="45781"/>
    <cellStyle name="표준 4 3 5 3 2 5" xfId="45782"/>
    <cellStyle name="표준 4 3 5 3 3" xfId="45783"/>
    <cellStyle name="표준 4 3 5 3 3 2" xfId="45784"/>
    <cellStyle name="표준 4 3 5 3 3 3" xfId="45785"/>
    <cellStyle name="표준 4 3 5 3 4" xfId="45786"/>
    <cellStyle name="표준 4 3 5 3 5" xfId="45787"/>
    <cellStyle name="표준 4 3 5 3 6" xfId="45788"/>
    <cellStyle name="표준 4 3 5 4" xfId="45789"/>
    <cellStyle name="표준 4 3 5 4 2" xfId="45790"/>
    <cellStyle name="표준 4 3 5 4 2 2" xfId="45791"/>
    <cellStyle name="표준 4 3 5 4 2 2 2" xfId="45792"/>
    <cellStyle name="표준 4 3 5 4 2 2 3" xfId="45793"/>
    <cellStyle name="표준 4 3 5 4 2 3" xfId="45794"/>
    <cellStyle name="표준 4 3 5 4 2 4" xfId="45795"/>
    <cellStyle name="표준 4 3 5 4 2 5" xfId="45796"/>
    <cellStyle name="표준 4 3 5 4 3" xfId="45797"/>
    <cellStyle name="표준 4 3 5 5" xfId="45798"/>
    <cellStyle name="표준 4 3 5 5 2" xfId="45799"/>
    <cellStyle name="표준 4 3 5 5 2 2" xfId="45800"/>
    <cellStyle name="표준 4 3 5 5 2 2 2" xfId="45801"/>
    <cellStyle name="표준 4 3 5 5 2 2 3" xfId="45802"/>
    <cellStyle name="표준 4 3 5 5 2 3" xfId="45803"/>
    <cellStyle name="표준 4 3 5 5 2 4" xfId="45804"/>
    <cellStyle name="표준 4 3 5 5 2 5" xfId="45805"/>
    <cellStyle name="표준 4 3 5 5 3" xfId="45806"/>
    <cellStyle name="표준 4 3 5 6" xfId="45807"/>
    <cellStyle name="표준 4 3 5 7" xfId="45808"/>
    <cellStyle name="표준 4 3 5 8" xfId="45809"/>
    <cellStyle name="표준 4 3 5 9" xfId="45810"/>
    <cellStyle name="표준 4 3 6" xfId="45811"/>
    <cellStyle name="표준 4 3 6 10" xfId="45812"/>
    <cellStyle name="표준 4 3 6 11" xfId="45813"/>
    <cellStyle name="표준 4 3 6 12" xfId="45814"/>
    <cellStyle name="표준 4 3 6 13" xfId="45815"/>
    <cellStyle name="표준 4 3 6 14" xfId="45816"/>
    <cellStyle name="표준 4 3 6 15" xfId="45817"/>
    <cellStyle name="표준 4 3 6 16" xfId="45818"/>
    <cellStyle name="표준 4 3 6 16 2" xfId="45819"/>
    <cellStyle name="표준 4 3 6 16 3" xfId="45820"/>
    <cellStyle name="표준 4 3 6 17" xfId="45821"/>
    <cellStyle name="표준 4 3 6 18" xfId="45822"/>
    <cellStyle name="표준 4 3 6 19" xfId="45823"/>
    <cellStyle name="표준 4 3 6 2" xfId="45824"/>
    <cellStyle name="표준 4 3 6 2 2" xfId="45825"/>
    <cellStyle name="표준 4 3 6 2 2 2" xfId="45826"/>
    <cellStyle name="표준 4 3 6 2 2 2 2" xfId="45827"/>
    <cellStyle name="표준 4 3 6 2 2 2 3" xfId="45828"/>
    <cellStyle name="표준 4 3 6 2 2 3" xfId="45829"/>
    <cellStyle name="표준 4 3 6 2 2 4" xfId="45830"/>
    <cellStyle name="표준 4 3 6 2 2 5" xfId="45831"/>
    <cellStyle name="표준 4 3 6 2 3" xfId="45832"/>
    <cellStyle name="표준 4 3 6 2 3 2" xfId="45833"/>
    <cellStyle name="표준 4 3 6 2 3 3" xfId="45834"/>
    <cellStyle name="표준 4 3 6 2 4" xfId="45835"/>
    <cellStyle name="표준 4 3 6 2 5" xfId="45836"/>
    <cellStyle name="표준 4 3 6 2 6" xfId="45837"/>
    <cellStyle name="표준 4 3 6 3" xfId="45838"/>
    <cellStyle name="표준 4 3 6 3 2" xfId="45839"/>
    <cellStyle name="표준 4 3 6 3 2 2" xfId="45840"/>
    <cellStyle name="표준 4 3 6 3 2 2 2" xfId="45841"/>
    <cellStyle name="표준 4 3 6 3 2 2 3" xfId="45842"/>
    <cellStyle name="표준 4 3 6 3 2 3" xfId="45843"/>
    <cellStyle name="표준 4 3 6 3 2 4" xfId="45844"/>
    <cellStyle name="표준 4 3 6 3 2 5" xfId="45845"/>
    <cellStyle name="표준 4 3 6 3 3" xfId="45846"/>
    <cellStyle name="표준 4 3 6 4" xfId="45847"/>
    <cellStyle name="표준 4 3 6 4 2" xfId="45848"/>
    <cellStyle name="표준 4 3 6 4 2 2" xfId="45849"/>
    <cellStyle name="표준 4 3 6 4 2 2 2" xfId="45850"/>
    <cellStyle name="표준 4 3 6 4 2 2 3" xfId="45851"/>
    <cellStyle name="표준 4 3 6 4 2 3" xfId="45852"/>
    <cellStyle name="표준 4 3 6 4 2 4" xfId="45853"/>
    <cellStyle name="표준 4 3 6 4 2 5" xfId="45854"/>
    <cellStyle name="표준 4 3 6 4 3" xfId="45855"/>
    <cellStyle name="표준 4 3 6 5" xfId="45856"/>
    <cellStyle name="표준 4 3 6 6" xfId="45857"/>
    <cellStyle name="표준 4 3 6 7" xfId="45858"/>
    <cellStyle name="표준 4 3 6 8" xfId="45859"/>
    <cellStyle name="표준 4 3 6 9" xfId="45860"/>
    <cellStyle name="표준 4 3 7" xfId="45861"/>
    <cellStyle name="표준 4 3 7 2" xfId="45862"/>
    <cellStyle name="표준 4 3 7 2 2" xfId="45863"/>
    <cellStyle name="표준 4 3 7 2 2 2" xfId="45864"/>
    <cellStyle name="표준 4 3 7 2 2 3" xfId="45865"/>
    <cellStyle name="표준 4 3 7 2 3" xfId="45866"/>
    <cellStyle name="표준 4 3 7 2 4" xfId="45867"/>
    <cellStyle name="표준 4 3 7 2 5" xfId="45868"/>
    <cellStyle name="표준 4 3 7 3" xfId="45869"/>
    <cellStyle name="표준 4 3 7 3 2" xfId="45870"/>
    <cellStyle name="표준 4 3 7 3 3" xfId="45871"/>
    <cellStyle name="표준 4 3 7 4" xfId="45872"/>
    <cellStyle name="표준 4 3 7 5" xfId="45873"/>
    <cellStyle name="표준 4 3 7 6" xfId="45874"/>
    <cellStyle name="표준 4 3 8" xfId="45875"/>
    <cellStyle name="표준 4 3 8 2" xfId="45876"/>
    <cellStyle name="표준 4 3 8 2 2" xfId="45877"/>
    <cellStyle name="표준 4 3 8 2 2 2" xfId="45878"/>
    <cellStyle name="표준 4 3 8 2 2 3" xfId="45879"/>
    <cellStyle name="표준 4 3 8 2 3" xfId="45880"/>
    <cellStyle name="표준 4 3 8 2 4" xfId="45881"/>
    <cellStyle name="표준 4 3 8 2 5" xfId="45882"/>
    <cellStyle name="표준 4 3 8 3" xfId="45883"/>
    <cellStyle name="표준 4 3 9" xfId="45884"/>
    <cellStyle name="표준 4 3 9 2" xfId="45885"/>
    <cellStyle name="표준 4 3 9 2 2" xfId="45886"/>
    <cellStyle name="표준 4 3 9 2 2 2" xfId="45887"/>
    <cellStyle name="표준 4 3 9 2 2 3" xfId="45888"/>
    <cellStyle name="표준 4 3 9 2 3" xfId="45889"/>
    <cellStyle name="표준 4 3 9 2 4" xfId="45890"/>
    <cellStyle name="표준 4 3 9 2 5" xfId="45891"/>
    <cellStyle name="표준 4 3 9 3" xfId="45892"/>
    <cellStyle name="표준 4 4" xfId="45893"/>
    <cellStyle name="표준 4 4 10" xfId="45894"/>
    <cellStyle name="표준 4 4 11" xfId="45895"/>
    <cellStyle name="표준 4 4 12" xfId="45896"/>
    <cellStyle name="표준 4 4 13" xfId="45897"/>
    <cellStyle name="표준 4 4 14" xfId="45898"/>
    <cellStyle name="표준 4 4 15" xfId="45899"/>
    <cellStyle name="표준 4 4 16" xfId="45900"/>
    <cellStyle name="표준 4 4 17" xfId="45901"/>
    <cellStyle name="표준 4 4 18" xfId="45902"/>
    <cellStyle name="표준 4 4 19" xfId="45903"/>
    <cellStyle name="표준 4 4 2" xfId="45904"/>
    <cellStyle name="표준 4 4 2 10" xfId="45905"/>
    <cellStyle name="표준 4 4 2 11" xfId="45906"/>
    <cellStyle name="표준 4 4 2 12" xfId="45907"/>
    <cellStyle name="표준 4 4 2 13" xfId="45908"/>
    <cellStyle name="표준 4 4 2 14" xfId="45909"/>
    <cellStyle name="표준 4 4 2 15" xfId="45910"/>
    <cellStyle name="표준 4 4 2 16" xfId="45911"/>
    <cellStyle name="표준 4 4 2 17" xfId="45912"/>
    <cellStyle name="표준 4 4 2 18" xfId="45913"/>
    <cellStyle name="표준 4 4 2 19" xfId="45914"/>
    <cellStyle name="표준 4 4 2 19 2" xfId="45915"/>
    <cellStyle name="표준 4 4 2 19 3" xfId="45916"/>
    <cellStyle name="표준 4 4 2 2" xfId="45917"/>
    <cellStyle name="표준 4 4 2 2 10" xfId="45918"/>
    <cellStyle name="표준 4 4 2 2 11" xfId="45919"/>
    <cellStyle name="표준 4 4 2 2 12" xfId="45920"/>
    <cellStyle name="표준 4 4 2 2 13" xfId="45921"/>
    <cellStyle name="표준 4 4 2 2 14" xfId="45922"/>
    <cellStyle name="표준 4 4 2 2 15" xfId="45923"/>
    <cellStyle name="표준 4 4 2 2 16" xfId="45924"/>
    <cellStyle name="표준 4 4 2 2 17" xfId="45925"/>
    <cellStyle name="표준 4 4 2 2 17 2" xfId="45926"/>
    <cellStyle name="표준 4 4 2 2 17 3" xfId="45927"/>
    <cellStyle name="표준 4 4 2 2 18" xfId="45928"/>
    <cellStyle name="표준 4 4 2 2 19" xfId="45929"/>
    <cellStyle name="표준 4 4 2 2 2" xfId="45930"/>
    <cellStyle name="표준 4 4 2 2 2 10" xfId="45931"/>
    <cellStyle name="표준 4 4 2 2 2 11" xfId="45932"/>
    <cellStyle name="표준 4 4 2 2 2 12" xfId="45933"/>
    <cellStyle name="표준 4 4 2 2 2 13" xfId="45934"/>
    <cellStyle name="표준 4 4 2 2 2 14" xfId="45935"/>
    <cellStyle name="표준 4 4 2 2 2 15" xfId="45936"/>
    <cellStyle name="표준 4 4 2 2 2 16" xfId="45937"/>
    <cellStyle name="표준 4 4 2 2 2 16 2" xfId="45938"/>
    <cellStyle name="표준 4 4 2 2 2 16 3" xfId="45939"/>
    <cellStyle name="표준 4 4 2 2 2 17" xfId="45940"/>
    <cellStyle name="표준 4 4 2 2 2 18" xfId="45941"/>
    <cellStyle name="표준 4 4 2 2 2 19" xfId="45942"/>
    <cellStyle name="표준 4 4 2 2 2 2" xfId="45943"/>
    <cellStyle name="표준 4 4 2 2 2 2 2" xfId="45944"/>
    <cellStyle name="표준 4 4 2 2 2 2 2 2" xfId="45945"/>
    <cellStyle name="표준 4 4 2 2 2 2 2 2 2" xfId="45946"/>
    <cellStyle name="표준 4 4 2 2 2 2 2 2 3" xfId="45947"/>
    <cellStyle name="표준 4 4 2 2 2 2 2 3" xfId="45948"/>
    <cellStyle name="표준 4 4 2 2 2 2 2 4" xfId="45949"/>
    <cellStyle name="표준 4 4 2 2 2 2 2 5" xfId="45950"/>
    <cellStyle name="표준 4 4 2 2 2 2 3" xfId="45951"/>
    <cellStyle name="표준 4 4 2 2 2 2 3 2" xfId="45952"/>
    <cellStyle name="표준 4 4 2 2 2 2 3 3" xfId="45953"/>
    <cellStyle name="표준 4 4 2 2 2 2 4" xfId="45954"/>
    <cellStyle name="표준 4 4 2 2 2 2 5" xfId="45955"/>
    <cellStyle name="표준 4 4 2 2 2 2 6" xfId="45956"/>
    <cellStyle name="표준 4 4 2 2 2 3" xfId="45957"/>
    <cellStyle name="표준 4 4 2 2 2 3 2" xfId="45958"/>
    <cellStyle name="표준 4 4 2 2 2 3 2 2" xfId="45959"/>
    <cellStyle name="표준 4 4 2 2 2 3 2 2 2" xfId="45960"/>
    <cellStyle name="표준 4 4 2 2 2 3 2 2 3" xfId="45961"/>
    <cellStyle name="표준 4 4 2 2 2 3 2 3" xfId="45962"/>
    <cellStyle name="표준 4 4 2 2 2 3 2 4" xfId="45963"/>
    <cellStyle name="표준 4 4 2 2 2 3 2 5" xfId="45964"/>
    <cellStyle name="표준 4 4 2 2 2 3 3" xfId="45965"/>
    <cellStyle name="표준 4 4 2 2 2 4" xfId="45966"/>
    <cellStyle name="표준 4 4 2 2 2 4 2" xfId="45967"/>
    <cellStyle name="표준 4 4 2 2 2 4 2 2" xfId="45968"/>
    <cellStyle name="표준 4 4 2 2 2 4 2 2 2" xfId="45969"/>
    <cellStyle name="표준 4 4 2 2 2 4 2 2 3" xfId="45970"/>
    <cellStyle name="표준 4 4 2 2 2 4 2 3" xfId="45971"/>
    <cellStyle name="표준 4 4 2 2 2 4 2 4" xfId="45972"/>
    <cellStyle name="표준 4 4 2 2 2 4 2 5" xfId="45973"/>
    <cellStyle name="표준 4 4 2 2 2 4 3" xfId="45974"/>
    <cellStyle name="표준 4 4 2 2 2 5" xfId="45975"/>
    <cellStyle name="표준 4 4 2 2 2 6" xfId="45976"/>
    <cellStyle name="표준 4 4 2 2 2 7" xfId="45977"/>
    <cellStyle name="표준 4 4 2 2 2 8" xfId="45978"/>
    <cellStyle name="표준 4 4 2 2 2 9" xfId="45979"/>
    <cellStyle name="표준 4 4 2 2 20" xfId="45980"/>
    <cellStyle name="표준 4 4 2 2 3" xfId="45981"/>
    <cellStyle name="표준 4 4 2 2 3 2" xfId="45982"/>
    <cellStyle name="표준 4 4 2 2 3 2 2" xfId="45983"/>
    <cellStyle name="표준 4 4 2 2 3 2 2 2" xfId="45984"/>
    <cellStyle name="표준 4 4 2 2 3 2 2 3" xfId="45985"/>
    <cellStyle name="표준 4 4 2 2 3 2 3" xfId="45986"/>
    <cellStyle name="표준 4 4 2 2 3 2 4" xfId="45987"/>
    <cellStyle name="표준 4 4 2 2 3 2 5" xfId="45988"/>
    <cellStyle name="표준 4 4 2 2 3 3" xfId="45989"/>
    <cellStyle name="표준 4 4 2 2 3 3 2" xfId="45990"/>
    <cellStyle name="표준 4 4 2 2 3 3 3" xfId="45991"/>
    <cellStyle name="표준 4 4 2 2 3 4" xfId="45992"/>
    <cellStyle name="표준 4 4 2 2 3 5" xfId="45993"/>
    <cellStyle name="표준 4 4 2 2 3 6" xfId="45994"/>
    <cellStyle name="표준 4 4 2 2 4" xfId="45995"/>
    <cellStyle name="표준 4 4 2 2 4 2" xfId="45996"/>
    <cellStyle name="표준 4 4 2 2 4 2 2" xfId="45997"/>
    <cellStyle name="표준 4 4 2 2 4 2 2 2" xfId="45998"/>
    <cellStyle name="표준 4 4 2 2 4 2 2 3" xfId="45999"/>
    <cellStyle name="표준 4 4 2 2 4 2 3" xfId="46000"/>
    <cellStyle name="표준 4 4 2 2 4 2 4" xfId="46001"/>
    <cellStyle name="표준 4 4 2 2 4 2 5" xfId="46002"/>
    <cellStyle name="표준 4 4 2 2 4 3" xfId="46003"/>
    <cellStyle name="표준 4 4 2 2 5" xfId="46004"/>
    <cellStyle name="표준 4 4 2 2 5 2" xfId="46005"/>
    <cellStyle name="표준 4 4 2 2 5 2 2" xfId="46006"/>
    <cellStyle name="표준 4 4 2 2 5 2 2 2" xfId="46007"/>
    <cellStyle name="표준 4 4 2 2 5 2 2 3" xfId="46008"/>
    <cellStyle name="표준 4 4 2 2 5 2 3" xfId="46009"/>
    <cellStyle name="표준 4 4 2 2 5 2 4" xfId="46010"/>
    <cellStyle name="표준 4 4 2 2 5 2 5" xfId="46011"/>
    <cellStyle name="표준 4 4 2 2 5 3" xfId="46012"/>
    <cellStyle name="표준 4 4 2 2 6" xfId="46013"/>
    <cellStyle name="표준 4 4 2 2 7" xfId="46014"/>
    <cellStyle name="표준 4 4 2 2 8" xfId="46015"/>
    <cellStyle name="표준 4 4 2 2 9" xfId="46016"/>
    <cellStyle name="표준 4 4 2 20" xfId="46017"/>
    <cellStyle name="표준 4 4 2 21" xfId="46018"/>
    <cellStyle name="표준 4 4 2 22" xfId="46019"/>
    <cellStyle name="표준 4 4 2 3" xfId="46020"/>
    <cellStyle name="표준 4 4 2 3 10" xfId="46021"/>
    <cellStyle name="표준 4 4 2 3 11" xfId="46022"/>
    <cellStyle name="표준 4 4 2 3 12" xfId="46023"/>
    <cellStyle name="표준 4 4 2 3 13" xfId="46024"/>
    <cellStyle name="표준 4 4 2 3 14" xfId="46025"/>
    <cellStyle name="표준 4 4 2 3 15" xfId="46026"/>
    <cellStyle name="표준 4 4 2 3 16" xfId="46027"/>
    <cellStyle name="표준 4 4 2 3 17" xfId="46028"/>
    <cellStyle name="표준 4 4 2 3 17 2" xfId="46029"/>
    <cellStyle name="표준 4 4 2 3 17 3" xfId="46030"/>
    <cellStyle name="표준 4 4 2 3 18" xfId="46031"/>
    <cellStyle name="표준 4 4 2 3 19" xfId="46032"/>
    <cellStyle name="표준 4 4 2 3 2" xfId="46033"/>
    <cellStyle name="표준 4 4 2 3 2 10" xfId="46034"/>
    <cellStyle name="표준 4 4 2 3 2 11" xfId="46035"/>
    <cellStyle name="표준 4 4 2 3 2 12" xfId="46036"/>
    <cellStyle name="표준 4 4 2 3 2 13" xfId="46037"/>
    <cellStyle name="표준 4 4 2 3 2 14" xfId="46038"/>
    <cellStyle name="표준 4 4 2 3 2 15" xfId="46039"/>
    <cellStyle name="표준 4 4 2 3 2 16" xfId="46040"/>
    <cellStyle name="표준 4 4 2 3 2 16 2" xfId="46041"/>
    <cellStyle name="표준 4 4 2 3 2 16 3" xfId="46042"/>
    <cellStyle name="표준 4 4 2 3 2 17" xfId="46043"/>
    <cellStyle name="표준 4 4 2 3 2 18" xfId="46044"/>
    <cellStyle name="표준 4 4 2 3 2 19" xfId="46045"/>
    <cellStyle name="표준 4 4 2 3 2 2" xfId="46046"/>
    <cellStyle name="표준 4 4 2 3 2 2 2" xfId="46047"/>
    <cellStyle name="표준 4 4 2 3 2 2 2 2" xfId="46048"/>
    <cellStyle name="표준 4 4 2 3 2 2 2 2 2" xfId="46049"/>
    <cellStyle name="표준 4 4 2 3 2 2 2 2 3" xfId="46050"/>
    <cellStyle name="표준 4 4 2 3 2 2 2 3" xfId="46051"/>
    <cellStyle name="표준 4 4 2 3 2 2 2 4" xfId="46052"/>
    <cellStyle name="표준 4 4 2 3 2 2 2 5" xfId="46053"/>
    <cellStyle name="표준 4 4 2 3 2 2 3" xfId="46054"/>
    <cellStyle name="표준 4 4 2 3 2 2 3 2" xfId="46055"/>
    <cellStyle name="표준 4 4 2 3 2 2 3 3" xfId="46056"/>
    <cellStyle name="표준 4 4 2 3 2 2 4" xfId="46057"/>
    <cellStyle name="표준 4 4 2 3 2 2 5" xfId="46058"/>
    <cellStyle name="표준 4 4 2 3 2 2 6" xfId="46059"/>
    <cellStyle name="표준 4 4 2 3 2 3" xfId="46060"/>
    <cellStyle name="표준 4 4 2 3 2 3 2" xfId="46061"/>
    <cellStyle name="표준 4 4 2 3 2 3 2 2" xfId="46062"/>
    <cellStyle name="표준 4 4 2 3 2 3 2 2 2" xfId="46063"/>
    <cellStyle name="표준 4 4 2 3 2 3 2 2 3" xfId="46064"/>
    <cellStyle name="표준 4 4 2 3 2 3 2 3" xfId="46065"/>
    <cellStyle name="표준 4 4 2 3 2 3 2 4" xfId="46066"/>
    <cellStyle name="표준 4 4 2 3 2 3 2 5" xfId="46067"/>
    <cellStyle name="표준 4 4 2 3 2 3 3" xfId="46068"/>
    <cellStyle name="표준 4 4 2 3 2 4" xfId="46069"/>
    <cellStyle name="표준 4 4 2 3 2 4 2" xfId="46070"/>
    <cellStyle name="표준 4 4 2 3 2 4 2 2" xfId="46071"/>
    <cellStyle name="표준 4 4 2 3 2 4 2 2 2" xfId="46072"/>
    <cellStyle name="표준 4 4 2 3 2 4 2 2 3" xfId="46073"/>
    <cellStyle name="표준 4 4 2 3 2 4 2 3" xfId="46074"/>
    <cellStyle name="표준 4 4 2 3 2 4 2 4" xfId="46075"/>
    <cellStyle name="표준 4 4 2 3 2 4 2 5" xfId="46076"/>
    <cellStyle name="표준 4 4 2 3 2 4 3" xfId="46077"/>
    <cellStyle name="표준 4 4 2 3 2 5" xfId="46078"/>
    <cellStyle name="표준 4 4 2 3 2 6" xfId="46079"/>
    <cellStyle name="표준 4 4 2 3 2 7" xfId="46080"/>
    <cellStyle name="표준 4 4 2 3 2 8" xfId="46081"/>
    <cellStyle name="표준 4 4 2 3 2 9" xfId="46082"/>
    <cellStyle name="표준 4 4 2 3 20" xfId="46083"/>
    <cellStyle name="표준 4 4 2 3 3" xfId="46084"/>
    <cellStyle name="표준 4 4 2 3 3 2" xfId="46085"/>
    <cellStyle name="표준 4 4 2 3 3 2 2" xfId="46086"/>
    <cellStyle name="표준 4 4 2 3 3 2 2 2" xfId="46087"/>
    <cellStyle name="표준 4 4 2 3 3 2 2 3" xfId="46088"/>
    <cellStyle name="표준 4 4 2 3 3 2 3" xfId="46089"/>
    <cellStyle name="표준 4 4 2 3 3 2 4" xfId="46090"/>
    <cellStyle name="표준 4 4 2 3 3 2 5" xfId="46091"/>
    <cellStyle name="표준 4 4 2 3 3 3" xfId="46092"/>
    <cellStyle name="표준 4 4 2 3 3 3 2" xfId="46093"/>
    <cellStyle name="표준 4 4 2 3 3 3 3" xfId="46094"/>
    <cellStyle name="표준 4 4 2 3 3 4" xfId="46095"/>
    <cellStyle name="표준 4 4 2 3 3 5" xfId="46096"/>
    <cellStyle name="표준 4 4 2 3 3 6" xfId="46097"/>
    <cellStyle name="표준 4 4 2 3 4" xfId="46098"/>
    <cellStyle name="표준 4 4 2 3 4 2" xfId="46099"/>
    <cellStyle name="표준 4 4 2 3 4 2 2" xfId="46100"/>
    <cellStyle name="표준 4 4 2 3 4 2 2 2" xfId="46101"/>
    <cellStyle name="표준 4 4 2 3 4 2 2 3" xfId="46102"/>
    <cellStyle name="표준 4 4 2 3 4 2 3" xfId="46103"/>
    <cellStyle name="표준 4 4 2 3 4 2 4" xfId="46104"/>
    <cellStyle name="표준 4 4 2 3 4 2 5" xfId="46105"/>
    <cellStyle name="표준 4 4 2 3 4 3" xfId="46106"/>
    <cellStyle name="표준 4 4 2 3 5" xfId="46107"/>
    <cellStyle name="표준 4 4 2 3 5 2" xfId="46108"/>
    <cellStyle name="표준 4 4 2 3 5 2 2" xfId="46109"/>
    <cellStyle name="표준 4 4 2 3 5 2 2 2" xfId="46110"/>
    <cellStyle name="표준 4 4 2 3 5 2 2 3" xfId="46111"/>
    <cellStyle name="표준 4 4 2 3 5 2 3" xfId="46112"/>
    <cellStyle name="표준 4 4 2 3 5 2 4" xfId="46113"/>
    <cellStyle name="표준 4 4 2 3 5 2 5" xfId="46114"/>
    <cellStyle name="표준 4 4 2 3 5 3" xfId="46115"/>
    <cellStyle name="표준 4 4 2 3 6" xfId="46116"/>
    <cellStyle name="표준 4 4 2 3 7" xfId="46117"/>
    <cellStyle name="표준 4 4 2 3 8" xfId="46118"/>
    <cellStyle name="표준 4 4 2 3 9" xfId="46119"/>
    <cellStyle name="표준 4 4 2 4" xfId="46120"/>
    <cellStyle name="표준 4 4 2 4 10" xfId="46121"/>
    <cellStyle name="표준 4 4 2 4 11" xfId="46122"/>
    <cellStyle name="표준 4 4 2 4 12" xfId="46123"/>
    <cellStyle name="표준 4 4 2 4 13" xfId="46124"/>
    <cellStyle name="표준 4 4 2 4 14" xfId="46125"/>
    <cellStyle name="표준 4 4 2 4 15" xfId="46126"/>
    <cellStyle name="표준 4 4 2 4 16" xfId="46127"/>
    <cellStyle name="표준 4 4 2 4 16 2" xfId="46128"/>
    <cellStyle name="표준 4 4 2 4 16 3" xfId="46129"/>
    <cellStyle name="표준 4 4 2 4 17" xfId="46130"/>
    <cellStyle name="표준 4 4 2 4 18" xfId="46131"/>
    <cellStyle name="표준 4 4 2 4 19" xfId="46132"/>
    <cellStyle name="표준 4 4 2 4 2" xfId="46133"/>
    <cellStyle name="표준 4 4 2 4 2 2" xfId="46134"/>
    <cellStyle name="표준 4 4 2 4 2 2 2" xfId="46135"/>
    <cellStyle name="표준 4 4 2 4 2 2 2 2" xfId="46136"/>
    <cellStyle name="표준 4 4 2 4 2 2 2 3" xfId="46137"/>
    <cellStyle name="표준 4 4 2 4 2 2 3" xfId="46138"/>
    <cellStyle name="표준 4 4 2 4 2 2 4" xfId="46139"/>
    <cellStyle name="표준 4 4 2 4 2 2 5" xfId="46140"/>
    <cellStyle name="표준 4 4 2 4 2 3" xfId="46141"/>
    <cellStyle name="표준 4 4 2 4 2 3 2" xfId="46142"/>
    <cellStyle name="표준 4 4 2 4 2 3 3" xfId="46143"/>
    <cellStyle name="표준 4 4 2 4 2 4" xfId="46144"/>
    <cellStyle name="표준 4 4 2 4 2 5" xfId="46145"/>
    <cellStyle name="표준 4 4 2 4 2 6" xfId="46146"/>
    <cellStyle name="표준 4 4 2 4 3" xfId="46147"/>
    <cellStyle name="표준 4 4 2 4 3 2" xfId="46148"/>
    <cellStyle name="표준 4 4 2 4 3 2 2" xfId="46149"/>
    <cellStyle name="표준 4 4 2 4 3 2 2 2" xfId="46150"/>
    <cellStyle name="표준 4 4 2 4 3 2 2 3" xfId="46151"/>
    <cellStyle name="표준 4 4 2 4 3 2 3" xfId="46152"/>
    <cellStyle name="표준 4 4 2 4 3 2 4" xfId="46153"/>
    <cellStyle name="표준 4 4 2 4 3 2 5" xfId="46154"/>
    <cellStyle name="표준 4 4 2 4 3 3" xfId="46155"/>
    <cellStyle name="표준 4 4 2 4 4" xfId="46156"/>
    <cellStyle name="표준 4 4 2 4 4 2" xfId="46157"/>
    <cellStyle name="표준 4 4 2 4 4 2 2" xfId="46158"/>
    <cellStyle name="표준 4 4 2 4 4 2 2 2" xfId="46159"/>
    <cellStyle name="표준 4 4 2 4 4 2 2 3" xfId="46160"/>
    <cellStyle name="표준 4 4 2 4 4 2 3" xfId="46161"/>
    <cellStyle name="표준 4 4 2 4 4 2 4" xfId="46162"/>
    <cellStyle name="표준 4 4 2 4 4 2 5" xfId="46163"/>
    <cellStyle name="표준 4 4 2 4 4 3" xfId="46164"/>
    <cellStyle name="표준 4 4 2 4 5" xfId="46165"/>
    <cellStyle name="표준 4 4 2 4 6" xfId="46166"/>
    <cellStyle name="표준 4 4 2 4 7" xfId="46167"/>
    <cellStyle name="표준 4 4 2 4 8" xfId="46168"/>
    <cellStyle name="표준 4 4 2 4 9" xfId="46169"/>
    <cellStyle name="표준 4 4 2 5" xfId="46170"/>
    <cellStyle name="표준 4 4 2 5 2" xfId="46171"/>
    <cellStyle name="표준 4 4 2 5 2 2" xfId="46172"/>
    <cellStyle name="표준 4 4 2 5 2 2 2" xfId="46173"/>
    <cellStyle name="표준 4 4 2 5 2 2 3" xfId="46174"/>
    <cellStyle name="표준 4 4 2 5 2 3" xfId="46175"/>
    <cellStyle name="표준 4 4 2 5 2 4" xfId="46176"/>
    <cellStyle name="표준 4 4 2 5 2 5" xfId="46177"/>
    <cellStyle name="표준 4 4 2 5 3" xfId="46178"/>
    <cellStyle name="표준 4 4 2 5 3 2" xfId="46179"/>
    <cellStyle name="표준 4 4 2 5 3 3" xfId="46180"/>
    <cellStyle name="표준 4 4 2 5 4" xfId="46181"/>
    <cellStyle name="표준 4 4 2 5 5" xfId="46182"/>
    <cellStyle name="표준 4 4 2 5 6" xfId="46183"/>
    <cellStyle name="표준 4 4 2 6" xfId="46184"/>
    <cellStyle name="표준 4 4 2 6 2" xfId="46185"/>
    <cellStyle name="표준 4 4 2 6 2 2" xfId="46186"/>
    <cellStyle name="표준 4 4 2 6 2 2 2" xfId="46187"/>
    <cellStyle name="표준 4 4 2 6 2 2 3" xfId="46188"/>
    <cellStyle name="표준 4 4 2 6 2 3" xfId="46189"/>
    <cellStyle name="표준 4 4 2 6 2 4" xfId="46190"/>
    <cellStyle name="표준 4 4 2 6 2 5" xfId="46191"/>
    <cellStyle name="표준 4 4 2 6 3" xfId="46192"/>
    <cellStyle name="표준 4 4 2 7" xfId="46193"/>
    <cellStyle name="표준 4 4 2 7 2" xfId="46194"/>
    <cellStyle name="표준 4 4 2 7 2 2" xfId="46195"/>
    <cellStyle name="표준 4 4 2 7 2 2 2" xfId="46196"/>
    <cellStyle name="표준 4 4 2 7 2 2 3" xfId="46197"/>
    <cellStyle name="표준 4 4 2 7 2 3" xfId="46198"/>
    <cellStyle name="표준 4 4 2 7 2 4" xfId="46199"/>
    <cellStyle name="표준 4 4 2 7 2 5" xfId="46200"/>
    <cellStyle name="표준 4 4 2 7 3" xfId="46201"/>
    <cellStyle name="표준 4 4 2 8" xfId="46202"/>
    <cellStyle name="표준 4 4 2 9" xfId="46203"/>
    <cellStyle name="표준 4 4 20" xfId="46204"/>
    <cellStyle name="표준 4 4 20 2" xfId="46205"/>
    <cellStyle name="표준 4 4 20 3" xfId="46206"/>
    <cellStyle name="표준 4 4 21" xfId="46207"/>
    <cellStyle name="표준 4 4 22" xfId="46208"/>
    <cellStyle name="표준 4 4 23" xfId="46209"/>
    <cellStyle name="표준 4 4 3" xfId="46210"/>
    <cellStyle name="표준 4 4 3 10" xfId="46211"/>
    <cellStyle name="표준 4 4 3 11" xfId="46212"/>
    <cellStyle name="표준 4 4 3 12" xfId="46213"/>
    <cellStyle name="표준 4 4 3 13" xfId="46214"/>
    <cellStyle name="표준 4 4 3 14" xfId="46215"/>
    <cellStyle name="표준 4 4 3 15" xfId="46216"/>
    <cellStyle name="표준 4 4 3 16" xfId="46217"/>
    <cellStyle name="표준 4 4 3 17" xfId="46218"/>
    <cellStyle name="표준 4 4 3 17 2" xfId="46219"/>
    <cellStyle name="표준 4 4 3 17 3" xfId="46220"/>
    <cellStyle name="표준 4 4 3 18" xfId="46221"/>
    <cellStyle name="표준 4 4 3 19" xfId="46222"/>
    <cellStyle name="표준 4 4 3 2" xfId="46223"/>
    <cellStyle name="표준 4 4 3 2 10" xfId="46224"/>
    <cellStyle name="표준 4 4 3 2 11" xfId="46225"/>
    <cellStyle name="표준 4 4 3 2 12" xfId="46226"/>
    <cellStyle name="표준 4 4 3 2 13" xfId="46227"/>
    <cellStyle name="표준 4 4 3 2 14" xfId="46228"/>
    <cellStyle name="표준 4 4 3 2 15" xfId="46229"/>
    <cellStyle name="표준 4 4 3 2 16" xfId="46230"/>
    <cellStyle name="표준 4 4 3 2 16 2" xfId="46231"/>
    <cellStyle name="표준 4 4 3 2 16 3" xfId="46232"/>
    <cellStyle name="표준 4 4 3 2 17" xfId="46233"/>
    <cellStyle name="표준 4 4 3 2 18" xfId="46234"/>
    <cellStyle name="표준 4 4 3 2 19" xfId="46235"/>
    <cellStyle name="표준 4 4 3 2 2" xfId="46236"/>
    <cellStyle name="표준 4 4 3 2 2 2" xfId="46237"/>
    <cellStyle name="표준 4 4 3 2 2 2 2" xfId="46238"/>
    <cellStyle name="표준 4 4 3 2 2 2 2 2" xfId="46239"/>
    <cellStyle name="표준 4 4 3 2 2 2 2 3" xfId="46240"/>
    <cellStyle name="표준 4 4 3 2 2 2 3" xfId="46241"/>
    <cellStyle name="표준 4 4 3 2 2 2 4" xfId="46242"/>
    <cellStyle name="표준 4 4 3 2 2 2 5" xfId="46243"/>
    <cellStyle name="표준 4 4 3 2 2 3" xfId="46244"/>
    <cellStyle name="표준 4 4 3 2 2 3 2" xfId="46245"/>
    <cellStyle name="표준 4 4 3 2 2 3 3" xfId="46246"/>
    <cellStyle name="표준 4 4 3 2 2 4" xfId="46247"/>
    <cellStyle name="표준 4 4 3 2 2 5" xfId="46248"/>
    <cellStyle name="표준 4 4 3 2 2 6" xfId="46249"/>
    <cellStyle name="표준 4 4 3 2 3" xfId="46250"/>
    <cellStyle name="표준 4 4 3 2 3 2" xfId="46251"/>
    <cellStyle name="표준 4 4 3 2 3 2 2" xfId="46252"/>
    <cellStyle name="표준 4 4 3 2 3 2 2 2" xfId="46253"/>
    <cellStyle name="표준 4 4 3 2 3 2 2 3" xfId="46254"/>
    <cellStyle name="표준 4 4 3 2 3 2 3" xfId="46255"/>
    <cellStyle name="표준 4 4 3 2 3 2 4" xfId="46256"/>
    <cellStyle name="표준 4 4 3 2 3 2 5" xfId="46257"/>
    <cellStyle name="표준 4 4 3 2 3 3" xfId="46258"/>
    <cellStyle name="표준 4 4 3 2 4" xfId="46259"/>
    <cellStyle name="표준 4 4 3 2 4 2" xfId="46260"/>
    <cellStyle name="표준 4 4 3 2 4 2 2" xfId="46261"/>
    <cellStyle name="표준 4 4 3 2 4 2 2 2" xfId="46262"/>
    <cellStyle name="표준 4 4 3 2 4 2 2 3" xfId="46263"/>
    <cellStyle name="표준 4 4 3 2 4 2 3" xfId="46264"/>
    <cellStyle name="표준 4 4 3 2 4 2 4" xfId="46265"/>
    <cellStyle name="표준 4 4 3 2 4 2 5" xfId="46266"/>
    <cellStyle name="표준 4 4 3 2 4 3" xfId="46267"/>
    <cellStyle name="표준 4 4 3 2 5" xfId="46268"/>
    <cellStyle name="표준 4 4 3 2 6" xfId="46269"/>
    <cellStyle name="표준 4 4 3 2 7" xfId="46270"/>
    <cellStyle name="표준 4 4 3 2 8" xfId="46271"/>
    <cellStyle name="표준 4 4 3 2 9" xfId="46272"/>
    <cellStyle name="표준 4 4 3 20" xfId="46273"/>
    <cellStyle name="표준 4 4 3 3" xfId="46274"/>
    <cellStyle name="표준 4 4 3 3 2" xfId="46275"/>
    <cellStyle name="표준 4 4 3 3 2 2" xfId="46276"/>
    <cellStyle name="표준 4 4 3 3 2 2 2" xfId="46277"/>
    <cellStyle name="표준 4 4 3 3 2 2 3" xfId="46278"/>
    <cellStyle name="표준 4 4 3 3 2 3" xfId="46279"/>
    <cellStyle name="표준 4 4 3 3 2 4" xfId="46280"/>
    <cellStyle name="표준 4 4 3 3 2 5" xfId="46281"/>
    <cellStyle name="표준 4 4 3 3 3" xfId="46282"/>
    <cellStyle name="표준 4 4 3 3 3 2" xfId="46283"/>
    <cellStyle name="표준 4 4 3 3 3 3" xfId="46284"/>
    <cellStyle name="표준 4 4 3 3 4" xfId="46285"/>
    <cellStyle name="표준 4 4 3 3 5" xfId="46286"/>
    <cellStyle name="표준 4 4 3 3 6" xfId="46287"/>
    <cellStyle name="표준 4 4 3 4" xfId="46288"/>
    <cellStyle name="표준 4 4 3 4 2" xfId="46289"/>
    <cellStyle name="표준 4 4 3 4 2 2" xfId="46290"/>
    <cellStyle name="표준 4 4 3 4 2 2 2" xfId="46291"/>
    <cellStyle name="표준 4 4 3 4 2 2 3" xfId="46292"/>
    <cellStyle name="표준 4 4 3 4 2 3" xfId="46293"/>
    <cellStyle name="표준 4 4 3 4 2 4" xfId="46294"/>
    <cellStyle name="표준 4 4 3 4 2 5" xfId="46295"/>
    <cellStyle name="표준 4 4 3 4 3" xfId="46296"/>
    <cellStyle name="표준 4 4 3 5" xfId="46297"/>
    <cellStyle name="표준 4 4 3 5 2" xfId="46298"/>
    <cellStyle name="표준 4 4 3 5 2 2" xfId="46299"/>
    <cellStyle name="표준 4 4 3 5 2 2 2" xfId="46300"/>
    <cellStyle name="표준 4 4 3 5 2 2 3" xfId="46301"/>
    <cellStyle name="표준 4 4 3 5 2 3" xfId="46302"/>
    <cellStyle name="표준 4 4 3 5 2 4" xfId="46303"/>
    <cellStyle name="표준 4 4 3 5 2 5" xfId="46304"/>
    <cellStyle name="표준 4 4 3 5 3" xfId="46305"/>
    <cellStyle name="표준 4 4 3 6" xfId="46306"/>
    <cellStyle name="표준 4 4 3 7" xfId="46307"/>
    <cellStyle name="표준 4 4 3 8" xfId="46308"/>
    <cellStyle name="표준 4 4 3 9" xfId="46309"/>
    <cellStyle name="표준 4 4 4" xfId="46310"/>
    <cellStyle name="표준 4 4 4 10" xfId="46311"/>
    <cellStyle name="표준 4 4 4 11" xfId="46312"/>
    <cellStyle name="표준 4 4 4 12" xfId="46313"/>
    <cellStyle name="표준 4 4 4 13" xfId="46314"/>
    <cellStyle name="표준 4 4 4 14" xfId="46315"/>
    <cellStyle name="표준 4 4 4 15" xfId="46316"/>
    <cellStyle name="표준 4 4 4 16" xfId="46317"/>
    <cellStyle name="표준 4 4 4 17" xfId="46318"/>
    <cellStyle name="표준 4 4 4 17 2" xfId="46319"/>
    <cellStyle name="표준 4 4 4 17 3" xfId="46320"/>
    <cellStyle name="표준 4 4 4 18" xfId="46321"/>
    <cellStyle name="표준 4 4 4 19" xfId="46322"/>
    <cellStyle name="표준 4 4 4 2" xfId="46323"/>
    <cellStyle name="표준 4 4 4 2 10" xfId="46324"/>
    <cellStyle name="표준 4 4 4 2 11" xfId="46325"/>
    <cellStyle name="표준 4 4 4 2 12" xfId="46326"/>
    <cellStyle name="표준 4 4 4 2 13" xfId="46327"/>
    <cellStyle name="표준 4 4 4 2 14" xfId="46328"/>
    <cellStyle name="표준 4 4 4 2 15" xfId="46329"/>
    <cellStyle name="표준 4 4 4 2 16" xfId="46330"/>
    <cellStyle name="표준 4 4 4 2 16 2" xfId="46331"/>
    <cellStyle name="표준 4 4 4 2 16 3" xfId="46332"/>
    <cellStyle name="표준 4 4 4 2 17" xfId="46333"/>
    <cellStyle name="표준 4 4 4 2 18" xfId="46334"/>
    <cellStyle name="표준 4 4 4 2 19" xfId="46335"/>
    <cellStyle name="표준 4 4 4 2 2" xfId="46336"/>
    <cellStyle name="표준 4 4 4 2 2 2" xfId="46337"/>
    <cellStyle name="표준 4 4 4 2 2 2 2" xfId="46338"/>
    <cellStyle name="표준 4 4 4 2 2 2 2 2" xfId="46339"/>
    <cellStyle name="표준 4 4 4 2 2 2 2 3" xfId="46340"/>
    <cellStyle name="표준 4 4 4 2 2 2 3" xfId="46341"/>
    <cellStyle name="표준 4 4 4 2 2 2 4" xfId="46342"/>
    <cellStyle name="표준 4 4 4 2 2 2 5" xfId="46343"/>
    <cellStyle name="표준 4 4 4 2 2 3" xfId="46344"/>
    <cellStyle name="표준 4 4 4 2 2 3 2" xfId="46345"/>
    <cellStyle name="표준 4 4 4 2 2 3 3" xfId="46346"/>
    <cellStyle name="표준 4 4 4 2 2 4" xfId="46347"/>
    <cellStyle name="표준 4 4 4 2 2 5" xfId="46348"/>
    <cellStyle name="표준 4 4 4 2 2 6" xfId="46349"/>
    <cellStyle name="표준 4 4 4 2 3" xfId="46350"/>
    <cellStyle name="표준 4 4 4 2 3 2" xfId="46351"/>
    <cellStyle name="표준 4 4 4 2 3 2 2" xfId="46352"/>
    <cellStyle name="표준 4 4 4 2 3 2 2 2" xfId="46353"/>
    <cellStyle name="표준 4 4 4 2 3 2 2 3" xfId="46354"/>
    <cellStyle name="표준 4 4 4 2 3 2 3" xfId="46355"/>
    <cellStyle name="표준 4 4 4 2 3 2 4" xfId="46356"/>
    <cellStyle name="표준 4 4 4 2 3 2 5" xfId="46357"/>
    <cellStyle name="표준 4 4 4 2 3 3" xfId="46358"/>
    <cellStyle name="표준 4 4 4 2 4" xfId="46359"/>
    <cellStyle name="표준 4 4 4 2 4 2" xfId="46360"/>
    <cellStyle name="표준 4 4 4 2 4 2 2" xfId="46361"/>
    <cellStyle name="표준 4 4 4 2 4 2 2 2" xfId="46362"/>
    <cellStyle name="표준 4 4 4 2 4 2 2 3" xfId="46363"/>
    <cellStyle name="표준 4 4 4 2 4 2 3" xfId="46364"/>
    <cellStyle name="표준 4 4 4 2 4 2 4" xfId="46365"/>
    <cellStyle name="표준 4 4 4 2 4 2 5" xfId="46366"/>
    <cellStyle name="표준 4 4 4 2 4 3" xfId="46367"/>
    <cellStyle name="표준 4 4 4 2 5" xfId="46368"/>
    <cellStyle name="표준 4 4 4 2 6" xfId="46369"/>
    <cellStyle name="표준 4 4 4 2 7" xfId="46370"/>
    <cellStyle name="표준 4 4 4 2 8" xfId="46371"/>
    <cellStyle name="표준 4 4 4 2 9" xfId="46372"/>
    <cellStyle name="표준 4 4 4 20" xfId="46373"/>
    <cellStyle name="표준 4 4 4 3" xfId="46374"/>
    <cellStyle name="표준 4 4 4 3 2" xfId="46375"/>
    <cellStyle name="표준 4 4 4 3 2 2" xfId="46376"/>
    <cellStyle name="표준 4 4 4 3 2 2 2" xfId="46377"/>
    <cellStyle name="표준 4 4 4 3 2 2 3" xfId="46378"/>
    <cellStyle name="표준 4 4 4 3 2 3" xfId="46379"/>
    <cellStyle name="표준 4 4 4 3 2 4" xfId="46380"/>
    <cellStyle name="표준 4 4 4 3 2 5" xfId="46381"/>
    <cellStyle name="표준 4 4 4 3 3" xfId="46382"/>
    <cellStyle name="표준 4 4 4 3 3 2" xfId="46383"/>
    <cellStyle name="표준 4 4 4 3 3 3" xfId="46384"/>
    <cellStyle name="표준 4 4 4 3 4" xfId="46385"/>
    <cellStyle name="표준 4 4 4 3 5" xfId="46386"/>
    <cellStyle name="표준 4 4 4 3 6" xfId="46387"/>
    <cellStyle name="표준 4 4 4 4" xfId="46388"/>
    <cellStyle name="표준 4 4 4 4 2" xfId="46389"/>
    <cellStyle name="표준 4 4 4 4 2 2" xfId="46390"/>
    <cellStyle name="표준 4 4 4 4 2 2 2" xfId="46391"/>
    <cellStyle name="표준 4 4 4 4 2 2 3" xfId="46392"/>
    <cellStyle name="표준 4 4 4 4 2 3" xfId="46393"/>
    <cellStyle name="표준 4 4 4 4 2 4" xfId="46394"/>
    <cellStyle name="표준 4 4 4 4 2 5" xfId="46395"/>
    <cellStyle name="표준 4 4 4 4 3" xfId="46396"/>
    <cellStyle name="표준 4 4 4 5" xfId="46397"/>
    <cellStyle name="표준 4 4 4 5 2" xfId="46398"/>
    <cellStyle name="표준 4 4 4 5 2 2" xfId="46399"/>
    <cellStyle name="표준 4 4 4 5 2 2 2" xfId="46400"/>
    <cellStyle name="표준 4 4 4 5 2 2 3" xfId="46401"/>
    <cellStyle name="표준 4 4 4 5 2 3" xfId="46402"/>
    <cellStyle name="표준 4 4 4 5 2 4" xfId="46403"/>
    <cellStyle name="표준 4 4 4 5 2 5" xfId="46404"/>
    <cellStyle name="표준 4 4 4 5 3" xfId="46405"/>
    <cellStyle name="표준 4 4 4 6" xfId="46406"/>
    <cellStyle name="표준 4 4 4 7" xfId="46407"/>
    <cellStyle name="표준 4 4 4 8" xfId="46408"/>
    <cellStyle name="표준 4 4 4 9" xfId="46409"/>
    <cellStyle name="표준 4 4 5" xfId="46410"/>
    <cellStyle name="표준 4 4 5 10" xfId="46411"/>
    <cellStyle name="표준 4 4 5 11" xfId="46412"/>
    <cellStyle name="표준 4 4 5 12" xfId="46413"/>
    <cellStyle name="표준 4 4 5 13" xfId="46414"/>
    <cellStyle name="표준 4 4 5 14" xfId="46415"/>
    <cellStyle name="표준 4 4 5 15" xfId="46416"/>
    <cellStyle name="표준 4 4 5 16" xfId="46417"/>
    <cellStyle name="표준 4 4 5 16 2" xfId="46418"/>
    <cellStyle name="표준 4 4 5 16 3" xfId="46419"/>
    <cellStyle name="표준 4 4 5 17" xfId="46420"/>
    <cellStyle name="표준 4 4 5 18" xfId="46421"/>
    <cellStyle name="표준 4 4 5 19" xfId="46422"/>
    <cellStyle name="표준 4 4 5 2" xfId="46423"/>
    <cellStyle name="표준 4 4 5 2 2" xfId="46424"/>
    <cellStyle name="표준 4 4 5 2 2 2" xfId="46425"/>
    <cellStyle name="표준 4 4 5 2 2 2 2" xfId="46426"/>
    <cellStyle name="표준 4 4 5 2 2 2 3" xfId="46427"/>
    <cellStyle name="표준 4 4 5 2 2 3" xfId="46428"/>
    <cellStyle name="표준 4 4 5 2 2 4" xfId="46429"/>
    <cellStyle name="표준 4 4 5 2 2 5" xfId="46430"/>
    <cellStyle name="표준 4 4 5 2 3" xfId="46431"/>
    <cellStyle name="표준 4 4 5 2 3 2" xfId="46432"/>
    <cellStyle name="표준 4 4 5 2 3 3" xfId="46433"/>
    <cellStyle name="표준 4 4 5 2 4" xfId="46434"/>
    <cellStyle name="표준 4 4 5 2 5" xfId="46435"/>
    <cellStyle name="표준 4 4 5 2 6" xfId="46436"/>
    <cellStyle name="표준 4 4 5 3" xfId="46437"/>
    <cellStyle name="표준 4 4 5 3 2" xfId="46438"/>
    <cellStyle name="표준 4 4 5 3 2 2" xfId="46439"/>
    <cellStyle name="표준 4 4 5 3 2 2 2" xfId="46440"/>
    <cellStyle name="표준 4 4 5 3 2 2 3" xfId="46441"/>
    <cellStyle name="표준 4 4 5 3 2 3" xfId="46442"/>
    <cellStyle name="표준 4 4 5 3 2 4" xfId="46443"/>
    <cellStyle name="표준 4 4 5 3 2 5" xfId="46444"/>
    <cellStyle name="표준 4 4 5 3 3" xfId="46445"/>
    <cellStyle name="표준 4 4 5 4" xfId="46446"/>
    <cellStyle name="표준 4 4 5 4 2" xfId="46447"/>
    <cellStyle name="표준 4 4 5 4 2 2" xfId="46448"/>
    <cellStyle name="표준 4 4 5 4 2 2 2" xfId="46449"/>
    <cellStyle name="표준 4 4 5 4 2 2 3" xfId="46450"/>
    <cellStyle name="표준 4 4 5 4 2 3" xfId="46451"/>
    <cellStyle name="표준 4 4 5 4 2 4" xfId="46452"/>
    <cellStyle name="표준 4 4 5 4 2 5" xfId="46453"/>
    <cellStyle name="표준 4 4 5 4 3" xfId="46454"/>
    <cellStyle name="표준 4 4 5 5" xfId="46455"/>
    <cellStyle name="표준 4 4 5 6" xfId="46456"/>
    <cellStyle name="표준 4 4 5 7" xfId="46457"/>
    <cellStyle name="표준 4 4 5 8" xfId="46458"/>
    <cellStyle name="표준 4 4 5 9" xfId="46459"/>
    <cellStyle name="표준 4 4 6" xfId="46460"/>
    <cellStyle name="표준 4 4 6 2" xfId="46461"/>
    <cellStyle name="표준 4 4 6 2 2" xfId="46462"/>
    <cellStyle name="표준 4 4 6 2 2 2" xfId="46463"/>
    <cellStyle name="표준 4 4 6 2 2 3" xfId="46464"/>
    <cellStyle name="표준 4 4 6 2 3" xfId="46465"/>
    <cellStyle name="표준 4 4 6 2 4" xfId="46466"/>
    <cellStyle name="표준 4 4 6 2 5" xfId="46467"/>
    <cellStyle name="표준 4 4 6 3" xfId="46468"/>
    <cellStyle name="표준 4 4 6 3 2" xfId="46469"/>
    <cellStyle name="표준 4 4 6 3 3" xfId="46470"/>
    <cellStyle name="표준 4 4 6 4" xfId="46471"/>
    <cellStyle name="표준 4 4 6 5" xfId="46472"/>
    <cellStyle name="표준 4 4 6 6" xfId="46473"/>
    <cellStyle name="표준 4 4 7" xfId="46474"/>
    <cellStyle name="표준 4 4 7 2" xfId="46475"/>
    <cellStyle name="표준 4 4 7 2 2" xfId="46476"/>
    <cellStyle name="표준 4 4 7 2 2 2" xfId="46477"/>
    <cellStyle name="표준 4 4 7 2 2 3" xfId="46478"/>
    <cellStyle name="표준 4 4 7 2 3" xfId="46479"/>
    <cellStyle name="표준 4 4 7 2 4" xfId="46480"/>
    <cellStyle name="표준 4 4 7 2 5" xfId="46481"/>
    <cellStyle name="표준 4 4 7 3" xfId="46482"/>
    <cellStyle name="표준 4 4 8" xfId="46483"/>
    <cellStyle name="표준 4 4 8 2" xfId="46484"/>
    <cellStyle name="표준 4 4 8 2 2" xfId="46485"/>
    <cellStyle name="표준 4 4 8 2 2 2" xfId="46486"/>
    <cellStyle name="표준 4 4 8 2 2 3" xfId="46487"/>
    <cellStyle name="표준 4 4 8 2 3" xfId="46488"/>
    <cellStyle name="표준 4 4 8 2 4" xfId="46489"/>
    <cellStyle name="표준 4 4 8 2 5" xfId="46490"/>
    <cellStyle name="표준 4 4 8 3" xfId="46491"/>
    <cellStyle name="표준 4 4 9" xfId="46492"/>
    <cellStyle name="표준 4 5" xfId="46493"/>
    <cellStyle name="표준 4 5 10" xfId="46494"/>
    <cellStyle name="표준 4 5 11" xfId="46495"/>
    <cellStyle name="표준 4 5 12" xfId="46496"/>
    <cellStyle name="표준 4 5 13" xfId="46497"/>
    <cellStyle name="표준 4 5 14" xfId="46498"/>
    <cellStyle name="표준 4 5 15" xfId="46499"/>
    <cellStyle name="표준 4 5 16" xfId="46500"/>
    <cellStyle name="표준 4 5 17" xfId="46501"/>
    <cellStyle name="표준 4 5 18" xfId="46502"/>
    <cellStyle name="표준 4 5 19" xfId="46503"/>
    <cellStyle name="표준 4 5 19 2" xfId="46504"/>
    <cellStyle name="표준 4 5 19 3" xfId="46505"/>
    <cellStyle name="표준 4 5 2" xfId="46506"/>
    <cellStyle name="표준 4 5 2 10" xfId="46507"/>
    <cellStyle name="표준 4 5 2 11" xfId="46508"/>
    <cellStyle name="표준 4 5 2 12" xfId="46509"/>
    <cellStyle name="표준 4 5 2 13" xfId="46510"/>
    <cellStyle name="표준 4 5 2 14" xfId="46511"/>
    <cellStyle name="표준 4 5 2 15" xfId="46512"/>
    <cellStyle name="표준 4 5 2 16" xfId="46513"/>
    <cellStyle name="표준 4 5 2 17" xfId="46514"/>
    <cellStyle name="표준 4 5 2 17 2" xfId="46515"/>
    <cellStyle name="표준 4 5 2 17 3" xfId="46516"/>
    <cellStyle name="표준 4 5 2 18" xfId="46517"/>
    <cellStyle name="표준 4 5 2 19" xfId="46518"/>
    <cellStyle name="표준 4 5 2 2" xfId="46519"/>
    <cellStyle name="표준 4 5 2 2 10" xfId="46520"/>
    <cellStyle name="표준 4 5 2 2 11" xfId="46521"/>
    <cellStyle name="표준 4 5 2 2 12" xfId="46522"/>
    <cellStyle name="표준 4 5 2 2 13" xfId="46523"/>
    <cellStyle name="표준 4 5 2 2 14" xfId="46524"/>
    <cellStyle name="표준 4 5 2 2 15" xfId="46525"/>
    <cellStyle name="표준 4 5 2 2 16" xfId="46526"/>
    <cellStyle name="표준 4 5 2 2 16 2" xfId="46527"/>
    <cellStyle name="표준 4 5 2 2 16 3" xfId="46528"/>
    <cellStyle name="표준 4 5 2 2 17" xfId="46529"/>
    <cellStyle name="표준 4 5 2 2 18" xfId="46530"/>
    <cellStyle name="표준 4 5 2 2 19" xfId="46531"/>
    <cellStyle name="표준 4 5 2 2 2" xfId="46532"/>
    <cellStyle name="표준 4 5 2 2 2 2" xfId="46533"/>
    <cellStyle name="표준 4 5 2 2 2 2 2" xfId="46534"/>
    <cellStyle name="표준 4 5 2 2 2 2 2 2" xfId="46535"/>
    <cellStyle name="표준 4 5 2 2 2 2 2 3" xfId="46536"/>
    <cellStyle name="표준 4 5 2 2 2 2 3" xfId="46537"/>
    <cellStyle name="표준 4 5 2 2 2 2 4" xfId="46538"/>
    <cellStyle name="표준 4 5 2 2 2 2 5" xfId="46539"/>
    <cellStyle name="표준 4 5 2 2 2 3" xfId="46540"/>
    <cellStyle name="표준 4 5 2 2 2 3 2" xfId="46541"/>
    <cellStyle name="표준 4 5 2 2 2 3 3" xfId="46542"/>
    <cellStyle name="표준 4 5 2 2 2 4" xfId="46543"/>
    <cellStyle name="표준 4 5 2 2 2 5" xfId="46544"/>
    <cellStyle name="표준 4 5 2 2 2 6" xfId="46545"/>
    <cellStyle name="표준 4 5 2 2 3" xfId="46546"/>
    <cellStyle name="표준 4 5 2 2 3 2" xfId="46547"/>
    <cellStyle name="표준 4 5 2 2 3 2 2" xfId="46548"/>
    <cellStyle name="표준 4 5 2 2 3 2 2 2" xfId="46549"/>
    <cellStyle name="표준 4 5 2 2 3 2 2 3" xfId="46550"/>
    <cellStyle name="표준 4 5 2 2 3 2 3" xfId="46551"/>
    <cellStyle name="표준 4 5 2 2 3 2 4" xfId="46552"/>
    <cellStyle name="표준 4 5 2 2 3 2 5" xfId="46553"/>
    <cellStyle name="표준 4 5 2 2 3 3" xfId="46554"/>
    <cellStyle name="표준 4 5 2 2 4" xfId="46555"/>
    <cellStyle name="표준 4 5 2 2 4 2" xfId="46556"/>
    <cellStyle name="표준 4 5 2 2 4 2 2" xfId="46557"/>
    <cellStyle name="표준 4 5 2 2 4 2 2 2" xfId="46558"/>
    <cellStyle name="표준 4 5 2 2 4 2 2 3" xfId="46559"/>
    <cellStyle name="표준 4 5 2 2 4 2 3" xfId="46560"/>
    <cellStyle name="표준 4 5 2 2 4 2 4" xfId="46561"/>
    <cellStyle name="표준 4 5 2 2 4 2 5" xfId="46562"/>
    <cellStyle name="표준 4 5 2 2 4 3" xfId="46563"/>
    <cellStyle name="표준 4 5 2 2 5" xfId="46564"/>
    <cellStyle name="표준 4 5 2 2 6" xfId="46565"/>
    <cellStyle name="표준 4 5 2 2 7" xfId="46566"/>
    <cellStyle name="표준 4 5 2 2 8" xfId="46567"/>
    <cellStyle name="표준 4 5 2 2 9" xfId="46568"/>
    <cellStyle name="표준 4 5 2 20" xfId="46569"/>
    <cellStyle name="표준 4 5 2 3" xfId="46570"/>
    <cellStyle name="표준 4 5 2 3 2" xfId="46571"/>
    <cellStyle name="표준 4 5 2 3 2 2" xfId="46572"/>
    <cellStyle name="표준 4 5 2 3 2 2 2" xfId="46573"/>
    <cellStyle name="표준 4 5 2 3 2 2 3" xfId="46574"/>
    <cellStyle name="표준 4 5 2 3 2 3" xfId="46575"/>
    <cellStyle name="표준 4 5 2 3 2 4" xfId="46576"/>
    <cellStyle name="표준 4 5 2 3 2 5" xfId="46577"/>
    <cellStyle name="표준 4 5 2 3 3" xfId="46578"/>
    <cellStyle name="표준 4 5 2 3 3 2" xfId="46579"/>
    <cellStyle name="표준 4 5 2 3 3 3" xfId="46580"/>
    <cellStyle name="표준 4 5 2 3 4" xfId="46581"/>
    <cellStyle name="표준 4 5 2 3 5" xfId="46582"/>
    <cellStyle name="표준 4 5 2 3 6" xfId="46583"/>
    <cellStyle name="표준 4 5 2 4" xfId="46584"/>
    <cellStyle name="표준 4 5 2 4 2" xfId="46585"/>
    <cellStyle name="표준 4 5 2 4 2 2" xfId="46586"/>
    <cellStyle name="표준 4 5 2 4 2 2 2" xfId="46587"/>
    <cellStyle name="표준 4 5 2 4 2 2 3" xfId="46588"/>
    <cellStyle name="표준 4 5 2 4 2 3" xfId="46589"/>
    <cellStyle name="표준 4 5 2 4 2 4" xfId="46590"/>
    <cellStyle name="표준 4 5 2 4 2 5" xfId="46591"/>
    <cellStyle name="표준 4 5 2 4 3" xfId="46592"/>
    <cellStyle name="표준 4 5 2 5" xfId="46593"/>
    <cellStyle name="표준 4 5 2 5 2" xfId="46594"/>
    <cellStyle name="표준 4 5 2 5 2 2" xfId="46595"/>
    <cellStyle name="표준 4 5 2 5 2 2 2" xfId="46596"/>
    <cellStyle name="표준 4 5 2 5 2 2 3" xfId="46597"/>
    <cellStyle name="표준 4 5 2 5 2 3" xfId="46598"/>
    <cellStyle name="표준 4 5 2 5 2 4" xfId="46599"/>
    <cellStyle name="표준 4 5 2 5 2 5" xfId="46600"/>
    <cellStyle name="표준 4 5 2 5 3" xfId="46601"/>
    <cellStyle name="표준 4 5 2 6" xfId="46602"/>
    <cellStyle name="표준 4 5 2 7" xfId="46603"/>
    <cellStyle name="표준 4 5 2 8" xfId="46604"/>
    <cellStyle name="표준 4 5 2 9" xfId="46605"/>
    <cellStyle name="표준 4 5 20" xfId="46606"/>
    <cellStyle name="표준 4 5 21" xfId="46607"/>
    <cellStyle name="표준 4 5 22" xfId="46608"/>
    <cellStyle name="표준 4 5 3" xfId="46609"/>
    <cellStyle name="표준 4 5 3 10" xfId="46610"/>
    <cellStyle name="표준 4 5 3 11" xfId="46611"/>
    <cellStyle name="표준 4 5 3 12" xfId="46612"/>
    <cellStyle name="표준 4 5 3 13" xfId="46613"/>
    <cellStyle name="표준 4 5 3 14" xfId="46614"/>
    <cellStyle name="표준 4 5 3 15" xfId="46615"/>
    <cellStyle name="표준 4 5 3 16" xfId="46616"/>
    <cellStyle name="표준 4 5 3 17" xfId="46617"/>
    <cellStyle name="표준 4 5 3 17 2" xfId="46618"/>
    <cellStyle name="표준 4 5 3 17 3" xfId="46619"/>
    <cellStyle name="표준 4 5 3 18" xfId="46620"/>
    <cellStyle name="표준 4 5 3 19" xfId="46621"/>
    <cellStyle name="표준 4 5 3 2" xfId="46622"/>
    <cellStyle name="표준 4 5 3 2 10" xfId="46623"/>
    <cellStyle name="표준 4 5 3 2 11" xfId="46624"/>
    <cellStyle name="표준 4 5 3 2 12" xfId="46625"/>
    <cellStyle name="표준 4 5 3 2 13" xfId="46626"/>
    <cellStyle name="표준 4 5 3 2 14" xfId="46627"/>
    <cellStyle name="표준 4 5 3 2 15" xfId="46628"/>
    <cellStyle name="표준 4 5 3 2 16" xfId="46629"/>
    <cellStyle name="표준 4 5 3 2 16 2" xfId="46630"/>
    <cellStyle name="표준 4 5 3 2 16 3" xfId="46631"/>
    <cellStyle name="표준 4 5 3 2 17" xfId="46632"/>
    <cellStyle name="표준 4 5 3 2 18" xfId="46633"/>
    <cellStyle name="표준 4 5 3 2 19" xfId="46634"/>
    <cellStyle name="표준 4 5 3 2 2" xfId="46635"/>
    <cellStyle name="표준 4 5 3 2 2 2" xfId="46636"/>
    <cellStyle name="표준 4 5 3 2 2 2 2" xfId="46637"/>
    <cellStyle name="표준 4 5 3 2 2 2 2 2" xfId="46638"/>
    <cellStyle name="표준 4 5 3 2 2 2 2 3" xfId="46639"/>
    <cellStyle name="표준 4 5 3 2 2 2 3" xfId="46640"/>
    <cellStyle name="표준 4 5 3 2 2 2 4" xfId="46641"/>
    <cellStyle name="표준 4 5 3 2 2 2 5" xfId="46642"/>
    <cellStyle name="표준 4 5 3 2 2 3" xfId="46643"/>
    <cellStyle name="표준 4 5 3 2 2 3 2" xfId="46644"/>
    <cellStyle name="표준 4 5 3 2 2 3 3" xfId="46645"/>
    <cellStyle name="표준 4 5 3 2 2 4" xfId="46646"/>
    <cellStyle name="표준 4 5 3 2 2 5" xfId="46647"/>
    <cellStyle name="표준 4 5 3 2 2 6" xfId="46648"/>
    <cellStyle name="표준 4 5 3 2 3" xfId="46649"/>
    <cellStyle name="표준 4 5 3 2 3 2" xfId="46650"/>
    <cellStyle name="표준 4 5 3 2 3 2 2" xfId="46651"/>
    <cellStyle name="표준 4 5 3 2 3 2 2 2" xfId="46652"/>
    <cellStyle name="표준 4 5 3 2 3 2 2 3" xfId="46653"/>
    <cellStyle name="표준 4 5 3 2 3 2 3" xfId="46654"/>
    <cellStyle name="표준 4 5 3 2 3 2 4" xfId="46655"/>
    <cellStyle name="표준 4 5 3 2 3 2 5" xfId="46656"/>
    <cellStyle name="표준 4 5 3 2 3 3" xfId="46657"/>
    <cellStyle name="표준 4 5 3 2 4" xfId="46658"/>
    <cellStyle name="표준 4 5 3 2 4 2" xfId="46659"/>
    <cellStyle name="표준 4 5 3 2 4 2 2" xfId="46660"/>
    <cellStyle name="표준 4 5 3 2 4 2 2 2" xfId="46661"/>
    <cellStyle name="표준 4 5 3 2 4 2 2 3" xfId="46662"/>
    <cellStyle name="표준 4 5 3 2 4 2 3" xfId="46663"/>
    <cellStyle name="표준 4 5 3 2 4 2 4" xfId="46664"/>
    <cellStyle name="표준 4 5 3 2 4 2 5" xfId="46665"/>
    <cellStyle name="표준 4 5 3 2 4 3" xfId="46666"/>
    <cellStyle name="표준 4 5 3 2 5" xfId="46667"/>
    <cellStyle name="표준 4 5 3 2 6" xfId="46668"/>
    <cellStyle name="표준 4 5 3 2 7" xfId="46669"/>
    <cellStyle name="표준 4 5 3 2 8" xfId="46670"/>
    <cellStyle name="표준 4 5 3 2 9" xfId="46671"/>
    <cellStyle name="표준 4 5 3 20" xfId="46672"/>
    <cellStyle name="표준 4 5 3 3" xfId="46673"/>
    <cellStyle name="표준 4 5 3 3 2" xfId="46674"/>
    <cellStyle name="표준 4 5 3 3 2 2" xfId="46675"/>
    <cellStyle name="표준 4 5 3 3 2 2 2" xfId="46676"/>
    <cellStyle name="표준 4 5 3 3 2 2 3" xfId="46677"/>
    <cellStyle name="표준 4 5 3 3 2 3" xfId="46678"/>
    <cellStyle name="표준 4 5 3 3 2 4" xfId="46679"/>
    <cellStyle name="표준 4 5 3 3 2 5" xfId="46680"/>
    <cellStyle name="표준 4 5 3 3 3" xfId="46681"/>
    <cellStyle name="표준 4 5 3 3 3 2" xfId="46682"/>
    <cellStyle name="표준 4 5 3 3 3 3" xfId="46683"/>
    <cellStyle name="표준 4 5 3 3 4" xfId="46684"/>
    <cellStyle name="표준 4 5 3 3 5" xfId="46685"/>
    <cellStyle name="표준 4 5 3 3 6" xfId="46686"/>
    <cellStyle name="표준 4 5 3 4" xfId="46687"/>
    <cellStyle name="표준 4 5 3 4 2" xfId="46688"/>
    <cellStyle name="표준 4 5 3 4 2 2" xfId="46689"/>
    <cellStyle name="표준 4 5 3 4 2 2 2" xfId="46690"/>
    <cellStyle name="표준 4 5 3 4 2 2 3" xfId="46691"/>
    <cellStyle name="표준 4 5 3 4 2 3" xfId="46692"/>
    <cellStyle name="표준 4 5 3 4 2 4" xfId="46693"/>
    <cellStyle name="표준 4 5 3 4 2 5" xfId="46694"/>
    <cellStyle name="표준 4 5 3 4 3" xfId="46695"/>
    <cellStyle name="표준 4 5 3 5" xfId="46696"/>
    <cellStyle name="표준 4 5 3 5 2" xfId="46697"/>
    <cellStyle name="표준 4 5 3 5 2 2" xfId="46698"/>
    <cellStyle name="표준 4 5 3 5 2 2 2" xfId="46699"/>
    <cellStyle name="표준 4 5 3 5 2 2 3" xfId="46700"/>
    <cellStyle name="표준 4 5 3 5 2 3" xfId="46701"/>
    <cellStyle name="표준 4 5 3 5 2 4" xfId="46702"/>
    <cellStyle name="표준 4 5 3 5 2 5" xfId="46703"/>
    <cellStyle name="표준 4 5 3 5 3" xfId="46704"/>
    <cellStyle name="표준 4 5 3 6" xfId="46705"/>
    <cellStyle name="표준 4 5 3 7" xfId="46706"/>
    <cellStyle name="표준 4 5 3 8" xfId="46707"/>
    <cellStyle name="표준 4 5 3 9" xfId="46708"/>
    <cellStyle name="표준 4 5 4" xfId="46709"/>
    <cellStyle name="표준 4 5 4 10" xfId="46710"/>
    <cellStyle name="표준 4 5 4 11" xfId="46711"/>
    <cellStyle name="표준 4 5 4 12" xfId="46712"/>
    <cellStyle name="표준 4 5 4 13" xfId="46713"/>
    <cellStyle name="표준 4 5 4 14" xfId="46714"/>
    <cellStyle name="표준 4 5 4 15" xfId="46715"/>
    <cellStyle name="표준 4 5 4 16" xfId="46716"/>
    <cellStyle name="표준 4 5 4 16 2" xfId="46717"/>
    <cellStyle name="표준 4 5 4 16 3" xfId="46718"/>
    <cellStyle name="표준 4 5 4 17" xfId="46719"/>
    <cellStyle name="표준 4 5 4 18" xfId="46720"/>
    <cellStyle name="표준 4 5 4 19" xfId="46721"/>
    <cellStyle name="표준 4 5 4 2" xfId="46722"/>
    <cellStyle name="표준 4 5 4 2 2" xfId="46723"/>
    <cellStyle name="표준 4 5 4 2 2 2" xfId="46724"/>
    <cellStyle name="표준 4 5 4 2 2 2 2" xfId="46725"/>
    <cellStyle name="표준 4 5 4 2 2 2 3" xfId="46726"/>
    <cellStyle name="표준 4 5 4 2 2 3" xfId="46727"/>
    <cellStyle name="표준 4 5 4 2 2 4" xfId="46728"/>
    <cellStyle name="표준 4 5 4 2 2 5" xfId="46729"/>
    <cellStyle name="표준 4 5 4 2 3" xfId="46730"/>
    <cellStyle name="표준 4 5 4 2 3 2" xfId="46731"/>
    <cellStyle name="표준 4 5 4 2 3 3" xfId="46732"/>
    <cellStyle name="표준 4 5 4 2 4" xfId="46733"/>
    <cellStyle name="표준 4 5 4 2 5" xfId="46734"/>
    <cellStyle name="표준 4 5 4 2 6" xfId="46735"/>
    <cellStyle name="표준 4 5 4 3" xfId="46736"/>
    <cellStyle name="표준 4 5 4 3 2" xfId="46737"/>
    <cellStyle name="표준 4 5 4 3 2 2" xfId="46738"/>
    <cellStyle name="표준 4 5 4 3 2 2 2" xfId="46739"/>
    <cellStyle name="표준 4 5 4 3 2 2 3" xfId="46740"/>
    <cellStyle name="표준 4 5 4 3 2 3" xfId="46741"/>
    <cellStyle name="표준 4 5 4 3 2 4" xfId="46742"/>
    <cellStyle name="표준 4 5 4 3 2 5" xfId="46743"/>
    <cellStyle name="표준 4 5 4 3 3" xfId="46744"/>
    <cellStyle name="표준 4 5 4 4" xfId="46745"/>
    <cellStyle name="표준 4 5 4 4 2" xfId="46746"/>
    <cellStyle name="표준 4 5 4 4 2 2" xfId="46747"/>
    <cellStyle name="표준 4 5 4 4 2 2 2" xfId="46748"/>
    <cellStyle name="표준 4 5 4 4 2 2 3" xfId="46749"/>
    <cellStyle name="표준 4 5 4 4 2 3" xfId="46750"/>
    <cellStyle name="표준 4 5 4 4 2 4" xfId="46751"/>
    <cellStyle name="표준 4 5 4 4 2 5" xfId="46752"/>
    <cellStyle name="표준 4 5 4 4 3" xfId="46753"/>
    <cellStyle name="표준 4 5 4 5" xfId="46754"/>
    <cellStyle name="표준 4 5 4 6" xfId="46755"/>
    <cellStyle name="표준 4 5 4 7" xfId="46756"/>
    <cellStyle name="표준 4 5 4 8" xfId="46757"/>
    <cellStyle name="표준 4 5 4 9" xfId="46758"/>
    <cellStyle name="표준 4 5 5" xfId="46759"/>
    <cellStyle name="표준 4 5 5 2" xfId="46760"/>
    <cellStyle name="표준 4 5 5 2 2" xfId="46761"/>
    <cellStyle name="표준 4 5 5 2 2 2" xfId="46762"/>
    <cellStyle name="표준 4 5 5 2 2 3" xfId="46763"/>
    <cellStyle name="표준 4 5 5 2 3" xfId="46764"/>
    <cellStyle name="표준 4 5 5 2 4" xfId="46765"/>
    <cellStyle name="표준 4 5 5 2 5" xfId="46766"/>
    <cellStyle name="표준 4 5 5 3" xfId="46767"/>
    <cellStyle name="표준 4 5 5 3 2" xfId="46768"/>
    <cellStyle name="표준 4 5 5 3 3" xfId="46769"/>
    <cellStyle name="표준 4 5 5 4" xfId="46770"/>
    <cellStyle name="표준 4 5 5 5" xfId="46771"/>
    <cellStyle name="표준 4 5 5 6" xfId="46772"/>
    <cellStyle name="표준 4 5 6" xfId="46773"/>
    <cellStyle name="표준 4 5 6 2" xfId="46774"/>
    <cellStyle name="표준 4 5 6 2 2" xfId="46775"/>
    <cellStyle name="표준 4 5 6 2 2 2" xfId="46776"/>
    <cellStyle name="표준 4 5 6 2 2 3" xfId="46777"/>
    <cellStyle name="표준 4 5 6 2 3" xfId="46778"/>
    <cellStyle name="표준 4 5 6 2 4" xfId="46779"/>
    <cellStyle name="표준 4 5 6 2 5" xfId="46780"/>
    <cellStyle name="표준 4 5 6 3" xfId="46781"/>
    <cellStyle name="표준 4 5 7" xfId="46782"/>
    <cellStyle name="표준 4 5 7 2" xfId="46783"/>
    <cellStyle name="표준 4 5 7 2 2" xfId="46784"/>
    <cellStyle name="표준 4 5 7 2 2 2" xfId="46785"/>
    <cellStyle name="표준 4 5 7 2 2 3" xfId="46786"/>
    <cellStyle name="표준 4 5 7 2 3" xfId="46787"/>
    <cellStyle name="표준 4 5 7 2 4" xfId="46788"/>
    <cellStyle name="표준 4 5 7 2 5" xfId="46789"/>
    <cellStyle name="표준 4 5 7 3" xfId="46790"/>
    <cellStyle name="표준 4 5 8" xfId="46791"/>
    <cellStyle name="표준 4 5 9" xfId="46792"/>
    <cellStyle name="표준 4 6" xfId="46793"/>
    <cellStyle name="표준 4 6 10" xfId="46794"/>
    <cellStyle name="표준 4 6 11" xfId="46795"/>
    <cellStyle name="표준 4 6 12" xfId="46796"/>
    <cellStyle name="표준 4 6 13" xfId="46797"/>
    <cellStyle name="표준 4 6 14" xfId="46798"/>
    <cellStyle name="표준 4 6 15" xfId="46799"/>
    <cellStyle name="표준 4 6 16" xfId="46800"/>
    <cellStyle name="표준 4 6 17" xfId="46801"/>
    <cellStyle name="표준 4 6 17 2" xfId="46802"/>
    <cellStyle name="표준 4 6 17 3" xfId="46803"/>
    <cellStyle name="표준 4 6 18" xfId="46804"/>
    <cellStyle name="표준 4 6 19" xfId="46805"/>
    <cellStyle name="표준 4 6 2" xfId="46806"/>
    <cellStyle name="표준 4 6 2 10" xfId="46807"/>
    <cellStyle name="표준 4 6 2 11" xfId="46808"/>
    <cellStyle name="표준 4 6 2 12" xfId="46809"/>
    <cellStyle name="표준 4 6 2 13" xfId="46810"/>
    <cellStyle name="표준 4 6 2 14" xfId="46811"/>
    <cellStyle name="표준 4 6 2 15" xfId="46812"/>
    <cellStyle name="표준 4 6 2 16" xfId="46813"/>
    <cellStyle name="표준 4 6 2 16 2" xfId="46814"/>
    <cellStyle name="표준 4 6 2 16 3" xfId="46815"/>
    <cellStyle name="표준 4 6 2 17" xfId="46816"/>
    <cellStyle name="표준 4 6 2 18" xfId="46817"/>
    <cellStyle name="표준 4 6 2 19" xfId="46818"/>
    <cellStyle name="표준 4 6 2 2" xfId="46819"/>
    <cellStyle name="표준 4 6 2 2 2" xfId="46820"/>
    <cellStyle name="표준 4 6 2 2 2 2" xfId="46821"/>
    <cellStyle name="표준 4 6 2 2 2 2 2" xfId="46822"/>
    <cellStyle name="표준 4 6 2 2 2 2 3" xfId="46823"/>
    <cellStyle name="표준 4 6 2 2 2 3" xfId="46824"/>
    <cellStyle name="표준 4 6 2 2 2 4" xfId="46825"/>
    <cellStyle name="표준 4 6 2 2 2 5" xfId="46826"/>
    <cellStyle name="표준 4 6 2 2 3" xfId="46827"/>
    <cellStyle name="표준 4 6 2 2 3 2" xfId="46828"/>
    <cellStyle name="표준 4 6 2 2 3 3" xfId="46829"/>
    <cellStyle name="표준 4 6 2 2 4" xfId="46830"/>
    <cellStyle name="표준 4 6 2 2 5" xfId="46831"/>
    <cellStyle name="표준 4 6 2 2 6" xfId="46832"/>
    <cellStyle name="표준 4 6 2 3" xfId="46833"/>
    <cellStyle name="표준 4 6 2 3 2" xfId="46834"/>
    <cellStyle name="표준 4 6 2 3 2 2" xfId="46835"/>
    <cellStyle name="표준 4 6 2 3 2 2 2" xfId="46836"/>
    <cellStyle name="표준 4 6 2 3 2 2 3" xfId="46837"/>
    <cellStyle name="표준 4 6 2 3 2 3" xfId="46838"/>
    <cellStyle name="표준 4 6 2 3 2 4" xfId="46839"/>
    <cellStyle name="표준 4 6 2 3 2 5" xfId="46840"/>
    <cellStyle name="표준 4 6 2 3 3" xfId="46841"/>
    <cellStyle name="표준 4 6 2 4" xfId="46842"/>
    <cellStyle name="표준 4 6 2 4 2" xfId="46843"/>
    <cellStyle name="표준 4 6 2 4 2 2" xfId="46844"/>
    <cellStyle name="표준 4 6 2 4 2 2 2" xfId="46845"/>
    <cellStyle name="표준 4 6 2 4 2 2 3" xfId="46846"/>
    <cellStyle name="표준 4 6 2 4 2 3" xfId="46847"/>
    <cellStyle name="표준 4 6 2 4 2 4" xfId="46848"/>
    <cellStyle name="표준 4 6 2 4 2 5" xfId="46849"/>
    <cellStyle name="표준 4 6 2 4 3" xfId="46850"/>
    <cellStyle name="표준 4 6 2 5" xfId="46851"/>
    <cellStyle name="표준 4 6 2 6" xfId="46852"/>
    <cellStyle name="표준 4 6 2 7" xfId="46853"/>
    <cellStyle name="표준 4 6 2 8" xfId="46854"/>
    <cellStyle name="표준 4 6 2 9" xfId="46855"/>
    <cellStyle name="표준 4 6 20" xfId="46856"/>
    <cellStyle name="표준 4 6 3" xfId="46857"/>
    <cellStyle name="표준 4 6 3 2" xfId="46858"/>
    <cellStyle name="표준 4 6 3 2 2" xfId="46859"/>
    <cellStyle name="표준 4 6 3 2 2 2" xfId="46860"/>
    <cellStyle name="표준 4 6 3 2 2 3" xfId="46861"/>
    <cellStyle name="표준 4 6 3 2 3" xfId="46862"/>
    <cellStyle name="표준 4 6 3 2 4" xfId="46863"/>
    <cellStyle name="표준 4 6 3 2 5" xfId="46864"/>
    <cellStyle name="표준 4 6 3 3" xfId="46865"/>
    <cellStyle name="표준 4 6 3 3 2" xfId="46866"/>
    <cellStyle name="표준 4 6 3 3 3" xfId="46867"/>
    <cellStyle name="표준 4 6 3 4" xfId="46868"/>
    <cellStyle name="표준 4 6 3 5" xfId="46869"/>
    <cellStyle name="표준 4 6 3 6" xfId="46870"/>
    <cellStyle name="표준 4 6 4" xfId="46871"/>
    <cellStyle name="표준 4 6 4 2" xfId="46872"/>
    <cellStyle name="표준 4 6 4 2 2" xfId="46873"/>
    <cellStyle name="표준 4 6 4 2 2 2" xfId="46874"/>
    <cellStyle name="표준 4 6 4 2 2 3" xfId="46875"/>
    <cellStyle name="표준 4 6 4 2 3" xfId="46876"/>
    <cellStyle name="표준 4 6 4 2 4" xfId="46877"/>
    <cellStyle name="표준 4 6 4 2 5" xfId="46878"/>
    <cellStyle name="표준 4 6 4 3" xfId="46879"/>
    <cellStyle name="표준 4 6 5" xfId="46880"/>
    <cellStyle name="표준 4 6 5 2" xfId="46881"/>
    <cellStyle name="표준 4 6 5 2 2" xfId="46882"/>
    <cellStyle name="표준 4 6 5 2 2 2" xfId="46883"/>
    <cellStyle name="표준 4 6 5 2 2 3" xfId="46884"/>
    <cellStyle name="표준 4 6 5 2 3" xfId="46885"/>
    <cellStyle name="표준 4 6 5 2 4" xfId="46886"/>
    <cellStyle name="표준 4 6 5 2 5" xfId="46887"/>
    <cellStyle name="표준 4 6 5 3" xfId="46888"/>
    <cellStyle name="표준 4 6 6" xfId="46889"/>
    <cellStyle name="표준 4 6 7" xfId="46890"/>
    <cellStyle name="표준 4 6 8" xfId="46891"/>
    <cellStyle name="표준 4 6 9" xfId="46892"/>
    <cellStyle name="표준 4 7" xfId="46893"/>
    <cellStyle name="표준 4 7 10" xfId="46894"/>
    <cellStyle name="표준 4 7 11" xfId="46895"/>
    <cellStyle name="표준 4 7 12" xfId="46896"/>
    <cellStyle name="표준 4 7 13" xfId="46897"/>
    <cellStyle name="표준 4 7 14" xfId="46898"/>
    <cellStyle name="표준 4 7 15" xfId="46899"/>
    <cellStyle name="표준 4 7 16" xfId="46900"/>
    <cellStyle name="표준 4 7 17" xfId="46901"/>
    <cellStyle name="표준 4 7 17 2" xfId="46902"/>
    <cellStyle name="표준 4 7 17 3" xfId="46903"/>
    <cellStyle name="표준 4 7 18" xfId="46904"/>
    <cellStyle name="표준 4 7 19" xfId="46905"/>
    <cellStyle name="표준 4 7 2" xfId="46906"/>
    <cellStyle name="표준 4 7 2 10" xfId="46907"/>
    <cellStyle name="표준 4 7 2 11" xfId="46908"/>
    <cellStyle name="표준 4 7 2 12" xfId="46909"/>
    <cellStyle name="표준 4 7 2 13" xfId="46910"/>
    <cellStyle name="표준 4 7 2 14" xfId="46911"/>
    <cellStyle name="표준 4 7 2 15" xfId="46912"/>
    <cellStyle name="표준 4 7 2 16" xfId="46913"/>
    <cellStyle name="표준 4 7 2 16 2" xfId="46914"/>
    <cellStyle name="표준 4 7 2 16 3" xfId="46915"/>
    <cellStyle name="표준 4 7 2 17" xfId="46916"/>
    <cellStyle name="표준 4 7 2 18" xfId="46917"/>
    <cellStyle name="표준 4 7 2 19" xfId="46918"/>
    <cellStyle name="표준 4 7 2 2" xfId="46919"/>
    <cellStyle name="표준 4 7 2 2 2" xfId="46920"/>
    <cellStyle name="표준 4 7 2 2 2 2" xfId="46921"/>
    <cellStyle name="표준 4 7 2 2 2 2 2" xfId="46922"/>
    <cellStyle name="표준 4 7 2 2 2 2 3" xfId="46923"/>
    <cellStyle name="표준 4 7 2 2 2 3" xfId="46924"/>
    <cellStyle name="표준 4 7 2 2 2 4" xfId="46925"/>
    <cellStyle name="표준 4 7 2 2 2 5" xfId="46926"/>
    <cellStyle name="표준 4 7 2 2 3" xfId="46927"/>
    <cellStyle name="표준 4 7 2 2 3 2" xfId="46928"/>
    <cellStyle name="표준 4 7 2 2 3 3" xfId="46929"/>
    <cellStyle name="표준 4 7 2 2 4" xfId="46930"/>
    <cellStyle name="표준 4 7 2 2 5" xfId="46931"/>
    <cellStyle name="표준 4 7 2 2 6" xfId="46932"/>
    <cellStyle name="표준 4 7 2 3" xfId="46933"/>
    <cellStyle name="표준 4 7 2 3 2" xfId="46934"/>
    <cellStyle name="표준 4 7 2 3 2 2" xfId="46935"/>
    <cellStyle name="표준 4 7 2 3 2 2 2" xfId="46936"/>
    <cellStyle name="표준 4 7 2 3 2 2 3" xfId="46937"/>
    <cellStyle name="표준 4 7 2 3 2 3" xfId="46938"/>
    <cellStyle name="표준 4 7 2 3 2 4" xfId="46939"/>
    <cellStyle name="표준 4 7 2 3 2 5" xfId="46940"/>
    <cellStyle name="표준 4 7 2 3 3" xfId="46941"/>
    <cellStyle name="표준 4 7 2 4" xfId="46942"/>
    <cellStyle name="표준 4 7 2 4 2" xfId="46943"/>
    <cellStyle name="표준 4 7 2 4 2 2" xfId="46944"/>
    <cellStyle name="표준 4 7 2 4 2 2 2" xfId="46945"/>
    <cellStyle name="표준 4 7 2 4 2 2 3" xfId="46946"/>
    <cellStyle name="표준 4 7 2 4 2 3" xfId="46947"/>
    <cellStyle name="표준 4 7 2 4 2 4" xfId="46948"/>
    <cellStyle name="표준 4 7 2 4 2 5" xfId="46949"/>
    <cellStyle name="표준 4 7 2 4 3" xfId="46950"/>
    <cellStyle name="표준 4 7 2 5" xfId="46951"/>
    <cellStyle name="표준 4 7 2 6" xfId="46952"/>
    <cellStyle name="표준 4 7 2 7" xfId="46953"/>
    <cellStyle name="표준 4 7 2 8" xfId="46954"/>
    <cellStyle name="표준 4 7 2 9" xfId="46955"/>
    <cellStyle name="표준 4 7 20" xfId="46956"/>
    <cellStyle name="표준 4 7 3" xfId="46957"/>
    <cellStyle name="표준 4 7 3 2" xfId="46958"/>
    <cellStyle name="표준 4 7 3 2 2" xfId="46959"/>
    <cellStyle name="표준 4 7 3 2 2 2" xfId="46960"/>
    <cellStyle name="표준 4 7 3 2 2 3" xfId="46961"/>
    <cellStyle name="표준 4 7 3 2 3" xfId="46962"/>
    <cellStyle name="표준 4 7 3 2 4" xfId="46963"/>
    <cellStyle name="표준 4 7 3 2 5" xfId="46964"/>
    <cellStyle name="표준 4 7 3 3" xfId="46965"/>
    <cellStyle name="표준 4 7 3 3 2" xfId="46966"/>
    <cellStyle name="표준 4 7 3 3 3" xfId="46967"/>
    <cellStyle name="표준 4 7 3 4" xfId="46968"/>
    <cellStyle name="표준 4 7 3 5" xfId="46969"/>
    <cellStyle name="표준 4 7 3 6" xfId="46970"/>
    <cellStyle name="표준 4 7 4" xfId="46971"/>
    <cellStyle name="표준 4 7 4 2" xfId="46972"/>
    <cellStyle name="표준 4 7 4 2 2" xfId="46973"/>
    <cellStyle name="표준 4 7 4 2 2 2" xfId="46974"/>
    <cellStyle name="표준 4 7 4 2 2 3" xfId="46975"/>
    <cellStyle name="표준 4 7 4 2 3" xfId="46976"/>
    <cellStyle name="표준 4 7 4 2 4" xfId="46977"/>
    <cellStyle name="표준 4 7 4 2 5" xfId="46978"/>
    <cellStyle name="표준 4 7 4 3" xfId="46979"/>
    <cellStyle name="표준 4 7 5" xfId="46980"/>
    <cellStyle name="표준 4 7 5 2" xfId="46981"/>
    <cellStyle name="표준 4 7 5 2 2" xfId="46982"/>
    <cellStyle name="표준 4 7 5 2 2 2" xfId="46983"/>
    <cellStyle name="표준 4 7 5 2 2 3" xfId="46984"/>
    <cellStyle name="표준 4 7 5 2 3" xfId="46985"/>
    <cellStyle name="표준 4 7 5 2 4" xfId="46986"/>
    <cellStyle name="표준 4 7 5 2 5" xfId="46987"/>
    <cellStyle name="표준 4 7 5 3" xfId="46988"/>
    <cellStyle name="표준 4 7 6" xfId="46989"/>
    <cellStyle name="표준 4 7 7" xfId="46990"/>
    <cellStyle name="표준 4 7 8" xfId="46991"/>
    <cellStyle name="표준 4 7 9" xfId="46992"/>
    <cellStyle name="표준 4 8" xfId="46993"/>
    <cellStyle name="표준 4 8 10" xfId="46994"/>
    <cellStyle name="표준 4 8 11" xfId="46995"/>
    <cellStyle name="표준 4 8 12" xfId="46996"/>
    <cellStyle name="표준 4 8 13" xfId="46997"/>
    <cellStyle name="표준 4 8 14" xfId="46998"/>
    <cellStyle name="표준 4 8 15" xfId="46999"/>
    <cellStyle name="표준 4 8 16" xfId="47000"/>
    <cellStyle name="표준 4 8 16 2" xfId="47001"/>
    <cellStyle name="표준 4 8 16 3" xfId="47002"/>
    <cellStyle name="표준 4 8 17" xfId="47003"/>
    <cellStyle name="표준 4 8 18" xfId="47004"/>
    <cellStyle name="표준 4 8 19" xfId="47005"/>
    <cellStyle name="표준 4 8 2" xfId="47006"/>
    <cellStyle name="표준 4 8 2 2" xfId="47007"/>
    <cellStyle name="표준 4 8 2 3" xfId="47008"/>
    <cellStyle name="표준 4 8 2 3 2" xfId="47009"/>
    <cellStyle name="표준 4 8 2 3 3" xfId="47010"/>
    <cellStyle name="표준 4 8 2 4" xfId="47011"/>
    <cellStyle name="표준 4 8 2 5" xfId="47012"/>
    <cellStyle name="표준 4 8 2 6" xfId="47013"/>
    <cellStyle name="표준 4 8 3" xfId="47014"/>
    <cellStyle name="표준 4 8 3 2" xfId="47015"/>
    <cellStyle name="표준 4 8 3 2 2" xfId="47016"/>
    <cellStyle name="표준 4 8 3 2 2 2" xfId="47017"/>
    <cellStyle name="표준 4 8 3 2 2 3" xfId="47018"/>
    <cellStyle name="표준 4 8 3 2 3" xfId="47019"/>
    <cellStyle name="표준 4 8 3 2 4" xfId="47020"/>
    <cellStyle name="표준 4 8 3 2 5" xfId="47021"/>
    <cellStyle name="표준 4 8 3 3" xfId="47022"/>
    <cellStyle name="표준 4 8 4" xfId="47023"/>
    <cellStyle name="표준 4 8 4 2" xfId="47024"/>
    <cellStyle name="표준 4 8 4 2 2" xfId="47025"/>
    <cellStyle name="표준 4 8 4 2 2 2" xfId="47026"/>
    <cellStyle name="표준 4 8 4 2 2 3" xfId="47027"/>
    <cellStyle name="표준 4 8 4 2 3" xfId="47028"/>
    <cellStyle name="표준 4 8 4 2 4" xfId="47029"/>
    <cellStyle name="표준 4 8 4 2 5" xfId="47030"/>
    <cellStyle name="표준 4 8 4 3" xfId="47031"/>
    <cellStyle name="표준 4 8 5" xfId="47032"/>
    <cellStyle name="표준 4 8 6" xfId="47033"/>
    <cellStyle name="표준 4 8 7" xfId="47034"/>
    <cellStyle name="표준 4 8 8" xfId="47035"/>
    <cellStyle name="표준 4 8 9" xfId="47036"/>
    <cellStyle name="표준 4 9" xfId="47037"/>
    <cellStyle name="표준 4 9 10" xfId="47038"/>
    <cellStyle name="표준 4 9 11" xfId="47039"/>
    <cellStyle name="표준 4 9 12" xfId="47040"/>
    <cellStyle name="표준 4 9 13" xfId="47041"/>
    <cellStyle name="표준 4 9 14" xfId="47042"/>
    <cellStyle name="표준 4 9 15" xfId="47043"/>
    <cellStyle name="표준 4 9 16" xfId="47044"/>
    <cellStyle name="표준 4 9 16 2" xfId="47045"/>
    <cellStyle name="표준 4 9 16 3" xfId="47046"/>
    <cellStyle name="표준 4 9 17" xfId="47047"/>
    <cellStyle name="표준 4 9 18" xfId="47048"/>
    <cellStyle name="표준 4 9 19" xfId="47049"/>
    <cellStyle name="표준 4 9 2" xfId="47050"/>
    <cellStyle name="표준 4 9 2 2" xfId="47051"/>
    <cellStyle name="표준 4 9 2 2 2" xfId="47052"/>
    <cellStyle name="표준 4 9 2 2 2 2" xfId="47053"/>
    <cellStyle name="표준 4 9 2 2 2 3" xfId="47054"/>
    <cellStyle name="표준 4 9 2 2 3" xfId="47055"/>
    <cellStyle name="표준 4 9 2 2 4" xfId="47056"/>
    <cellStyle name="표준 4 9 2 2 5" xfId="47057"/>
    <cellStyle name="표준 4 9 2 3" xfId="47058"/>
    <cellStyle name="표준 4 9 2 3 2" xfId="47059"/>
    <cellStyle name="표준 4 9 2 3 3" xfId="47060"/>
    <cellStyle name="표준 4 9 2 4" xfId="47061"/>
    <cellStyle name="표준 4 9 2 5" xfId="47062"/>
    <cellStyle name="표준 4 9 2 6" xfId="47063"/>
    <cellStyle name="표준 4 9 3" xfId="47064"/>
    <cellStyle name="표준 4 9 3 2" xfId="47065"/>
    <cellStyle name="표준 4 9 3 2 2" xfId="47066"/>
    <cellStyle name="표준 4 9 3 2 2 2" xfId="47067"/>
    <cellStyle name="표준 4 9 3 2 2 3" xfId="47068"/>
    <cellStyle name="표준 4 9 3 2 3" xfId="47069"/>
    <cellStyle name="표준 4 9 3 2 4" xfId="47070"/>
    <cellStyle name="표준 4 9 3 2 5" xfId="47071"/>
    <cellStyle name="표준 4 9 3 3" xfId="47072"/>
    <cellStyle name="표준 4 9 4" xfId="47073"/>
    <cellStyle name="표준 4 9 4 2" xfId="47074"/>
    <cellStyle name="표준 4 9 4 2 2" xfId="47075"/>
    <cellStyle name="표준 4 9 4 2 2 2" xfId="47076"/>
    <cellStyle name="표준 4 9 4 2 2 3" xfId="47077"/>
    <cellStyle name="표준 4 9 4 2 3" xfId="47078"/>
    <cellStyle name="표준 4 9 4 2 4" xfId="47079"/>
    <cellStyle name="표준 4 9 4 2 5" xfId="47080"/>
    <cellStyle name="표준 4 9 4 3" xfId="47081"/>
    <cellStyle name="표준 4 9 5" xfId="47082"/>
    <cellStyle name="표준 4 9 6" xfId="47083"/>
    <cellStyle name="표준 4 9 7" xfId="47084"/>
    <cellStyle name="표준 4 9 8" xfId="47085"/>
    <cellStyle name="표준 4 9 9" xfId="47086"/>
    <cellStyle name="표준 4_Q25027470" xfId="47087"/>
    <cellStyle name="표준 40" xfId="47088"/>
    <cellStyle name="표준 40 2" xfId="47089"/>
    <cellStyle name="표준 41" xfId="47090"/>
    <cellStyle name="표준 42" xfId="47091"/>
    <cellStyle name="표준 43" xfId="47092"/>
    <cellStyle name="표준 44" xfId="47093"/>
    <cellStyle name="표준 45" xfId="47094"/>
    <cellStyle name="표준 46" xfId="47095"/>
    <cellStyle name="표준 46 2" xfId="47096"/>
    <cellStyle name="표준 46 3" xfId="47097"/>
    <cellStyle name="표준 47" xfId="47098"/>
    <cellStyle name="표준 48" xfId="47099"/>
    <cellStyle name="표준 49" xfId="47100"/>
    <cellStyle name="표준 49 2" xfId="47101"/>
    <cellStyle name="표준 5" xfId="47102"/>
    <cellStyle name="표준 5 10" xfId="47103"/>
    <cellStyle name="표준 5 11" xfId="47104"/>
    <cellStyle name="표준 5 12" xfId="47105"/>
    <cellStyle name="표준 5 13" xfId="47106"/>
    <cellStyle name="표준 5 14" xfId="47107"/>
    <cellStyle name="표준 5 15" xfId="47108"/>
    <cellStyle name="표준 5 16" xfId="47109"/>
    <cellStyle name="표준 5 17" xfId="47110"/>
    <cellStyle name="표준 5 18" xfId="47111"/>
    <cellStyle name="표준 5 19" xfId="47112"/>
    <cellStyle name="표준 5 2" xfId="47113"/>
    <cellStyle name="표준 5 2 2" xfId="47114"/>
    <cellStyle name="표준 5 20" xfId="47115"/>
    <cellStyle name="표준 5 21" xfId="47116"/>
    <cellStyle name="표준 5 22" xfId="47117"/>
    <cellStyle name="표준 5 3" xfId="47118"/>
    <cellStyle name="표준 5 3 2" xfId="47119"/>
    <cellStyle name="표준 5 4" xfId="47120"/>
    <cellStyle name="표준 5 5" xfId="47121"/>
    <cellStyle name="표준 5 6" xfId="47122"/>
    <cellStyle name="표준 5 7" xfId="47123"/>
    <cellStyle name="표준 5 8" xfId="47124"/>
    <cellStyle name="표준 5 9" xfId="47125"/>
    <cellStyle name="표준 50" xfId="47126"/>
    <cellStyle name="표준 51" xfId="47127"/>
    <cellStyle name="표준 52" xfId="47128"/>
    <cellStyle name="표준 53" xfId="47129"/>
    <cellStyle name="표준 54" xfId="47130"/>
    <cellStyle name="표준 55" xfId="47131"/>
    <cellStyle name="표준 56" xfId="47132"/>
    <cellStyle name="표준 57" xfId="47133"/>
    <cellStyle name="표준 58" xfId="47134"/>
    <cellStyle name="표준 59" xfId="47135"/>
    <cellStyle name="표준 59 2" xfId="47136"/>
    <cellStyle name="표준 6" xfId="47137"/>
    <cellStyle name="표준 6 2" xfId="47138"/>
    <cellStyle name="표준 6 2 2" xfId="47139"/>
    <cellStyle name="표준 6 2 2 2" xfId="47140"/>
    <cellStyle name="표준 6 2 3" xfId="47141"/>
    <cellStyle name="표준 6 2 4" xfId="47142"/>
    <cellStyle name="표준 6 3" xfId="47143"/>
    <cellStyle name="표준 6 3 2" xfId="47144"/>
    <cellStyle name="표준 6 3 2 2" xfId="47145"/>
    <cellStyle name="표준 6 3 3" xfId="47146"/>
    <cellStyle name="표준 6 4" xfId="47147"/>
    <cellStyle name="표준 6 4 2" xfId="47148"/>
    <cellStyle name="표준 6 5" xfId="47149"/>
    <cellStyle name="표준 6 5 2" xfId="47150"/>
    <cellStyle name="표준 6 6" xfId="47151"/>
    <cellStyle name="표준 6 7" xfId="47152"/>
    <cellStyle name="표준 60" xfId="47153"/>
    <cellStyle name="표준 61" xfId="47154"/>
    <cellStyle name="표준 62" xfId="47155"/>
    <cellStyle name="표준 62 2" xfId="47156"/>
    <cellStyle name="표준 63" xfId="47157"/>
    <cellStyle name="표준 64" xfId="47158"/>
    <cellStyle name="표준 65" xfId="47159"/>
    <cellStyle name="표준 66" xfId="47160"/>
    <cellStyle name="표준 67" xfId="47161"/>
    <cellStyle name="표준 67 2" xfId="47162"/>
    <cellStyle name="표준 68" xfId="47163"/>
    <cellStyle name="표준 69" xfId="47164"/>
    <cellStyle name="표준 7" xfId="47165"/>
    <cellStyle name="표준 7 2" xfId="47166"/>
    <cellStyle name="표준 7 2 2" xfId="47167"/>
    <cellStyle name="표준 7 2 2 2" xfId="47168"/>
    <cellStyle name="표준 7 2 3" xfId="47169"/>
    <cellStyle name="표준 7 2 4" xfId="47170"/>
    <cellStyle name="표준 7 3" xfId="47171"/>
    <cellStyle name="표준 7 3 2" xfId="47172"/>
    <cellStyle name="표준 7 3 2 2" xfId="47173"/>
    <cellStyle name="표준 7 3 3" xfId="47174"/>
    <cellStyle name="표준 7 4" xfId="47175"/>
    <cellStyle name="표준 7 4 2" xfId="47176"/>
    <cellStyle name="표준 7 5" xfId="47177"/>
    <cellStyle name="표준 7 5 2" xfId="47178"/>
    <cellStyle name="표준 7 6" xfId="47179"/>
    <cellStyle name="표준 70" xfId="47180"/>
    <cellStyle name="표준 71" xfId="47181"/>
    <cellStyle name="표준 72" xfId="47182"/>
    <cellStyle name="표준 73" xfId="47183"/>
    <cellStyle name="표준 74" xfId="47184"/>
    <cellStyle name="표준 74 2" xfId="47185"/>
    <cellStyle name="표준 75" xfId="47186"/>
    <cellStyle name="표준 76" xfId="47187"/>
    <cellStyle name="표준 77" xfId="47188"/>
    <cellStyle name="표준 78" xfId="47189"/>
    <cellStyle name="표준 79" xfId="47190"/>
    <cellStyle name="표준 8" xfId="47191"/>
    <cellStyle name="표준 8 2" xfId="47192"/>
    <cellStyle name="표준 8 2 2" xfId="47193"/>
    <cellStyle name="표준 8 2 3" xfId="47194"/>
    <cellStyle name="표준 8 3" xfId="47195"/>
    <cellStyle name="표준 8 3 2" xfId="47196"/>
    <cellStyle name="표준 8 3 3" xfId="47197"/>
    <cellStyle name="표준 8 4" xfId="47198"/>
    <cellStyle name="표준 8 5" xfId="47199"/>
    <cellStyle name="표준 8 6" xfId="47200"/>
    <cellStyle name="표준 8 7" xfId="47201"/>
    <cellStyle name="표준 80" xfId="47202"/>
    <cellStyle name="표준 81" xfId="47203"/>
    <cellStyle name="표준 82" xfId="47204"/>
    <cellStyle name="표준 83" xfId="47205"/>
    <cellStyle name="표준 84" xfId="47206"/>
    <cellStyle name="표준 85" xfId="47207"/>
    <cellStyle name="표준 86" xfId="47208"/>
    <cellStyle name="표준 87" xfId="47209"/>
    <cellStyle name="표준 88" xfId="47210"/>
    <cellStyle name="표준 89" xfId="47211"/>
    <cellStyle name="표준 9" xfId="47212"/>
    <cellStyle name="표준 9 10" xfId="47213"/>
    <cellStyle name="표준 9 10 2" xfId="47214"/>
    <cellStyle name="표준 9 10 2 2" xfId="47215"/>
    <cellStyle name="표준 9 10 2 2 2" xfId="47216"/>
    <cellStyle name="표준 9 10 2 2 2 2" xfId="47217"/>
    <cellStyle name="표준 9 10 2 2 2 3" xfId="47218"/>
    <cellStyle name="표준 9 10 2 2 3" xfId="47219"/>
    <cellStyle name="표준 9 10 2 2 4" xfId="47220"/>
    <cellStyle name="표준 9 10 2 3" xfId="47221"/>
    <cellStyle name="표준 9 10 2 3 2" xfId="47222"/>
    <cellStyle name="표준 9 10 2 3 3" xfId="47223"/>
    <cellStyle name="표준 9 10 2 4" xfId="47224"/>
    <cellStyle name="표준 9 10 2 5" xfId="47225"/>
    <cellStyle name="표준 9 10 3" xfId="47226"/>
    <cellStyle name="표준 9 10 3 2" xfId="47227"/>
    <cellStyle name="표준 9 10 3 2 2" xfId="47228"/>
    <cellStyle name="표준 9 10 3 2 2 2" xfId="47229"/>
    <cellStyle name="표준 9 10 3 2 2 3" xfId="47230"/>
    <cellStyle name="표준 9 10 3 2 3" xfId="47231"/>
    <cellStyle name="표준 9 10 3 2 4" xfId="47232"/>
    <cellStyle name="표준 9 10 3 3" xfId="47233"/>
    <cellStyle name="표준 9 10 3 3 2" xfId="47234"/>
    <cellStyle name="표준 9 10 3 3 3" xfId="47235"/>
    <cellStyle name="표준 9 10 3 4" xfId="47236"/>
    <cellStyle name="표준 9 10 3 5" xfId="47237"/>
    <cellStyle name="표준 9 10 4" xfId="47238"/>
    <cellStyle name="표준 9 10 4 2" xfId="47239"/>
    <cellStyle name="표준 9 10 4 2 2" xfId="47240"/>
    <cellStyle name="표준 9 10 4 2 3" xfId="47241"/>
    <cellStyle name="표준 9 10 4 3" xfId="47242"/>
    <cellStyle name="표준 9 10 4 4" xfId="47243"/>
    <cellStyle name="표준 9 10 5" xfId="47244"/>
    <cellStyle name="표준 9 10 5 2" xfId="47245"/>
    <cellStyle name="표준 9 10 5 3" xfId="47246"/>
    <cellStyle name="표준 9 10 6" xfId="47247"/>
    <cellStyle name="표준 9 10 7" xfId="47248"/>
    <cellStyle name="표준 9 11" xfId="47249"/>
    <cellStyle name="표준 9 11 2" xfId="47250"/>
    <cellStyle name="표준 9 11 2 2" xfId="47251"/>
    <cellStyle name="표준 9 11 2 2 2" xfId="47252"/>
    <cellStyle name="표준 9 11 2 2 3" xfId="47253"/>
    <cellStyle name="표준 9 11 2 3" xfId="47254"/>
    <cellStyle name="표준 9 11 2 4" xfId="47255"/>
    <cellStyle name="표준 9 11 3" xfId="47256"/>
    <cellStyle name="표준 9 11 3 2" xfId="47257"/>
    <cellStyle name="표준 9 11 3 3" xfId="47258"/>
    <cellStyle name="표준 9 11 4" xfId="47259"/>
    <cellStyle name="표준 9 11 5" xfId="47260"/>
    <cellStyle name="표준 9 12" xfId="47261"/>
    <cellStyle name="표준 9 12 2" xfId="47262"/>
    <cellStyle name="표준 9 12 2 2" xfId="47263"/>
    <cellStyle name="표준 9 12 2 2 2" xfId="47264"/>
    <cellStyle name="표준 9 12 2 2 3" xfId="47265"/>
    <cellStyle name="표준 9 12 2 3" xfId="47266"/>
    <cellStyle name="표준 9 12 2 4" xfId="47267"/>
    <cellStyle name="표준 9 12 3" xfId="47268"/>
    <cellStyle name="표준 9 12 3 2" xfId="47269"/>
    <cellStyle name="표준 9 12 3 3" xfId="47270"/>
    <cellStyle name="표준 9 12 4" xfId="47271"/>
    <cellStyle name="표준 9 12 5" xfId="47272"/>
    <cellStyle name="표준 9 13" xfId="47273"/>
    <cellStyle name="표준 9 13 2" xfId="47274"/>
    <cellStyle name="표준 9 13 2 2" xfId="47275"/>
    <cellStyle name="표준 9 13 2 2 2" xfId="47276"/>
    <cellStyle name="표준 9 13 2 2 3" xfId="47277"/>
    <cellStyle name="표준 9 13 2 3" xfId="47278"/>
    <cellStyle name="표준 9 13 2 4" xfId="47279"/>
    <cellStyle name="표준 9 13 3" xfId="47280"/>
    <cellStyle name="표준 9 13 3 2" xfId="47281"/>
    <cellStyle name="표준 9 13 3 3" xfId="47282"/>
    <cellStyle name="표준 9 13 4" xfId="47283"/>
    <cellStyle name="표준 9 13 5" xfId="47284"/>
    <cellStyle name="표준 9 14" xfId="47285"/>
    <cellStyle name="표준 9 14 2" xfId="47286"/>
    <cellStyle name="표준 9 14 2 2" xfId="47287"/>
    <cellStyle name="표준 9 14 2 3" xfId="47288"/>
    <cellStyle name="표준 9 14 3" xfId="47289"/>
    <cellStyle name="표준 9 14 4" xfId="47290"/>
    <cellStyle name="표준 9 15" xfId="47291"/>
    <cellStyle name="표준 9 15 2" xfId="47292"/>
    <cellStyle name="표준 9 15 3" xfId="47293"/>
    <cellStyle name="표준 9 16" xfId="47294"/>
    <cellStyle name="표준 9 16 2" xfId="47295"/>
    <cellStyle name="표준 9 16 3" xfId="47296"/>
    <cellStyle name="표준 9 17" xfId="47297"/>
    <cellStyle name="표준 9 17 2" xfId="47298"/>
    <cellStyle name="표준 9 17 3" xfId="47299"/>
    <cellStyle name="표준 9 18" xfId="47300"/>
    <cellStyle name="표준 9 19" xfId="47301"/>
    <cellStyle name="표준 9 2" xfId="47302"/>
    <cellStyle name="표준 9 2 10" xfId="47303"/>
    <cellStyle name="표준 9 2 10 2" xfId="47304"/>
    <cellStyle name="표준 9 2 10 2 2" xfId="47305"/>
    <cellStyle name="표준 9 2 10 2 2 2" xfId="47306"/>
    <cellStyle name="표준 9 2 10 2 2 3" xfId="47307"/>
    <cellStyle name="표준 9 2 10 2 3" xfId="47308"/>
    <cellStyle name="표준 9 2 10 2 4" xfId="47309"/>
    <cellStyle name="표준 9 2 10 3" xfId="47310"/>
    <cellStyle name="표준 9 2 10 3 2" xfId="47311"/>
    <cellStyle name="표준 9 2 10 3 3" xfId="47312"/>
    <cellStyle name="표준 9 2 10 4" xfId="47313"/>
    <cellStyle name="표준 9 2 10 5" xfId="47314"/>
    <cellStyle name="표준 9 2 11" xfId="47315"/>
    <cellStyle name="표준 9 2 11 2" xfId="47316"/>
    <cellStyle name="표준 9 2 11 2 2" xfId="47317"/>
    <cellStyle name="표준 9 2 11 2 3" xfId="47318"/>
    <cellStyle name="표준 9 2 11 3" xfId="47319"/>
    <cellStyle name="표준 9 2 11 4" xfId="47320"/>
    <cellStyle name="표준 9 2 12" xfId="47321"/>
    <cellStyle name="표준 9 2 12 2" xfId="47322"/>
    <cellStyle name="표준 9 2 12 3" xfId="47323"/>
    <cellStyle name="표준 9 2 13" xfId="47324"/>
    <cellStyle name="표준 9 2 14" xfId="47325"/>
    <cellStyle name="표준 9 2 15" xfId="47326"/>
    <cellStyle name="표준 9 2 2" xfId="47327"/>
    <cellStyle name="표준 9 2 2 10" xfId="47328"/>
    <cellStyle name="표준 9 2 2 10 2" xfId="47329"/>
    <cellStyle name="표준 9 2 2 10 2 2" xfId="47330"/>
    <cellStyle name="표준 9 2 2 10 2 3" xfId="47331"/>
    <cellStyle name="표준 9 2 2 10 3" xfId="47332"/>
    <cellStyle name="표준 9 2 2 10 4" xfId="47333"/>
    <cellStyle name="표준 9 2 2 11" xfId="47334"/>
    <cellStyle name="표준 9 2 2 11 2" xfId="47335"/>
    <cellStyle name="표준 9 2 2 11 3" xfId="47336"/>
    <cellStyle name="표준 9 2 2 12" xfId="47337"/>
    <cellStyle name="표준 9 2 2 13" xfId="47338"/>
    <cellStyle name="표준 9 2 2 2" xfId="47339"/>
    <cellStyle name="표준 9 2 2 2 10" xfId="47340"/>
    <cellStyle name="표준 9 2 2 2 11" xfId="47341"/>
    <cellStyle name="표준 9 2 2 2 2" xfId="47342"/>
    <cellStyle name="표준 9 2 2 2 2 2" xfId="47343"/>
    <cellStyle name="표준 9 2 2 2 2 2 2" xfId="47344"/>
    <cellStyle name="표준 9 2 2 2 2 2 2 2" xfId="47345"/>
    <cellStyle name="표준 9 2 2 2 2 2 2 2 2" xfId="47346"/>
    <cellStyle name="표준 9 2 2 2 2 2 2 2 3" xfId="47347"/>
    <cellStyle name="표준 9 2 2 2 2 2 2 3" xfId="47348"/>
    <cellStyle name="표준 9 2 2 2 2 2 2 4" xfId="47349"/>
    <cellStyle name="표준 9 2 2 2 2 2 3" xfId="47350"/>
    <cellStyle name="표준 9 2 2 2 2 2 3 2" xfId="47351"/>
    <cellStyle name="표준 9 2 2 2 2 2 3 3" xfId="47352"/>
    <cellStyle name="표준 9 2 2 2 2 2 4" xfId="47353"/>
    <cellStyle name="표준 9 2 2 2 2 2 5" xfId="47354"/>
    <cellStyle name="표준 9 2 2 2 2 3" xfId="47355"/>
    <cellStyle name="표준 9 2 2 2 2 3 2" xfId="47356"/>
    <cellStyle name="표준 9 2 2 2 2 3 2 2" xfId="47357"/>
    <cellStyle name="표준 9 2 2 2 2 3 2 2 2" xfId="47358"/>
    <cellStyle name="표준 9 2 2 2 2 3 2 2 3" xfId="47359"/>
    <cellStyle name="표준 9 2 2 2 2 3 2 3" xfId="47360"/>
    <cellStyle name="표준 9 2 2 2 2 3 2 4" xfId="47361"/>
    <cellStyle name="표준 9 2 2 2 2 3 3" xfId="47362"/>
    <cellStyle name="표준 9 2 2 2 2 3 3 2" xfId="47363"/>
    <cellStyle name="표준 9 2 2 2 2 3 3 3" xfId="47364"/>
    <cellStyle name="표준 9 2 2 2 2 3 4" xfId="47365"/>
    <cellStyle name="표준 9 2 2 2 2 3 5" xfId="47366"/>
    <cellStyle name="표준 9 2 2 2 2 4" xfId="47367"/>
    <cellStyle name="표준 9 2 2 2 2 4 2" xfId="47368"/>
    <cellStyle name="표준 9 2 2 2 2 4 2 2" xfId="47369"/>
    <cellStyle name="표준 9 2 2 2 2 4 2 3" xfId="47370"/>
    <cellStyle name="표준 9 2 2 2 2 4 3" xfId="47371"/>
    <cellStyle name="표준 9 2 2 2 2 4 4" xfId="47372"/>
    <cellStyle name="표준 9 2 2 2 2 5" xfId="47373"/>
    <cellStyle name="표준 9 2 2 2 2 5 2" xfId="47374"/>
    <cellStyle name="표준 9 2 2 2 2 5 3" xfId="47375"/>
    <cellStyle name="표준 9 2 2 2 2 6" xfId="47376"/>
    <cellStyle name="표준 9 2 2 2 2 7" xfId="47377"/>
    <cellStyle name="표준 9 2 2 2 3" xfId="47378"/>
    <cellStyle name="표준 9 2 2 2 3 2" xfId="47379"/>
    <cellStyle name="표준 9 2 2 2 3 2 2" xfId="47380"/>
    <cellStyle name="표준 9 2 2 2 3 2 2 2" xfId="47381"/>
    <cellStyle name="표준 9 2 2 2 3 2 2 2 2" xfId="47382"/>
    <cellStyle name="표준 9 2 2 2 3 2 2 2 3" xfId="47383"/>
    <cellStyle name="표준 9 2 2 2 3 2 2 3" xfId="47384"/>
    <cellStyle name="표준 9 2 2 2 3 2 2 4" xfId="47385"/>
    <cellStyle name="표준 9 2 2 2 3 2 3" xfId="47386"/>
    <cellStyle name="표준 9 2 2 2 3 2 3 2" xfId="47387"/>
    <cellStyle name="표준 9 2 2 2 3 2 3 3" xfId="47388"/>
    <cellStyle name="표준 9 2 2 2 3 2 4" xfId="47389"/>
    <cellStyle name="표준 9 2 2 2 3 2 5" xfId="47390"/>
    <cellStyle name="표준 9 2 2 2 3 3" xfId="47391"/>
    <cellStyle name="표준 9 2 2 2 3 3 2" xfId="47392"/>
    <cellStyle name="표준 9 2 2 2 3 3 2 2" xfId="47393"/>
    <cellStyle name="표준 9 2 2 2 3 3 2 2 2" xfId="47394"/>
    <cellStyle name="표준 9 2 2 2 3 3 2 2 3" xfId="47395"/>
    <cellStyle name="표준 9 2 2 2 3 3 2 3" xfId="47396"/>
    <cellStyle name="표준 9 2 2 2 3 3 2 4" xfId="47397"/>
    <cellStyle name="표준 9 2 2 2 3 3 3" xfId="47398"/>
    <cellStyle name="표준 9 2 2 2 3 3 3 2" xfId="47399"/>
    <cellStyle name="표준 9 2 2 2 3 3 3 3" xfId="47400"/>
    <cellStyle name="표준 9 2 2 2 3 3 4" xfId="47401"/>
    <cellStyle name="표준 9 2 2 2 3 3 5" xfId="47402"/>
    <cellStyle name="표준 9 2 2 2 3 4" xfId="47403"/>
    <cellStyle name="표준 9 2 2 2 3 4 2" xfId="47404"/>
    <cellStyle name="표준 9 2 2 2 3 4 2 2" xfId="47405"/>
    <cellStyle name="표준 9 2 2 2 3 4 2 3" xfId="47406"/>
    <cellStyle name="표준 9 2 2 2 3 4 3" xfId="47407"/>
    <cellStyle name="표준 9 2 2 2 3 4 4" xfId="47408"/>
    <cellStyle name="표준 9 2 2 2 3 5" xfId="47409"/>
    <cellStyle name="표준 9 2 2 2 3 5 2" xfId="47410"/>
    <cellStyle name="표준 9 2 2 2 3 5 3" xfId="47411"/>
    <cellStyle name="표준 9 2 2 2 3 6" xfId="47412"/>
    <cellStyle name="표준 9 2 2 2 3 7" xfId="47413"/>
    <cellStyle name="표준 9 2 2 2 4" xfId="47414"/>
    <cellStyle name="표준 9 2 2 2 4 2" xfId="47415"/>
    <cellStyle name="표준 9 2 2 2 4 2 2" xfId="47416"/>
    <cellStyle name="표준 9 2 2 2 4 2 2 2" xfId="47417"/>
    <cellStyle name="표준 9 2 2 2 4 2 2 3" xfId="47418"/>
    <cellStyle name="표준 9 2 2 2 4 2 3" xfId="47419"/>
    <cellStyle name="표준 9 2 2 2 4 2 4" xfId="47420"/>
    <cellStyle name="표준 9 2 2 2 4 3" xfId="47421"/>
    <cellStyle name="표준 9 2 2 2 4 3 2" xfId="47422"/>
    <cellStyle name="표준 9 2 2 2 4 3 3" xfId="47423"/>
    <cellStyle name="표준 9 2 2 2 4 4" xfId="47424"/>
    <cellStyle name="표준 9 2 2 2 4 5" xfId="47425"/>
    <cellStyle name="표준 9 2 2 2 5" xfId="47426"/>
    <cellStyle name="표준 9 2 2 2 5 2" xfId="47427"/>
    <cellStyle name="표준 9 2 2 2 5 2 2" xfId="47428"/>
    <cellStyle name="표준 9 2 2 2 5 2 2 2" xfId="47429"/>
    <cellStyle name="표준 9 2 2 2 5 2 2 3" xfId="47430"/>
    <cellStyle name="표준 9 2 2 2 5 2 3" xfId="47431"/>
    <cellStyle name="표준 9 2 2 2 5 2 4" xfId="47432"/>
    <cellStyle name="표준 9 2 2 2 5 3" xfId="47433"/>
    <cellStyle name="표준 9 2 2 2 5 3 2" xfId="47434"/>
    <cellStyle name="표준 9 2 2 2 5 3 3" xfId="47435"/>
    <cellStyle name="표준 9 2 2 2 5 4" xfId="47436"/>
    <cellStyle name="표준 9 2 2 2 5 5" xfId="47437"/>
    <cellStyle name="표준 9 2 2 2 6" xfId="47438"/>
    <cellStyle name="표준 9 2 2 2 6 2" xfId="47439"/>
    <cellStyle name="표준 9 2 2 2 6 2 2" xfId="47440"/>
    <cellStyle name="표준 9 2 2 2 6 2 2 2" xfId="47441"/>
    <cellStyle name="표준 9 2 2 2 6 2 2 3" xfId="47442"/>
    <cellStyle name="표준 9 2 2 2 6 2 3" xfId="47443"/>
    <cellStyle name="표준 9 2 2 2 6 2 4" xfId="47444"/>
    <cellStyle name="표준 9 2 2 2 6 3" xfId="47445"/>
    <cellStyle name="표준 9 2 2 2 6 3 2" xfId="47446"/>
    <cellStyle name="표준 9 2 2 2 6 3 3" xfId="47447"/>
    <cellStyle name="표준 9 2 2 2 6 4" xfId="47448"/>
    <cellStyle name="표준 9 2 2 2 6 5" xfId="47449"/>
    <cellStyle name="표준 9 2 2 2 7" xfId="47450"/>
    <cellStyle name="표준 9 2 2 2 7 2" xfId="47451"/>
    <cellStyle name="표준 9 2 2 2 7 2 2" xfId="47452"/>
    <cellStyle name="표준 9 2 2 2 7 2 3" xfId="47453"/>
    <cellStyle name="표준 9 2 2 2 7 3" xfId="47454"/>
    <cellStyle name="표준 9 2 2 2 7 4" xfId="47455"/>
    <cellStyle name="표준 9 2 2 2 8" xfId="47456"/>
    <cellStyle name="표준 9 2 2 2 8 2" xfId="47457"/>
    <cellStyle name="표준 9 2 2 2 8 2 2" xfId="47458"/>
    <cellStyle name="표준 9 2 2 2 8 3" xfId="47459"/>
    <cellStyle name="표준 9 2 2 2 8 4" xfId="47460"/>
    <cellStyle name="표준 9 2 2 2 8 5" xfId="47461"/>
    <cellStyle name="표준 9 2 2 2 9" xfId="47462"/>
    <cellStyle name="표준 9 2 2 3" xfId="47463"/>
    <cellStyle name="표준 9 2 2 3 10" xfId="47464"/>
    <cellStyle name="표준 9 2 2 3 2" xfId="47465"/>
    <cellStyle name="표준 9 2 2 3 2 2" xfId="47466"/>
    <cellStyle name="표준 9 2 2 3 2 2 2" xfId="47467"/>
    <cellStyle name="표준 9 2 2 3 2 2 2 2" xfId="47468"/>
    <cellStyle name="표준 9 2 2 3 2 2 2 2 2" xfId="47469"/>
    <cellStyle name="표준 9 2 2 3 2 2 2 2 3" xfId="47470"/>
    <cellStyle name="표준 9 2 2 3 2 2 2 3" xfId="47471"/>
    <cellStyle name="표준 9 2 2 3 2 2 2 4" xfId="47472"/>
    <cellStyle name="표준 9 2 2 3 2 2 3" xfId="47473"/>
    <cellStyle name="표준 9 2 2 3 2 2 3 2" xfId="47474"/>
    <cellStyle name="표준 9 2 2 3 2 2 3 3" xfId="47475"/>
    <cellStyle name="표준 9 2 2 3 2 2 4" xfId="47476"/>
    <cellStyle name="표준 9 2 2 3 2 2 5" xfId="47477"/>
    <cellStyle name="표준 9 2 2 3 2 3" xfId="47478"/>
    <cellStyle name="표준 9 2 2 3 2 3 2" xfId="47479"/>
    <cellStyle name="표준 9 2 2 3 2 3 2 2" xfId="47480"/>
    <cellStyle name="표준 9 2 2 3 2 3 2 2 2" xfId="47481"/>
    <cellStyle name="표준 9 2 2 3 2 3 2 2 3" xfId="47482"/>
    <cellStyle name="표준 9 2 2 3 2 3 2 3" xfId="47483"/>
    <cellStyle name="표준 9 2 2 3 2 3 2 4" xfId="47484"/>
    <cellStyle name="표준 9 2 2 3 2 3 3" xfId="47485"/>
    <cellStyle name="표준 9 2 2 3 2 3 3 2" xfId="47486"/>
    <cellStyle name="표준 9 2 2 3 2 3 3 3" xfId="47487"/>
    <cellStyle name="표준 9 2 2 3 2 3 4" xfId="47488"/>
    <cellStyle name="표준 9 2 2 3 2 3 5" xfId="47489"/>
    <cellStyle name="표준 9 2 2 3 2 4" xfId="47490"/>
    <cellStyle name="표준 9 2 2 3 2 4 2" xfId="47491"/>
    <cellStyle name="표준 9 2 2 3 2 4 2 2" xfId="47492"/>
    <cellStyle name="표준 9 2 2 3 2 4 2 3" xfId="47493"/>
    <cellStyle name="표준 9 2 2 3 2 4 3" xfId="47494"/>
    <cellStyle name="표준 9 2 2 3 2 4 4" xfId="47495"/>
    <cellStyle name="표준 9 2 2 3 2 5" xfId="47496"/>
    <cellStyle name="표준 9 2 2 3 2 5 2" xfId="47497"/>
    <cellStyle name="표준 9 2 2 3 2 5 3" xfId="47498"/>
    <cellStyle name="표준 9 2 2 3 2 6" xfId="47499"/>
    <cellStyle name="표준 9 2 2 3 2 7" xfId="47500"/>
    <cellStyle name="표준 9 2 2 3 3" xfId="47501"/>
    <cellStyle name="표준 9 2 2 3 3 2" xfId="47502"/>
    <cellStyle name="표준 9 2 2 3 3 2 2" xfId="47503"/>
    <cellStyle name="표준 9 2 2 3 3 2 2 2" xfId="47504"/>
    <cellStyle name="표준 9 2 2 3 3 2 2 2 2" xfId="47505"/>
    <cellStyle name="표준 9 2 2 3 3 2 2 2 3" xfId="47506"/>
    <cellStyle name="표준 9 2 2 3 3 2 2 3" xfId="47507"/>
    <cellStyle name="표준 9 2 2 3 3 2 2 4" xfId="47508"/>
    <cellStyle name="표준 9 2 2 3 3 2 3" xfId="47509"/>
    <cellStyle name="표준 9 2 2 3 3 2 3 2" xfId="47510"/>
    <cellStyle name="표준 9 2 2 3 3 2 3 3" xfId="47511"/>
    <cellStyle name="표준 9 2 2 3 3 2 4" xfId="47512"/>
    <cellStyle name="표준 9 2 2 3 3 2 5" xfId="47513"/>
    <cellStyle name="표준 9 2 2 3 3 3" xfId="47514"/>
    <cellStyle name="표준 9 2 2 3 3 3 2" xfId="47515"/>
    <cellStyle name="표준 9 2 2 3 3 3 2 2" xfId="47516"/>
    <cellStyle name="표준 9 2 2 3 3 3 2 2 2" xfId="47517"/>
    <cellStyle name="표준 9 2 2 3 3 3 2 2 3" xfId="47518"/>
    <cellStyle name="표준 9 2 2 3 3 3 2 3" xfId="47519"/>
    <cellStyle name="표준 9 2 2 3 3 3 2 4" xfId="47520"/>
    <cellStyle name="표준 9 2 2 3 3 3 3" xfId="47521"/>
    <cellStyle name="표준 9 2 2 3 3 3 3 2" xfId="47522"/>
    <cellStyle name="표준 9 2 2 3 3 3 3 3" xfId="47523"/>
    <cellStyle name="표준 9 2 2 3 3 3 4" xfId="47524"/>
    <cellStyle name="표준 9 2 2 3 3 3 5" xfId="47525"/>
    <cellStyle name="표준 9 2 2 3 3 4" xfId="47526"/>
    <cellStyle name="표준 9 2 2 3 3 4 2" xfId="47527"/>
    <cellStyle name="표준 9 2 2 3 3 4 2 2" xfId="47528"/>
    <cellStyle name="표준 9 2 2 3 3 4 2 3" xfId="47529"/>
    <cellStyle name="표준 9 2 2 3 3 4 3" xfId="47530"/>
    <cellStyle name="표준 9 2 2 3 3 4 4" xfId="47531"/>
    <cellStyle name="표준 9 2 2 3 3 5" xfId="47532"/>
    <cellStyle name="표준 9 2 2 3 3 5 2" xfId="47533"/>
    <cellStyle name="표준 9 2 2 3 3 5 3" xfId="47534"/>
    <cellStyle name="표준 9 2 2 3 3 6" xfId="47535"/>
    <cellStyle name="표준 9 2 2 3 3 7" xfId="47536"/>
    <cellStyle name="표준 9 2 2 3 4" xfId="47537"/>
    <cellStyle name="표준 9 2 2 3 4 2" xfId="47538"/>
    <cellStyle name="표준 9 2 2 3 4 2 2" xfId="47539"/>
    <cellStyle name="표준 9 2 2 3 4 2 2 2" xfId="47540"/>
    <cellStyle name="표준 9 2 2 3 4 2 2 3" xfId="47541"/>
    <cellStyle name="표준 9 2 2 3 4 2 3" xfId="47542"/>
    <cellStyle name="표준 9 2 2 3 4 2 4" xfId="47543"/>
    <cellStyle name="표준 9 2 2 3 4 3" xfId="47544"/>
    <cellStyle name="표준 9 2 2 3 4 3 2" xfId="47545"/>
    <cellStyle name="표준 9 2 2 3 4 3 3" xfId="47546"/>
    <cellStyle name="표준 9 2 2 3 4 4" xfId="47547"/>
    <cellStyle name="표준 9 2 2 3 4 5" xfId="47548"/>
    <cellStyle name="표준 9 2 2 3 5" xfId="47549"/>
    <cellStyle name="표준 9 2 2 3 5 2" xfId="47550"/>
    <cellStyle name="표준 9 2 2 3 5 2 2" xfId="47551"/>
    <cellStyle name="표준 9 2 2 3 5 2 2 2" xfId="47552"/>
    <cellStyle name="표준 9 2 2 3 5 2 2 3" xfId="47553"/>
    <cellStyle name="표준 9 2 2 3 5 2 3" xfId="47554"/>
    <cellStyle name="표준 9 2 2 3 5 2 4" xfId="47555"/>
    <cellStyle name="표준 9 2 2 3 5 3" xfId="47556"/>
    <cellStyle name="표준 9 2 2 3 5 3 2" xfId="47557"/>
    <cellStyle name="표준 9 2 2 3 5 3 3" xfId="47558"/>
    <cellStyle name="표준 9 2 2 3 5 4" xfId="47559"/>
    <cellStyle name="표준 9 2 2 3 5 5" xfId="47560"/>
    <cellStyle name="표준 9 2 2 3 6" xfId="47561"/>
    <cellStyle name="표준 9 2 2 3 6 2" xfId="47562"/>
    <cellStyle name="표준 9 2 2 3 6 2 2" xfId="47563"/>
    <cellStyle name="표준 9 2 2 3 6 2 2 2" xfId="47564"/>
    <cellStyle name="표준 9 2 2 3 6 2 2 3" xfId="47565"/>
    <cellStyle name="표준 9 2 2 3 6 2 3" xfId="47566"/>
    <cellStyle name="표준 9 2 2 3 6 2 4" xfId="47567"/>
    <cellStyle name="표준 9 2 2 3 6 3" xfId="47568"/>
    <cellStyle name="표준 9 2 2 3 6 3 2" xfId="47569"/>
    <cellStyle name="표준 9 2 2 3 6 3 3" xfId="47570"/>
    <cellStyle name="표준 9 2 2 3 6 4" xfId="47571"/>
    <cellStyle name="표준 9 2 2 3 6 5" xfId="47572"/>
    <cellStyle name="표준 9 2 2 3 7" xfId="47573"/>
    <cellStyle name="표준 9 2 2 3 7 2" xfId="47574"/>
    <cellStyle name="표준 9 2 2 3 7 2 2" xfId="47575"/>
    <cellStyle name="표준 9 2 2 3 7 2 3" xfId="47576"/>
    <cellStyle name="표준 9 2 2 3 7 3" xfId="47577"/>
    <cellStyle name="표준 9 2 2 3 7 4" xfId="47578"/>
    <cellStyle name="표준 9 2 2 3 8" xfId="47579"/>
    <cellStyle name="표준 9 2 2 3 8 2" xfId="47580"/>
    <cellStyle name="표준 9 2 2 3 8 3" xfId="47581"/>
    <cellStyle name="표준 9 2 2 3 9" xfId="47582"/>
    <cellStyle name="표준 9 2 2 4" xfId="47583"/>
    <cellStyle name="표준 9 2 2 4 10" xfId="47584"/>
    <cellStyle name="표준 9 2 2 4 2" xfId="47585"/>
    <cellStyle name="표준 9 2 2 4 2 2" xfId="47586"/>
    <cellStyle name="표준 9 2 2 4 2 2 2" xfId="47587"/>
    <cellStyle name="표준 9 2 2 4 2 2 2 2" xfId="47588"/>
    <cellStyle name="표준 9 2 2 4 2 2 2 2 2" xfId="47589"/>
    <cellStyle name="표준 9 2 2 4 2 2 2 2 3" xfId="47590"/>
    <cellStyle name="표준 9 2 2 4 2 2 2 3" xfId="47591"/>
    <cellStyle name="표준 9 2 2 4 2 2 2 4" xfId="47592"/>
    <cellStyle name="표준 9 2 2 4 2 2 3" xfId="47593"/>
    <cellStyle name="표준 9 2 2 4 2 2 3 2" xfId="47594"/>
    <cellStyle name="표준 9 2 2 4 2 2 3 3" xfId="47595"/>
    <cellStyle name="표준 9 2 2 4 2 2 4" xfId="47596"/>
    <cellStyle name="표준 9 2 2 4 2 2 5" xfId="47597"/>
    <cellStyle name="표준 9 2 2 4 2 3" xfId="47598"/>
    <cellStyle name="표준 9 2 2 4 2 3 2" xfId="47599"/>
    <cellStyle name="표준 9 2 2 4 2 3 2 2" xfId="47600"/>
    <cellStyle name="표준 9 2 2 4 2 3 2 2 2" xfId="47601"/>
    <cellStyle name="표준 9 2 2 4 2 3 2 2 3" xfId="47602"/>
    <cellStyle name="표준 9 2 2 4 2 3 2 3" xfId="47603"/>
    <cellStyle name="표준 9 2 2 4 2 3 2 4" xfId="47604"/>
    <cellStyle name="표준 9 2 2 4 2 3 3" xfId="47605"/>
    <cellStyle name="표준 9 2 2 4 2 3 3 2" xfId="47606"/>
    <cellStyle name="표준 9 2 2 4 2 3 3 3" xfId="47607"/>
    <cellStyle name="표준 9 2 2 4 2 3 4" xfId="47608"/>
    <cellStyle name="표준 9 2 2 4 2 3 5" xfId="47609"/>
    <cellStyle name="표준 9 2 2 4 2 4" xfId="47610"/>
    <cellStyle name="표준 9 2 2 4 2 4 2" xfId="47611"/>
    <cellStyle name="표준 9 2 2 4 2 4 2 2" xfId="47612"/>
    <cellStyle name="표준 9 2 2 4 2 4 2 3" xfId="47613"/>
    <cellStyle name="표준 9 2 2 4 2 4 3" xfId="47614"/>
    <cellStyle name="표준 9 2 2 4 2 4 4" xfId="47615"/>
    <cellStyle name="표준 9 2 2 4 2 5" xfId="47616"/>
    <cellStyle name="표준 9 2 2 4 2 5 2" xfId="47617"/>
    <cellStyle name="표준 9 2 2 4 2 5 3" xfId="47618"/>
    <cellStyle name="표준 9 2 2 4 2 6" xfId="47619"/>
    <cellStyle name="표준 9 2 2 4 2 7" xfId="47620"/>
    <cellStyle name="표준 9 2 2 4 3" xfId="47621"/>
    <cellStyle name="표준 9 2 2 4 3 2" xfId="47622"/>
    <cellStyle name="표준 9 2 2 4 3 2 2" xfId="47623"/>
    <cellStyle name="표준 9 2 2 4 3 2 2 2" xfId="47624"/>
    <cellStyle name="표준 9 2 2 4 3 2 2 2 2" xfId="47625"/>
    <cellStyle name="표준 9 2 2 4 3 2 2 2 3" xfId="47626"/>
    <cellStyle name="표준 9 2 2 4 3 2 2 3" xfId="47627"/>
    <cellStyle name="표준 9 2 2 4 3 2 2 4" xfId="47628"/>
    <cellStyle name="표준 9 2 2 4 3 2 3" xfId="47629"/>
    <cellStyle name="표준 9 2 2 4 3 2 3 2" xfId="47630"/>
    <cellStyle name="표준 9 2 2 4 3 2 3 3" xfId="47631"/>
    <cellStyle name="표준 9 2 2 4 3 2 4" xfId="47632"/>
    <cellStyle name="표준 9 2 2 4 3 2 5" xfId="47633"/>
    <cellStyle name="표준 9 2 2 4 3 3" xfId="47634"/>
    <cellStyle name="표준 9 2 2 4 3 3 2" xfId="47635"/>
    <cellStyle name="표준 9 2 2 4 3 3 2 2" xfId="47636"/>
    <cellStyle name="표준 9 2 2 4 3 3 2 2 2" xfId="47637"/>
    <cellStyle name="표준 9 2 2 4 3 3 2 2 3" xfId="47638"/>
    <cellStyle name="표준 9 2 2 4 3 3 2 3" xfId="47639"/>
    <cellStyle name="표준 9 2 2 4 3 3 2 4" xfId="47640"/>
    <cellStyle name="표준 9 2 2 4 3 3 3" xfId="47641"/>
    <cellStyle name="표준 9 2 2 4 3 3 3 2" xfId="47642"/>
    <cellStyle name="표준 9 2 2 4 3 3 3 3" xfId="47643"/>
    <cellStyle name="표준 9 2 2 4 3 3 4" xfId="47644"/>
    <cellStyle name="표준 9 2 2 4 3 3 5" xfId="47645"/>
    <cellStyle name="표준 9 2 2 4 3 4" xfId="47646"/>
    <cellStyle name="표준 9 2 2 4 3 4 2" xfId="47647"/>
    <cellStyle name="표준 9 2 2 4 3 4 2 2" xfId="47648"/>
    <cellStyle name="표준 9 2 2 4 3 4 2 3" xfId="47649"/>
    <cellStyle name="표준 9 2 2 4 3 4 3" xfId="47650"/>
    <cellStyle name="표준 9 2 2 4 3 4 4" xfId="47651"/>
    <cellStyle name="표준 9 2 2 4 3 5" xfId="47652"/>
    <cellStyle name="표준 9 2 2 4 3 5 2" xfId="47653"/>
    <cellStyle name="표준 9 2 2 4 3 5 3" xfId="47654"/>
    <cellStyle name="표준 9 2 2 4 3 6" xfId="47655"/>
    <cellStyle name="표준 9 2 2 4 3 7" xfId="47656"/>
    <cellStyle name="표준 9 2 2 4 4" xfId="47657"/>
    <cellStyle name="표준 9 2 2 4 4 2" xfId="47658"/>
    <cellStyle name="표준 9 2 2 4 4 2 2" xfId="47659"/>
    <cellStyle name="표준 9 2 2 4 4 2 2 2" xfId="47660"/>
    <cellStyle name="표준 9 2 2 4 4 2 2 3" xfId="47661"/>
    <cellStyle name="표준 9 2 2 4 4 2 3" xfId="47662"/>
    <cellStyle name="표준 9 2 2 4 4 2 4" xfId="47663"/>
    <cellStyle name="표준 9 2 2 4 4 3" xfId="47664"/>
    <cellStyle name="표준 9 2 2 4 4 3 2" xfId="47665"/>
    <cellStyle name="표준 9 2 2 4 4 3 3" xfId="47666"/>
    <cellStyle name="표준 9 2 2 4 4 4" xfId="47667"/>
    <cellStyle name="표준 9 2 2 4 4 5" xfId="47668"/>
    <cellStyle name="표준 9 2 2 4 5" xfId="47669"/>
    <cellStyle name="표준 9 2 2 4 5 2" xfId="47670"/>
    <cellStyle name="표준 9 2 2 4 5 2 2" xfId="47671"/>
    <cellStyle name="표준 9 2 2 4 5 2 2 2" xfId="47672"/>
    <cellStyle name="표준 9 2 2 4 5 2 2 3" xfId="47673"/>
    <cellStyle name="표준 9 2 2 4 5 2 3" xfId="47674"/>
    <cellStyle name="표준 9 2 2 4 5 2 4" xfId="47675"/>
    <cellStyle name="표준 9 2 2 4 5 3" xfId="47676"/>
    <cellStyle name="표준 9 2 2 4 5 3 2" xfId="47677"/>
    <cellStyle name="표준 9 2 2 4 5 3 3" xfId="47678"/>
    <cellStyle name="표준 9 2 2 4 5 4" xfId="47679"/>
    <cellStyle name="표준 9 2 2 4 5 5" xfId="47680"/>
    <cellStyle name="표준 9 2 2 4 6" xfId="47681"/>
    <cellStyle name="표준 9 2 2 4 6 2" xfId="47682"/>
    <cellStyle name="표준 9 2 2 4 6 2 2" xfId="47683"/>
    <cellStyle name="표준 9 2 2 4 6 2 2 2" xfId="47684"/>
    <cellStyle name="표준 9 2 2 4 6 2 2 3" xfId="47685"/>
    <cellStyle name="표준 9 2 2 4 6 2 3" xfId="47686"/>
    <cellStyle name="표준 9 2 2 4 6 2 4" xfId="47687"/>
    <cellStyle name="표준 9 2 2 4 6 3" xfId="47688"/>
    <cellStyle name="표준 9 2 2 4 6 3 2" xfId="47689"/>
    <cellStyle name="표준 9 2 2 4 6 3 3" xfId="47690"/>
    <cellStyle name="표준 9 2 2 4 6 4" xfId="47691"/>
    <cellStyle name="표준 9 2 2 4 6 5" xfId="47692"/>
    <cellStyle name="표준 9 2 2 4 7" xfId="47693"/>
    <cellStyle name="표준 9 2 2 4 7 2" xfId="47694"/>
    <cellStyle name="표준 9 2 2 4 7 2 2" xfId="47695"/>
    <cellStyle name="표준 9 2 2 4 7 2 3" xfId="47696"/>
    <cellStyle name="표준 9 2 2 4 7 3" xfId="47697"/>
    <cellStyle name="표준 9 2 2 4 7 4" xfId="47698"/>
    <cellStyle name="표준 9 2 2 4 8" xfId="47699"/>
    <cellStyle name="표준 9 2 2 4 8 2" xfId="47700"/>
    <cellStyle name="표준 9 2 2 4 8 3" xfId="47701"/>
    <cellStyle name="표준 9 2 2 4 9" xfId="47702"/>
    <cellStyle name="표준 9 2 2 5" xfId="47703"/>
    <cellStyle name="표준 9 2 2 5 2" xfId="47704"/>
    <cellStyle name="표준 9 2 2 5 2 2" xfId="47705"/>
    <cellStyle name="표준 9 2 2 5 2 2 2" xfId="47706"/>
    <cellStyle name="표준 9 2 2 5 2 2 2 2" xfId="47707"/>
    <cellStyle name="표준 9 2 2 5 2 2 2 3" xfId="47708"/>
    <cellStyle name="표준 9 2 2 5 2 2 3" xfId="47709"/>
    <cellStyle name="표준 9 2 2 5 2 2 4" xfId="47710"/>
    <cellStyle name="표준 9 2 2 5 2 3" xfId="47711"/>
    <cellStyle name="표준 9 2 2 5 2 3 2" xfId="47712"/>
    <cellStyle name="표준 9 2 2 5 2 3 3" xfId="47713"/>
    <cellStyle name="표준 9 2 2 5 2 4" xfId="47714"/>
    <cellStyle name="표준 9 2 2 5 2 5" xfId="47715"/>
    <cellStyle name="표준 9 2 2 5 3" xfId="47716"/>
    <cellStyle name="표준 9 2 2 5 3 2" xfId="47717"/>
    <cellStyle name="표준 9 2 2 5 3 2 2" xfId="47718"/>
    <cellStyle name="표준 9 2 2 5 3 2 2 2" xfId="47719"/>
    <cellStyle name="표준 9 2 2 5 3 2 2 3" xfId="47720"/>
    <cellStyle name="표준 9 2 2 5 3 2 3" xfId="47721"/>
    <cellStyle name="표준 9 2 2 5 3 2 4" xfId="47722"/>
    <cellStyle name="표준 9 2 2 5 3 3" xfId="47723"/>
    <cellStyle name="표준 9 2 2 5 3 3 2" xfId="47724"/>
    <cellStyle name="표준 9 2 2 5 3 3 3" xfId="47725"/>
    <cellStyle name="표준 9 2 2 5 3 4" xfId="47726"/>
    <cellStyle name="표준 9 2 2 5 3 5" xfId="47727"/>
    <cellStyle name="표준 9 2 2 5 4" xfId="47728"/>
    <cellStyle name="표준 9 2 2 5 4 2" xfId="47729"/>
    <cellStyle name="표준 9 2 2 5 4 2 2" xfId="47730"/>
    <cellStyle name="표준 9 2 2 5 4 2 3" xfId="47731"/>
    <cellStyle name="표준 9 2 2 5 4 3" xfId="47732"/>
    <cellStyle name="표준 9 2 2 5 4 4" xfId="47733"/>
    <cellStyle name="표준 9 2 2 5 5" xfId="47734"/>
    <cellStyle name="표준 9 2 2 5 5 2" xfId="47735"/>
    <cellStyle name="표준 9 2 2 5 5 3" xfId="47736"/>
    <cellStyle name="표준 9 2 2 5 6" xfId="47737"/>
    <cellStyle name="표준 9 2 2 5 7" xfId="47738"/>
    <cellStyle name="표준 9 2 2 6" xfId="47739"/>
    <cellStyle name="표준 9 2 2 6 2" xfId="47740"/>
    <cellStyle name="표준 9 2 2 6 2 2" xfId="47741"/>
    <cellStyle name="표준 9 2 2 6 2 2 2" xfId="47742"/>
    <cellStyle name="표준 9 2 2 6 2 2 2 2" xfId="47743"/>
    <cellStyle name="표준 9 2 2 6 2 2 2 3" xfId="47744"/>
    <cellStyle name="표준 9 2 2 6 2 2 3" xfId="47745"/>
    <cellStyle name="표준 9 2 2 6 2 2 4" xfId="47746"/>
    <cellStyle name="표준 9 2 2 6 2 3" xfId="47747"/>
    <cellStyle name="표준 9 2 2 6 2 3 2" xfId="47748"/>
    <cellStyle name="표준 9 2 2 6 2 3 3" xfId="47749"/>
    <cellStyle name="표준 9 2 2 6 2 4" xfId="47750"/>
    <cellStyle name="표준 9 2 2 6 2 5" xfId="47751"/>
    <cellStyle name="표준 9 2 2 6 3" xfId="47752"/>
    <cellStyle name="표준 9 2 2 6 3 2" xfId="47753"/>
    <cellStyle name="표준 9 2 2 6 3 2 2" xfId="47754"/>
    <cellStyle name="표준 9 2 2 6 3 2 2 2" xfId="47755"/>
    <cellStyle name="표준 9 2 2 6 3 2 2 3" xfId="47756"/>
    <cellStyle name="표준 9 2 2 6 3 2 3" xfId="47757"/>
    <cellStyle name="표준 9 2 2 6 3 2 4" xfId="47758"/>
    <cellStyle name="표준 9 2 2 6 3 3" xfId="47759"/>
    <cellStyle name="표준 9 2 2 6 3 3 2" xfId="47760"/>
    <cellStyle name="표준 9 2 2 6 3 3 3" xfId="47761"/>
    <cellStyle name="표준 9 2 2 6 3 4" xfId="47762"/>
    <cellStyle name="표준 9 2 2 6 3 5" xfId="47763"/>
    <cellStyle name="표준 9 2 2 6 4" xfId="47764"/>
    <cellStyle name="표준 9 2 2 6 4 2" xfId="47765"/>
    <cellStyle name="표준 9 2 2 6 4 2 2" xfId="47766"/>
    <cellStyle name="표준 9 2 2 6 4 2 3" xfId="47767"/>
    <cellStyle name="표준 9 2 2 6 4 3" xfId="47768"/>
    <cellStyle name="표준 9 2 2 6 4 4" xfId="47769"/>
    <cellStyle name="표준 9 2 2 6 5" xfId="47770"/>
    <cellStyle name="표준 9 2 2 6 5 2" xfId="47771"/>
    <cellStyle name="표준 9 2 2 6 5 3" xfId="47772"/>
    <cellStyle name="표준 9 2 2 6 6" xfId="47773"/>
    <cellStyle name="표준 9 2 2 6 7" xfId="47774"/>
    <cellStyle name="표준 9 2 2 7" xfId="47775"/>
    <cellStyle name="표준 9 2 2 7 2" xfId="47776"/>
    <cellStyle name="표준 9 2 2 7 2 2" xfId="47777"/>
    <cellStyle name="표준 9 2 2 7 2 2 2" xfId="47778"/>
    <cellStyle name="표준 9 2 2 7 2 2 3" xfId="47779"/>
    <cellStyle name="표준 9 2 2 7 2 3" xfId="47780"/>
    <cellStyle name="표준 9 2 2 7 2 4" xfId="47781"/>
    <cellStyle name="표준 9 2 2 7 3" xfId="47782"/>
    <cellStyle name="표준 9 2 2 7 3 2" xfId="47783"/>
    <cellStyle name="표준 9 2 2 7 3 3" xfId="47784"/>
    <cellStyle name="표준 9 2 2 7 4" xfId="47785"/>
    <cellStyle name="표준 9 2 2 7 5" xfId="47786"/>
    <cellStyle name="표준 9 2 2 8" xfId="47787"/>
    <cellStyle name="표준 9 2 2 8 2" xfId="47788"/>
    <cellStyle name="표준 9 2 2 8 2 2" xfId="47789"/>
    <cellStyle name="표준 9 2 2 8 2 2 2" xfId="47790"/>
    <cellStyle name="표준 9 2 2 8 2 2 3" xfId="47791"/>
    <cellStyle name="표준 9 2 2 8 2 3" xfId="47792"/>
    <cellStyle name="표준 9 2 2 8 2 4" xfId="47793"/>
    <cellStyle name="표준 9 2 2 8 3" xfId="47794"/>
    <cellStyle name="표준 9 2 2 8 3 2" xfId="47795"/>
    <cellStyle name="표준 9 2 2 8 3 3" xfId="47796"/>
    <cellStyle name="표준 9 2 2 8 4" xfId="47797"/>
    <cellStyle name="표준 9 2 2 8 5" xfId="47798"/>
    <cellStyle name="표준 9 2 2 9" xfId="47799"/>
    <cellStyle name="표준 9 2 2 9 2" xfId="47800"/>
    <cellStyle name="표준 9 2 2 9 2 2" xfId="47801"/>
    <cellStyle name="표준 9 2 2 9 2 2 2" xfId="47802"/>
    <cellStyle name="표준 9 2 2 9 2 2 3" xfId="47803"/>
    <cellStyle name="표준 9 2 2 9 2 3" xfId="47804"/>
    <cellStyle name="표준 9 2 2 9 2 4" xfId="47805"/>
    <cellStyle name="표준 9 2 2 9 3" xfId="47806"/>
    <cellStyle name="표준 9 2 2 9 3 2" xfId="47807"/>
    <cellStyle name="표준 9 2 2 9 3 3" xfId="47808"/>
    <cellStyle name="표준 9 2 2 9 4" xfId="47809"/>
    <cellStyle name="표준 9 2 2 9 5" xfId="47810"/>
    <cellStyle name="표준 9 2 3" xfId="47811"/>
    <cellStyle name="표준 9 2 3 10" xfId="47812"/>
    <cellStyle name="표준 9 2 3 2" xfId="47813"/>
    <cellStyle name="표준 9 2 3 2 2" xfId="47814"/>
    <cellStyle name="표준 9 2 3 2 2 2" xfId="47815"/>
    <cellStyle name="표준 9 2 3 2 2 2 2" xfId="47816"/>
    <cellStyle name="표준 9 2 3 2 2 2 2 2" xfId="47817"/>
    <cellStyle name="표준 9 2 3 2 2 2 2 3" xfId="47818"/>
    <cellStyle name="표준 9 2 3 2 2 2 3" xfId="47819"/>
    <cellStyle name="표준 9 2 3 2 2 2 4" xfId="47820"/>
    <cellStyle name="표준 9 2 3 2 2 3" xfId="47821"/>
    <cellStyle name="표준 9 2 3 2 2 3 2" xfId="47822"/>
    <cellStyle name="표준 9 2 3 2 2 3 3" xfId="47823"/>
    <cellStyle name="표준 9 2 3 2 2 4" xfId="47824"/>
    <cellStyle name="표준 9 2 3 2 2 5" xfId="47825"/>
    <cellStyle name="표준 9 2 3 2 3" xfId="47826"/>
    <cellStyle name="표준 9 2 3 2 3 2" xfId="47827"/>
    <cellStyle name="표준 9 2 3 2 3 2 2" xfId="47828"/>
    <cellStyle name="표준 9 2 3 2 3 2 2 2" xfId="47829"/>
    <cellStyle name="표준 9 2 3 2 3 2 2 3" xfId="47830"/>
    <cellStyle name="표준 9 2 3 2 3 2 3" xfId="47831"/>
    <cellStyle name="표준 9 2 3 2 3 2 4" xfId="47832"/>
    <cellStyle name="표준 9 2 3 2 3 3" xfId="47833"/>
    <cellStyle name="표준 9 2 3 2 3 3 2" xfId="47834"/>
    <cellStyle name="표준 9 2 3 2 3 3 3" xfId="47835"/>
    <cellStyle name="표준 9 2 3 2 3 4" xfId="47836"/>
    <cellStyle name="표준 9 2 3 2 3 5" xfId="47837"/>
    <cellStyle name="표준 9 2 3 2 4" xfId="47838"/>
    <cellStyle name="표준 9 2 3 2 4 2" xfId="47839"/>
    <cellStyle name="표준 9 2 3 2 4 2 2" xfId="47840"/>
    <cellStyle name="표준 9 2 3 2 4 2 3" xfId="47841"/>
    <cellStyle name="표준 9 2 3 2 4 3" xfId="47842"/>
    <cellStyle name="표준 9 2 3 2 4 4" xfId="47843"/>
    <cellStyle name="표준 9 2 3 2 5" xfId="47844"/>
    <cellStyle name="표준 9 2 3 2 5 2" xfId="47845"/>
    <cellStyle name="표준 9 2 3 2 5 3" xfId="47846"/>
    <cellStyle name="표준 9 2 3 2 6" xfId="47847"/>
    <cellStyle name="표준 9 2 3 2 7" xfId="47848"/>
    <cellStyle name="표준 9 2 3 3" xfId="47849"/>
    <cellStyle name="표준 9 2 3 3 2" xfId="47850"/>
    <cellStyle name="표준 9 2 3 3 2 2" xfId="47851"/>
    <cellStyle name="표준 9 2 3 3 2 2 2" xfId="47852"/>
    <cellStyle name="표준 9 2 3 3 2 2 2 2" xfId="47853"/>
    <cellStyle name="표준 9 2 3 3 2 2 2 3" xfId="47854"/>
    <cellStyle name="표준 9 2 3 3 2 2 3" xfId="47855"/>
    <cellStyle name="표준 9 2 3 3 2 2 4" xfId="47856"/>
    <cellStyle name="표준 9 2 3 3 2 3" xfId="47857"/>
    <cellStyle name="표준 9 2 3 3 2 3 2" xfId="47858"/>
    <cellStyle name="표준 9 2 3 3 2 3 3" xfId="47859"/>
    <cellStyle name="표준 9 2 3 3 2 4" xfId="47860"/>
    <cellStyle name="표준 9 2 3 3 2 5" xfId="47861"/>
    <cellStyle name="표준 9 2 3 3 3" xfId="47862"/>
    <cellStyle name="표준 9 2 3 3 3 2" xfId="47863"/>
    <cellStyle name="표준 9 2 3 3 3 2 2" xfId="47864"/>
    <cellStyle name="표준 9 2 3 3 3 2 2 2" xfId="47865"/>
    <cellStyle name="표준 9 2 3 3 3 2 2 3" xfId="47866"/>
    <cellStyle name="표준 9 2 3 3 3 2 3" xfId="47867"/>
    <cellStyle name="표준 9 2 3 3 3 2 4" xfId="47868"/>
    <cellStyle name="표준 9 2 3 3 3 3" xfId="47869"/>
    <cellStyle name="표준 9 2 3 3 3 3 2" xfId="47870"/>
    <cellStyle name="표준 9 2 3 3 3 3 3" xfId="47871"/>
    <cellStyle name="표준 9 2 3 3 3 4" xfId="47872"/>
    <cellStyle name="표준 9 2 3 3 3 5" xfId="47873"/>
    <cellStyle name="표준 9 2 3 3 4" xfId="47874"/>
    <cellStyle name="표준 9 2 3 3 4 2" xfId="47875"/>
    <cellStyle name="표준 9 2 3 3 4 2 2" xfId="47876"/>
    <cellStyle name="표준 9 2 3 3 4 2 3" xfId="47877"/>
    <cellStyle name="표준 9 2 3 3 4 3" xfId="47878"/>
    <cellStyle name="표준 9 2 3 3 4 4" xfId="47879"/>
    <cellStyle name="표준 9 2 3 3 5" xfId="47880"/>
    <cellStyle name="표준 9 2 3 3 5 2" xfId="47881"/>
    <cellStyle name="표준 9 2 3 3 5 3" xfId="47882"/>
    <cellStyle name="표준 9 2 3 3 6" xfId="47883"/>
    <cellStyle name="표준 9 2 3 3 7" xfId="47884"/>
    <cellStyle name="표준 9 2 3 4" xfId="47885"/>
    <cellStyle name="표준 9 2 3 4 2" xfId="47886"/>
    <cellStyle name="표준 9 2 3 4 2 2" xfId="47887"/>
    <cellStyle name="표준 9 2 3 4 2 2 2" xfId="47888"/>
    <cellStyle name="표준 9 2 3 4 2 2 3" xfId="47889"/>
    <cellStyle name="표준 9 2 3 4 2 3" xfId="47890"/>
    <cellStyle name="표준 9 2 3 4 2 4" xfId="47891"/>
    <cellStyle name="표준 9 2 3 4 3" xfId="47892"/>
    <cellStyle name="표준 9 2 3 4 3 2" xfId="47893"/>
    <cellStyle name="표준 9 2 3 4 3 3" xfId="47894"/>
    <cellStyle name="표준 9 2 3 4 4" xfId="47895"/>
    <cellStyle name="표준 9 2 3 4 5" xfId="47896"/>
    <cellStyle name="표준 9 2 3 5" xfId="47897"/>
    <cellStyle name="표준 9 2 3 5 2" xfId="47898"/>
    <cellStyle name="표준 9 2 3 5 2 2" xfId="47899"/>
    <cellStyle name="표준 9 2 3 5 2 2 2" xfId="47900"/>
    <cellStyle name="표준 9 2 3 5 2 2 3" xfId="47901"/>
    <cellStyle name="표준 9 2 3 5 2 3" xfId="47902"/>
    <cellStyle name="표준 9 2 3 5 2 4" xfId="47903"/>
    <cellStyle name="표준 9 2 3 5 3" xfId="47904"/>
    <cellStyle name="표준 9 2 3 5 3 2" xfId="47905"/>
    <cellStyle name="표준 9 2 3 5 3 3" xfId="47906"/>
    <cellStyle name="표준 9 2 3 5 4" xfId="47907"/>
    <cellStyle name="표준 9 2 3 5 5" xfId="47908"/>
    <cellStyle name="표준 9 2 3 6" xfId="47909"/>
    <cellStyle name="표준 9 2 3 6 2" xfId="47910"/>
    <cellStyle name="표준 9 2 3 6 2 2" xfId="47911"/>
    <cellStyle name="표준 9 2 3 6 2 2 2" xfId="47912"/>
    <cellStyle name="표준 9 2 3 6 2 2 3" xfId="47913"/>
    <cellStyle name="표준 9 2 3 6 2 3" xfId="47914"/>
    <cellStyle name="표준 9 2 3 6 2 4" xfId="47915"/>
    <cellStyle name="표준 9 2 3 6 3" xfId="47916"/>
    <cellStyle name="표준 9 2 3 6 3 2" xfId="47917"/>
    <cellStyle name="표준 9 2 3 6 3 3" xfId="47918"/>
    <cellStyle name="표준 9 2 3 6 4" xfId="47919"/>
    <cellStyle name="표준 9 2 3 6 5" xfId="47920"/>
    <cellStyle name="표준 9 2 3 7" xfId="47921"/>
    <cellStyle name="표준 9 2 3 7 2" xfId="47922"/>
    <cellStyle name="표준 9 2 3 7 2 2" xfId="47923"/>
    <cellStyle name="표준 9 2 3 7 2 3" xfId="47924"/>
    <cellStyle name="표준 9 2 3 7 3" xfId="47925"/>
    <cellStyle name="표준 9 2 3 7 4" xfId="47926"/>
    <cellStyle name="표준 9 2 3 8" xfId="47927"/>
    <cellStyle name="표준 9 2 3 8 2" xfId="47928"/>
    <cellStyle name="표준 9 2 3 8 3" xfId="47929"/>
    <cellStyle name="표준 9 2 3 9" xfId="47930"/>
    <cellStyle name="표준 9 2 4" xfId="47931"/>
    <cellStyle name="표준 9 2 4 10" xfId="47932"/>
    <cellStyle name="표준 9 2 4 2" xfId="47933"/>
    <cellStyle name="표준 9 2 4 2 2" xfId="47934"/>
    <cellStyle name="표준 9 2 4 2 2 2" xfId="47935"/>
    <cellStyle name="표준 9 2 4 2 2 2 2" xfId="47936"/>
    <cellStyle name="표준 9 2 4 2 2 2 2 2" xfId="47937"/>
    <cellStyle name="표준 9 2 4 2 2 2 2 3" xfId="47938"/>
    <cellStyle name="표준 9 2 4 2 2 2 3" xfId="47939"/>
    <cellStyle name="표준 9 2 4 2 2 2 4" xfId="47940"/>
    <cellStyle name="표준 9 2 4 2 2 3" xfId="47941"/>
    <cellStyle name="표준 9 2 4 2 2 3 2" xfId="47942"/>
    <cellStyle name="표준 9 2 4 2 2 3 3" xfId="47943"/>
    <cellStyle name="표준 9 2 4 2 2 4" xfId="47944"/>
    <cellStyle name="표준 9 2 4 2 2 5" xfId="47945"/>
    <cellStyle name="표준 9 2 4 2 3" xfId="47946"/>
    <cellStyle name="표준 9 2 4 2 3 2" xfId="47947"/>
    <cellStyle name="표준 9 2 4 2 3 2 2" xfId="47948"/>
    <cellStyle name="표준 9 2 4 2 3 2 2 2" xfId="47949"/>
    <cellStyle name="표준 9 2 4 2 3 2 2 3" xfId="47950"/>
    <cellStyle name="표준 9 2 4 2 3 2 3" xfId="47951"/>
    <cellStyle name="표준 9 2 4 2 3 2 4" xfId="47952"/>
    <cellStyle name="표준 9 2 4 2 3 3" xfId="47953"/>
    <cellStyle name="표준 9 2 4 2 3 3 2" xfId="47954"/>
    <cellStyle name="표준 9 2 4 2 3 3 3" xfId="47955"/>
    <cellStyle name="표준 9 2 4 2 3 4" xfId="47956"/>
    <cellStyle name="표준 9 2 4 2 3 5" xfId="47957"/>
    <cellStyle name="표준 9 2 4 2 4" xfId="47958"/>
    <cellStyle name="표준 9 2 4 2 4 2" xfId="47959"/>
    <cellStyle name="표준 9 2 4 2 4 2 2" xfId="47960"/>
    <cellStyle name="표준 9 2 4 2 4 2 3" xfId="47961"/>
    <cellStyle name="표준 9 2 4 2 4 3" xfId="47962"/>
    <cellStyle name="표준 9 2 4 2 4 4" xfId="47963"/>
    <cellStyle name="표준 9 2 4 2 5" xfId="47964"/>
    <cellStyle name="표준 9 2 4 2 5 2" xfId="47965"/>
    <cellStyle name="표준 9 2 4 2 5 3" xfId="47966"/>
    <cellStyle name="표준 9 2 4 2 6" xfId="47967"/>
    <cellStyle name="표준 9 2 4 2 7" xfId="47968"/>
    <cellStyle name="표준 9 2 4 3" xfId="47969"/>
    <cellStyle name="표준 9 2 4 3 2" xfId="47970"/>
    <cellStyle name="표준 9 2 4 3 2 2" xfId="47971"/>
    <cellStyle name="표준 9 2 4 3 2 2 2" xfId="47972"/>
    <cellStyle name="표준 9 2 4 3 2 2 2 2" xfId="47973"/>
    <cellStyle name="표준 9 2 4 3 2 2 2 3" xfId="47974"/>
    <cellStyle name="표준 9 2 4 3 2 2 3" xfId="47975"/>
    <cellStyle name="표준 9 2 4 3 2 2 4" xfId="47976"/>
    <cellStyle name="표준 9 2 4 3 2 3" xfId="47977"/>
    <cellStyle name="표준 9 2 4 3 2 3 2" xfId="47978"/>
    <cellStyle name="표준 9 2 4 3 2 3 3" xfId="47979"/>
    <cellStyle name="표준 9 2 4 3 2 4" xfId="47980"/>
    <cellStyle name="표준 9 2 4 3 2 5" xfId="47981"/>
    <cellStyle name="표준 9 2 4 3 3" xfId="47982"/>
    <cellStyle name="표준 9 2 4 3 3 2" xfId="47983"/>
    <cellStyle name="표준 9 2 4 3 3 2 2" xfId="47984"/>
    <cellStyle name="표준 9 2 4 3 3 2 2 2" xfId="47985"/>
    <cellStyle name="표준 9 2 4 3 3 2 2 3" xfId="47986"/>
    <cellStyle name="표준 9 2 4 3 3 2 3" xfId="47987"/>
    <cellStyle name="표준 9 2 4 3 3 2 4" xfId="47988"/>
    <cellStyle name="표준 9 2 4 3 3 3" xfId="47989"/>
    <cellStyle name="표준 9 2 4 3 3 3 2" xfId="47990"/>
    <cellStyle name="표준 9 2 4 3 3 3 3" xfId="47991"/>
    <cellStyle name="표준 9 2 4 3 3 4" xfId="47992"/>
    <cellStyle name="표준 9 2 4 3 3 5" xfId="47993"/>
    <cellStyle name="표준 9 2 4 3 4" xfId="47994"/>
    <cellStyle name="표준 9 2 4 3 4 2" xfId="47995"/>
    <cellStyle name="표준 9 2 4 3 4 2 2" xfId="47996"/>
    <cellStyle name="표준 9 2 4 3 4 2 3" xfId="47997"/>
    <cellStyle name="표준 9 2 4 3 4 3" xfId="47998"/>
    <cellStyle name="표준 9 2 4 3 4 4" xfId="47999"/>
    <cellStyle name="표준 9 2 4 3 5" xfId="48000"/>
    <cellStyle name="표준 9 2 4 3 5 2" xfId="48001"/>
    <cellStyle name="표준 9 2 4 3 5 3" xfId="48002"/>
    <cellStyle name="표준 9 2 4 3 6" xfId="48003"/>
    <cellStyle name="표준 9 2 4 3 7" xfId="48004"/>
    <cellStyle name="표준 9 2 4 4" xfId="48005"/>
    <cellStyle name="표준 9 2 4 4 2" xfId="48006"/>
    <cellStyle name="표준 9 2 4 4 2 2" xfId="48007"/>
    <cellStyle name="표준 9 2 4 4 2 2 2" xfId="48008"/>
    <cellStyle name="표준 9 2 4 4 2 2 3" xfId="48009"/>
    <cellStyle name="표준 9 2 4 4 2 3" xfId="48010"/>
    <cellStyle name="표준 9 2 4 4 2 4" xfId="48011"/>
    <cellStyle name="표준 9 2 4 4 3" xfId="48012"/>
    <cellStyle name="표준 9 2 4 4 3 2" xfId="48013"/>
    <cellStyle name="표준 9 2 4 4 3 3" xfId="48014"/>
    <cellStyle name="표준 9 2 4 4 4" xfId="48015"/>
    <cellStyle name="표준 9 2 4 4 5" xfId="48016"/>
    <cellStyle name="표준 9 2 4 5" xfId="48017"/>
    <cellStyle name="표준 9 2 4 5 2" xfId="48018"/>
    <cellStyle name="표준 9 2 4 5 2 2" xfId="48019"/>
    <cellStyle name="표준 9 2 4 5 2 2 2" xfId="48020"/>
    <cellStyle name="표준 9 2 4 5 2 2 3" xfId="48021"/>
    <cellStyle name="표준 9 2 4 5 2 3" xfId="48022"/>
    <cellStyle name="표준 9 2 4 5 2 4" xfId="48023"/>
    <cellStyle name="표준 9 2 4 5 3" xfId="48024"/>
    <cellStyle name="표준 9 2 4 5 3 2" xfId="48025"/>
    <cellStyle name="표준 9 2 4 5 3 3" xfId="48026"/>
    <cellStyle name="표준 9 2 4 5 4" xfId="48027"/>
    <cellStyle name="표준 9 2 4 5 5" xfId="48028"/>
    <cellStyle name="표준 9 2 4 6" xfId="48029"/>
    <cellStyle name="표준 9 2 4 6 2" xfId="48030"/>
    <cellStyle name="표준 9 2 4 6 2 2" xfId="48031"/>
    <cellStyle name="표준 9 2 4 6 2 2 2" xfId="48032"/>
    <cellStyle name="표준 9 2 4 6 2 2 3" xfId="48033"/>
    <cellStyle name="표준 9 2 4 6 2 3" xfId="48034"/>
    <cellStyle name="표준 9 2 4 6 2 4" xfId="48035"/>
    <cellStyle name="표준 9 2 4 6 3" xfId="48036"/>
    <cellStyle name="표준 9 2 4 6 3 2" xfId="48037"/>
    <cellStyle name="표준 9 2 4 6 3 3" xfId="48038"/>
    <cellStyle name="표준 9 2 4 6 4" xfId="48039"/>
    <cellStyle name="표준 9 2 4 6 5" xfId="48040"/>
    <cellStyle name="표준 9 2 4 7" xfId="48041"/>
    <cellStyle name="표준 9 2 4 7 2" xfId="48042"/>
    <cellStyle name="표준 9 2 4 7 2 2" xfId="48043"/>
    <cellStyle name="표준 9 2 4 7 2 3" xfId="48044"/>
    <cellStyle name="표준 9 2 4 7 3" xfId="48045"/>
    <cellStyle name="표준 9 2 4 7 4" xfId="48046"/>
    <cellStyle name="표준 9 2 4 8" xfId="48047"/>
    <cellStyle name="표준 9 2 4 8 2" xfId="48048"/>
    <cellStyle name="표준 9 2 4 8 3" xfId="48049"/>
    <cellStyle name="표준 9 2 4 9" xfId="48050"/>
    <cellStyle name="표준 9 2 5" xfId="48051"/>
    <cellStyle name="표준 9 2 5 10" xfId="48052"/>
    <cellStyle name="표준 9 2 5 2" xfId="48053"/>
    <cellStyle name="표준 9 2 5 2 2" xfId="48054"/>
    <cellStyle name="표준 9 2 5 2 2 2" xfId="48055"/>
    <cellStyle name="표준 9 2 5 2 2 2 2" xfId="48056"/>
    <cellStyle name="표준 9 2 5 2 2 2 2 2" xfId="48057"/>
    <cellStyle name="표준 9 2 5 2 2 2 2 3" xfId="48058"/>
    <cellStyle name="표준 9 2 5 2 2 2 3" xfId="48059"/>
    <cellStyle name="표준 9 2 5 2 2 2 4" xfId="48060"/>
    <cellStyle name="표준 9 2 5 2 2 3" xfId="48061"/>
    <cellStyle name="표준 9 2 5 2 2 3 2" xfId="48062"/>
    <cellStyle name="표준 9 2 5 2 2 3 3" xfId="48063"/>
    <cellStyle name="표준 9 2 5 2 2 4" xfId="48064"/>
    <cellStyle name="표준 9 2 5 2 2 5" xfId="48065"/>
    <cellStyle name="표준 9 2 5 2 3" xfId="48066"/>
    <cellStyle name="표준 9 2 5 2 3 2" xfId="48067"/>
    <cellStyle name="표준 9 2 5 2 3 2 2" xfId="48068"/>
    <cellStyle name="표준 9 2 5 2 3 2 2 2" xfId="48069"/>
    <cellStyle name="표준 9 2 5 2 3 2 2 3" xfId="48070"/>
    <cellStyle name="표준 9 2 5 2 3 2 3" xfId="48071"/>
    <cellStyle name="표준 9 2 5 2 3 2 4" xfId="48072"/>
    <cellStyle name="표준 9 2 5 2 3 3" xfId="48073"/>
    <cellStyle name="표준 9 2 5 2 3 3 2" xfId="48074"/>
    <cellStyle name="표준 9 2 5 2 3 3 3" xfId="48075"/>
    <cellStyle name="표준 9 2 5 2 3 4" xfId="48076"/>
    <cellStyle name="표준 9 2 5 2 3 5" xfId="48077"/>
    <cellStyle name="표준 9 2 5 2 4" xfId="48078"/>
    <cellStyle name="표준 9 2 5 2 4 2" xfId="48079"/>
    <cellStyle name="표준 9 2 5 2 4 2 2" xfId="48080"/>
    <cellStyle name="표준 9 2 5 2 4 2 3" xfId="48081"/>
    <cellStyle name="표준 9 2 5 2 4 3" xfId="48082"/>
    <cellStyle name="표준 9 2 5 2 4 4" xfId="48083"/>
    <cellStyle name="표준 9 2 5 2 5" xfId="48084"/>
    <cellStyle name="표준 9 2 5 2 5 2" xfId="48085"/>
    <cellStyle name="표준 9 2 5 2 5 3" xfId="48086"/>
    <cellStyle name="표준 9 2 5 2 6" xfId="48087"/>
    <cellStyle name="표준 9 2 5 2 7" xfId="48088"/>
    <cellStyle name="표준 9 2 5 3" xfId="48089"/>
    <cellStyle name="표준 9 2 5 3 2" xfId="48090"/>
    <cellStyle name="표준 9 2 5 3 2 2" xfId="48091"/>
    <cellStyle name="표준 9 2 5 3 2 2 2" xfId="48092"/>
    <cellStyle name="표준 9 2 5 3 2 2 2 2" xfId="48093"/>
    <cellStyle name="표준 9 2 5 3 2 2 2 3" xfId="48094"/>
    <cellStyle name="표준 9 2 5 3 2 2 3" xfId="48095"/>
    <cellStyle name="표준 9 2 5 3 2 2 4" xfId="48096"/>
    <cellStyle name="표준 9 2 5 3 2 3" xfId="48097"/>
    <cellStyle name="표준 9 2 5 3 2 3 2" xfId="48098"/>
    <cellStyle name="표준 9 2 5 3 2 3 3" xfId="48099"/>
    <cellStyle name="표준 9 2 5 3 2 4" xfId="48100"/>
    <cellStyle name="표준 9 2 5 3 2 5" xfId="48101"/>
    <cellStyle name="표준 9 2 5 3 3" xfId="48102"/>
    <cellStyle name="표준 9 2 5 3 3 2" xfId="48103"/>
    <cellStyle name="표준 9 2 5 3 3 2 2" xfId="48104"/>
    <cellStyle name="표준 9 2 5 3 3 2 2 2" xfId="48105"/>
    <cellStyle name="표준 9 2 5 3 3 2 2 3" xfId="48106"/>
    <cellStyle name="표준 9 2 5 3 3 2 3" xfId="48107"/>
    <cellStyle name="표준 9 2 5 3 3 2 4" xfId="48108"/>
    <cellStyle name="표준 9 2 5 3 3 3" xfId="48109"/>
    <cellStyle name="표준 9 2 5 3 3 3 2" xfId="48110"/>
    <cellStyle name="표준 9 2 5 3 3 3 3" xfId="48111"/>
    <cellStyle name="표준 9 2 5 3 3 4" xfId="48112"/>
    <cellStyle name="표준 9 2 5 3 3 5" xfId="48113"/>
    <cellStyle name="표준 9 2 5 3 4" xfId="48114"/>
    <cellStyle name="표준 9 2 5 3 4 2" xfId="48115"/>
    <cellStyle name="표준 9 2 5 3 4 2 2" xfId="48116"/>
    <cellStyle name="표준 9 2 5 3 4 2 3" xfId="48117"/>
    <cellStyle name="표준 9 2 5 3 4 3" xfId="48118"/>
    <cellStyle name="표준 9 2 5 3 4 4" xfId="48119"/>
    <cellStyle name="표준 9 2 5 3 5" xfId="48120"/>
    <cellStyle name="표준 9 2 5 3 5 2" xfId="48121"/>
    <cellStyle name="표준 9 2 5 3 5 3" xfId="48122"/>
    <cellStyle name="표준 9 2 5 3 6" xfId="48123"/>
    <cellStyle name="표준 9 2 5 3 7" xfId="48124"/>
    <cellStyle name="표준 9 2 5 4" xfId="48125"/>
    <cellStyle name="표준 9 2 5 4 2" xfId="48126"/>
    <cellStyle name="표준 9 2 5 4 2 2" xfId="48127"/>
    <cellStyle name="표준 9 2 5 4 2 2 2" xfId="48128"/>
    <cellStyle name="표준 9 2 5 4 2 2 3" xfId="48129"/>
    <cellStyle name="표준 9 2 5 4 2 3" xfId="48130"/>
    <cellStyle name="표준 9 2 5 4 2 4" xfId="48131"/>
    <cellStyle name="표준 9 2 5 4 3" xfId="48132"/>
    <cellStyle name="표준 9 2 5 4 3 2" xfId="48133"/>
    <cellStyle name="표준 9 2 5 4 3 3" xfId="48134"/>
    <cellStyle name="표준 9 2 5 4 4" xfId="48135"/>
    <cellStyle name="표준 9 2 5 4 5" xfId="48136"/>
    <cellStyle name="표준 9 2 5 5" xfId="48137"/>
    <cellStyle name="표준 9 2 5 5 2" xfId="48138"/>
    <cellStyle name="표준 9 2 5 5 2 2" xfId="48139"/>
    <cellStyle name="표준 9 2 5 5 2 2 2" xfId="48140"/>
    <cellStyle name="표준 9 2 5 5 2 2 3" xfId="48141"/>
    <cellStyle name="표준 9 2 5 5 2 3" xfId="48142"/>
    <cellStyle name="표준 9 2 5 5 2 4" xfId="48143"/>
    <cellStyle name="표준 9 2 5 5 3" xfId="48144"/>
    <cellStyle name="표준 9 2 5 5 3 2" xfId="48145"/>
    <cellStyle name="표준 9 2 5 5 3 3" xfId="48146"/>
    <cellStyle name="표준 9 2 5 5 4" xfId="48147"/>
    <cellStyle name="표준 9 2 5 5 5" xfId="48148"/>
    <cellStyle name="표준 9 2 5 6" xfId="48149"/>
    <cellStyle name="표준 9 2 5 6 2" xfId="48150"/>
    <cellStyle name="표준 9 2 5 6 2 2" xfId="48151"/>
    <cellStyle name="표준 9 2 5 6 2 2 2" xfId="48152"/>
    <cellStyle name="표준 9 2 5 6 2 2 3" xfId="48153"/>
    <cellStyle name="표준 9 2 5 6 2 3" xfId="48154"/>
    <cellStyle name="표준 9 2 5 6 2 4" xfId="48155"/>
    <cellStyle name="표준 9 2 5 6 3" xfId="48156"/>
    <cellStyle name="표준 9 2 5 6 3 2" xfId="48157"/>
    <cellStyle name="표준 9 2 5 6 3 3" xfId="48158"/>
    <cellStyle name="표준 9 2 5 6 4" xfId="48159"/>
    <cellStyle name="표준 9 2 5 6 5" xfId="48160"/>
    <cellStyle name="표준 9 2 5 7" xfId="48161"/>
    <cellStyle name="표준 9 2 5 7 2" xfId="48162"/>
    <cellStyle name="표준 9 2 5 7 2 2" xfId="48163"/>
    <cellStyle name="표준 9 2 5 7 2 3" xfId="48164"/>
    <cellStyle name="표준 9 2 5 7 3" xfId="48165"/>
    <cellStyle name="표준 9 2 5 7 4" xfId="48166"/>
    <cellStyle name="표준 9 2 5 8" xfId="48167"/>
    <cellStyle name="표준 9 2 5 8 2" xfId="48168"/>
    <cellStyle name="표준 9 2 5 8 3" xfId="48169"/>
    <cellStyle name="표준 9 2 5 9" xfId="48170"/>
    <cellStyle name="표준 9 2 6" xfId="48171"/>
    <cellStyle name="표준 9 2 6 2" xfId="48172"/>
    <cellStyle name="표준 9 2 6 2 2" xfId="48173"/>
    <cellStyle name="표준 9 2 6 2 2 2" xfId="48174"/>
    <cellStyle name="표준 9 2 6 2 2 2 2" xfId="48175"/>
    <cellStyle name="표준 9 2 6 2 2 2 3" xfId="48176"/>
    <cellStyle name="표준 9 2 6 2 2 3" xfId="48177"/>
    <cellStyle name="표준 9 2 6 2 2 4" xfId="48178"/>
    <cellStyle name="표준 9 2 6 2 3" xfId="48179"/>
    <cellStyle name="표준 9 2 6 2 3 2" xfId="48180"/>
    <cellStyle name="표준 9 2 6 2 3 3" xfId="48181"/>
    <cellStyle name="표준 9 2 6 2 4" xfId="48182"/>
    <cellStyle name="표준 9 2 6 2 5" xfId="48183"/>
    <cellStyle name="표준 9 2 6 3" xfId="48184"/>
    <cellStyle name="표준 9 2 6 3 2" xfId="48185"/>
    <cellStyle name="표준 9 2 6 3 2 2" xfId="48186"/>
    <cellStyle name="표준 9 2 6 3 2 2 2" xfId="48187"/>
    <cellStyle name="표준 9 2 6 3 2 2 3" xfId="48188"/>
    <cellStyle name="표준 9 2 6 3 2 3" xfId="48189"/>
    <cellStyle name="표준 9 2 6 3 2 4" xfId="48190"/>
    <cellStyle name="표준 9 2 6 3 3" xfId="48191"/>
    <cellStyle name="표준 9 2 6 3 3 2" xfId="48192"/>
    <cellStyle name="표준 9 2 6 3 3 3" xfId="48193"/>
    <cellStyle name="표준 9 2 6 3 4" xfId="48194"/>
    <cellStyle name="표준 9 2 6 3 5" xfId="48195"/>
    <cellStyle name="표준 9 2 6 4" xfId="48196"/>
    <cellStyle name="표준 9 2 6 4 2" xfId="48197"/>
    <cellStyle name="표준 9 2 6 4 2 2" xfId="48198"/>
    <cellStyle name="표준 9 2 6 4 2 3" xfId="48199"/>
    <cellStyle name="표준 9 2 6 4 3" xfId="48200"/>
    <cellStyle name="표준 9 2 6 4 4" xfId="48201"/>
    <cellStyle name="표준 9 2 6 5" xfId="48202"/>
    <cellStyle name="표준 9 2 6 5 2" xfId="48203"/>
    <cellStyle name="표준 9 2 6 5 3" xfId="48204"/>
    <cellStyle name="표준 9 2 6 6" xfId="48205"/>
    <cellStyle name="표준 9 2 6 7" xfId="48206"/>
    <cellStyle name="표준 9 2 7" xfId="48207"/>
    <cellStyle name="표준 9 2 7 2" xfId="48208"/>
    <cellStyle name="표준 9 2 7 2 2" xfId="48209"/>
    <cellStyle name="표준 9 2 7 2 2 2" xfId="48210"/>
    <cellStyle name="표준 9 2 7 2 2 2 2" xfId="48211"/>
    <cellStyle name="표준 9 2 7 2 2 2 3" xfId="48212"/>
    <cellStyle name="표준 9 2 7 2 2 3" xfId="48213"/>
    <cellStyle name="표준 9 2 7 2 2 4" xfId="48214"/>
    <cellStyle name="표준 9 2 7 2 3" xfId="48215"/>
    <cellStyle name="표준 9 2 7 2 3 2" xfId="48216"/>
    <cellStyle name="표준 9 2 7 2 3 3" xfId="48217"/>
    <cellStyle name="표준 9 2 7 2 4" xfId="48218"/>
    <cellStyle name="표준 9 2 7 2 5" xfId="48219"/>
    <cellStyle name="표준 9 2 7 3" xfId="48220"/>
    <cellStyle name="표준 9 2 7 3 2" xfId="48221"/>
    <cellStyle name="표준 9 2 7 3 2 2" xfId="48222"/>
    <cellStyle name="표준 9 2 7 3 2 2 2" xfId="48223"/>
    <cellStyle name="표준 9 2 7 3 2 2 3" xfId="48224"/>
    <cellStyle name="표준 9 2 7 3 2 3" xfId="48225"/>
    <cellStyle name="표준 9 2 7 3 2 4" xfId="48226"/>
    <cellStyle name="표준 9 2 7 3 3" xfId="48227"/>
    <cellStyle name="표준 9 2 7 3 3 2" xfId="48228"/>
    <cellStyle name="표준 9 2 7 3 3 3" xfId="48229"/>
    <cellStyle name="표준 9 2 7 3 4" xfId="48230"/>
    <cellStyle name="표준 9 2 7 3 5" xfId="48231"/>
    <cellStyle name="표준 9 2 7 4" xfId="48232"/>
    <cellStyle name="표준 9 2 7 4 2" xfId="48233"/>
    <cellStyle name="표준 9 2 7 4 2 2" xfId="48234"/>
    <cellStyle name="표준 9 2 7 4 2 3" xfId="48235"/>
    <cellStyle name="표준 9 2 7 4 3" xfId="48236"/>
    <cellStyle name="표준 9 2 7 4 4" xfId="48237"/>
    <cellStyle name="표준 9 2 7 5" xfId="48238"/>
    <cellStyle name="표준 9 2 7 5 2" xfId="48239"/>
    <cellStyle name="표준 9 2 7 5 3" xfId="48240"/>
    <cellStyle name="표준 9 2 7 6" xfId="48241"/>
    <cellStyle name="표준 9 2 7 7" xfId="48242"/>
    <cellStyle name="표준 9 2 8" xfId="48243"/>
    <cellStyle name="표준 9 2 8 2" xfId="48244"/>
    <cellStyle name="표준 9 2 8 2 2" xfId="48245"/>
    <cellStyle name="표준 9 2 8 2 2 2" xfId="48246"/>
    <cellStyle name="표준 9 2 8 2 2 3" xfId="48247"/>
    <cellStyle name="표준 9 2 8 2 3" xfId="48248"/>
    <cellStyle name="표준 9 2 8 2 4" xfId="48249"/>
    <cellStyle name="표준 9 2 8 3" xfId="48250"/>
    <cellStyle name="표준 9 2 8 3 2" xfId="48251"/>
    <cellStyle name="표준 9 2 8 3 3" xfId="48252"/>
    <cellStyle name="표준 9 2 8 4" xfId="48253"/>
    <cellStyle name="표준 9 2 8 5" xfId="48254"/>
    <cellStyle name="표준 9 2 9" xfId="48255"/>
    <cellStyle name="표준 9 2 9 2" xfId="48256"/>
    <cellStyle name="표준 9 2 9 2 2" xfId="48257"/>
    <cellStyle name="표준 9 2 9 2 2 2" xfId="48258"/>
    <cellStyle name="표준 9 2 9 2 2 3" xfId="48259"/>
    <cellStyle name="표준 9 2 9 2 3" xfId="48260"/>
    <cellStyle name="표준 9 2 9 2 4" xfId="48261"/>
    <cellStyle name="표준 9 2 9 3" xfId="48262"/>
    <cellStyle name="표준 9 2 9 3 2" xfId="48263"/>
    <cellStyle name="표준 9 2 9 3 3" xfId="48264"/>
    <cellStyle name="표준 9 2 9 4" xfId="48265"/>
    <cellStyle name="표준 9 2 9 5" xfId="48266"/>
    <cellStyle name="표준 9 20" xfId="48267"/>
    <cellStyle name="표준 9 21" xfId="48268"/>
    <cellStyle name="표준 9 3" xfId="48269"/>
    <cellStyle name="표준 9 3 10" xfId="48270"/>
    <cellStyle name="표준 9 3 10 2" xfId="48271"/>
    <cellStyle name="표준 9 3 10 2 2" xfId="48272"/>
    <cellStyle name="표준 9 3 10 2 2 2" xfId="48273"/>
    <cellStyle name="표준 9 3 10 2 2 3" xfId="48274"/>
    <cellStyle name="표준 9 3 10 2 3" xfId="48275"/>
    <cellStyle name="표준 9 3 10 2 4" xfId="48276"/>
    <cellStyle name="표준 9 3 10 3" xfId="48277"/>
    <cellStyle name="표준 9 3 10 3 2" xfId="48278"/>
    <cellStyle name="표준 9 3 10 3 3" xfId="48279"/>
    <cellStyle name="표준 9 3 10 4" xfId="48280"/>
    <cellStyle name="표준 9 3 10 5" xfId="48281"/>
    <cellStyle name="표준 9 3 11" xfId="48282"/>
    <cellStyle name="표준 9 3 11 2" xfId="48283"/>
    <cellStyle name="표준 9 3 11 2 2" xfId="48284"/>
    <cellStyle name="표준 9 3 11 2 3" xfId="48285"/>
    <cellStyle name="표준 9 3 11 3" xfId="48286"/>
    <cellStyle name="표준 9 3 11 4" xfId="48287"/>
    <cellStyle name="표준 9 3 12" xfId="48288"/>
    <cellStyle name="표준 9 3 12 2" xfId="48289"/>
    <cellStyle name="표준 9 3 12 3" xfId="48290"/>
    <cellStyle name="표준 9 3 13" xfId="48291"/>
    <cellStyle name="표준 9 3 14" xfId="48292"/>
    <cellStyle name="표준 9 3 15" xfId="48293"/>
    <cellStyle name="표준 9 3 2" xfId="48294"/>
    <cellStyle name="표준 9 3 2 10" xfId="48295"/>
    <cellStyle name="표준 9 3 2 10 2" xfId="48296"/>
    <cellStyle name="표준 9 3 2 10 2 2" xfId="48297"/>
    <cellStyle name="표준 9 3 2 10 2 3" xfId="48298"/>
    <cellStyle name="표준 9 3 2 10 3" xfId="48299"/>
    <cellStyle name="표준 9 3 2 10 4" xfId="48300"/>
    <cellStyle name="표준 9 3 2 11" xfId="48301"/>
    <cellStyle name="표준 9 3 2 11 2" xfId="48302"/>
    <cellStyle name="표준 9 3 2 11 3" xfId="48303"/>
    <cellStyle name="표준 9 3 2 12" xfId="48304"/>
    <cellStyle name="표준 9 3 2 13" xfId="48305"/>
    <cellStyle name="표준 9 3 2 2" xfId="48306"/>
    <cellStyle name="표준 9 3 2 2 10" xfId="48307"/>
    <cellStyle name="표준 9 3 2 2 2" xfId="48308"/>
    <cellStyle name="표준 9 3 2 2 2 2" xfId="48309"/>
    <cellStyle name="표준 9 3 2 2 2 2 2" xfId="48310"/>
    <cellStyle name="표준 9 3 2 2 2 2 2 2" xfId="48311"/>
    <cellStyle name="표준 9 3 2 2 2 2 2 2 2" xfId="48312"/>
    <cellStyle name="표준 9 3 2 2 2 2 2 2 3" xfId="48313"/>
    <cellStyle name="표준 9 3 2 2 2 2 2 3" xfId="48314"/>
    <cellStyle name="표준 9 3 2 2 2 2 2 4" xfId="48315"/>
    <cellStyle name="표준 9 3 2 2 2 2 3" xfId="48316"/>
    <cellStyle name="표준 9 3 2 2 2 2 3 2" xfId="48317"/>
    <cellStyle name="표준 9 3 2 2 2 2 3 3" xfId="48318"/>
    <cellStyle name="표준 9 3 2 2 2 2 4" xfId="48319"/>
    <cellStyle name="표준 9 3 2 2 2 2 5" xfId="48320"/>
    <cellStyle name="표준 9 3 2 2 2 3" xfId="48321"/>
    <cellStyle name="표준 9 3 2 2 2 3 2" xfId="48322"/>
    <cellStyle name="표준 9 3 2 2 2 3 2 2" xfId="48323"/>
    <cellStyle name="표준 9 3 2 2 2 3 2 2 2" xfId="48324"/>
    <cellStyle name="표준 9 3 2 2 2 3 2 2 3" xfId="48325"/>
    <cellStyle name="표준 9 3 2 2 2 3 2 3" xfId="48326"/>
    <cellStyle name="표준 9 3 2 2 2 3 2 4" xfId="48327"/>
    <cellStyle name="표준 9 3 2 2 2 3 3" xfId="48328"/>
    <cellStyle name="표준 9 3 2 2 2 3 3 2" xfId="48329"/>
    <cellStyle name="표준 9 3 2 2 2 3 3 3" xfId="48330"/>
    <cellStyle name="표준 9 3 2 2 2 3 4" xfId="48331"/>
    <cellStyle name="표준 9 3 2 2 2 3 5" xfId="48332"/>
    <cellStyle name="표준 9 3 2 2 2 4" xfId="48333"/>
    <cellStyle name="표준 9 3 2 2 2 4 2" xfId="48334"/>
    <cellStyle name="표준 9 3 2 2 2 4 2 2" xfId="48335"/>
    <cellStyle name="표준 9 3 2 2 2 4 2 3" xfId="48336"/>
    <cellStyle name="표준 9 3 2 2 2 4 3" xfId="48337"/>
    <cellStyle name="표준 9 3 2 2 2 4 4" xfId="48338"/>
    <cellStyle name="표준 9 3 2 2 2 5" xfId="48339"/>
    <cellStyle name="표준 9 3 2 2 2 5 2" xfId="48340"/>
    <cellStyle name="표준 9 3 2 2 2 5 3" xfId="48341"/>
    <cellStyle name="표준 9 3 2 2 2 6" xfId="48342"/>
    <cellStyle name="표준 9 3 2 2 2 7" xfId="48343"/>
    <cellStyle name="표준 9 3 2 2 3" xfId="48344"/>
    <cellStyle name="표준 9 3 2 2 3 2" xfId="48345"/>
    <cellStyle name="표준 9 3 2 2 3 2 2" xfId="48346"/>
    <cellStyle name="표준 9 3 2 2 3 2 2 2" xfId="48347"/>
    <cellStyle name="표준 9 3 2 2 3 2 2 2 2" xfId="48348"/>
    <cellStyle name="표준 9 3 2 2 3 2 2 2 3" xfId="48349"/>
    <cellStyle name="표준 9 3 2 2 3 2 2 3" xfId="48350"/>
    <cellStyle name="표준 9 3 2 2 3 2 2 4" xfId="48351"/>
    <cellStyle name="표준 9 3 2 2 3 2 3" xfId="48352"/>
    <cellStyle name="표준 9 3 2 2 3 2 3 2" xfId="48353"/>
    <cellStyle name="표준 9 3 2 2 3 2 3 3" xfId="48354"/>
    <cellStyle name="표준 9 3 2 2 3 2 4" xfId="48355"/>
    <cellStyle name="표준 9 3 2 2 3 2 5" xfId="48356"/>
    <cellStyle name="표준 9 3 2 2 3 3" xfId="48357"/>
    <cellStyle name="표준 9 3 2 2 3 3 2" xfId="48358"/>
    <cellStyle name="표준 9 3 2 2 3 3 2 2" xfId="48359"/>
    <cellStyle name="표준 9 3 2 2 3 3 2 2 2" xfId="48360"/>
    <cellStyle name="표준 9 3 2 2 3 3 2 2 3" xfId="48361"/>
    <cellStyle name="표준 9 3 2 2 3 3 2 3" xfId="48362"/>
    <cellStyle name="표준 9 3 2 2 3 3 2 4" xfId="48363"/>
    <cellStyle name="표준 9 3 2 2 3 3 3" xfId="48364"/>
    <cellStyle name="표준 9 3 2 2 3 3 3 2" xfId="48365"/>
    <cellStyle name="표준 9 3 2 2 3 3 3 3" xfId="48366"/>
    <cellStyle name="표준 9 3 2 2 3 3 4" xfId="48367"/>
    <cellStyle name="표준 9 3 2 2 3 3 5" xfId="48368"/>
    <cellStyle name="표준 9 3 2 2 3 4" xfId="48369"/>
    <cellStyle name="표준 9 3 2 2 3 4 2" xfId="48370"/>
    <cellStyle name="표준 9 3 2 2 3 4 2 2" xfId="48371"/>
    <cellStyle name="표준 9 3 2 2 3 4 2 3" xfId="48372"/>
    <cellStyle name="표준 9 3 2 2 3 4 3" xfId="48373"/>
    <cellStyle name="표준 9 3 2 2 3 4 4" xfId="48374"/>
    <cellStyle name="표준 9 3 2 2 3 5" xfId="48375"/>
    <cellStyle name="표준 9 3 2 2 3 5 2" xfId="48376"/>
    <cellStyle name="표준 9 3 2 2 3 5 3" xfId="48377"/>
    <cellStyle name="표준 9 3 2 2 3 6" xfId="48378"/>
    <cellStyle name="표준 9 3 2 2 3 7" xfId="48379"/>
    <cellStyle name="표준 9 3 2 2 4" xfId="48380"/>
    <cellStyle name="표준 9 3 2 2 4 2" xfId="48381"/>
    <cellStyle name="표준 9 3 2 2 4 2 2" xfId="48382"/>
    <cellStyle name="표준 9 3 2 2 4 2 2 2" xfId="48383"/>
    <cellStyle name="표준 9 3 2 2 4 2 2 3" xfId="48384"/>
    <cellStyle name="표준 9 3 2 2 4 2 3" xfId="48385"/>
    <cellStyle name="표준 9 3 2 2 4 2 4" xfId="48386"/>
    <cellStyle name="표준 9 3 2 2 4 3" xfId="48387"/>
    <cellStyle name="표준 9 3 2 2 4 3 2" xfId="48388"/>
    <cellStyle name="표준 9 3 2 2 4 3 3" xfId="48389"/>
    <cellStyle name="표준 9 3 2 2 4 4" xfId="48390"/>
    <cellStyle name="표준 9 3 2 2 4 5" xfId="48391"/>
    <cellStyle name="표준 9 3 2 2 5" xfId="48392"/>
    <cellStyle name="표준 9 3 2 2 5 2" xfId="48393"/>
    <cellStyle name="표준 9 3 2 2 5 2 2" xfId="48394"/>
    <cellStyle name="표준 9 3 2 2 5 2 2 2" xfId="48395"/>
    <cellStyle name="표준 9 3 2 2 5 2 2 3" xfId="48396"/>
    <cellStyle name="표준 9 3 2 2 5 2 3" xfId="48397"/>
    <cellStyle name="표준 9 3 2 2 5 2 4" xfId="48398"/>
    <cellStyle name="표준 9 3 2 2 5 3" xfId="48399"/>
    <cellStyle name="표준 9 3 2 2 5 3 2" xfId="48400"/>
    <cellStyle name="표준 9 3 2 2 5 3 3" xfId="48401"/>
    <cellStyle name="표준 9 3 2 2 5 4" xfId="48402"/>
    <cellStyle name="표준 9 3 2 2 5 5" xfId="48403"/>
    <cellStyle name="표준 9 3 2 2 6" xfId="48404"/>
    <cellStyle name="표준 9 3 2 2 6 2" xfId="48405"/>
    <cellStyle name="표준 9 3 2 2 6 2 2" xfId="48406"/>
    <cellStyle name="표준 9 3 2 2 6 2 2 2" xfId="48407"/>
    <cellStyle name="표준 9 3 2 2 6 2 2 3" xfId="48408"/>
    <cellStyle name="표준 9 3 2 2 6 2 3" xfId="48409"/>
    <cellStyle name="표준 9 3 2 2 6 2 4" xfId="48410"/>
    <cellStyle name="표준 9 3 2 2 6 3" xfId="48411"/>
    <cellStyle name="표준 9 3 2 2 6 3 2" xfId="48412"/>
    <cellStyle name="표준 9 3 2 2 6 3 3" xfId="48413"/>
    <cellStyle name="표준 9 3 2 2 6 4" xfId="48414"/>
    <cellStyle name="표준 9 3 2 2 6 5" xfId="48415"/>
    <cellStyle name="표준 9 3 2 2 7" xfId="48416"/>
    <cellStyle name="표준 9 3 2 2 7 2" xfId="48417"/>
    <cellStyle name="표준 9 3 2 2 7 2 2" xfId="48418"/>
    <cellStyle name="표준 9 3 2 2 7 2 3" xfId="48419"/>
    <cellStyle name="표준 9 3 2 2 7 3" xfId="48420"/>
    <cellStyle name="표준 9 3 2 2 7 4" xfId="48421"/>
    <cellStyle name="표준 9 3 2 2 8" xfId="48422"/>
    <cellStyle name="표준 9 3 2 2 8 2" xfId="48423"/>
    <cellStyle name="표준 9 3 2 2 8 3" xfId="48424"/>
    <cellStyle name="표준 9 3 2 2 9" xfId="48425"/>
    <cellStyle name="표준 9 3 2 3" xfId="48426"/>
    <cellStyle name="표준 9 3 2 3 10" xfId="48427"/>
    <cellStyle name="표준 9 3 2 3 2" xfId="48428"/>
    <cellStyle name="표준 9 3 2 3 2 2" xfId="48429"/>
    <cellStyle name="표준 9 3 2 3 2 2 2" xfId="48430"/>
    <cellStyle name="표준 9 3 2 3 2 2 2 2" xfId="48431"/>
    <cellStyle name="표준 9 3 2 3 2 2 2 2 2" xfId="48432"/>
    <cellStyle name="표준 9 3 2 3 2 2 2 2 3" xfId="48433"/>
    <cellStyle name="표준 9 3 2 3 2 2 2 3" xfId="48434"/>
    <cellStyle name="표준 9 3 2 3 2 2 2 4" xfId="48435"/>
    <cellStyle name="표준 9 3 2 3 2 2 3" xfId="48436"/>
    <cellStyle name="표준 9 3 2 3 2 2 3 2" xfId="48437"/>
    <cellStyle name="표준 9 3 2 3 2 2 3 3" xfId="48438"/>
    <cellStyle name="표준 9 3 2 3 2 2 4" xfId="48439"/>
    <cellStyle name="표준 9 3 2 3 2 2 5" xfId="48440"/>
    <cellStyle name="표준 9 3 2 3 2 3" xfId="48441"/>
    <cellStyle name="표준 9 3 2 3 2 3 2" xfId="48442"/>
    <cellStyle name="표준 9 3 2 3 2 3 2 2" xfId="48443"/>
    <cellStyle name="표준 9 3 2 3 2 3 2 2 2" xfId="48444"/>
    <cellStyle name="표준 9 3 2 3 2 3 2 2 3" xfId="48445"/>
    <cellStyle name="표준 9 3 2 3 2 3 2 3" xfId="48446"/>
    <cellStyle name="표준 9 3 2 3 2 3 2 4" xfId="48447"/>
    <cellStyle name="표준 9 3 2 3 2 3 3" xfId="48448"/>
    <cellStyle name="표준 9 3 2 3 2 3 3 2" xfId="48449"/>
    <cellStyle name="표준 9 3 2 3 2 3 3 3" xfId="48450"/>
    <cellStyle name="표준 9 3 2 3 2 3 4" xfId="48451"/>
    <cellStyle name="표준 9 3 2 3 2 3 5" xfId="48452"/>
    <cellStyle name="표준 9 3 2 3 2 4" xfId="48453"/>
    <cellStyle name="표준 9 3 2 3 2 4 2" xfId="48454"/>
    <cellStyle name="표준 9 3 2 3 2 4 2 2" xfId="48455"/>
    <cellStyle name="표준 9 3 2 3 2 4 2 3" xfId="48456"/>
    <cellStyle name="표준 9 3 2 3 2 4 3" xfId="48457"/>
    <cellStyle name="표준 9 3 2 3 2 4 4" xfId="48458"/>
    <cellStyle name="표준 9 3 2 3 2 5" xfId="48459"/>
    <cellStyle name="표준 9 3 2 3 2 5 2" xfId="48460"/>
    <cellStyle name="표준 9 3 2 3 2 5 3" xfId="48461"/>
    <cellStyle name="표준 9 3 2 3 2 6" xfId="48462"/>
    <cellStyle name="표준 9 3 2 3 2 7" xfId="48463"/>
    <cellStyle name="표준 9 3 2 3 3" xfId="48464"/>
    <cellStyle name="표준 9 3 2 3 3 2" xfId="48465"/>
    <cellStyle name="표준 9 3 2 3 3 2 2" xfId="48466"/>
    <cellStyle name="표준 9 3 2 3 3 2 2 2" xfId="48467"/>
    <cellStyle name="표준 9 3 2 3 3 2 2 2 2" xfId="48468"/>
    <cellStyle name="표준 9 3 2 3 3 2 2 2 3" xfId="48469"/>
    <cellStyle name="표준 9 3 2 3 3 2 2 3" xfId="48470"/>
    <cellStyle name="표준 9 3 2 3 3 2 2 4" xfId="48471"/>
    <cellStyle name="표준 9 3 2 3 3 2 3" xfId="48472"/>
    <cellStyle name="표준 9 3 2 3 3 2 3 2" xfId="48473"/>
    <cellStyle name="표준 9 3 2 3 3 2 3 3" xfId="48474"/>
    <cellStyle name="표준 9 3 2 3 3 2 4" xfId="48475"/>
    <cellStyle name="표준 9 3 2 3 3 2 5" xfId="48476"/>
    <cellStyle name="표준 9 3 2 3 3 3" xfId="48477"/>
    <cellStyle name="표준 9 3 2 3 3 3 2" xfId="48478"/>
    <cellStyle name="표준 9 3 2 3 3 3 2 2" xfId="48479"/>
    <cellStyle name="표준 9 3 2 3 3 3 2 2 2" xfId="48480"/>
    <cellStyle name="표준 9 3 2 3 3 3 2 2 3" xfId="48481"/>
    <cellStyle name="표준 9 3 2 3 3 3 2 3" xfId="48482"/>
    <cellStyle name="표준 9 3 2 3 3 3 2 4" xfId="48483"/>
    <cellStyle name="표준 9 3 2 3 3 3 3" xfId="48484"/>
    <cellStyle name="표준 9 3 2 3 3 3 3 2" xfId="48485"/>
    <cellStyle name="표준 9 3 2 3 3 3 3 3" xfId="48486"/>
    <cellStyle name="표준 9 3 2 3 3 3 4" xfId="48487"/>
    <cellStyle name="표준 9 3 2 3 3 3 5" xfId="48488"/>
    <cellStyle name="표준 9 3 2 3 3 4" xfId="48489"/>
    <cellStyle name="표준 9 3 2 3 3 4 2" xfId="48490"/>
    <cellStyle name="표준 9 3 2 3 3 4 2 2" xfId="48491"/>
    <cellStyle name="표준 9 3 2 3 3 4 2 3" xfId="48492"/>
    <cellStyle name="표준 9 3 2 3 3 4 3" xfId="48493"/>
    <cellStyle name="표준 9 3 2 3 3 4 4" xfId="48494"/>
    <cellStyle name="표준 9 3 2 3 3 5" xfId="48495"/>
    <cellStyle name="표준 9 3 2 3 3 5 2" xfId="48496"/>
    <cellStyle name="표준 9 3 2 3 3 5 3" xfId="48497"/>
    <cellStyle name="표준 9 3 2 3 3 6" xfId="48498"/>
    <cellStyle name="표준 9 3 2 3 3 7" xfId="48499"/>
    <cellStyle name="표준 9 3 2 3 4" xfId="48500"/>
    <cellStyle name="표준 9 3 2 3 4 2" xfId="48501"/>
    <cellStyle name="표준 9 3 2 3 4 2 2" xfId="48502"/>
    <cellStyle name="표준 9 3 2 3 4 2 2 2" xfId="48503"/>
    <cellStyle name="표준 9 3 2 3 4 2 2 3" xfId="48504"/>
    <cellStyle name="표준 9 3 2 3 4 2 3" xfId="48505"/>
    <cellStyle name="표준 9 3 2 3 4 2 4" xfId="48506"/>
    <cellStyle name="표준 9 3 2 3 4 3" xfId="48507"/>
    <cellStyle name="표준 9 3 2 3 4 3 2" xfId="48508"/>
    <cellStyle name="표준 9 3 2 3 4 3 3" xfId="48509"/>
    <cellStyle name="표준 9 3 2 3 4 4" xfId="48510"/>
    <cellStyle name="표준 9 3 2 3 4 5" xfId="48511"/>
    <cellStyle name="표준 9 3 2 3 5" xfId="48512"/>
    <cellStyle name="표준 9 3 2 3 5 2" xfId="48513"/>
    <cellStyle name="표준 9 3 2 3 5 2 2" xfId="48514"/>
    <cellStyle name="표준 9 3 2 3 5 2 2 2" xfId="48515"/>
    <cellStyle name="표준 9 3 2 3 5 2 2 3" xfId="48516"/>
    <cellStyle name="표준 9 3 2 3 5 2 3" xfId="48517"/>
    <cellStyle name="표준 9 3 2 3 5 2 4" xfId="48518"/>
    <cellStyle name="표준 9 3 2 3 5 3" xfId="48519"/>
    <cellStyle name="표준 9 3 2 3 5 3 2" xfId="48520"/>
    <cellStyle name="표준 9 3 2 3 5 3 3" xfId="48521"/>
    <cellStyle name="표준 9 3 2 3 5 4" xfId="48522"/>
    <cellStyle name="표준 9 3 2 3 5 5" xfId="48523"/>
    <cellStyle name="표준 9 3 2 3 6" xfId="48524"/>
    <cellStyle name="표준 9 3 2 3 6 2" xfId="48525"/>
    <cellStyle name="표준 9 3 2 3 6 2 2" xfId="48526"/>
    <cellStyle name="표준 9 3 2 3 6 2 2 2" xfId="48527"/>
    <cellStyle name="표준 9 3 2 3 6 2 2 3" xfId="48528"/>
    <cellStyle name="표준 9 3 2 3 6 2 3" xfId="48529"/>
    <cellStyle name="표준 9 3 2 3 6 2 4" xfId="48530"/>
    <cellStyle name="표준 9 3 2 3 6 3" xfId="48531"/>
    <cellStyle name="표준 9 3 2 3 6 3 2" xfId="48532"/>
    <cellStyle name="표준 9 3 2 3 6 3 3" xfId="48533"/>
    <cellStyle name="표준 9 3 2 3 6 4" xfId="48534"/>
    <cellStyle name="표준 9 3 2 3 6 5" xfId="48535"/>
    <cellStyle name="표준 9 3 2 3 7" xfId="48536"/>
    <cellStyle name="표준 9 3 2 3 7 2" xfId="48537"/>
    <cellStyle name="표준 9 3 2 3 7 2 2" xfId="48538"/>
    <cellStyle name="표준 9 3 2 3 7 2 3" xfId="48539"/>
    <cellStyle name="표준 9 3 2 3 7 3" xfId="48540"/>
    <cellStyle name="표준 9 3 2 3 7 4" xfId="48541"/>
    <cellStyle name="표준 9 3 2 3 8" xfId="48542"/>
    <cellStyle name="표준 9 3 2 3 8 2" xfId="48543"/>
    <cellStyle name="표준 9 3 2 3 8 3" xfId="48544"/>
    <cellStyle name="표준 9 3 2 3 9" xfId="48545"/>
    <cellStyle name="표준 9 3 2 4" xfId="48546"/>
    <cellStyle name="표준 9 3 2 4 10" xfId="48547"/>
    <cellStyle name="표준 9 3 2 4 2" xfId="48548"/>
    <cellStyle name="표준 9 3 2 4 2 2" xfId="48549"/>
    <cellStyle name="표준 9 3 2 4 2 2 2" xfId="48550"/>
    <cellStyle name="표준 9 3 2 4 2 2 2 2" xfId="48551"/>
    <cellStyle name="표준 9 3 2 4 2 2 2 2 2" xfId="48552"/>
    <cellStyle name="표준 9 3 2 4 2 2 2 2 3" xfId="48553"/>
    <cellStyle name="표준 9 3 2 4 2 2 2 3" xfId="48554"/>
    <cellStyle name="표준 9 3 2 4 2 2 2 4" xfId="48555"/>
    <cellStyle name="표준 9 3 2 4 2 2 3" xfId="48556"/>
    <cellStyle name="표준 9 3 2 4 2 2 3 2" xfId="48557"/>
    <cellStyle name="표준 9 3 2 4 2 2 3 3" xfId="48558"/>
    <cellStyle name="표준 9 3 2 4 2 2 4" xfId="48559"/>
    <cellStyle name="표준 9 3 2 4 2 2 5" xfId="48560"/>
    <cellStyle name="표준 9 3 2 4 2 3" xfId="48561"/>
    <cellStyle name="표준 9 3 2 4 2 3 2" xfId="48562"/>
    <cellStyle name="표준 9 3 2 4 2 3 2 2" xfId="48563"/>
    <cellStyle name="표준 9 3 2 4 2 3 2 2 2" xfId="48564"/>
    <cellStyle name="표준 9 3 2 4 2 3 2 2 3" xfId="48565"/>
    <cellStyle name="표준 9 3 2 4 2 3 2 3" xfId="48566"/>
    <cellStyle name="표준 9 3 2 4 2 3 2 4" xfId="48567"/>
    <cellStyle name="표준 9 3 2 4 2 3 3" xfId="48568"/>
    <cellStyle name="표준 9 3 2 4 2 3 3 2" xfId="48569"/>
    <cellStyle name="표준 9 3 2 4 2 3 3 3" xfId="48570"/>
    <cellStyle name="표준 9 3 2 4 2 3 4" xfId="48571"/>
    <cellStyle name="표준 9 3 2 4 2 3 5" xfId="48572"/>
    <cellStyle name="표준 9 3 2 4 2 4" xfId="48573"/>
    <cellStyle name="표준 9 3 2 4 2 4 2" xfId="48574"/>
    <cellStyle name="표준 9 3 2 4 2 4 2 2" xfId="48575"/>
    <cellStyle name="표준 9 3 2 4 2 4 2 3" xfId="48576"/>
    <cellStyle name="표준 9 3 2 4 2 4 3" xfId="48577"/>
    <cellStyle name="표준 9 3 2 4 2 4 4" xfId="48578"/>
    <cellStyle name="표준 9 3 2 4 2 5" xfId="48579"/>
    <cellStyle name="표준 9 3 2 4 2 5 2" xfId="48580"/>
    <cellStyle name="표준 9 3 2 4 2 5 3" xfId="48581"/>
    <cellStyle name="표준 9 3 2 4 2 6" xfId="48582"/>
    <cellStyle name="표준 9 3 2 4 2 7" xfId="48583"/>
    <cellStyle name="표준 9 3 2 4 3" xfId="48584"/>
    <cellStyle name="표준 9 3 2 4 3 2" xfId="48585"/>
    <cellStyle name="표준 9 3 2 4 3 2 2" xfId="48586"/>
    <cellStyle name="표준 9 3 2 4 3 2 2 2" xfId="48587"/>
    <cellStyle name="표준 9 3 2 4 3 2 2 2 2" xfId="48588"/>
    <cellStyle name="표준 9 3 2 4 3 2 2 2 3" xfId="48589"/>
    <cellStyle name="표준 9 3 2 4 3 2 2 3" xfId="48590"/>
    <cellStyle name="표준 9 3 2 4 3 2 2 4" xfId="48591"/>
    <cellStyle name="표준 9 3 2 4 3 2 3" xfId="48592"/>
    <cellStyle name="표준 9 3 2 4 3 2 3 2" xfId="48593"/>
    <cellStyle name="표준 9 3 2 4 3 2 3 3" xfId="48594"/>
    <cellStyle name="표준 9 3 2 4 3 2 4" xfId="48595"/>
    <cellStyle name="표준 9 3 2 4 3 2 5" xfId="48596"/>
    <cellStyle name="표준 9 3 2 4 3 3" xfId="48597"/>
    <cellStyle name="표준 9 3 2 4 3 3 2" xfId="48598"/>
    <cellStyle name="표준 9 3 2 4 3 3 2 2" xfId="48599"/>
    <cellStyle name="표준 9 3 2 4 3 3 2 2 2" xfId="48600"/>
    <cellStyle name="표준 9 3 2 4 3 3 2 2 3" xfId="48601"/>
    <cellStyle name="표준 9 3 2 4 3 3 2 3" xfId="48602"/>
    <cellStyle name="표준 9 3 2 4 3 3 2 4" xfId="48603"/>
    <cellStyle name="표준 9 3 2 4 3 3 3" xfId="48604"/>
    <cellStyle name="표준 9 3 2 4 3 3 3 2" xfId="48605"/>
    <cellStyle name="표준 9 3 2 4 3 3 3 3" xfId="48606"/>
    <cellStyle name="표준 9 3 2 4 3 3 4" xfId="48607"/>
    <cellStyle name="표준 9 3 2 4 3 3 5" xfId="48608"/>
    <cellStyle name="표준 9 3 2 4 3 4" xfId="48609"/>
    <cellStyle name="표준 9 3 2 4 3 4 2" xfId="48610"/>
    <cellStyle name="표준 9 3 2 4 3 4 2 2" xfId="48611"/>
    <cellStyle name="표준 9 3 2 4 3 4 2 3" xfId="48612"/>
    <cellStyle name="표준 9 3 2 4 3 4 3" xfId="48613"/>
    <cellStyle name="표준 9 3 2 4 3 4 4" xfId="48614"/>
    <cellStyle name="표준 9 3 2 4 3 5" xfId="48615"/>
    <cellStyle name="표준 9 3 2 4 3 5 2" xfId="48616"/>
    <cellStyle name="표준 9 3 2 4 3 5 3" xfId="48617"/>
    <cellStyle name="표준 9 3 2 4 3 6" xfId="48618"/>
    <cellStyle name="표준 9 3 2 4 3 7" xfId="48619"/>
    <cellStyle name="표준 9 3 2 4 4" xfId="48620"/>
    <cellStyle name="표준 9 3 2 4 4 2" xfId="48621"/>
    <cellStyle name="표준 9 3 2 4 4 2 2" xfId="48622"/>
    <cellStyle name="표준 9 3 2 4 4 2 2 2" xfId="48623"/>
    <cellStyle name="표준 9 3 2 4 4 2 2 3" xfId="48624"/>
    <cellStyle name="표준 9 3 2 4 4 2 3" xfId="48625"/>
    <cellStyle name="표준 9 3 2 4 4 2 4" xfId="48626"/>
    <cellStyle name="표준 9 3 2 4 4 3" xfId="48627"/>
    <cellStyle name="표준 9 3 2 4 4 3 2" xfId="48628"/>
    <cellStyle name="표준 9 3 2 4 4 3 3" xfId="48629"/>
    <cellStyle name="표준 9 3 2 4 4 4" xfId="48630"/>
    <cellStyle name="표준 9 3 2 4 4 5" xfId="48631"/>
    <cellStyle name="표준 9 3 2 4 5" xfId="48632"/>
    <cellStyle name="표준 9 3 2 4 5 2" xfId="48633"/>
    <cellStyle name="표준 9 3 2 4 5 2 2" xfId="48634"/>
    <cellStyle name="표준 9 3 2 4 5 2 2 2" xfId="48635"/>
    <cellStyle name="표준 9 3 2 4 5 2 2 3" xfId="48636"/>
    <cellStyle name="표준 9 3 2 4 5 2 3" xfId="48637"/>
    <cellStyle name="표준 9 3 2 4 5 2 4" xfId="48638"/>
    <cellStyle name="표준 9 3 2 4 5 3" xfId="48639"/>
    <cellStyle name="표준 9 3 2 4 5 3 2" xfId="48640"/>
    <cellStyle name="표준 9 3 2 4 5 3 3" xfId="48641"/>
    <cellStyle name="표준 9 3 2 4 5 4" xfId="48642"/>
    <cellStyle name="표준 9 3 2 4 5 5" xfId="48643"/>
    <cellStyle name="표준 9 3 2 4 6" xfId="48644"/>
    <cellStyle name="표준 9 3 2 4 6 2" xfId="48645"/>
    <cellStyle name="표준 9 3 2 4 6 2 2" xfId="48646"/>
    <cellStyle name="표준 9 3 2 4 6 2 2 2" xfId="48647"/>
    <cellStyle name="표준 9 3 2 4 6 2 2 3" xfId="48648"/>
    <cellStyle name="표준 9 3 2 4 6 2 3" xfId="48649"/>
    <cellStyle name="표준 9 3 2 4 6 2 4" xfId="48650"/>
    <cellStyle name="표준 9 3 2 4 6 3" xfId="48651"/>
    <cellStyle name="표준 9 3 2 4 6 3 2" xfId="48652"/>
    <cellStyle name="표준 9 3 2 4 6 3 3" xfId="48653"/>
    <cellStyle name="표준 9 3 2 4 6 4" xfId="48654"/>
    <cellStyle name="표준 9 3 2 4 6 5" xfId="48655"/>
    <cellStyle name="표준 9 3 2 4 7" xfId="48656"/>
    <cellStyle name="표준 9 3 2 4 7 2" xfId="48657"/>
    <cellStyle name="표준 9 3 2 4 7 2 2" xfId="48658"/>
    <cellStyle name="표준 9 3 2 4 7 2 3" xfId="48659"/>
    <cellStyle name="표준 9 3 2 4 7 3" xfId="48660"/>
    <cellStyle name="표준 9 3 2 4 7 4" xfId="48661"/>
    <cellStyle name="표준 9 3 2 4 8" xfId="48662"/>
    <cellStyle name="표준 9 3 2 4 8 2" xfId="48663"/>
    <cellStyle name="표준 9 3 2 4 8 3" xfId="48664"/>
    <cellStyle name="표준 9 3 2 4 9" xfId="48665"/>
    <cellStyle name="표준 9 3 2 5" xfId="48666"/>
    <cellStyle name="표준 9 3 2 5 2" xfId="48667"/>
    <cellStyle name="표준 9 3 2 5 2 2" xfId="48668"/>
    <cellStyle name="표준 9 3 2 5 2 2 2" xfId="48669"/>
    <cellStyle name="표준 9 3 2 5 2 2 2 2" xfId="48670"/>
    <cellStyle name="표준 9 3 2 5 2 2 2 3" xfId="48671"/>
    <cellStyle name="표준 9 3 2 5 2 2 3" xfId="48672"/>
    <cellStyle name="표준 9 3 2 5 2 2 4" xfId="48673"/>
    <cellStyle name="표준 9 3 2 5 2 3" xfId="48674"/>
    <cellStyle name="표준 9 3 2 5 2 3 2" xfId="48675"/>
    <cellStyle name="표준 9 3 2 5 2 3 3" xfId="48676"/>
    <cellStyle name="표준 9 3 2 5 2 4" xfId="48677"/>
    <cellStyle name="표준 9 3 2 5 2 5" xfId="48678"/>
    <cellStyle name="표준 9 3 2 5 3" xfId="48679"/>
    <cellStyle name="표준 9 3 2 5 3 2" xfId="48680"/>
    <cellStyle name="표준 9 3 2 5 3 2 2" xfId="48681"/>
    <cellStyle name="표준 9 3 2 5 3 2 2 2" xfId="48682"/>
    <cellStyle name="표준 9 3 2 5 3 2 2 3" xfId="48683"/>
    <cellStyle name="표준 9 3 2 5 3 2 3" xfId="48684"/>
    <cellStyle name="표준 9 3 2 5 3 2 4" xfId="48685"/>
    <cellStyle name="표준 9 3 2 5 3 3" xfId="48686"/>
    <cellStyle name="표준 9 3 2 5 3 3 2" xfId="48687"/>
    <cellStyle name="표준 9 3 2 5 3 3 3" xfId="48688"/>
    <cellStyle name="표준 9 3 2 5 3 4" xfId="48689"/>
    <cellStyle name="표준 9 3 2 5 3 5" xfId="48690"/>
    <cellStyle name="표준 9 3 2 5 4" xfId="48691"/>
    <cellStyle name="표준 9 3 2 5 4 2" xfId="48692"/>
    <cellStyle name="표준 9 3 2 5 4 2 2" xfId="48693"/>
    <cellStyle name="표준 9 3 2 5 4 2 3" xfId="48694"/>
    <cellStyle name="표준 9 3 2 5 4 3" xfId="48695"/>
    <cellStyle name="표준 9 3 2 5 4 4" xfId="48696"/>
    <cellStyle name="표준 9 3 2 5 5" xfId="48697"/>
    <cellStyle name="표준 9 3 2 5 5 2" xfId="48698"/>
    <cellStyle name="표준 9 3 2 5 5 3" xfId="48699"/>
    <cellStyle name="표준 9 3 2 5 6" xfId="48700"/>
    <cellStyle name="표준 9 3 2 5 7" xfId="48701"/>
    <cellStyle name="표준 9 3 2 6" xfId="48702"/>
    <cellStyle name="표준 9 3 2 6 2" xfId="48703"/>
    <cellStyle name="표준 9 3 2 6 2 2" xfId="48704"/>
    <cellStyle name="표준 9 3 2 6 2 2 2" xfId="48705"/>
    <cellStyle name="표준 9 3 2 6 2 2 2 2" xfId="48706"/>
    <cellStyle name="표준 9 3 2 6 2 2 2 3" xfId="48707"/>
    <cellStyle name="표준 9 3 2 6 2 2 3" xfId="48708"/>
    <cellStyle name="표준 9 3 2 6 2 2 4" xfId="48709"/>
    <cellStyle name="표준 9 3 2 6 2 3" xfId="48710"/>
    <cellStyle name="표준 9 3 2 6 2 3 2" xfId="48711"/>
    <cellStyle name="표준 9 3 2 6 2 3 3" xfId="48712"/>
    <cellStyle name="표준 9 3 2 6 2 4" xfId="48713"/>
    <cellStyle name="표준 9 3 2 6 2 5" xfId="48714"/>
    <cellStyle name="표준 9 3 2 6 3" xfId="48715"/>
    <cellStyle name="표준 9 3 2 6 3 2" xfId="48716"/>
    <cellStyle name="표준 9 3 2 6 3 2 2" xfId="48717"/>
    <cellStyle name="표준 9 3 2 6 3 2 2 2" xfId="48718"/>
    <cellStyle name="표준 9 3 2 6 3 2 2 3" xfId="48719"/>
    <cellStyle name="표준 9 3 2 6 3 2 3" xfId="48720"/>
    <cellStyle name="표준 9 3 2 6 3 2 4" xfId="48721"/>
    <cellStyle name="표준 9 3 2 6 3 3" xfId="48722"/>
    <cellStyle name="표준 9 3 2 6 3 3 2" xfId="48723"/>
    <cellStyle name="표준 9 3 2 6 3 3 3" xfId="48724"/>
    <cellStyle name="표준 9 3 2 6 3 4" xfId="48725"/>
    <cellStyle name="표준 9 3 2 6 3 5" xfId="48726"/>
    <cellStyle name="표준 9 3 2 6 4" xfId="48727"/>
    <cellStyle name="표준 9 3 2 6 4 2" xfId="48728"/>
    <cellStyle name="표준 9 3 2 6 4 2 2" xfId="48729"/>
    <cellStyle name="표준 9 3 2 6 4 2 3" xfId="48730"/>
    <cellStyle name="표준 9 3 2 6 4 3" xfId="48731"/>
    <cellStyle name="표준 9 3 2 6 4 4" xfId="48732"/>
    <cellStyle name="표준 9 3 2 6 5" xfId="48733"/>
    <cellStyle name="표준 9 3 2 6 5 2" xfId="48734"/>
    <cellStyle name="표준 9 3 2 6 5 3" xfId="48735"/>
    <cellStyle name="표준 9 3 2 6 6" xfId="48736"/>
    <cellStyle name="표준 9 3 2 6 7" xfId="48737"/>
    <cellStyle name="표준 9 3 2 7" xfId="48738"/>
    <cellStyle name="표준 9 3 2 7 2" xfId="48739"/>
    <cellStyle name="표준 9 3 2 7 2 2" xfId="48740"/>
    <cellStyle name="표준 9 3 2 7 2 2 2" xfId="48741"/>
    <cellStyle name="표준 9 3 2 7 2 2 3" xfId="48742"/>
    <cellStyle name="표준 9 3 2 7 2 3" xfId="48743"/>
    <cellStyle name="표준 9 3 2 7 2 4" xfId="48744"/>
    <cellStyle name="표준 9 3 2 7 3" xfId="48745"/>
    <cellStyle name="표준 9 3 2 7 3 2" xfId="48746"/>
    <cellStyle name="표준 9 3 2 7 3 3" xfId="48747"/>
    <cellStyle name="표준 9 3 2 7 4" xfId="48748"/>
    <cellStyle name="표준 9 3 2 7 5" xfId="48749"/>
    <cellStyle name="표준 9 3 2 8" xfId="48750"/>
    <cellStyle name="표준 9 3 2 8 2" xfId="48751"/>
    <cellStyle name="표준 9 3 2 8 2 2" xfId="48752"/>
    <cellStyle name="표준 9 3 2 8 2 2 2" xfId="48753"/>
    <cellStyle name="표준 9 3 2 8 2 2 3" xfId="48754"/>
    <cellStyle name="표준 9 3 2 8 2 3" xfId="48755"/>
    <cellStyle name="표준 9 3 2 8 2 4" xfId="48756"/>
    <cellStyle name="표준 9 3 2 8 3" xfId="48757"/>
    <cellStyle name="표준 9 3 2 8 3 2" xfId="48758"/>
    <cellStyle name="표준 9 3 2 8 3 3" xfId="48759"/>
    <cellStyle name="표준 9 3 2 8 4" xfId="48760"/>
    <cellStyle name="표준 9 3 2 8 5" xfId="48761"/>
    <cellStyle name="표준 9 3 2 9" xfId="48762"/>
    <cellStyle name="표준 9 3 2 9 2" xfId="48763"/>
    <cellStyle name="표준 9 3 2 9 2 2" xfId="48764"/>
    <cellStyle name="표준 9 3 2 9 2 2 2" xfId="48765"/>
    <cellStyle name="표준 9 3 2 9 2 2 3" xfId="48766"/>
    <cellStyle name="표준 9 3 2 9 2 3" xfId="48767"/>
    <cellStyle name="표준 9 3 2 9 2 4" xfId="48768"/>
    <cellStyle name="표준 9 3 2 9 3" xfId="48769"/>
    <cellStyle name="표준 9 3 2 9 3 2" xfId="48770"/>
    <cellStyle name="표준 9 3 2 9 3 3" xfId="48771"/>
    <cellStyle name="표준 9 3 2 9 4" xfId="48772"/>
    <cellStyle name="표준 9 3 2 9 5" xfId="48773"/>
    <cellStyle name="표준 9 3 3" xfId="48774"/>
    <cellStyle name="표준 9 3 3 10" xfId="48775"/>
    <cellStyle name="표준 9 3 3 2" xfId="48776"/>
    <cellStyle name="표준 9 3 3 2 2" xfId="48777"/>
    <cellStyle name="표준 9 3 3 2 2 2" xfId="48778"/>
    <cellStyle name="표준 9 3 3 2 2 2 2" xfId="48779"/>
    <cellStyle name="표준 9 3 3 2 2 2 2 2" xfId="48780"/>
    <cellStyle name="표준 9 3 3 2 2 2 2 3" xfId="48781"/>
    <cellStyle name="표준 9 3 3 2 2 2 3" xfId="48782"/>
    <cellStyle name="표준 9 3 3 2 2 2 4" xfId="48783"/>
    <cellStyle name="표준 9 3 3 2 2 3" xfId="48784"/>
    <cellStyle name="표준 9 3 3 2 2 3 2" xfId="48785"/>
    <cellStyle name="표준 9 3 3 2 2 3 3" xfId="48786"/>
    <cellStyle name="표준 9 3 3 2 2 4" xfId="48787"/>
    <cellStyle name="표준 9 3 3 2 2 5" xfId="48788"/>
    <cellStyle name="표준 9 3 3 2 3" xfId="48789"/>
    <cellStyle name="표준 9 3 3 2 3 2" xfId="48790"/>
    <cellStyle name="표준 9 3 3 2 3 2 2" xfId="48791"/>
    <cellStyle name="표준 9 3 3 2 3 2 2 2" xfId="48792"/>
    <cellStyle name="표준 9 3 3 2 3 2 2 3" xfId="48793"/>
    <cellStyle name="표준 9 3 3 2 3 2 3" xfId="48794"/>
    <cellStyle name="표준 9 3 3 2 3 2 4" xfId="48795"/>
    <cellStyle name="표준 9 3 3 2 3 3" xfId="48796"/>
    <cellStyle name="표준 9 3 3 2 3 3 2" xfId="48797"/>
    <cellStyle name="표준 9 3 3 2 3 3 3" xfId="48798"/>
    <cellStyle name="표준 9 3 3 2 3 4" xfId="48799"/>
    <cellStyle name="표준 9 3 3 2 3 5" xfId="48800"/>
    <cellStyle name="표준 9 3 3 2 4" xfId="48801"/>
    <cellStyle name="표준 9 3 3 2 4 2" xfId="48802"/>
    <cellStyle name="표준 9 3 3 2 4 2 2" xfId="48803"/>
    <cellStyle name="표준 9 3 3 2 4 2 3" xfId="48804"/>
    <cellStyle name="표준 9 3 3 2 4 3" xfId="48805"/>
    <cellStyle name="표준 9 3 3 2 4 4" xfId="48806"/>
    <cellStyle name="표준 9 3 3 2 5" xfId="48807"/>
    <cellStyle name="표준 9 3 3 2 5 2" xfId="48808"/>
    <cellStyle name="표준 9 3 3 2 5 3" xfId="48809"/>
    <cellStyle name="표준 9 3 3 2 6" xfId="48810"/>
    <cellStyle name="표준 9 3 3 2 7" xfId="48811"/>
    <cellStyle name="표준 9 3 3 3" xfId="48812"/>
    <cellStyle name="표준 9 3 3 3 2" xfId="48813"/>
    <cellStyle name="표준 9 3 3 3 2 2" xfId="48814"/>
    <cellStyle name="표준 9 3 3 3 2 2 2" xfId="48815"/>
    <cellStyle name="표준 9 3 3 3 2 2 2 2" xfId="48816"/>
    <cellStyle name="표준 9 3 3 3 2 2 2 3" xfId="48817"/>
    <cellStyle name="표준 9 3 3 3 2 2 3" xfId="48818"/>
    <cellStyle name="표준 9 3 3 3 2 2 4" xfId="48819"/>
    <cellStyle name="표준 9 3 3 3 2 3" xfId="48820"/>
    <cellStyle name="표준 9 3 3 3 2 3 2" xfId="48821"/>
    <cellStyle name="표준 9 3 3 3 2 3 3" xfId="48822"/>
    <cellStyle name="표준 9 3 3 3 2 4" xfId="48823"/>
    <cellStyle name="표준 9 3 3 3 2 5" xfId="48824"/>
    <cellStyle name="표준 9 3 3 3 3" xfId="48825"/>
    <cellStyle name="표준 9 3 3 3 3 2" xfId="48826"/>
    <cellStyle name="표준 9 3 3 3 3 2 2" xfId="48827"/>
    <cellStyle name="표준 9 3 3 3 3 2 2 2" xfId="48828"/>
    <cellStyle name="표준 9 3 3 3 3 2 2 3" xfId="48829"/>
    <cellStyle name="표준 9 3 3 3 3 2 3" xfId="48830"/>
    <cellStyle name="표준 9 3 3 3 3 2 4" xfId="48831"/>
    <cellStyle name="표준 9 3 3 3 3 3" xfId="48832"/>
    <cellStyle name="표준 9 3 3 3 3 3 2" xfId="48833"/>
    <cellStyle name="표준 9 3 3 3 3 3 3" xfId="48834"/>
    <cellStyle name="표준 9 3 3 3 3 4" xfId="48835"/>
    <cellStyle name="표준 9 3 3 3 3 5" xfId="48836"/>
    <cellStyle name="표준 9 3 3 3 4" xfId="48837"/>
    <cellStyle name="표준 9 3 3 3 4 2" xfId="48838"/>
    <cellStyle name="표준 9 3 3 3 4 2 2" xfId="48839"/>
    <cellStyle name="표준 9 3 3 3 4 2 3" xfId="48840"/>
    <cellStyle name="표준 9 3 3 3 4 3" xfId="48841"/>
    <cellStyle name="표준 9 3 3 3 4 4" xfId="48842"/>
    <cellStyle name="표준 9 3 3 3 5" xfId="48843"/>
    <cellStyle name="표준 9 3 3 3 5 2" xfId="48844"/>
    <cellStyle name="표준 9 3 3 3 5 3" xfId="48845"/>
    <cellStyle name="표준 9 3 3 3 6" xfId="48846"/>
    <cellStyle name="표준 9 3 3 3 7" xfId="48847"/>
    <cellStyle name="표준 9 3 3 4" xfId="48848"/>
    <cellStyle name="표준 9 3 3 4 2" xfId="48849"/>
    <cellStyle name="표준 9 3 3 4 2 2" xfId="48850"/>
    <cellStyle name="표준 9 3 3 4 2 2 2" xfId="48851"/>
    <cellStyle name="표준 9 3 3 4 2 2 3" xfId="48852"/>
    <cellStyle name="표준 9 3 3 4 2 3" xfId="48853"/>
    <cellStyle name="표준 9 3 3 4 2 4" xfId="48854"/>
    <cellStyle name="표준 9 3 3 4 3" xfId="48855"/>
    <cellStyle name="표준 9 3 3 4 3 2" xfId="48856"/>
    <cellStyle name="표준 9 3 3 4 3 3" xfId="48857"/>
    <cellStyle name="표준 9 3 3 4 4" xfId="48858"/>
    <cellStyle name="표준 9 3 3 4 5" xfId="48859"/>
    <cellStyle name="표준 9 3 3 5" xfId="48860"/>
    <cellStyle name="표준 9 3 3 5 2" xfId="48861"/>
    <cellStyle name="표준 9 3 3 5 2 2" xfId="48862"/>
    <cellStyle name="표준 9 3 3 5 2 2 2" xfId="48863"/>
    <cellStyle name="표준 9 3 3 5 2 2 3" xfId="48864"/>
    <cellStyle name="표준 9 3 3 5 2 3" xfId="48865"/>
    <cellStyle name="표준 9 3 3 5 2 4" xfId="48866"/>
    <cellStyle name="표준 9 3 3 5 3" xfId="48867"/>
    <cellStyle name="표준 9 3 3 5 3 2" xfId="48868"/>
    <cellStyle name="표준 9 3 3 5 3 3" xfId="48869"/>
    <cellStyle name="표준 9 3 3 5 4" xfId="48870"/>
    <cellStyle name="표준 9 3 3 5 5" xfId="48871"/>
    <cellStyle name="표준 9 3 3 6" xfId="48872"/>
    <cellStyle name="표준 9 3 3 6 2" xfId="48873"/>
    <cellStyle name="표준 9 3 3 6 2 2" xfId="48874"/>
    <cellStyle name="표준 9 3 3 6 2 2 2" xfId="48875"/>
    <cellStyle name="표준 9 3 3 6 2 2 3" xfId="48876"/>
    <cellStyle name="표준 9 3 3 6 2 3" xfId="48877"/>
    <cellStyle name="표준 9 3 3 6 2 4" xfId="48878"/>
    <cellStyle name="표준 9 3 3 6 3" xfId="48879"/>
    <cellStyle name="표준 9 3 3 6 3 2" xfId="48880"/>
    <cellStyle name="표준 9 3 3 6 3 3" xfId="48881"/>
    <cellStyle name="표준 9 3 3 6 4" xfId="48882"/>
    <cellStyle name="표준 9 3 3 6 5" xfId="48883"/>
    <cellStyle name="표준 9 3 3 7" xfId="48884"/>
    <cellStyle name="표준 9 3 3 7 2" xfId="48885"/>
    <cellStyle name="표준 9 3 3 7 2 2" xfId="48886"/>
    <cellStyle name="표준 9 3 3 7 2 3" xfId="48887"/>
    <cellStyle name="표준 9 3 3 7 3" xfId="48888"/>
    <cellStyle name="표준 9 3 3 7 4" xfId="48889"/>
    <cellStyle name="표준 9 3 3 8" xfId="48890"/>
    <cellStyle name="표준 9 3 3 8 2" xfId="48891"/>
    <cellStyle name="표준 9 3 3 8 3" xfId="48892"/>
    <cellStyle name="표준 9 3 3 9" xfId="48893"/>
    <cellStyle name="표준 9 3 4" xfId="48894"/>
    <cellStyle name="표준 9 3 4 10" xfId="48895"/>
    <cellStyle name="표준 9 3 4 2" xfId="48896"/>
    <cellStyle name="표준 9 3 4 2 2" xfId="48897"/>
    <cellStyle name="표준 9 3 4 2 2 2" xfId="48898"/>
    <cellStyle name="표준 9 3 4 2 2 2 2" xfId="48899"/>
    <cellStyle name="표준 9 3 4 2 2 2 2 2" xfId="48900"/>
    <cellStyle name="표준 9 3 4 2 2 2 2 3" xfId="48901"/>
    <cellStyle name="표준 9 3 4 2 2 2 3" xfId="48902"/>
    <cellStyle name="표준 9 3 4 2 2 2 4" xfId="48903"/>
    <cellStyle name="표준 9 3 4 2 2 3" xfId="48904"/>
    <cellStyle name="표준 9 3 4 2 2 3 2" xfId="48905"/>
    <cellStyle name="표준 9 3 4 2 2 3 3" xfId="48906"/>
    <cellStyle name="표준 9 3 4 2 2 4" xfId="48907"/>
    <cellStyle name="표준 9 3 4 2 2 5" xfId="48908"/>
    <cellStyle name="표준 9 3 4 2 3" xfId="48909"/>
    <cellStyle name="표준 9 3 4 2 3 2" xfId="48910"/>
    <cellStyle name="표준 9 3 4 2 3 2 2" xfId="48911"/>
    <cellStyle name="표준 9 3 4 2 3 2 2 2" xfId="48912"/>
    <cellStyle name="표준 9 3 4 2 3 2 2 3" xfId="48913"/>
    <cellStyle name="표준 9 3 4 2 3 2 3" xfId="48914"/>
    <cellStyle name="표준 9 3 4 2 3 2 4" xfId="48915"/>
    <cellStyle name="표준 9 3 4 2 3 3" xfId="48916"/>
    <cellStyle name="표준 9 3 4 2 3 3 2" xfId="48917"/>
    <cellStyle name="표준 9 3 4 2 3 3 3" xfId="48918"/>
    <cellStyle name="표준 9 3 4 2 3 4" xfId="48919"/>
    <cellStyle name="표준 9 3 4 2 3 5" xfId="48920"/>
    <cellStyle name="표준 9 3 4 2 4" xfId="48921"/>
    <cellStyle name="표준 9 3 4 2 4 2" xfId="48922"/>
    <cellStyle name="표준 9 3 4 2 4 2 2" xfId="48923"/>
    <cellStyle name="표준 9 3 4 2 4 2 3" xfId="48924"/>
    <cellStyle name="표준 9 3 4 2 4 3" xfId="48925"/>
    <cellStyle name="표준 9 3 4 2 4 4" xfId="48926"/>
    <cellStyle name="표준 9 3 4 2 5" xfId="48927"/>
    <cellStyle name="표준 9 3 4 2 5 2" xfId="48928"/>
    <cellStyle name="표준 9 3 4 2 5 3" xfId="48929"/>
    <cellStyle name="표준 9 3 4 2 6" xfId="48930"/>
    <cellStyle name="표준 9 3 4 2 7" xfId="48931"/>
    <cellStyle name="표준 9 3 4 3" xfId="48932"/>
    <cellStyle name="표준 9 3 4 3 2" xfId="48933"/>
    <cellStyle name="표준 9 3 4 3 2 2" xfId="48934"/>
    <cellStyle name="표준 9 3 4 3 2 2 2" xfId="48935"/>
    <cellStyle name="표준 9 3 4 3 2 2 2 2" xfId="48936"/>
    <cellStyle name="표준 9 3 4 3 2 2 2 3" xfId="48937"/>
    <cellStyle name="표준 9 3 4 3 2 2 3" xfId="48938"/>
    <cellStyle name="표준 9 3 4 3 2 2 4" xfId="48939"/>
    <cellStyle name="표준 9 3 4 3 2 3" xfId="48940"/>
    <cellStyle name="표준 9 3 4 3 2 3 2" xfId="48941"/>
    <cellStyle name="표준 9 3 4 3 2 3 3" xfId="48942"/>
    <cellStyle name="표준 9 3 4 3 2 4" xfId="48943"/>
    <cellStyle name="표준 9 3 4 3 2 5" xfId="48944"/>
    <cellStyle name="표준 9 3 4 3 3" xfId="48945"/>
    <cellStyle name="표준 9 3 4 3 3 2" xfId="48946"/>
    <cellStyle name="표준 9 3 4 3 3 2 2" xfId="48947"/>
    <cellStyle name="표준 9 3 4 3 3 2 2 2" xfId="48948"/>
    <cellStyle name="표준 9 3 4 3 3 2 2 3" xfId="48949"/>
    <cellStyle name="표준 9 3 4 3 3 2 3" xfId="48950"/>
    <cellStyle name="표준 9 3 4 3 3 2 4" xfId="48951"/>
    <cellStyle name="표준 9 3 4 3 3 3" xfId="48952"/>
    <cellStyle name="표준 9 3 4 3 3 3 2" xfId="48953"/>
    <cellStyle name="표준 9 3 4 3 3 3 3" xfId="48954"/>
    <cellStyle name="표준 9 3 4 3 3 4" xfId="48955"/>
    <cellStyle name="표준 9 3 4 3 3 5" xfId="48956"/>
    <cellStyle name="표준 9 3 4 3 4" xfId="48957"/>
    <cellStyle name="표준 9 3 4 3 4 2" xfId="48958"/>
    <cellStyle name="표준 9 3 4 3 4 2 2" xfId="48959"/>
    <cellStyle name="표준 9 3 4 3 4 2 3" xfId="48960"/>
    <cellStyle name="표준 9 3 4 3 4 3" xfId="48961"/>
    <cellStyle name="표준 9 3 4 3 4 4" xfId="48962"/>
    <cellStyle name="표준 9 3 4 3 5" xfId="48963"/>
    <cellStyle name="표준 9 3 4 3 5 2" xfId="48964"/>
    <cellStyle name="표준 9 3 4 3 5 3" xfId="48965"/>
    <cellStyle name="표준 9 3 4 3 6" xfId="48966"/>
    <cellStyle name="표준 9 3 4 3 7" xfId="48967"/>
    <cellStyle name="표준 9 3 4 4" xfId="48968"/>
    <cellStyle name="표준 9 3 4 4 2" xfId="48969"/>
    <cellStyle name="표준 9 3 4 4 2 2" xfId="48970"/>
    <cellStyle name="표준 9 3 4 4 2 2 2" xfId="48971"/>
    <cellStyle name="표준 9 3 4 4 2 2 3" xfId="48972"/>
    <cellStyle name="표준 9 3 4 4 2 3" xfId="48973"/>
    <cellStyle name="표준 9 3 4 4 2 4" xfId="48974"/>
    <cellStyle name="표준 9 3 4 4 3" xfId="48975"/>
    <cellStyle name="표준 9 3 4 4 3 2" xfId="48976"/>
    <cellStyle name="표준 9 3 4 4 3 3" xfId="48977"/>
    <cellStyle name="표준 9 3 4 4 4" xfId="48978"/>
    <cellStyle name="표준 9 3 4 4 5" xfId="48979"/>
    <cellStyle name="표준 9 3 4 5" xfId="48980"/>
    <cellStyle name="표준 9 3 4 5 2" xfId="48981"/>
    <cellStyle name="표준 9 3 4 5 2 2" xfId="48982"/>
    <cellStyle name="표준 9 3 4 5 2 2 2" xfId="48983"/>
    <cellStyle name="표준 9 3 4 5 2 2 3" xfId="48984"/>
    <cellStyle name="표준 9 3 4 5 2 3" xfId="48985"/>
    <cellStyle name="표준 9 3 4 5 2 4" xfId="48986"/>
    <cellStyle name="표준 9 3 4 5 3" xfId="48987"/>
    <cellStyle name="표준 9 3 4 5 3 2" xfId="48988"/>
    <cellStyle name="표준 9 3 4 5 3 3" xfId="48989"/>
    <cellStyle name="표준 9 3 4 5 4" xfId="48990"/>
    <cellStyle name="표준 9 3 4 5 5" xfId="48991"/>
    <cellStyle name="표준 9 3 4 6" xfId="48992"/>
    <cellStyle name="표준 9 3 4 6 2" xfId="48993"/>
    <cellStyle name="표준 9 3 4 6 2 2" xfId="48994"/>
    <cellStyle name="표준 9 3 4 6 2 2 2" xfId="48995"/>
    <cellStyle name="표준 9 3 4 6 2 2 3" xfId="48996"/>
    <cellStyle name="표준 9 3 4 6 2 3" xfId="48997"/>
    <cellStyle name="표준 9 3 4 6 2 4" xfId="48998"/>
    <cellStyle name="표준 9 3 4 6 3" xfId="48999"/>
    <cellStyle name="표준 9 3 4 6 3 2" xfId="49000"/>
    <cellStyle name="표준 9 3 4 6 3 3" xfId="49001"/>
    <cellStyle name="표준 9 3 4 6 4" xfId="49002"/>
    <cellStyle name="표준 9 3 4 6 5" xfId="49003"/>
    <cellStyle name="표준 9 3 4 7" xfId="49004"/>
    <cellStyle name="표준 9 3 4 7 2" xfId="49005"/>
    <cellStyle name="표준 9 3 4 7 2 2" xfId="49006"/>
    <cellStyle name="표준 9 3 4 7 2 3" xfId="49007"/>
    <cellStyle name="표준 9 3 4 7 3" xfId="49008"/>
    <cellStyle name="표준 9 3 4 7 4" xfId="49009"/>
    <cellStyle name="표준 9 3 4 8" xfId="49010"/>
    <cellStyle name="표준 9 3 4 8 2" xfId="49011"/>
    <cellStyle name="표준 9 3 4 8 3" xfId="49012"/>
    <cellStyle name="표준 9 3 4 9" xfId="49013"/>
    <cellStyle name="표준 9 3 5" xfId="49014"/>
    <cellStyle name="표준 9 3 5 10" xfId="49015"/>
    <cellStyle name="표준 9 3 5 2" xfId="49016"/>
    <cellStyle name="표준 9 3 5 2 2" xfId="49017"/>
    <cellStyle name="표준 9 3 5 2 2 2" xfId="49018"/>
    <cellStyle name="표준 9 3 5 2 2 2 2" xfId="49019"/>
    <cellStyle name="표준 9 3 5 2 2 2 2 2" xfId="49020"/>
    <cellStyle name="표준 9 3 5 2 2 2 2 3" xfId="49021"/>
    <cellStyle name="표준 9 3 5 2 2 2 3" xfId="49022"/>
    <cellStyle name="표준 9 3 5 2 2 2 4" xfId="49023"/>
    <cellStyle name="표준 9 3 5 2 2 3" xfId="49024"/>
    <cellStyle name="표준 9 3 5 2 2 3 2" xfId="49025"/>
    <cellStyle name="표준 9 3 5 2 2 3 3" xfId="49026"/>
    <cellStyle name="표준 9 3 5 2 2 4" xfId="49027"/>
    <cellStyle name="표준 9 3 5 2 2 5" xfId="49028"/>
    <cellStyle name="표준 9 3 5 2 3" xfId="49029"/>
    <cellStyle name="표준 9 3 5 2 3 2" xfId="49030"/>
    <cellStyle name="표준 9 3 5 2 3 2 2" xfId="49031"/>
    <cellStyle name="표준 9 3 5 2 3 2 2 2" xfId="49032"/>
    <cellStyle name="표준 9 3 5 2 3 2 2 3" xfId="49033"/>
    <cellStyle name="표준 9 3 5 2 3 2 3" xfId="49034"/>
    <cellStyle name="표준 9 3 5 2 3 2 4" xfId="49035"/>
    <cellStyle name="표준 9 3 5 2 3 3" xfId="49036"/>
    <cellStyle name="표준 9 3 5 2 3 3 2" xfId="49037"/>
    <cellStyle name="표준 9 3 5 2 3 3 3" xfId="49038"/>
    <cellStyle name="표준 9 3 5 2 3 4" xfId="49039"/>
    <cellStyle name="표준 9 3 5 2 3 5" xfId="49040"/>
    <cellStyle name="표준 9 3 5 2 4" xfId="49041"/>
    <cellStyle name="표준 9 3 5 2 4 2" xfId="49042"/>
    <cellStyle name="표준 9 3 5 2 4 2 2" xfId="49043"/>
    <cellStyle name="표준 9 3 5 2 4 2 3" xfId="49044"/>
    <cellStyle name="표준 9 3 5 2 4 3" xfId="49045"/>
    <cellStyle name="표준 9 3 5 2 4 4" xfId="49046"/>
    <cellStyle name="표준 9 3 5 2 5" xfId="49047"/>
    <cellStyle name="표준 9 3 5 2 5 2" xfId="49048"/>
    <cellStyle name="표준 9 3 5 2 5 3" xfId="49049"/>
    <cellStyle name="표준 9 3 5 2 6" xfId="49050"/>
    <cellStyle name="표준 9 3 5 2 7" xfId="49051"/>
    <cellStyle name="표준 9 3 5 3" xfId="49052"/>
    <cellStyle name="표준 9 3 5 3 2" xfId="49053"/>
    <cellStyle name="표준 9 3 5 3 2 2" xfId="49054"/>
    <cellStyle name="표준 9 3 5 3 2 2 2" xfId="49055"/>
    <cellStyle name="표준 9 3 5 3 2 2 2 2" xfId="49056"/>
    <cellStyle name="표준 9 3 5 3 2 2 2 3" xfId="49057"/>
    <cellStyle name="표준 9 3 5 3 2 2 3" xfId="49058"/>
    <cellStyle name="표준 9 3 5 3 2 2 4" xfId="49059"/>
    <cellStyle name="표준 9 3 5 3 2 3" xfId="49060"/>
    <cellStyle name="표준 9 3 5 3 2 3 2" xfId="49061"/>
    <cellStyle name="표준 9 3 5 3 2 3 3" xfId="49062"/>
    <cellStyle name="표준 9 3 5 3 2 4" xfId="49063"/>
    <cellStyle name="표준 9 3 5 3 2 5" xfId="49064"/>
    <cellStyle name="표준 9 3 5 3 3" xfId="49065"/>
    <cellStyle name="표준 9 3 5 3 3 2" xfId="49066"/>
    <cellStyle name="표준 9 3 5 3 3 2 2" xfId="49067"/>
    <cellStyle name="표준 9 3 5 3 3 2 2 2" xfId="49068"/>
    <cellStyle name="표준 9 3 5 3 3 2 2 3" xfId="49069"/>
    <cellStyle name="표준 9 3 5 3 3 2 3" xfId="49070"/>
    <cellStyle name="표준 9 3 5 3 3 2 4" xfId="49071"/>
    <cellStyle name="표준 9 3 5 3 3 3" xfId="49072"/>
    <cellStyle name="표준 9 3 5 3 3 3 2" xfId="49073"/>
    <cellStyle name="표준 9 3 5 3 3 3 3" xfId="49074"/>
    <cellStyle name="표준 9 3 5 3 3 4" xfId="49075"/>
    <cellStyle name="표준 9 3 5 3 3 5" xfId="49076"/>
    <cellStyle name="표준 9 3 5 3 4" xfId="49077"/>
    <cellStyle name="표준 9 3 5 3 4 2" xfId="49078"/>
    <cellStyle name="표준 9 3 5 3 4 2 2" xfId="49079"/>
    <cellStyle name="표준 9 3 5 3 4 2 3" xfId="49080"/>
    <cellStyle name="표준 9 3 5 3 4 3" xfId="49081"/>
    <cellStyle name="표준 9 3 5 3 4 4" xfId="49082"/>
    <cellStyle name="표준 9 3 5 3 5" xfId="49083"/>
    <cellStyle name="표준 9 3 5 3 5 2" xfId="49084"/>
    <cellStyle name="표준 9 3 5 3 5 3" xfId="49085"/>
    <cellStyle name="표준 9 3 5 3 6" xfId="49086"/>
    <cellStyle name="표준 9 3 5 3 7" xfId="49087"/>
    <cellStyle name="표준 9 3 5 4" xfId="49088"/>
    <cellStyle name="표준 9 3 5 4 2" xfId="49089"/>
    <cellStyle name="표준 9 3 5 4 2 2" xfId="49090"/>
    <cellStyle name="표준 9 3 5 4 2 2 2" xfId="49091"/>
    <cellStyle name="표준 9 3 5 4 2 2 3" xfId="49092"/>
    <cellStyle name="표준 9 3 5 4 2 3" xfId="49093"/>
    <cellStyle name="표준 9 3 5 4 2 4" xfId="49094"/>
    <cellStyle name="표준 9 3 5 4 3" xfId="49095"/>
    <cellStyle name="표준 9 3 5 4 3 2" xfId="49096"/>
    <cellStyle name="표준 9 3 5 4 3 3" xfId="49097"/>
    <cellStyle name="표준 9 3 5 4 4" xfId="49098"/>
    <cellStyle name="표준 9 3 5 4 5" xfId="49099"/>
    <cellStyle name="표준 9 3 5 5" xfId="49100"/>
    <cellStyle name="표준 9 3 5 5 2" xfId="49101"/>
    <cellStyle name="표준 9 3 5 5 2 2" xfId="49102"/>
    <cellStyle name="표준 9 3 5 5 2 2 2" xfId="49103"/>
    <cellStyle name="표준 9 3 5 5 2 2 3" xfId="49104"/>
    <cellStyle name="표준 9 3 5 5 2 3" xfId="49105"/>
    <cellStyle name="표준 9 3 5 5 2 4" xfId="49106"/>
    <cellStyle name="표준 9 3 5 5 3" xfId="49107"/>
    <cellStyle name="표준 9 3 5 5 3 2" xfId="49108"/>
    <cellStyle name="표준 9 3 5 5 3 3" xfId="49109"/>
    <cellStyle name="표준 9 3 5 5 4" xfId="49110"/>
    <cellStyle name="표준 9 3 5 5 5" xfId="49111"/>
    <cellStyle name="표준 9 3 5 6" xfId="49112"/>
    <cellStyle name="표준 9 3 5 6 2" xfId="49113"/>
    <cellStyle name="표준 9 3 5 6 2 2" xfId="49114"/>
    <cellStyle name="표준 9 3 5 6 2 2 2" xfId="49115"/>
    <cellStyle name="표준 9 3 5 6 2 2 3" xfId="49116"/>
    <cellStyle name="표준 9 3 5 6 2 3" xfId="49117"/>
    <cellStyle name="표준 9 3 5 6 2 4" xfId="49118"/>
    <cellStyle name="표준 9 3 5 6 3" xfId="49119"/>
    <cellStyle name="표준 9 3 5 6 3 2" xfId="49120"/>
    <cellStyle name="표준 9 3 5 6 3 3" xfId="49121"/>
    <cellStyle name="표준 9 3 5 6 4" xfId="49122"/>
    <cellStyle name="표준 9 3 5 6 5" xfId="49123"/>
    <cellStyle name="표준 9 3 5 7" xfId="49124"/>
    <cellStyle name="표준 9 3 5 7 2" xfId="49125"/>
    <cellStyle name="표준 9 3 5 7 2 2" xfId="49126"/>
    <cellStyle name="표준 9 3 5 7 2 3" xfId="49127"/>
    <cellStyle name="표준 9 3 5 7 3" xfId="49128"/>
    <cellStyle name="표준 9 3 5 7 4" xfId="49129"/>
    <cellStyle name="표준 9 3 5 8" xfId="49130"/>
    <cellStyle name="표준 9 3 5 8 2" xfId="49131"/>
    <cellStyle name="표준 9 3 5 8 3" xfId="49132"/>
    <cellStyle name="표준 9 3 5 9" xfId="49133"/>
    <cellStyle name="표준 9 3 6" xfId="49134"/>
    <cellStyle name="표준 9 3 6 2" xfId="49135"/>
    <cellStyle name="표준 9 3 6 2 2" xfId="49136"/>
    <cellStyle name="표준 9 3 6 2 2 2" xfId="49137"/>
    <cellStyle name="표준 9 3 6 2 2 2 2" xfId="49138"/>
    <cellStyle name="표준 9 3 6 2 2 2 3" xfId="49139"/>
    <cellStyle name="표준 9 3 6 2 2 3" xfId="49140"/>
    <cellStyle name="표준 9 3 6 2 2 4" xfId="49141"/>
    <cellStyle name="표준 9 3 6 2 3" xfId="49142"/>
    <cellStyle name="표준 9 3 6 2 3 2" xfId="49143"/>
    <cellStyle name="표준 9 3 6 2 3 3" xfId="49144"/>
    <cellStyle name="표준 9 3 6 2 4" xfId="49145"/>
    <cellStyle name="표준 9 3 6 2 5" xfId="49146"/>
    <cellStyle name="표준 9 3 6 3" xfId="49147"/>
    <cellStyle name="표준 9 3 6 3 2" xfId="49148"/>
    <cellStyle name="표준 9 3 6 3 2 2" xfId="49149"/>
    <cellStyle name="표준 9 3 6 3 2 2 2" xfId="49150"/>
    <cellStyle name="표준 9 3 6 3 2 2 3" xfId="49151"/>
    <cellStyle name="표준 9 3 6 3 2 3" xfId="49152"/>
    <cellStyle name="표준 9 3 6 3 2 4" xfId="49153"/>
    <cellStyle name="표준 9 3 6 3 3" xfId="49154"/>
    <cellStyle name="표준 9 3 6 3 3 2" xfId="49155"/>
    <cellStyle name="표준 9 3 6 3 3 3" xfId="49156"/>
    <cellStyle name="표준 9 3 6 3 4" xfId="49157"/>
    <cellStyle name="표준 9 3 6 3 5" xfId="49158"/>
    <cellStyle name="표준 9 3 6 4" xfId="49159"/>
    <cellStyle name="표준 9 3 6 4 2" xfId="49160"/>
    <cellStyle name="표준 9 3 6 4 2 2" xfId="49161"/>
    <cellStyle name="표준 9 3 6 4 2 3" xfId="49162"/>
    <cellStyle name="표준 9 3 6 4 3" xfId="49163"/>
    <cellStyle name="표준 9 3 6 4 4" xfId="49164"/>
    <cellStyle name="표준 9 3 6 5" xfId="49165"/>
    <cellStyle name="표준 9 3 6 5 2" xfId="49166"/>
    <cellStyle name="표준 9 3 6 5 3" xfId="49167"/>
    <cellStyle name="표준 9 3 6 6" xfId="49168"/>
    <cellStyle name="표준 9 3 6 7" xfId="49169"/>
    <cellStyle name="표준 9 3 7" xfId="49170"/>
    <cellStyle name="표준 9 3 7 2" xfId="49171"/>
    <cellStyle name="표준 9 3 7 2 2" xfId="49172"/>
    <cellStyle name="표준 9 3 7 2 2 2" xfId="49173"/>
    <cellStyle name="표준 9 3 7 2 2 2 2" xfId="49174"/>
    <cellStyle name="표준 9 3 7 2 2 2 3" xfId="49175"/>
    <cellStyle name="표준 9 3 7 2 2 3" xfId="49176"/>
    <cellStyle name="표준 9 3 7 2 2 4" xfId="49177"/>
    <cellStyle name="표준 9 3 7 2 3" xfId="49178"/>
    <cellStyle name="표준 9 3 7 2 3 2" xfId="49179"/>
    <cellStyle name="표준 9 3 7 2 3 3" xfId="49180"/>
    <cellStyle name="표준 9 3 7 2 4" xfId="49181"/>
    <cellStyle name="표준 9 3 7 2 5" xfId="49182"/>
    <cellStyle name="표준 9 3 7 3" xfId="49183"/>
    <cellStyle name="표준 9 3 7 3 2" xfId="49184"/>
    <cellStyle name="표준 9 3 7 3 2 2" xfId="49185"/>
    <cellStyle name="표준 9 3 7 3 2 2 2" xfId="49186"/>
    <cellStyle name="표준 9 3 7 3 2 2 3" xfId="49187"/>
    <cellStyle name="표준 9 3 7 3 2 3" xfId="49188"/>
    <cellStyle name="표준 9 3 7 3 2 4" xfId="49189"/>
    <cellStyle name="표준 9 3 7 3 3" xfId="49190"/>
    <cellStyle name="표준 9 3 7 3 3 2" xfId="49191"/>
    <cellStyle name="표준 9 3 7 3 3 3" xfId="49192"/>
    <cellStyle name="표준 9 3 7 3 4" xfId="49193"/>
    <cellStyle name="표준 9 3 7 3 5" xfId="49194"/>
    <cellStyle name="표준 9 3 7 4" xfId="49195"/>
    <cellStyle name="표준 9 3 7 4 2" xfId="49196"/>
    <cellStyle name="표준 9 3 7 4 2 2" xfId="49197"/>
    <cellStyle name="표준 9 3 7 4 2 3" xfId="49198"/>
    <cellStyle name="표준 9 3 7 4 3" xfId="49199"/>
    <cellStyle name="표준 9 3 7 4 4" xfId="49200"/>
    <cellStyle name="표준 9 3 7 5" xfId="49201"/>
    <cellStyle name="표준 9 3 7 5 2" xfId="49202"/>
    <cellStyle name="표준 9 3 7 5 3" xfId="49203"/>
    <cellStyle name="표준 9 3 7 6" xfId="49204"/>
    <cellStyle name="표준 9 3 7 7" xfId="49205"/>
    <cellStyle name="표준 9 3 8" xfId="49206"/>
    <cellStyle name="표준 9 3 8 2" xfId="49207"/>
    <cellStyle name="표준 9 3 8 2 2" xfId="49208"/>
    <cellStyle name="표준 9 3 8 2 2 2" xfId="49209"/>
    <cellStyle name="표준 9 3 8 2 2 3" xfId="49210"/>
    <cellStyle name="표준 9 3 8 2 3" xfId="49211"/>
    <cellStyle name="표준 9 3 8 2 4" xfId="49212"/>
    <cellStyle name="표준 9 3 8 3" xfId="49213"/>
    <cellStyle name="표준 9 3 8 3 2" xfId="49214"/>
    <cellStyle name="표준 9 3 8 3 3" xfId="49215"/>
    <cellStyle name="표준 9 3 8 4" xfId="49216"/>
    <cellStyle name="표준 9 3 8 5" xfId="49217"/>
    <cellStyle name="표준 9 3 9" xfId="49218"/>
    <cellStyle name="표준 9 3 9 2" xfId="49219"/>
    <cellStyle name="표준 9 3 9 2 2" xfId="49220"/>
    <cellStyle name="표준 9 3 9 2 2 2" xfId="49221"/>
    <cellStyle name="표준 9 3 9 2 2 3" xfId="49222"/>
    <cellStyle name="표준 9 3 9 2 3" xfId="49223"/>
    <cellStyle name="표준 9 3 9 2 4" xfId="49224"/>
    <cellStyle name="표준 9 3 9 3" xfId="49225"/>
    <cellStyle name="표준 9 3 9 3 2" xfId="49226"/>
    <cellStyle name="표준 9 3 9 3 3" xfId="49227"/>
    <cellStyle name="표준 9 3 9 4" xfId="49228"/>
    <cellStyle name="표준 9 3 9 5" xfId="49229"/>
    <cellStyle name="표준 9 4" xfId="49230"/>
    <cellStyle name="표준 9 4 10" xfId="49231"/>
    <cellStyle name="표준 9 4 10 2" xfId="49232"/>
    <cellStyle name="표준 9 4 10 2 2" xfId="49233"/>
    <cellStyle name="표준 9 4 10 2 2 2" xfId="49234"/>
    <cellStyle name="표준 9 4 10 2 2 3" xfId="49235"/>
    <cellStyle name="표준 9 4 10 2 3" xfId="49236"/>
    <cellStyle name="표준 9 4 10 2 4" xfId="49237"/>
    <cellStyle name="표준 9 4 10 3" xfId="49238"/>
    <cellStyle name="표준 9 4 10 3 2" xfId="49239"/>
    <cellStyle name="표준 9 4 10 3 3" xfId="49240"/>
    <cellStyle name="표준 9 4 10 4" xfId="49241"/>
    <cellStyle name="표준 9 4 10 5" xfId="49242"/>
    <cellStyle name="표준 9 4 11" xfId="49243"/>
    <cellStyle name="표준 9 4 11 2" xfId="49244"/>
    <cellStyle name="표준 9 4 11 2 2" xfId="49245"/>
    <cellStyle name="표준 9 4 11 2 3" xfId="49246"/>
    <cellStyle name="표준 9 4 11 3" xfId="49247"/>
    <cellStyle name="표준 9 4 11 4" xfId="49248"/>
    <cellStyle name="표준 9 4 12" xfId="49249"/>
    <cellStyle name="표준 9 4 12 2" xfId="49250"/>
    <cellStyle name="표준 9 4 12 3" xfId="49251"/>
    <cellStyle name="표준 9 4 13" xfId="49252"/>
    <cellStyle name="표준 9 4 14" xfId="49253"/>
    <cellStyle name="표준 9 4 2" xfId="49254"/>
    <cellStyle name="표준 9 4 2 10" xfId="49255"/>
    <cellStyle name="표준 9 4 2 10 2" xfId="49256"/>
    <cellStyle name="표준 9 4 2 10 2 2" xfId="49257"/>
    <cellStyle name="표준 9 4 2 10 2 3" xfId="49258"/>
    <cellStyle name="표준 9 4 2 10 3" xfId="49259"/>
    <cellStyle name="표준 9 4 2 10 4" xfId="49260"/>
    <cellStyle name="표준 9 4 2 11" xfId="49261"/>
    <cellStyle name="표준 9 4 2 11 2" xfId="49262"/>
    <cellStyle name="표준 9 4 2 11 3" xfId="49263"/>
    <cellStyle name="표준 9 4 2 12" xfId="49264"/>
    <cellStyle name="표준 9 4 2 13" xfId="49265"/>
    <cellStyle name="표준 9 4 2 2" xfId="49266"/>
    <cellStyle name="표준 9 4 2 2 10" xfId="49267"/>
    <cellStyle name="표준 9 4 2 2 2" xfId="49268"/>
    <cellStyle name="표준 9 4 2 2 2 2" xfId="49269"/>
    <cellStyle name="표준 9 4 2 2 2 2 2" xfId="49270"/>
    <cellStyle name="표준 9 4 2 2 2 2 2 2" xfId="49271"/>
    <cellStyle name="표준 9 4 2 2 2 2 2 2 2" xfId="49272"/>
    <cellStyle name="표준 9 4 2 2 2 2 2 2 3" xfId="49273"/>
    <cellStyle name="표준 9 4 2 2 2 2 2 3" xfId="49274"/>
    <cellStyle name="표준 9 4 2 2 2 2 2 4" xfId="49275"/>
    <cellStyle name="표준 9 4 2 2 2 2 3" xfId="49276"/>
    <cellStyle name="표준 9 4 2 2 2 2 3 2" xfId="49277"/>
    <cellStyle name="표준 9 4 2 2 2 2 3 3" xfId="49278"/>
    <cellStyle name="표준 9 4 2 2 2 2 4" xfId="49279"/>
    <cellStyle name="표준 9 4 2 2 2 2 5" xfId="49280"/>
    <cellStyle name="표준 9 4 2 2 2 3" xfId="49281"/>
    <cellStyle name="표준 9 4 2 2 2 3 2" xfId="49282"/>
    <cellStyle name="표준 9 4 2 2 2 3 2 2" xfId="49283"/>
    <cellStyle name="표준 9 4 2 2 2 3 2 2 2" xfId="49284"/>
    <cellStyle name="표준 9 4 2 2 2 3 2 2 3" xfId="49285"/>
    <cellStyle name="표준 9 4 2 2 2 3 2 3" xfId="49286"/>
    <cellStyle name="표준 9 4 2 2 2 3 2 4" xfId="49287"/>
    <cellStyle name="표준 9 4 2 2 2 3 3" xfId="49288"/>
    <cellStyle name="표준 9 4 2 2 2 3 3 2" xfId="49289"/>
    <cellStyle name="표준 9 4 2 2 2 3 3 3" xfId="49290"/>
    <cellStyle name="표준 9 4 2 2 2 3 4" xfId="49291"/>
    <cellStyle name="표준 9 4 2 2 2 3 5" xfId="49292"/>
    <cellStyle name="표준 9 4 2 2 2 4" xfId="49293"/>
    <cellStyle name="표준 9 4 2 2 2 4 2" xfId="49294"/>
    <cellStyle name="표준 9 4 2 2 2 4 2 2" xfId="49295"/>
    <cellStyle name="표준 9 4 2 2 2 4 2 3" xfId="49296"/>
    <cellStyle name="표준 9 4 2 2 2 4 3" xfId="49297"/>
    <cellStyle name="표준 9 4 2 2 2 4 4" xfId="49298"/>
    <cellStyle name="표준 9 4 2 2 2 5" xfId="49299"/>
    <cellStyle name="표준 9 4 2 2 2 5 2" xfId="49300"/>
    <cellStyle name="표준 9 4 2 2 2 5 3" xfId="49301"/>
    <cellStyle name="표준 9 4 2 2 2 6" xfId="49302"/>
    <cellStyle name="표준 9 4 2 2 2 7" xfId="49303"/>
    <cellStyle name="표준 9 4 2 2 3" xfId="49304"/>
    <cellStyle name="표준 9 4 2 2 3 2" xfId="49305"/>
    <cellStyle name="표준 9 4 2 2 3 2 2" xfId="49306"/>
    <cellStyle name="표준 9 4 2 2 3 2 2 2" xfId="49307"/>
    <cellStyle name="표준 9 4 2 2 3 2 2 2 2" xfId="49308"/>
    <cellStyle name="표준 9 4 2 2 3 2 2 2 3" xfId="49309"/>
    <cellStyle name="표준 9 4 2 2 3 2 2 3" xfId="49310"/>
    <cellStyle name="표준 9 4 2 2 3 2 2 4" xfId="49311"/>
    <cellStyle name="표준 9 4 2 2 3 2 3" xfId="49312"/>
    <cellStyle name="표준 9 4 2 2 3 2 3 2" xfId="49313"/>
    <cellStyle name="표준 9 4 2 2 3 2 3 3" xfId="49314"/>
    <cellStyle name="표준 9 4 2 2 3 2 4" xfId="49315"/>
    <cellStyle name="표준 9 4 2 2 3 2 5" xfId="49316"/>
    <cellStyle name="표준 9 4 2 2 3 3" xfId="49317"/>
    <cellStyle name="표준 9 4 2 2 3 3 2" xfId="49318"/>
    <cellStyle name="표준 9 4 2 2 3 3 2 2" xfId="49319"/>
    <cellStyle name="표준 9 4 2 2 3 3 2 2 2" xfId="49320"/>
    <cellStyle name="표준 9 4 2 2 3 3 2 2 3" xfId="49321"/>
    <cellStyle name="표준 9 4 2 2 3 3 2 3" xfId="49322"/>
    <cellStyle name="표준 9 4 2 2 3 3 2 4" xfId="49323"/>
    <cellStyle name="표준 9 4 2 2 3 3 3" xfId="49324"/>
    <cellStyle name="표준 9 4 2 2 3 3 3 2" xfId="49325"/>
    <cellStyle name="표준 9 4 2 2 3 3 3 3" xfId="49326"/>
    <cellStyle name="표준 9 4 2 2 3 3 4" xfId="49327"/>
    <cellStyle name="표준 9 4 2 2 3 3 5" xfId="49328"/>
    <cellStyle name="표준 9 4 2 2 3 4" xfId="49329"/>
    <cellStyle name="표준 9 4 2 2 3 4 2" xfId="49330"/>
    <cellStyle name="표준 9 4 2 2 3 4 2 2" xfId="49331"/>
    <cellStyle name="표준 9 4 2 2 3 4 2 3" xfId="49332"/>
    <cellStyle name="표준 9 4 2 2 3 4 3" xfId="49333"/>
    <cellStyle name="표준 9 4 2 2 3 4 4" xfId="49334"/>
    <cellStyle name="표준 9 4 2 2 3 5" xfId="49335"/>
    <cellStyle name="표준 9 4 2 2 3 5 2" xfId="49336"/>
    <cellStyle name="표준 9 4 2 2 3 5 3" xfId="49337"/>
    <cellStyle name="표준 9 4 2 2 3 6" xfId="49338"/>
    <cellStyle name="표준 9 4 2 2 3 7" xfId="49339"/>
    <cellStyle name="표준 9 4 2 2 4" xfId="49340"/>
    <cellStyle name="표준 9 4 2 2 4 2" xfId="49341"/>
    <cellStyle name="표준 9 4 2 2 4 2 2" xfId="49342"/>
    <cellStyle name="표준 9 4 2 2 4 2 2 2" xfId="49343"/>
    <cellStyle name="표준 9 4 2 2 4 2 2 3" xfId="49344"/>
    <cellStyle name="표준 9 4 2 2 4 2 3" xfId="49345"/>
    <cellStyle name="표준 9 4 2 2 4 2 4" xfId="49346"/>
    <cellStyle name="표준 9 4 2 2 4 3" xfId="49347"/>
    <cellStyle name="표준 9 4 2 2 4 3 2" xfId="49348"/>
    <cellStyle name="표준 9 4 2 2 4 3 3" xfId="49349"/>
    <cellStyle name="표준 9 4 2 2 4 4" xfId="49350"/>
    <cellStyle name="표준 9 4 2 2 4 5" xfId="49351"/>
    <cellStyle name="표준 9 4 2 2 5" xfId="49352"/>
    <cellStyle name="표준 9 4 2 2 5 2" xfId="49353"/>
    <cellStyle name="표준 9 4 2 2 5 2 2" xfId="49354"/>
    <cellStyle name="표준 9 4 2 2 5 2 2 2" xfId="49355"/>
    <cellStyle name="표준 9 4 2 2 5 2 2 3" xfId="49356"/>
    <cellStyle name="표준 9 4 2 2 5 2 3" xfId="49357"/>
    <cellStyle name="표준 9 4 2 2 5 2 4" xfId="49358"/>
    <cellStyle name="표준 9 4 2 2 5 3" xfId="49359"/>
    <cellStyle name="표준 9 4 2 2 5 3 2" xfId="49360"/>
    <cellStyle name="표준 9 4 2 2 5 3 3" xfId="49361"/>
    <cellStyle name="표준 9 4 2 2 5 4" xfId="49362"/>
    <cellStyle name="표준 9 4 2 2 5 5" xfId="49363"/>
    <cellStyle name="표준 9 4 2 2 6" xfId="49364"/>
    <cellStyle name="표준 9 4 2 2 6 2" xfId="49365"/>
    <cellStyle name="표준 9 4 2 2 6 2 2" xfId="49366"/>
    <cellStyle name="표준 9 4 2 2 6 2 2 2" xfId="49367"/>
    <cellStyle name="표준 9 4 2 2 6 2 2 3" xfId="49368"/>
    <cellStyle name="표준 9 4 2 2 6 2 3" xfId="49369"/>
    <cellStyle name="표준 9 4 2 2 6 2 4" xfId="49370"/>
    <cellStyle name="표준 9 4 2 2 6 3" xfId="49371"/>
    <cellStyle name="표준 9 4 2 2 6 3 2" xfId="49372"/>
    <cellStyle name="표준 9 4 2 2 6 3 3" xfId="49373"/>
    <cellStyle name="표준 9 4 2 2 6 4" xfId="49374"/>
    <cellStyle name="표준 9 4 2 2 6 5" xfId="49375"/>
    <cellStyle name="표준 9 4 2 2 7" xfId="49376"/>
    <cellStyle name="표준 9 4 2 2 7 2" xfId="49377"/>
    <cellStyle name="표준 9 4 2 2 7 2 2" xfId="49378"/>
    <cellStyle name="표준 9 4 2 2 7 2 3" xfId="49379"/>
    <cellStyle name="표준 9 4 2 2 7 3" xfId="49380"/>
    <cellStyle name="표준 9 4 2 2 7 4" xfId="49381"/>
    <cellStyle name="표준 9 4 2 2 8" xfId="49382"/>
    <cellStyle name="표준 9 4 2 2 8 2" xfId="49383"/>
    <cellStyle name="표준 9 4 2 2 8 3" xfId="49384"/>
    <cellStyle name="표준 9 4 2 2 9" xfId="49385"/>
    <cellStyle name="표준 9 4 2 3" xfId="49386"/>
    <cellStyle name="표준 9 4 2 3 10" xfId="49387"/>
    <cellStyle name="표준 9 4 2 3 2" xfId="49388"/>
    <cellStyle name="표준 9 4 2 3 2 2" xfId="49389"/>
    <cellStyle name="표준 9 4 2 3 2 2 2" xfId="49390"/>
    <cellStyle name="표준 9 4 2 3 2 2 2 2" xfId="49391"/>
    <cellStyle name="표준 9 4 2 3 2 2 2 2 2" xfId="49392"/>
    <cellStyle name="표준 9 4 2 3 2 2 2 2 3" xfId="49393"/>
    <cellStyle name="표준 9 4 2 3 2 2 2 3" xfId="49394"/>
    <cellStyle name="표준 9 4 2 3 2 2 2 4" xfId="49395"/>
    <cellStyle name="표준 9 4 2 3 2 2 3" xfId="49396"/>
    <cellStyle name="표준 9 4 2 3 2 2 3 2" xfId="49397"/>
    <cellStyle name="표준 9 4 2 3 2 2 3 3" xfId="49398"/>
    <cellStyle name="표준 9 4 2 3 2 2 4" xfId="49399"/>
    <cellStyle name="표준 9 4 2 3 2 2 5" xfId="49400"/>
    <cellStyle name="표준 9 4 2 3 2 3" xfId="49401"/>
    <cellStyle name="표준 9 4 2 3 2 3 2" xfId="49402"/>
    <cellStyle name="표준 9 4 2 3 2 3 2 2" xfId="49403"/>
    <cellStyle name="표준 9 4 2 3 2 3 2 2 2" xfId="49404"/>
    <cellStyle name="표준 9 4 2 3 2 3 2 2 3" xfId="49405"/>
    <cellStyle name="표준 9 4 2 3 2 3 2 3" xfId="49406"/>
    <cellStyle name="표준 9 4 2 3 2 3 2 4" xfId="49407"/>
    <cellStyle name="표준 9 4 2 3 2 3 3" xfId="49408"/>
    <cellStyle name="표준 9 4 2 3 2 3 3 2" xfId="49409"/>
    <cellStyle name="표준 9 4 2 3 2 3 3 3" xfId="49410"/>
    <cellStyle name="표준 9 4 2 3 2 3 4" xfId="49411"/>
    <cellStyle name="표준 9 4 2 3 2 3 5" xfId="49412"/>
    <cellStyle name="표준 9 4 2 3 2 4" xfId="49413"/>
    <cellStyle name="표준 9 4 2 3 2 4 2" xfId="49414"/>
    <cellStyle name="표준 9 4 2 3 2 4 2 2" xfId="49415"/>
    <cellStyle name="표준 9 4 2 3 2 4 2 3" xfId="49416"/>
    <cellStyle name="표준 9 4 2 3 2 4 3" xfId="49417"/>
    <cellStyle name="표준 9 4 2 3 2 4 4" xfId="49418"/>
    <cellStyle name="표준 9 4 2 3 2 5" xfId="49419"/>
    <cellStyle name="표준 9 4 2 3 2 5 2" xfId="49420"/>
    <cellStyle name="표준 9 4 2 3 2 5 3" xfId="49421"/>
    <cellStyle name="표준 9 4 2 3 2 6" xfId="49422"/>
    <cellStyle name="표준 9 4 2 3 2 7" xfId="49423"/>
    <cellStyle name="표준 9 4 2 3 3" xfId="49424"/>
    <cellStyle name="표준 9 4 2 3 3 2" xfId="49425"/>
    <cellStyle name="표준 9 4 2 3 3 2 2" xfId="49426"/>
    <cellStyle name="표준 9 4 2 3 3 2 2 2" xfId="49427"/>
    <cellStyle name="표준 9 4 2 3 3 2 2 2 2" xfId="49428"/>
    <cellStyle name="표준 9 4 2 3 3 2 2 2 3" xfId="49429"/>
    <cellStyle name="표준 9 4 2 3 3 2 2 3" xfId="49430"/>
    <cellStyle name="표준 9 4 2 3 3 2 2 4" xfId="49431"/>
    <cellStyle name="표준 9 4 2 3 3 2 3" xfId="49432"/>
    <cellStyle name="표준 9 4 2 3 3 2 3 2" xfId="49433"/>
    <cellStyle name="표준 9 4 2 3 3 2 3 3" xfId="49434"/>
    <cellStyle name="표준 9 4 2 3 3 2 4" xfId="49435"/>
    <cellStyle name="표준 9 4 2 3 3 2 5" xfId="49436"/>
    <cellStyle name="표준 9 4 2 3 3 3" xfId="49437"/>
    <cellStyle name="표준 9 4 2 3 3 3 2" xfId="49438"/>
    <cellStyle name="표준 9 4 2 3 3 3 2 2" xfId="49439"/>
    <cellStyle name="표준 9 4 2 3 3 3 2 2 2" xfId="49440"/>
    <cellStyle name="표준 9 4 2 3 3 3 2 2 3" xfId="49441"/>
    <cellStyle name="표준 9 4 2 3 3 3 2 3" xfId="49442"/>
    <cellStyle name="표준 9 4 2 3 3 3 2 4" xfId="49443"/>
    <cellStyle name="표준 9 4 2 3 3 3 3" xfId="49444"/>
    <cellStyle name="표준 9 4 2 3 3 3 3 2" xfId="49445"/>
    <cellStyle name="표준 9 4 2 3 3 3 3 3" xfId="49446"/>
    <cellStyle name="표준 9 4 2 3 3 3 4" xfId="49447"/>
    <cellStyle name="표준 9 4 2 3 3 3 5" xfId="49448"/>
    <cellStyle name="표준 9 4 2 3 3 4" xfId="49449"/>
    <cellStyle name="표준 9 4 2 3 3 4 2" xfId="49450"/>
    <cellStyle name="표준 9 4 2 3 3 4 2 2" xfId="49451"/>
    <cellStyle name="표준 9 4 2 3 3 4 2 3" xfId="49452"/>
    <cellStyle name="표준 9 4 2 3 3 4 3" xfId="49453"/>
    <cellStyle name="표준 9 4 2 3 3 4 4" xfId="49454"/>
    <cellStyle name="표준 9 4 2 3 3 5" xfId="49455"/>
    <cellStyle name="표준 9 4 2 3 3 5 2" xfId="49456"/>
    <cellStyle name="표준 9 4 2 3 3 5 3" xfId="49457"/>
    <cellStyle name="표준 9 4 2 3 3 6" xfId="49458"/>
    <cellStyle name="표준 9 4 2 3 3 7" xfId="49459"/>
    <cellStyle name="표준 9 4 2 3 4" xfId="49460"/>
    <cellStyle name="표준 9 4 2 3 4 2" xfId="49461"/>
    <cellStyle name="표준 9 4 2 3 4 2 2" xfId="49462"/>
    <cellStyle name="표준 9 4 2 3 4 2 2 2" xfId="49463"/>
    <cellStyle name="표준 9 4 2 3 4 2 2 3" xfId="49464"/>
    <cellStyle name="표준 9 4 2 3 4 2 3" xfId="49465"/>
    <cellStyle name="표준 9 4 2 3 4 2 4" xfId="49466"/>
    <cellStyle name="표준 9 4 2 3 4 3" xfId="49467"/>
    <cellStyle name="표준 9 4 2 3 4 3 2" xfId="49468"/>
    <cellStyle name="표준 9 4 2 3 4 3 3" xfId="49469"/>
    <cellStyle name="표준 9 4 2 3 4 4" xfId="49470"/>
    <cellStyle name="표준 9 4 2 3 4 5" xfId="49471"/>
    <cellStyle name="표준 9 4 2 3 5" xfId="49472"/>
    <cellStyle name="표준 9 4 2 3 5 2" xfId="49473"/>
    <cellStyle name="표준 9 4 2 3 5 2 2" xfId="49474"/>
    <cellStyle name="표준 9 4 2 3 5 2 2 2" xfId="49475"/>
    <cellStyle name="표준 9 4 2 3 5 2 2 3" xfId="49476"/>
    <cellStyle name="표준 9 4 2 3 5 2 3" xfId="49477"/>
    <cellStyle name="표준 9 4 2 3 5 2 4" xfId="49478"/>
    <cellStyle name="표준 9 4 2 3 5 3" xfId="49479"/>
    <cellStyle name="표준 9 4 2 3 5 3 2" xfId="49480"/>
    <cellStyle name="표준 9 4 2 3 5 3 3" xfId="49481"/>
    <cellStyle name="표준 9 4 2 3 5 4" xfId="49482"/>
    <cellStyle name="표준 9 4 2 3 5 5" xfId="49483"/>
    <cellStyle name="표준 9 4 2 3 6" xfId="49484"/>
    <cellStyle name="표준 9 4 2 3 6 2" xfId="49485"/>
    <cellStyle name="표준 9 4 2 3 6 2 2" xfId="49486"/>
    <cellStyle name="표준 9 4 2 3 6 2 2 2" xfId="49487"/>
    <cellStyle name="표준 9 4 2 3 6 2 2 3" xfId="49488"/>
    <cellStyle name="표준 9 4 2 3 6 2 3" xfId="49489"/>
    <cellStyle name="표준 9 4 2 3 6 2 4" xfId="49490"/>
    <cellStyle name="표준 9 4 2 3 6 3" xfId="49491"/>
    <cellStyle name="표준 9 4 2 3 6 3 2" xfId="49492"/>
    <cellStyle name="표준 9 4 2 3 6 3 3" xfId="49493"/>
    <cellStyle name="표준 9 4 2 3 6 4" xfId="49494"/>
    <cellStyle name="표준 9 4 2 3 6 5" xfId="49495"/>
    <cellStyle name="표준 9 4 2 3 7" xfId="49496"/>
    <cellStyle name="표준 9 4 2 3 7 2" xfId="49497"/>
    <cellStyle name="표준 9 4 2 3 7 2 2" xfId="49498"/>
    <cellStyle name="표준 9 4 2 3 7 2 3" xfId="49499"/>
    <cellStyle name="표준 9 4 2 3 7 3" xfId="49500"/>
    <cellStyle name="표준 9 4 2 3 7 4" xfId="49501"/>
    <cellStyle name="표준 9 4 2 3 8" xfId="49502"/>
    <cellStyle name="표준 9 4 2 3 8 2" xfId="49503"/>
    <cellStyle name="표준 9 4 2 3 8 3" xfId="49504"/>
    <cellStyle name="표준 9 4 2 3 9" xfId="49505"/>
    <cellStyle name="표준 9 4 2 4" xfId="49506"/>
    <cellStyle name="표준 9 4 2 4 10" xfId="49507"/>
    <cellStyle name="표준 9 4 2 4 2" xfId="49508"/>
    <cellStyle name="표준 9 4 2 4 2 2" xfId="49509"/>
    <cellStyle name="표준 9 4 2 4 2 2 2" xfId="49510"/>
    <cellStyle name="표준 9 4 2 4 2 2 2 2" xfId="49511"/>
    <cellStyle name="표준 9 4 2 4 2 2 2 2 2" xfId="49512"/>
    <cellStyle name="표준 9 4 2 4 2 2 2 2 3" xfId="49513"/>
    <cellStyle name="표준 9 4 2 4 2 2 2 3" xfId="49514"/>
    <cellStyle name="표준 9 4 2 4 2 2 2 4" xfId="49515"/>
    <cellStyle name="표준 9 4 2 4 2 2 3" xfId="49516"/>
    <cellStyle name="표준 9 4 2 4 2 2 3 2" xfId="49517"/>
    <cellStyle name="표준 9 4 2 4 2 2 3 3" xfId="49518"/>
    <cellStyle name="표준 9 4 2 4 2 2 4" xfId="49519"/>
    <cellStyle name="표준 9 4 2 4 2 2 5" xfId="49520"/>
    <cellStyle name="표준 9 4 2 4 2 3" xfId="49521"/>
    <cellStyle name="표준 9 4 2 4 2 3 2" xfId="49522"/>
    <cellStyle name="표준 9 4 2 4 2 3 2 2" xfId="49523"/>
    <cellStyle name="표준 9 4 2 4 2 3 2 2 2" xfId="49524"/>
    <cellStyle name="표준 9 4 2 4 2 3 2 2 3" xfId="49525"/>
    <cellStyle name="표준 9 4 2 4 2 3 2 3" xfId="49526"/>
    <cellStyle name="표준 9 4 2 4 2 3 2 4" xfId="49527"/>
    <cellStyle name="표준 9 4 2 4 2 3 3" xfId="49528"/>
    <cellStyle name="표준 9 4 2 4 2 3 3 2" xfId="49529"/>
    <cellStyle name="표준 9 4 2 4 2 3 3 3" xfId="49530"/>
    <cellStyle name="표준 9 4 2 4 2 3 4" xfId="49531"/>
    <cellStyle name="표준 9 4 2 4 2 3 5" xfId="49532"/>
    <cellStyle name="표준 9 4 2 4 2 4" xfId="49533"/>
    <cellStyle name="표준 9 4 2 4 2 4 2" xfId="49534"/>
    <cellStyle name="표준 9 4 2 4 2 4 2 2" xfId="49535"/>
    <cellStyle name="표준 9 4 2 4 2 4 2 3" xfId="49536"/>
    <cellStyle name="표준 9 4 2 4 2 4 3" xfId="49537"/>
    <cellStyle name="표준 9 4 2 4 2 4 4" xfId="49538"/>
    <cellStyle name="표준 9 4 2 4 2 5" xfId="49539"/>
    <cellStyle name="표준 9 4 2 4 2 5 2" xfId="49540"/>
    <cellStyle name="표준 9 4 2 4 2 5 3" xfId="49541"/>
    <cellStyle name="표준 9 4 2 4 2 6" xfId="49542"/>
    <cellStyle name="표준 9 4 2 4 2 7" xfId="49543"/>
    <cellStyle name="표준 9 4 2 4 3" xfId="49544"/>
    <cellStyle name="표준 9 4 2 4 3 2" xfId="49545"/>
    <cellStyle name="표준 9 4 2 4 3 2 2" xfId="49546"/>
    <cellStyle name="표준 9 4 2 4 3 2 2 2" xfId="49547"/>
    <cellStyle name="표준 9 4 2 4 3 2 2 2 2" xfId="49548"/>
    <cellStyle name="표준 9 4 2 4 3 2 2 2 3" xfId="49549"/>
    <cellStyle name="표준 9 4 2 4 3 2 2 3" xfId="49550"/>
    <cellStyle name="표준 9 4 2 4 3 2 2 4" xfId="49551"/>
    <cellStyle name="표준 9 4 2 4 3 2 3" xfId="49552"/>
    <cellStyle name="표준 9 4 2 4 3 2 3 2" xfId="49553"/>
    <cellStyle name="표준 9 4 2 4 3 2 3 3" xfId="49554"/>
    <cellStyle name="표준 9 4 2 4 3 2 4" xfId="49555"/>
    <cellStyle name="표준 9 4 2 4 3 2 5" xfId="49556"/>
    <cellStyle name="표준 9 4 2 4 3 3" xfId="49557"/>
    <cellStyle name="표준 9 4 2 4 3 3 2" xfId="49558"/>
    <cellStyle name="표준 9 4 2 4 3 3 2 2" xfId="49559"/>
    <cellStyle name="표준 9 4 2 4 3 3 2 2 2" xfId="49560"/>
    <cellStyle name="표준 9 4 2 4 3 3 2 2 3" xfId="49561"/>
    <cellStyle name="표준 9 4 2 4 3 3 2 3" xfId="49562"/>
    <cellStyle name="표준 9 4 2 4 3 3 2 4" xfId="49563"/>
    <cellStyle name="표준 9 4 2 4 3 3 3" xfId="49564"/>
    <cellStyle name="표준 9 4 2 4 3 3 3 2" xfId="49565"/>
    <cellStyle name="표준 9 4 2 4 3 3 3 3" xfId="49566"/>
    <cellStyle name="표준 9 4 2 4 3 3 4" xfId="49567"/>
    <cellStyle name="표준 9 4 2 4 3 3 5" xfId="49568"/>
    <cellStyle name="표준 9 4 2 4 3 4" xfId="49569"/>
    <cellStyle name="표준 9 4 2 4 3 4 2" xfId="49570"/>
    <cellStyle name="표준 9 4 2 4 3 4 2 2" xfId="49571"/>
    <cellStyle name="표준 9 4 2 4 3 4 2 3" xfId="49572"/>
    <cellStyle name="표준 9 4 2 4 3 4 3" xfId="49573"/>
    <cellStyle name="표준 9 4 2 4 3 4 4" xfId="49574"/>
    <cellStyle name="표준 9 4 2 4 3 5" xfId="49575"/>
    <cellStyle name="표준 9 4 2 4 3 5 2" xfId="49576"/>
    <cellStyle name="표준 9 4 2 4 3 5 3" xfId="49577"/>
    <cellStyle name="표준 9 4 2 4 3 6" xfId="49578"/>
    <cellStyle name="표준 9 4 2 4 3 7" xfId="49579"/>
    <cellStyle name="표준 9 4 2 4 4" xfId="49580"/>
    <cellStyle name="표준 9 4 2 4 4 2" xfId="49581"/>
    <cellStyle name="표준 9 4 2 4 4 2 2" xfId="49582"/>
    <cellStyle name="표준 9 4 2 4 4 2 2 2" xfId="49583"/>
    <cellStyle name="표준 9 4 2 4 4 2 2 3" xfId="49584"/>
    <cellStyle name="표준 9 4 2 4 4 2 3" xfId="49585"/>
    <cellStyle name="표준 9 4 2 4 4 2 4" xfId="49586"/>
    <cellStyle name="표준 9 4 2 4 4 3" xfId="49587"/>
    <cellStyle name="표준 9 4 2 4 4 3 2" xfId="49588"/>
    <cellStyle name="표준 9 4 2 4 4 3 3" xfId="49589"/>
    <cellStyle name="표준 9 4 2 4 4 4" xfId="49590"/>
    <cellStyle name="표준 9 4 2 4 4 5" xfId="49591"/>
    <cellStyle name="표준 9 4 2 4 5" xfId="49592"/>
    <cellStyle name="표준 9 4 2 4 5 2" xfId="49593"/>
    <cellStyle name="표준 9 4 2 4 5 2 2" xfId="49594"/>
    <cellStyle name="표준 9 4 2 4 5 2 2 2" xfId="49595"/>
    <cellStyle name="표준 9 4 2 4 5 2 2 3" xfId="49596"/>
    <cellStyle name="표준 9 4 2 4 5 2 3" xfId="49597"/>
    <cellStyle name="표준 9 4 2 4 5 2 4" xfId="49598"/>
    <cellStyle name="표준 9 4 2 4 5 3" xfId="49599"/>
    <cellStyle name="표준 9 4 2 4 5 3 2" xfId="49600"/>
    <cellStyle name="표준 9 4 2 4 5 3 3" xfId="49601"/>
    <cellStyle name="표준 9 4 2 4 5 4" xfId="49602"/>
    <cellStyle name="표준 9 4 2 4 5 5" xfId="49603"/>
    <cellStyle name="표준 9 4 2 4 6" xfId="49604"/>
    <cellStyle name="표준 9 4 2 4 6 2" xfId="49605"/>
    <cellStyle name="표준 9 4 2 4 6 2 2" xfId="49606"/>
    <cellStyle name="표준 9 4 2 4 6 2 2 2" xfId="49607"/>
    <cellStyle name="표준 9 4 2 4 6 2 2 3" xfId="49608"/>
    <cellStyle name="표준 9 4 2 4 6 2 3" xfId="49609"/>
    <cellStyle name="표준 9 4 2 4 6 2 4" xfId="49610"/>
    <cellStyle name="표준 9 4 2 4 6 3" xfId="49611"/>
    <cellStyle name="표준 9 4 2 4 6 3 2" xfId="49612"/>
    <cellStyle name="표준 9 4 2 4 6 3 3" xfId="49613"/>
    <cellStyle name="표준 9 4 2 4 6 4" xfId="49614"/>
    <cellStyle name="표준 9 4 2 4 6 5" xfId="49615"/>
    <cellStyle name="표준 9 4 2 4 7" xfId="49616"/>
    <cellStyle name="표준 9 4 2 4 7 2" xfId="49617"/>
    <cellStyle name="표준 9 4 2 4 7 2 2" xfId="49618"/>
    <cellStyle name="표준 9 4 2 4 7 2 3" xfId="49619"/>
    <cellStyle name="표준 9 4 2 4 7 3" xfId="49620"/>
    <cellStyle name="표준 9 4 2 4 7 4" xfId="49621"/>
    <cellStyle name="표준 9 4 2 4 8" xfId="49622"/>
    <cellStyle name="표준 9 4 2 4 8 2" xfId="49623"/>
    <cellStyle name="표준 9 4 2 4 8 3" xfId="49624"/>
    <cellStyle name="표준 9 4 2 4 9" xfId="49625"/>
    <cellStyle name="표준 9 4 2 5" xfId="49626"/>
    <cellStyle name="표준 9 4 2 5 2" xfId="49627"/>
    <cellStyle name="표준 9 4 2 5 2 2" xfId="49628"/>
    <cellStyle name="표준 9 4 2 5 2 2 2" xfId="49629"/>
    <cellStyle name="표준 9 4 2 5 2 2 2 2" xfId="49630"/>
    <cellStyle name="표준 9 4 2 5 2 2 2 3" xfId="49631"/>
    <cellStyle name="표준 9 4 2 5 2 2 3" xfId="49632"/>
    <cellStyle name="표준 9 4 2 5 2 2 4" xfId="49633"/>
    <cellStyle name="표준 9 4 2 5 2 3" xfId="49634"/>
    <cellStyle name="표준 9 4 2 5 2 3 2" xfId="49635"/>
    <cellStyle name="표준 9 4 2 5 2 3 3" xfId="49636"/>
    <cellStyle name="표준 9 4 2 5 2 4" xfId="49637"/>
    <cellStyle name="표준 9 4 2 5 2 5" xfId="49638"/>
    <cellStyle name="표준 9 4 2 5 3" xfId="49639"/>
    <cellStyle name="표준 9 4 2 5 3 2" xfId="49640"/>
    <cellStyle name="표준 9 4 2 5 3 2 2" xfId="49641"/>
    <cellStyle name="표준 9 4 2 5 3 2 2 2" xfId="49642"/>
    <cellStyle name="표준 9 4 2 5 3 2 2 3" xfId="49643"/>
    <cellStyle name="표준 9 4 2 5 3 2 3" xfId="49644"/>
    <cellStyle name="표준 9 4 2 5 3 2 4" xfId="49645"/>
    <cellStyle name="표준 9 4 2 5 3 3" xfId="49646"/>
    <cellStyle name="표준 9 4 2 5 3 3 2" xfId="49647"/>
    <cellStyle name="표준 9 4 2 5 3 3 3" xfId="49648"/>
    <cellStyle name="표준 9 4 2 5 3 4" xfId="49649"/>
    <cellStyle name="표준 9 4 2 5 3 5" xfId="49650"/>
    <cellStyle name="표준 9 4 2 5 4" xfId="49651"/>
    <cellStyle name="표준 9 4 2 5 4 2" xfId="49652"/>
    <cellStyle name="표준 9 4 2 5 4 2 2" xfId="49653"/>
    <cellStyle name="표준 9 4 2 5 4 2 3" xfId="49654"/>
    <cellStyle name="표준 9 4 2 5 4 3" xfId="49655"/>
    <cellStyle name="표준 9 4 2 5 4 4" xfId="49656"/>
    <cellStyle name="표준 9 4 2 5 5" xfId="49657"/>
    <cellStyle name="표준 9 4 2 5 5 2" xfId="49658"/>
    <cellStyle name="표준 9 4 2 5 5 3" xfId="49659"/>
    <cellStyle name="표준 9 4 2 5 6" xfId="49660"/>
    <cellStyle name="표준 9 4 2 5 7" xfId="49661"/>
    <cellStyle name="표준 9 4 2 6" xfId="49662"/>
    <cellStyle name="표준 9 4 2 6 2" xfId="49663"/>
    <cellStyle name="표준 9 4 2 6 2 2" xfId="49664"/>
    <cellStyle name="표준 9 4 2 6 2 2 2" xfId="49665"/>
    <cellStyle name="표준 9 4 2 6 2 2 2 2" xfId="49666"/>
    <cellStyle name="표준 9 4 2 6 2 2 2 3" xfId="49667"/>
    <cellStyle name="표준 9 4 2 6 2 2 3" xfId="49668"/>
    <cellStyle name="표준 9 4 2 6 2 2 4" xfId="49669"/>
    <cellStyle name="표준 9 4 2 6 2 3" xfId="49670"/>
    <cellStyle name="표준 9 4 2 6 2 3 2" xfId="49671"/>
    <cellStyle name="표준 9 4 2 6 2 3 3" xfId="49672"/>
    <cellStyle name="표준 9 4 2 6 2 4" xfId="49673"/>
    <cellStyle name="표준 9 4 2 6 2 5" xfId="49674"/>
    <cellStyle name="표준 9 4 2 6 3" xfId="49675"/>
    <cellStyle name="표준 9 4 2 6 3 2" xfId="49676"/>
    <cellStyle name="표준 9 4 2 6 3 2 2" xfId="49677"/>
    <cellStyle name="표준 9 4 2 6 3 2 2 2" xfId="49678"/>
    <cellStyle name="표준 9 4 2 6 3 2 2 3" xfId="49679"/>
    <cellStyle name="표준 9 4 2 6 3 2 3" xfId="49680"/>
    <cellStyle name="표준 9 4 2 6 3 2 4" xfId="49681"/>
    <cellStyle name="표준 9 4 2 6 3 3" xfId="49682"/>
    <cellStyle name="표준 9 4 2 6 3 3 2" xfId="49683"/>
    <cellStyle name="표준 9 4 2 6 3 3 3" xfId="49684"/>
    <cellStyle name="표준 9 4 2 6 3 4" xfId="49685"/>
    <cellStyle name="표준 9 4 2 6 3 5" xfId="49686"/>
    <cellStyle name="표준 9 4 2 6 4" xfId="49687"/>
    <cellStyle name="표준 9 4 2 6 4 2" xfId="49688"/>
    <cellStyle name="표준 9 4 2 6 4 2 2" xfId="49689"/>
    <cellStyle name="표준 9 4 2 6 4 2 3" xfId="49690"/>
    <cellStyle name="표준 9 4 2 6 4 3" xfId="49691"/>
    <cellStyle name="표준 9 4 2 6 4 4" xfId="49692"/>
    <cellStyle name="표준 9 4 2 6 5" xfId="49693"/>
    <cellStyle name="표준 9 4 2 6 5 2" xfId="49694"/>
    <cellStyle name="표준 9 4 2 6 5 3" xfId="49695"/>
    <cellStyle name="표준 9 4 2 6 6" xfId="49696"/>
    <cellStyle name="표준 9 4 2 6 7" xfId="49697"/>
    <cellStyle name="표준 9 4 2 7" xfId="49698"/>
    <cellStyle name="표준 9 4 2 7 2" xfId="49699"/>
    <cellStyle name="표준 9 4 2 7 2 2" xfId="49700"/>
    <cellStyle name="표준 9 4 2 7 2 2 2" xfId="49701"/>
    <cellStyle name="표준 9 4 2 7 2 2 3" xfId="49702"/>
    <cellStyle name="표준 9 4 2 7 2 3" xfId="49703"/>
    <cellStyle name="표준 9 4 2 7 2 4" xfId="49704"/>
    <cellStyle name="표준 9 4 2 7 3" xfId="49705"/>
    <cellStyle name="표준 9 4 2 7 3 2" xfId="49706"/>
    <cellStyle name="표준 9 4 2 7 3 3" xfId="49707"/>
    <cellStyle name="표준 9 4 2 7 4" xfId="49708"/>
    <cellStyle name="표준 9 4 2 7 5" xfId="49709"/>
    <cellStyle name="표준 9 4 2 8" xfId="49710"/>
    <cellStyle name="표준 9 4 2 8 2" xfId="49711"/>
    <cellStyle name="표준 9 4 2 8 2 2" xfId="49712"/>
    <cellStyle name="표준 9 4 2 8 2 2 2" xfId="49713"/>
    <cellStyle name="표준 9 4 2 8 2 2 3" xfId="49714"/>
    <cellStyle name="표준 9 4 2 8 2 3" xfId="49715"/>
    <cellStyle name="표준 9 4 2 8 2 4" xfId="49716"/>
    <cellStyle name="표준 9 4 2 8 3" xfId="49717"/>
    <cellStyle name="표준 9 4 2 8 3 2" xfId="49718"/>
    <cellStyle name="표준 9 4 2 8 3 3" xfId="49719"/>
    <cellStyle name="표준 9 4 2 8 4" xfId="49720"/>
    <cellStyle name="표준 9 4 2 8 5" xfId="49721"/>
    <cellStyle name="표준 9 4 2 9" xfId="49722"/>
    <cellStyle name="표준 9 4 2 9 2" xfId="49723"/>
    <cellStyle name="표준 9 4 2 9 2 2" xfId="49724"/>
    <cellStyle name="표준 9 4 2 9 2 2 2" xfId="49725"/>
    <cellStyle name="표준 9 4 2 9 2 2 3" xfId="49726"/>
    <cellStyle name="표준 9 4 2 9 2 3" xfId="49727"/>
    <cellStyle name="표준 9 4 2 9 2 4" xfId="49728"/>
    <cellStyle name="표준 9 4 2 9 3" xfId="49729"/>
    <cellStyle name="표준 9 4 2 9 3 2" xfId="49730"/>
    <cellStyle name="표준 9 4 2 9 3 3" xfId="49731"/>
    <cellStyle name="표준 9 4 2 9 4" xfId="49732"/>
    <cellStyle name="표준 9 4 2 9 5" xfId="49733"/>
    <cellStyle name="표준 9 4 3" xfId="49734"/>
    <cellStyle name="표준 9 4 3 10" xfId="49735"/>
    <cellStyle name="표준 9 4 3 2" xfId="49736"/>
    <cellStyle name="표준 9 4 3 2 2" xfId="49737"/>
    <cellStyle name="표준 9 4 3 2 2 2" xfId="49738"/>
    <cellStyle name="표준 9 4 3 2 2 2 2" xfId="49739"/>
    <cellStyle name="표준 9 4 3 2 2 2 2 2" xfId="49740"/>
    <cellStyle name="표준 9 4 3 2 2 2 2 3" xfId="49741"/>
    <cellStyle name="표준 9 4 3 2 2 2 3" xfId="49742"/>
    <cellStyle name="표준 9 4 3 2 2 2 4" xfId="49743"/>
    <cellStyle name="표준 9 4 3 2 2 3" xfId="49744"/>
    <cellStyle name="표준 9 4 3 2 2 3 2" xfId="49745"/>
    <cellStyle name="표준 9 4 3 2 2 3 3" xfId="49746"/>
    <cellStyle name="표준 9 4 3 2 2 4" xfId="49747"/>
    <cellStyle name="표준 9 4 3 2 2 5" xfId="49748"/>
    <cellStyle name="표준 9 4 3 2 3" xfId="49749"/>
    <cellStyle name="표준 9 4 3 2 3 2" xfId="49750"/>
    <cellStyle name="표준 9 4 3 2 3 2 2" xfId="49751"/>
    <cellStyle name="표준 9 4 3 2 3 2 2 2" xfId="49752"/>
    <cellStyle name="표준 9 4 3 2 3 2 2 3" xfId="49753"/>
    <cellStyle name="표준 9 4 3 2 3 2 3" xfId="49754"/>
    <cellStyle name="표준 9 4 3 2 3 2 4" xfId="49755"/>
    <cellStyle name="표준 9 4 3 2 3 3" xfId="49756"/>
    <cellStyle name="표준 9 4 3 2 3 3 2" xfId="49757"/>
    <cellStyle name="표준 9 4 3 2 3 3 3" xfId="49758"/>
    <cellStyle name="표준 9 4 3 2 3 4" xfId="49759"/>
    <cellStyle name="표준 9 4 3 2 3 5" xfId="49760"/>
    <cellStyle name="표준 9 4 3 2 4" xfId="49761"/>
    <cellStyle name="표준 9 4 3 2 4 2" xfId="49762"/>
    <cellStyle name="표준 9 4 3 2 4 2 2" xfId="49763"/>
    <cellStyle name="표준 9 4 3 2 4 2 3" xfId="49764"/>
    <cellStyle name="표준 9 4 3 2 4 3" xfId="49765"/>
    <cellStyle name="표준 9 4 3 2 4 4" xfId="49766"/>
    <cellStyle name="표준 9 4 3 2 5" xfId="49767"/>
    <cellStyle name="표준 9 4 3 2 5 2" xfId="49768"/>
    <cellStyle name="표준 9 4 3 2 5 3" xfId="49769"/>
    <cellStyle name="표준 9 4 3 2 6" xfId="49770"/>
    <cellStyle name="표준 9 4 3 2 7" xfId="49771"/>
    <cellStyle name="표준 9 4 3 3" xfId="49772"/>
    <cellStyle name="표준 9 4 3 3 2" xfId="49773"/>
    <cellStyle name="표준 9 4 3 3 2 2" xfId="49774"/>
    <cellStyle name="표준 9 4 3 3 2 2 2" xfId="49775"/>
    <cellStyle name="표준 9 4 3 3 2 2 2 2" xfId="49776"/>
    <cellStyle name="표준 9 4 3 3 2 2 2 3" xfId="49777"/>
    <cellStyle name="표준 9 4 3 3 2 2 3" xfId="49778"/>
    <cellStyle name="표준 9 4 3 3 2 2 4" xfId="49779"/>
    <cellStyle name="표준 9 4 3 3 2 3" xfId="49780"/>
    <cellStyle name="표준 9 4 3 3 2 3 2" xfId="49781"/>
    <cellStyle name="표준 9 4 3 3 2 3 3" xfId="49782"/>
    <cellStyle name="표준 9 4 3 3 2 4" xfId="49783"/>
    <cellStyle name="표준 9 4 3 3 2 5" xfId="49784"/>
    <cellStyle name="표준 9 4 3 3 3" xfId="49785"/>
    <cellStyle name="표준 9 4 3 3 3 2" xfId="49786"/>
    <cellStyle name="표준 9 4 3 3 3 2 2" xfId="49787"/>
    <cellStyle name="표준 9 4 3 3 3 2 2 2" xfId="49788"/>
    <cellStyle name="표준 9 4 3 3 3 2 2 3" xfId="49789"/>
    <cellStyle name="표준 9 4 3 3 3 2 3" xfId="49790"/>
    <cellStyle name="표준 9 4 3 3 3 2 4" xfId="49791"/>
    <cellStyle name="표준 9 4 3 3 3 3" xfId="49792"/>
    <cellStyle name="표준 9 4 3 3 3 3 2" xfId="49793"/>
    <cellStyle name="표준 9 4 3 3 3 3 3" xfId="49794"/>
    <cellStyle name="표준 9 4 3 3 3 4" xfId="49795"/>
    <cellStyle name="표준 9 4 3 3 3 5" xfId="49796"/>
    <cellStyle name="표준 9 4 3 3 4" xfId="49797"/>
    <cellStyle name="표준 9 4 3 3 4 2" xfId="49798"/>
    <cellStyle name="표준 9 4 3 3 4 2 2" xfId="49799"/>
    <cellStyle name="표준 9 4 3 3 4 2 3" xfId="49800"/>
    <cellStyle name="표준 9 4 3 3 4 3" xfId="49801"/>
    <cellStyle name="표준 9 4 3 3 4 4" xfId="49802"/>
    <cellStyle name="표준 9 4 3 3 5" xfId="49803"/>
    <cellStyle name="표준 9 4 3 3 5 2" xfId="49804"/>
    <cellStyle name="표준 9 4 3 3 5 3" xfId="49805"/>
    <cellStyle name="표준 9 4 3 3 6" xfId="49806"/>
    <cellStyle name="표준 9 4 3 3 7" xfId="49807"/>
    <cellStyle name="표준 9 4 3 4" xfId="49808"/>
    <cellStyle name="표준 9 4 3 4 2" xfId="49809"/>
    <cellStyle name="표준 9 4 3 4 2 2" xfId="49810"/>
    <cellStyle name="표준 9 4 3 4 2 2 2" xfId="49811"/>
    <cellStyle name="표준 9 4 3 4 2 2 3" xfId="49812"/>
    <cellStyle name="표준 9 4 3 4 2 3" xfId="49813"/>
    <cellStyle name="표준 9 4 3 4 2 4" xfId="49814"/>
    <cellStyle name="표준 9 4 3 4 3" xfId="49815"/>
    <cellStyle name="표준 9 4 3 4 3 2" xfId="49816"/>
    <cellStyle name="표준 9 4 3 4 3 3" xfId="49817"/>
    <cellStyle name="표준 9 4 3 4 4" xfId="49818"/>
    <cellStyle name="표준 9 4 3 4 5" xfId="49819"/>
    <cellStyle name="표준 9 4 3 5" xfId="49820"/>
    <cellStyle name="표준 9 4 3 5 2" xfId="49821"/>
    <cellStyle name="표준 9 4 3 5 2 2" xfId="49822"/>
    <cellStyle name="표준 9 4 3 5 2 2 2" xfId="49823"/>
    <cellStyle name="표준 9 4 3 5 2 2 3" xfId="49824"/>
    <cellStyle name="표준 9 4 3 5 2 3" xfId="49825"/>
    <cellStyle name="표준 9 4 3 5 2 4" xfId="49826"/>
    <cellStyle name="표준 9 4 3 5 3" xfId="49827"/>
    <cellStyle name="표준 9 4 3 5 3 2" xfId="49828"/>
    <cellStyle name="표준 9 4 3 5 3 3" xfId="49829"/>
    <cellStyle name="표준 9 4 3 5 4" xfId="49830"/>
    <cellStyle name="표준 9 4 3 5 5" xfId="49831"/>
    <cellStyle name="표준 9 4 3 6" xfId="49832"/>
    <cellStyle name="표준 9 4 3 6 2" xfId="49833"/>
    <cellStyle name="표준 9 4 3 6 2 2" xfId="49834"/>
    <cellStyle name="표준 9 4 3 6 2 2 2" xfId="49835"/>
    <cellStyle name="표준 9 4 3 6 2 2 3" xfId="49836"/>
    <cellStyle name="표준 9 4 3 6 2 3" xfId="49837"/>
    <cellStyle name="표준 9 4 3 6 2 4" xfId="49838"/>
    <cellStyle name="표준 9 4 3 6 3" xfId="49839"/>
    <cellStyle name="표준 9 4 3 6 3 2" xfId="49840"/>
    <cellStyle name="표준 9 4 3 6 3 3" xfId="49841"/>
    <cellStyle name="표준 9 4 3 6 4" xfId="49842"/>
    <cellStyle name="표준 9 4 3 6 5" xfId="49843"/>
    <cellStyle name="표준 9 4 3 7" xfId="49844"/>
    <cellStyle name="표준 9 4 3 7 2" xfId="49845"/>
    <cellStyle name="표준 9 4 3 7 2 2" xfId="49846"/>
    <cellStyle name="표준 9 4 3 7 2 3" xfId="49847"/>
    <cellStyle name="표준 9 4 3 7 3" xfId="49848"/>
    <cellStyle name="표준 9 4 3 7 4" xfId="49849"/>
    <cellStyle name="표준 9 4 3 8" xfId="49850"/>
    <cellStyle name="표준 9 4 3 8 2" xfId="49851"/>
    <cellStyle name="표준 9 4 3 8 3" xfId="49852"/>
    <cellStyle name="표준 9 4 3 9" xfId="49853"/>
    <cellStyle name="표준 9 4 4" xfId="49854"/>
    <cellStyle name="표준 9 4 4 10" xfId="49855"/>
    <cellStyle name="표준 9 4 4 2" xfId="49856"/>
    <cellStyle name="표준 9 4 4 2 2" xfId="49857"/>
    <cellStyle name="표준 9 4 4 2 2 2" xfId="49858"/>
    <cellStyle name="표준 9 4 4 2 2 2 2" xfId="49859"/>
    <cellStyle name="표준 9 4 4 2 2 2 2 2" xfId="49860"/>
    <cellStyle name="표준 9 4 4 2 2 2 2 3" xfId="49861"/>
    <cellStyle name="표준 9 4 4 2 2 2 3" xfId="49862"/>
    <cellStyle name="표준 9 4 4 2 2 2 4" xfId="49863"/>
    <cellStyle name="표준 9 4 4 2 2 3" xfId="49864"/>
    <cellStyle name="표준 9 4 4 2 2 3 2" xfId="49865"/>
    <cellStyle name="표준 9 4 4 2 2 3 3" xfId="49866"/>
    <cellStyle name="표준 9 4 4 2 2 4" xfId="49867"/>
    <cellStyle name="표준 9 4 4 2 2 5" xfId="49868"/>
    <cellStyle name="표준 9 4 4 2 3" xfId="49869"/>
    <cellStyle name="표준 9 4 4 2 3 2" xfId="49870"/>
    <cellStyle name="표준 9 4 4 2 3 2 2" xfId="49871"/>
    <cellStyle name="표준 9 4 4 2 3 2 2 2" xfId="49872"/>
    <cellStyle name="표준 9 4 4 2 3 2 2 3" xfId="49873"/>
    <cellStyle name="표준 9 4 4 2 3 2 3" xfId="49874"/>
    <cellStyle name="표준 9 4 4 2 3 2 4" xfId="49875"/>
    <cellStyle name="표준 9 4 4 2 3 3" xfId="49876"/>
    <cellStyle name="표준 9 4 4 2 3 3 2" xfId="49877"/>
    <cellStyle name="표준 9 4 4 2 3 3 3" xfId="49878"/>
    <cellStyle name="표준 9 4 4 2 3 4" xfId="49879"/>
    <cellStyle name="표준 9 4 4 2 3 5" xfId="49880"/>
    <cellStyle name="표준 9 4 4 2 4" xfId="49881"/>
    <cellStyle name="표준 9 4 4 2 4 2" xfId="49882"/>
    <cellStyle name="표준 9 4 4 2 4 2 2" xfId="49883"/>
    <cellStyle name="표준 9 4 4 2 4 2 3" xfId="49884"/>
    <cellStyle name="표준 9 4 4 2 4 3" xfId="49885"/>
    <cellStyle name="표준 9 4 4 2 4 4" xfId="49886"/>
    <cellStyle name="표준 9 4 4 2 5" xfId="49887"/>
    <cellStyle name="표준 9 4 4 2 5 2" xfId="49888"/>
    <cellStyle name="표준 9 4 4 2 5 3" xfId="49889"/>
    <cellStyle name="표준 9 4 4 2 6" xfId="49890"/>
    <cellStyle name="표준 9 4 4 2 7" xfId="49891"/>
    <cellStyle name="표준 9 4 4 3" xfId="49892"/>
    <cellStyle name="표준 9 4 4 3 2" xfId="49893"/>
    <cellStyle name="표준 9 4 4 3 2 2" xfId="49894"/>
    <cellStyle name="표준 9 4 4 3 2 2 2" xfId="49895"/>
    <cellStyle name="표준 9 4 4 3 2 2 2 2" xfId="49896"/>
    <cellStyle name="표준 9 4 4 3 2 2 2 3" xfId="49897"/>
    <cellStyle name="표준 9 4 4 3 2 2 3" xfId="49898"/>
    <cellStyle name="표준 9 4 4 3 2 2 4" xfId="49899"/>
    <cellStyle name="표준 9 4 4 3 2 3" xfId="49900"/>
    <cellStyle name="표준 9 4 4 3 2 3 2" xfId="49901"/>
    <cellStyle name="표준 9 4 4 3 2 3 3" xfId="49902"/>
    <cellStyle name="표준 9 4 4 3 2 4" xfId="49903"/>
    <cellStyle name="표준 9 4 4 3 2 5" xfId="49904"/>
    <cellStyle name="표준 9 4 4 3 3" xfId="49905"/>
    <cellStyle name="표준 9 4 4 3 3 2" xfId="49906"/>
    <cellStyle name="표준 9 4 4 3 3 2 2" xfId="49907"/>
    <cellStyle name="표준 9 4 4 3 3 2 2 2" xfId="49908"/>
    <cellStyle name="표준 9 4 4 3 3 2 2 3" xfId="49909"/>
    <cellStyle name="표준 9 4 4 3 3 2 3" xfId="49910"/>
    <cellStyle name="표준 9 4 4 3 3 2 4" xfId="49911"/>
    <cellStyle name="표준 9 4 4 3 3 3" xfId="49912"/>
    <cellStyle name="표준 9 4 4 3 3 3 2" xfId="49913"/>
    <cellStyle name="표준 9 4 4 3 3 3 3" xfId="49914"/>
    <cellStyle name="표준 9 4 4 3 3 4" xfId="49915"/>
    <cellStyle name="표준 9 4 4 3 3 5" xfId="49916"/>
    <cellStyle name="표준 9 4 4 3 4" xfId="49917"/>
    <cellStyle name="표준 9 4 4 3 4 2" xfId="49918"/>
    <cellStyle name="표준 9 4 4 3 4 2 2" xfId="49919"/>
    <cellStyle name="표준 9 4 4 3 4 2 3" xfId="49920"/>
    <cellStyle name="표준 9 4 4 3 4 3" xfId="49921"/>
    <cellStyle name="표준 9 4 4 3 4 4" xfId="49922"/>
    <cellStyle name="표준 9 4 4 3 5" xfId="49923"/>
    <cellStyle name="표준 9 4 4 3 5 2" xfId="49924"/>
    <cellStyle name="표준 9 4 4 3 5 3" xfId="49925"/>
    <cellStyle name="표준 9 4 4 3 6" xfId="49926"/>
    <cellStyle name="표준 9 4 4 3 7" xfId="49927"/>
    <cellStyle name="표준 9 4 4 4" xfId="49928"/>
    <cellStyle name="표준 9 4 4 4 2" xfId="49929"/>
    <cellStyle name="표준 9 4 4 4 2 2" xfId="49930"/>
    <cellStyle name="표준 9 4 4 4 2 2 2" xfId="49931"/>
    <cellStyle name="표준 9 4 4 4 2 2 3" xfId="49932"/>
    <cellStyle name="표준 9 4 4 4 2 3" xfId="49933"/>
    <cellStyle name="표준 9 4 4 4 2 4" xfId="49934"/>
    <cellStyle name="표준 9 4 4 4 3" xfId="49935"/>
    <cellStyle name="표준 9 4 4 4 3 2" xfId="49936"/>
    <cellStyle name="표준 9 4 4 4 3 3" xfId="49937"/>
    <cellStyle name="표준 9 4 4 4 4" xfId="49938"/>
    <cellStyle name="표준 9 4 4 4 5" xfId="49939"/>
    <cellStyle name="표준 9 4 4 5" xfId="49940"/>
    <cellStyle name="표준 9 4 4 5 2" xfId="49941"/>
    <cellStyle name="표준 9 4 4 5 2 2" xfId="49942"/>
    <cellStyle name="표준 9 4 4 5 2 2 2" xfId="49943"/>
    <cellStyle name="표준 9 4 4 5 2 2 3" xfId="49944"/>
    <cellStyle name="표준 9 4 4 5 2 3" xfId="49945"/>
    <cellStyle name="표준 9 4 4 5 2 4" xfId="49946"/>
    <cellStyle name="표준 9 4 4 5 3" xfId="49947"/>
    <cellStyle name="표준 9 4 4 5 3 2" xfId="49948"/>
    <cellStyle name="표준 9 4 4 5 3 3" xfId="49949"/>
    <cellStyle name="표준 9 4 4 5 4" xfId="49950"/>
    <cellStyle name="표준 9 4 4 5 5" xfId="49951"/>
    <cellStyle name="표준 9 4 4 6" xfId="49952"/>
    <cellStyle name="표준 9 4 4 6 2" xfId="49953"/>
    <cellStyle name="표준 9 4 4 6 2 2" xfId="49954"/>
    <cellStyle name="표준 9 4 4 6 2 2 2" xfId="49955"/>
    <cellStyle name="표준 9 4 4 6 2 2 3" xfId="49956"/>
    <cellStyle name="표준 9 4 4 6 2 3" xfId="49957"/>
    <cellStyle name="표준 9 4 4 6 2 4" xfId="49958"/>
    <cellStyle name="표준 9 4 4 6 3" xfId="49959"/>
    <cellStyle name="표준 9 4 4 6 3 2" xfId="49960"/>
    <cellStyle name="표준 9 4 4 6 3 3" xfId="49961"/>
    <cellStyle name="표준 9 4 4 6 4" xfId="49962"/>
    <cellStyle name="표준 9 4 4 6 5" xfId="49963"/>
    <cellStyle name="표준 9 4 4 7" xfId="49964"/>
    <cellStyle name="표준 9 4 4 7 2" xfId="49965"/>
    <cellStyle name="표준 9 4 4 7 2 2" xfId="49966"/>
    <cellStyle name="표준 9 4 4 7 2 3" xfId="49967"/>
    <cellStyle name="표준 9 4 4 7 3" xfId="49968"/>
    <cellStyle name="표준 9 4 4 7 4" xfId="49969"/>
    <cellStyle name="표준 9 4 4 8" xfId="49970"/>
    <cellStyle name="표준 9 4 4 8 2" xfId="49971"/>
    <cellStyle name="표준 9 4 4 8 3" xfId="49972"/>
    <cellStyle name="표준 9 4 4 9" xfId="49973"/>
    <cellStyle name="표준 9 4 5" xfId="49974"/>
    <cellStyle name="표준 9 4 5 10" xfId="49975"/>
    <cellStyle name="표준 9 4 5 2" xfId="49976"/>
    <cellStyle name="표준 9 4 5 2 2" xfId="49977"/>
    <cellStyle name="표준 9 4 5 2 2 2" xfId="49978"/>
    <cellStyle name="표준 9 4 5 2 2 2 2" xfId="49979"/>
    <cellStyle name="표준 9 4 5 2 2 2 2 2" xfId="49980"/>
    <cellStyle name="표준 9 4 5 2 2 2 2 3" xfId="49981"/>
    <cellStyle name="표준 9 4 5 2 2 2 3" xfId="49982"/>
    <cellStyle name="표준 9 4 5 2 2 2 4" xfId="49983"/>
    <cellStyle name="표준 9 4 5 2 2 3" xfId="49984"/>
    <cellStyle name="표준 9 4 5 2 2 3 2" xfId="49985"/>
    <cellStyle name="표준 9 4 5 2 2 3 3" xfId="49986"/>
    <cellStyle name="표준 9 4 5 2 2 4" xfId="49987"/>
    <cellStyle name="표준 9 4 5 2 2 5" xfId="49988"/>
    <cellStyle name="표준 9 4 5 2 3" xfId="49989"/>
    <cellStyle name="표준 9 4 5 2 3 2" xfId="49990"/>
    <cellStyle name="표준 9 4 5 2 3 2 2" xfId="49991"/>
    <cellStyle name="표준 9 4 5 2 3 2 2 2" xfId="49992"/>
    <cellStyle name="표준 9 4 5 2 3 2 2 3" xfId="49993"/>
    <cellStyle name="표준 9 4 5 2 3 2 3" xfId="49994"/>
    <cellStyle name="표준 9 4 5 2 3 2 4" xfId="49995"/>
    <cellStyle name="표준 9 4 5 2 3 3" xfId="49996"/>
    <cellStyle name="표준 9 4 5 2 3 3 2" xfId="49997"/>
    <cellStyle name="표준 9 4 5 2 3 3 3" xfId="49998"/>
    <cellStyle name="표준 9 4 5 2 3 4" xfId="49999"/>
    <cellStyle name="표준 9 4 5 2 3 5" xfId="50000"/>
    <cellStyle name="표준 9 4 5 2 4" xfId="50001"/>
    <cellStyle name="표준 9 4 5 2 4 2" xfId="50002"/>
    <cellStyle name="표준 9 4 5 2 4 2 2" xfId="50003"/>
    <cellStyle name="표준 9 4 5 2 4 2 3" xfId="50004"/>
    <cellStyle name="표준 9 4 5 2 4 3" xfId="50005"/>
    <cellStyle name="표준 9 4 5 2 4 4" xfId="50006"/>
    <cellStyle name="표준 9 4 5 2 5" xfId="50007"/>
    <cellStyle name="표준 9 4 5 2 5 2" xfId="50008"/>
    <cellStyle name="표준 9 4 5 2 5 3" xfId="50009"/>
    <cellStyle name="표준 9 4 5 2 6" xfId="50010"/>
    <cellStyle name="표준 9 4 5 2 7" xfId="50011"/>
    <cellStyle name="표준 9 4 5 3" xfId="50012"/>
    <cellStyle name="표준 9 4 5 3 2" xfId="50013"/>
    <cellStyle name="표준 9 4 5 3 2 2" xfId="50014"/>
    <cellStyle name="표준 9 4 5 3 2 2 2" xfId="50015"/>
    <cellStyle name="표준 9 4 5 3 2 2 2 2" xfId="50016"/>
    <cellStyle name="표준 9 4 5 3 2 2 2 3" xfId="50017"/>
    <cellStyle name="표준 9 4 5 3 2 2 3" xfId="50018"/>
    <cellStyle name="표준 9 4 5 3 2 2 4" xfId="50019"/>
    <cellStyle name="표준 9 4 5 3 2 3" xfId="50020"/>
    <cellStyle name="표준 9 4 5 3 2 3 2" xfId="50021"/>
    <cellStyle name="표준 9 4 5 3 2 3 3" xfId="50022"/>
    <cellStyle name="표준 9 4 5 3 2 4" xfId="50023"/>
    <cellStyle name="표준 9 4 5 3 2 5" xfId="50024"/>
    <cellStyle name="표준 9 4 5 3 3" xfId="50025"/>
    <cellStyle name="표준 9 4 5 3 3 2" xfId="50026"/>
    <cellStyle name="표준 9 4 5 3 3 2 2" xfId="50027"/>
    <cellStyle name="표준 9 4 5 3 3 2 2 2" xfId="50028"/>
    <cellStyle name="표준 9 4 5 3 3 2 2 3" xfId="50029"/>
    <cellStyle name="표준 9 4 5 3 3 2 3" xfId="50030"/>
    <cellStyle name="표준 9 4 5 3 3 2 4" xfId="50031"/>
    <cellStyle name="표준 9 4 5 3 3 3" xfId="50032"/>
    <cellStyle name="표준 9 4 5 3 3 3 2" xfId="50033"/>
    <cellStyle name="표준 9 4 5 3 3 3 3" xfId="50034"/>
    <cellStyle name="표준 9 4 5 3 3 4" xfId="50035"/>
    <cellStyle name="표준 9 4 5 3 3 5" xfId="50036"/>
    <cellStyle name="표준 9 4 5 3 4" xfId="50037"/>
    <cellStyle name="표준 9 4 5 3 4 2" xfId="50038"/>
    <cellStyle name="표준 9 4 5 3 4 2 2" xfId="50039"/>
    <cellStyle name="표준 9 4 5 3 4 2 3" xfId="50040"/>
    <cellStyle name="표준 9 4 5 3 4 3" xfId="50041"/>
    <cellStyle name="표준 9 4 5 3 4 4" xfId="50042"/>
    <cellStyle name="표준 9 4 5 3 5" xfId="50043"/>
    <cellStyle name="표준 9 4 5 3 5 2" xfId="50044"/>
    <cellStyle name="표준 9 4 5 3 5 3" xfId="50045"/>
    <cellStyle name="표준 9 4 5 3 6" xfId="50046"/>
    <cellStyle name="표준 9 4 5 3 7" xfId="50047"/>
    <cellStyle name="표준 9 4 5 4" xfId="50048"/>
    <cellStyle name="표준 9 4 5 4 2" xfId="50049"/>
    <cellStyle name="표준 9 4 5 4 2 2" xfId="50050"/>
    <cellStyle name="표준 9 4 5 4 2 2 2" xfId="50051"/>
    <cellStyle name="표준 9 4 5 4 2 2 3" xfId="50052"/>
    <cellStyle name="표준 9 4 5 4 2 3" xfId="50053"/>
    <cellStyle name="표준 9 4 5 4 2 4" xfId="50054"/>
    <cellStyle name="표준 9 4 5 4 3" xfId="50055"/>
    <cellStyle name="표준 9 4 5 4 3 2" xfId="50056"/>
    <cellStyle name="표준 9 4 5 4 3 3" xfId="50057"/>
    <cellStyle name="표준 9 4 5 4 4" xfId="50058"/>
    <cellStyle name="표준 9 4 5 4 5" xfId="50059"/>
    <cellStyle name="표준 9 4 5 5" xfId="50060"/>
    <cellStyle name="표준 9 4 5 5 2" xfId="50061"/>
    <cellStyle name="표준 9 4 5 5 2 2" xfId="50062"/>
    <cellStyle name="표준 9 4 5 5 2 2 2" xfId="50063"/>
    <cellStyle name="표준 9 4 5 5 2 2 3" xfId="50064"/>
    <cellStyle name="표준 9 4 5 5 2 3" xfId="50065"/>
    <cellStyle name="표준 9 4 5 5 2 4" xfId="50066"/>
    <cellStyle name="표준 9 4 5 5 3" xfId="50067"/>
    <cellStyle name="표준 9 4 5 5 3 2" xfId="50068"/>
    <cellStyle name="표준 9 4 5 5 3 3" xfId="50069"/>
    <cellStyle name="표준 9 4 5 5 4" xfId="50070"/>
    <cellStyle name="표준 9 4 5 5 5" xfId="50071"/>
    <cellStyle name="표준 9 4 5 6" xfId="50072"/>
    <cellStyle name="표준 9 4 5 6 2" xfId="50073"/>
    <cellStyle name="표준 9 4 5 6 2 2" xfId="50074"/>
    <cellStyle name="표준 9 4 5 6 2 2 2" xfId="50075"/>
    <cellStyle name="표준 9 4 5 6 2 2 3" xfId="50076"/>
    <cellStyle name="표준 9 4 5 6 2 3" xfId="50077"/>
    <cellStyle name="표준 9 4 5 6 2 4" xfId="50078"/>
    <cellStyle name="표준 9 4 5 6 3" xfId="50079"/>
    <cellStyle name="표준 9 4 5 6 3 2" xfId="50080"/>
    <cellStyle name="표준 9 4 5 6 3 3" xfId="50081"/>
    <cellStyle name="표준 9 4 5 6 4" xfId="50082"/>
    <cellStyle name="표준 9 4 5 6 5" xfId="50083"/>
    <cellStyle name="표준 9 4 5 7" xfId="50084"/>
    <cellStyle name="표준 9 4 5 7 2" xfId="50085"/>
    <cellStyle name="표준 9 4 5 7 2 2" xfId="50086"/>
    <cellStyle name="표준 9 4 5 7 2 3" xfId="50087"/>
    <cellStyle name="표준 9 4 5 7 3" xfId="50088"/>
    <cellStyle name="표준 9 4 5 7 4" xfId="50089"/>
    <cellStyle name="표준 9 4 5 8" xfId="50090"/>
    <cellStyle name="표준 9 4 5 8 2" xfId="50091"/>
    <cellStyle name="표준 9 4 5 8 3" xfId="50092"/>
    <cellStyle name="표준 9 4 5 9" xfId="50093"/>
    <cellStyle name="표준 9 4 6" xfId="50094"/>
    <cellStyle name="표준 9 4 6 2" xfId="50095"/>
    <cellStyle name="표준 9 4 6 2 2" xfId="50096"/>
    <cellStyle name="표준 9 4 6 2 2 2" xfId="50097"/>
    <cellStyle name="표준 9 4 6 2 2 2 2" xfId="50098"/>
    <cellStyle name="표준 9 4 6 2 2 2 3" xfId="50099"/>
    <cellStyle name="표준 9 4 6 2 2 3" xfId="50100"/>
    <cellStyle name="표준 9 4 6 2 2 4" xfId="50101"/>
    <cellStyle name="표준 9 4 6 2 3" xfId="50102"/>
    <cellStyle name="표준 9 4 6 2 3 2" xfId="50103"/>
    <cellStyle name="표준 9 4 6 2 3 3" xfId="50104"/>
    <cellStyle name="표준 9 4 6 2 4" xfId="50105"/>
    <cellStyle name="표준 9 4 6 2 5" xfId="50106"/>
    <cellStyle name="표준 9 4 6 3" xfId="50107"/>
    <cellStyle name="표준 9 4 6 3 2" xfId="50108"/>
    <cellStyle name="표준 9 4 6 3 2 2" xfId="50109"/>
    <cellStyle name="표준 9 4 6 3 2 2 2" xfId="50110"/>
    <cellStyle name="표준 9 4 6 3 2 2 3" xfId="50111"/>
    <cellStyle name="표준 9 4 6 3 2 3" xfId="50112"/>
    <cellStyle name="표준 9 4 6 3 2 4" xfId="50113"/>
    <cellStyle name="표준 9 4 6 3 3" xfId="50114"/>
    <cellStyle name="표준 9 4 6 3 3 2" xfId="50115"/>
    <cellStyle name="표준 9 4 6 3 3 3" xfId="50116"/>
    <cellStyle name="표준 9 4 6 3 4" xfId="50117"/>
    <cellStyle name="표준 9 4 6 3 5" xfId="50118"/>
    <cellStyle name="표준 9 4 6 4" xfId="50119"/>
    <cellStyle name="표준 9 4 6 4 2" xfId="50120"/>
    <cellStyle name="표준 9 4 6 4 2 2" xfId="50121"/>
    <cellStyle name="표준 9 4 6 4 2 3" xfId="50122"/>
    <cellStyle name="표준 9 4 6 4 3" xfId="50123"/>
    <cellStyle name="표준 9 4 6 4 4" xfId="50124"/>
    <cellStyle name="표준 9 4 6 5" xfId="50125"/>
    <cellStyle name="표준 9 4 6 5 2" xfId="50126"/>
    <cellStyle name="표준 9 4 6 5 3" xfId="50127"/>
    <cellStyle name="표준 9 4 6 6" xfId="50128"/>
    <cellStyle name="표준 9 4 6 7" xfId="50129"/>
    <cellStyle name="표준 9 4 7" xfId="50130"/>
    <cellStyle name="표준 9 4 7 2" xfId="50131"/>
    <cellStyle name="표준 9 4 7 2 2" xfId="50132"/>
    <cellStyle name="표준 9 4 7 2 2 2" xfId="50133"/>
    <cellStyle name="표준 9 4 7 2 2 2 2" xfId="50134"/>
    <cellStyle name="표준 9 4 7 2 2 2 3" xfId="50135"/>
    <cellStyle name="표준 9 4 7 2 2 3" xfId="50136"/>
    <cellStyle name="표준 9 4 7 2 2 4" xfId="50137"/>
    <cellStyle name="표준 9 4 7 2 3" xfId="50138"/>
    <cellStyle name="표준 9 4 7 2 3 2" xfId="50139"/>
    <cellStyle name="표준 9 4 7 2 3 3" xfId="50140"/>
    <cellStyle name="표준 9 4 7 2 4" xfId="50141"/>
    <cellStyle name="표준 9 4 7 2 5" xfId="50142"/>
    <cellStyle name="표준 9 4 7 3" xfId="50143"/>
    <cellStyle name="표준 9 4 7 3 2" xfId="50144"/>
    <cellStyle name="표준 9 4 7 3 2 2" xfId="50145"/>
    <cellStyle name="표준 9 4 7 3 2 2 2" xfId="50146"/>
    <cellStyle name="표준 9 4 7 3 2 2 3" xfId="50147"/>
    <cellStyle name="표준 9 4 7 3 2 3" xfId="50148"/>
    <cellStyle name="표준 9 4 7 3 2 4" xfId="50149"/>
    <cellStyle name="표준 9 4 7 3 3" xfId="50150"/>
    <cellStyle name="표준 9 4 7 3 3 2" xfId="50151"/>
    <cellStyle name="표준 9 4 7 3 3 3" xfId="50152"/>
    <cellStyle name="표준 9 4 7 3 4" xfId="50153"/>
    <cellStyle name="표준 9 4 7 3 5" xfId="50154"/>
    <cellStyle name="표준 9 4 7 4" xfId="50155"/>
    <cellStyle name="표준 9 4 7 4 2" xfId="50156"/>
    <cellStyle name="표준 9 4 7 4 2 2" xfId="50157"/>
    <cellStyle name="표준 9 4 7 4 2 3" xfId="50158"/>
    <cellStyle name="표준 9 4 7 4 3" xfId="50159"/>
    <cellStyle name="표준 9 4 7 4 4" xfId="50160"/>
    <cellStyle name="표준 9 4 7 5" xfId="50161"/>
    <cellStyle name="표준 9 4 7 5 2" xfId="50162"/>
    <cellStyle name="표준 9 4 7 5 3" xfId="50163"/>
    <cellStyle name="표준 9 4 7 6" xfId="50164"/>
    <cellStyle name="표준 9 4 7 7" xfId="50165"/>
    <cellStyle name="표준 9 4 8" xfId="50166"/>
    <cellStyle name="표준 9 4 8 2" xfId="50167"/>
    <cellStyle name="표준 9 4 8 2 2" xfId="50168"/>
    <cellStyle name="표준 9 4 8 2 2 2" xfId="50169"/>
    <cellStyle name="표준 9 4 8 2 2 3" xfId="50170"/>
    <cellStyle name="표준 9 4 8 2 3" xfId="50171"/>
    <cellStyle name="표준 9 4 8 2 4" xfId="50172"/>
    <cellStyle name="표준 9 4 8 3" xfId="50173"/>
    <cellStyle name="표준 9 4 8 3 2" xfId="50174"/>
    <cellStyle name="표준 9 4 8 3 3" xfId="50175"/>
    <cellStyle name="표준 9 4 8 4" xfId="50176"/>
    <cellStyle name="표준 9 4 8 5" xfId="50177"/>
    <cellStyle name="표준 9 4 9" xfId="50178"/>
    <cellStyle name="표준 9 4 9 2" xfId="50179"/>
    <cellStyle name="표준 9 4 9 2 2" xfId="50180"/>
    <cellStyle name="표준 9 4 9 2 2 2" xfId="50181"/>
    <cellStyle name="표준 9 4 9 2 2 3" xfId="50182"/>
    <cellStyle name="표준 9 4 9 2 3" xfId="50183"/>
    <cellStyle name="표준 9 4 9 2 4" xfId="50184"/>
    <cellStyle name="표준 9 4 9 3" xfId="50185"/>
    <cellStyle name="표준 9 4 9 3 2" xfId="50186"/>
    <cellStyle name="표준 9 4 9 3 3" xfId="50187"/>
    <cellStyle name="표준 9 4 9 4" xfId="50188"/>
    <cellStyle name="표준 9 4 9 5" xfId="50189"/>
    <cellStyle name="표준 9 5" xfId="50190"/>
    <cellStyle name="표준 9 5 10" xfId="50191"/>
    <cellStyle name="표준 9 5 10 2" xfId="50192"/>
    <cellStyle name="표준 9 5 10 2 2" xfId="50193"/>
    <cellStyle name="표준 9 5 10 2 3" xfId="50194"/>
    <cellStyle name="표준 9 5 10 3" xfId="50195"/>
    <cellStyle name="표준 9 5 10 4" xfId="50196"/>
    <cellStyle name="표준 9 5 11" xfId="50197"/>
    <cellStyle name="표준 9 5 11 2" xfId="50198"/>
    <cellStyle name="표준 9 5 11 3" xfId="50199"/>
    <cellStyle name="표준 9 5 12" xfId="50200"/>
    <cellStyle name="표준 9 5 13" xfId="50201"/>
    <cellStyle name="표준 9 5 2" xfId="50202"/>
    <cellStyle name="표준 9 5 2 10" xfId="50203"/>
    <cellStyle name="표준 9 5 2 2" xfId="50204"/>
    <cellStyle name="표준 9 5 2 2 2" xfId="50205"/>
    <cellStyle name="표준 9 5 2 2 2 2" xfId="50206"/>
    <cellStyle name="표준 9 5 2 2 2 2 2" xfId="50207"/>
    <cellStyle name="표준 9 5 2 2 2 2 2 2" xfId="50208"/>
    <cellStyle name="표준 9 5 2 2 2 2 2 3" xfId="50209"/>
    <cellStyle name="표준 9 5 2 2 2 2 3" xfId="50210"/>
    <cellStyle name="표준 9 5 2 2 2 2 4" xfId="50211"/>
    <cellStyle name="표준 9 5 2 2 2 3" xfId="50212"/>
    <cellStyle name="표준 9 5 2 2 2 3 2" xfId="50213"/>
    <cellStyle name="표준 9 5 2 2 2 3 3" xfId="50214"/>
    <cellStyle name="표준 9 5 2 2 2 4" xfId="50215"/>
    <cellStyle name="표준 9 5 2 2 2 5" xfId="50216"/>
    <cellStyle name="표준 9 5 2 2 3" xfId="50217"/>
    <cellStyle name="표준 9 5 2 2 3 2" xfId="50218"/>
    <cellStyle name="표준 9 5 2 2 3 2 2" xfId="50219"/>
    <cellStyle name="표준 9 5 2 2 3 2 2 2" xfId="50220"/>
    <cellStyle name="표준 9 5 2 2 3 2 2 3" xfId="50221"/>
    <cellStyle name="표준 9 5 2 2 3 2 3" xfId="50222"/>
    <cellStyle name="표준 9 5 2 2 3 2 4" xfId="50223"/>
    <cellStyle name="표준 9 5 2 2 3 3" xfId="50224"/>
    <cellStyle name="표준 9 5 2 2 3 3 2" xfId="50225"/>
    <cellStyle name="표준 9 5 2 2 3 3 3" xfId="50226"/>
    <cellStyle name="표준 9 5 2 2 3 4" xfId="50227"/>
    <cellStyle name="표준 9 5 2 2 3 5" xfId="50228"/>
    <cellStyle name="표준 9 5 2 2 4" xfId="50229"/>
    <cellStyle name="표준 9 5 2 2 4 2" xfId="50230"/>
    <cellStyle name="표준 9 5 2 2 4 2 2" xfId="50231"/>
    <cellStyle name="표준 9 5 2 2 4 2 3" xfId="50232"/>
    <cellStyle name="표준 9 5 2 2 4 3" xfId="50233"/>
    <cellStyle name="표준 9 5 2 2 4 4" xfId="50234"/>
    <cellStyle name="표준 9 5 2 2 5" xfId="50235"/>
    <cellStyle name="표준 9 5 2 2 5 2" xfId="50236"/>
    <cellStyle name="표준 9 5 2 2 5 3" xfId="50237"/>
    <cellStyle name="표준 9 5 2 2 6" xfId="50238"/>
    <cellStyle name="표준 9 5 2 2 7" xfId="50239"/>
    <cellStyle name="표준 9 5 2 3" xfId="50240"/>
    <cellStyle name="표준 9 5 2 3 2" xfId="50241"/>
    <cellStyle name="표준 9 5 2 3 2 2" xfId="50242"/>
    <cellStyle name="표준 9 5 2 3 2 2 2" xfId="50243"/>
    <cellStyle name="표준 9 5 2 3 2 2 2 2" xfId="50244"/>
    <cellStyle name="표준 9 5 2 3 2 2 2 3" xfId="50245"/>
    <cellStyle name="표준 9 5 2 3 2 2 3" xfId="50246"/>
    <cellStyle name="표준 9 5 2 3 2 2 4" xfId="50247"/>
    <cellStyle name="표준 9 5 2 3 2 3" xfId="50248"/>
    <cellStyle name="표준 9 5 2 3 2 3 2" xfId="50249"/>
    <cellStyle name="표준 9 5 2 3 2 3 3" xfId="50250"/>
    <cellStyle name="표준 9 5 2 3 2 4" xfId="50251"/>
    <cellStyle name="표준 9 5 2 3 2 5" xfId="50252"/>
    <cellStyle name="표준 9 5 2 3 3" xfId="50253"/>
    <cellStyle name="표준 9 5 2 3 3 2" xfId="50254"/>
    <cellStyle name="표준 9 5 2 3 3 2 2" xfId="50255"/>
    <cellStyle name="표준 9 5 2 3 3 2 2 2" xfId="50256"/>
    <cellStyle name="표준 9 5 2 3 3 2 2 3" xfId="50257"/>
    <cellStyle name="표준 9 5 2 3 3 2 3" xfId="50258"/>
    <cellStyle name="표준 9 5 2 3 3 2 4" xfId="50259"/>
    <cellStyle name="표준 9 5 2 3 3 3" xfId="50260"/>
    <cellStyle name="표준 9 5 2 3 3 3 2" xfId="50261"/>
    <cellStyle name="표준 9 5 2 3 3 3 3" xfId="50262"/>
    <cellStyle name="표준 9 5 2 3 3 4" xfId="50263"/>
    <cellStyle name="표준 9 5 2 3 3 5" xfId="50264"/>
    <cellStyle name="표준 9 5 2 3 4" xfId="50265"/>
    <cellStyle name="표준 9 5 2 3 4 2" xfId="50266"/>
    <cellStyle name="표준 9 5 2 3 4 2 2" xfId="50267"/>
    <cellStyle name="표준 9 5 2 3 4 2 3" xfId="50268"/>
    <cellStyle name="표준 9 5 2 3 4 3" xfId="50269"/>
    <cellStyle name="표준 9 5 2 3 4 4" xfId="50270"/>
    <cellStyle name="표준 9 5 2 3 5" xfId="50271"/>
    <cellStyle name="표준 9 5 2 3 5 2" xfId="50272"/>
    <cellStyle name="표준 9 5 2 3 5 3" xfId="50273"/>
    <cellStyle name="표준 9 5 2 3 6" xfId="50274"/>
    <cellStyle name="표준 9 5 2 3 7" xfId="50275"/>
    <cellStyle name="표준 9 5 2 4" xfId="50276"/>
    <cellStyle name="표준 9 5 2 4 2" xfId="50277"/>
    <cellStyle name="표준 9 5 2 4 2 2" xfId="50278"/>
    <cellStyle name="표준 9 5 2 4 2 2 2" xfId="50279"/>
    <cellStyle name="표준 9 5 2 4 2 2 3" xfId="50280"/>
    <cellStyle name="표준 9 5 2 4 2 3" xfId="50281"/>
    <cellStyle name="표준 9 5 2 4 2 4" xfId="50282"/>
    <cellStyle name="표준 9 5 2 4 3" xfId="50283"/>
    <cellStyle name="표준 9 5 2 4 3 2" xfId="50284"/>
    <cellStyle name="표준 9 5 2 4 3 3" xfId="50285"/>
    <cellStyle name="표준 9 5 2 4 4" xfId="50286"/>
    <cellStyle name="표준 9 5 2 4 5" xfId="50287"/>
    <cellStyle name="표준 9 5 2 5" xfId="50288"/>
    <cellStyle name="표준 9 5 2 5 2" xfId="50289"/>
    <cellStyle name="표준 9 5 2 5 2 2" xfId="50290"/>
    <cellStyle name="표준 9 5 2 5 2 2 2" xfId="50291"/>
    <cellStyle name="표준 9 5 2 5 2 2 3" xfId="50292"/>
    <cellStyle name="표준 9 5 2 5 2 3" xfId="50293"/>
    <cellStyle name="표준 9 5 2 5 2 4" xfId="50294"/>
    <cellStyle name="표준 9 5 2 5 3" xfId="50295"/>
    <cellStyle name="표준 9 5 2 5 3 2" xfId="50296"/>
    <cellStyle name="표준 9 5 2 5 3 3" xfId="50297"/>
    <cellStyle name="표준 9 5 2 5 4" xfId="50298"/>
    <cellStyle name="표준 9 5 2 5 5" xfId="50299"/>
    <cellStyle name="표준 9 5 2 6" xfId="50300"/>
    <cellStyle name="표준 9 5 2 6 2" xfId="50301"/>
    <cellStyle name="표준 9 5 2 6 2 2" xfId="50302"/>
    <cellStyle name="표준 9 5 2 6 2 2 2" xfId="50303"/>
    <cellStyle name="표준 9 5 2 6 2 2 3" xfId="50304"/>
    <cellStyle name="표준 9 5 2 6 2 3" xfId="50305"/>
    <cellStyle name="표준 9 5 2 6 2 4" xfId="50306"/>
    <cellStyle name="표준 9 5 2 6 3" xfId="50307"/>
    <cellStyle name="표준 9 5 2 6 3 2" xfId="50308"/>
    <cellStyle name="표준 9 5 2 6 3 3" xfId="50309"/>
    <cellStyle name="표준 9 5 2 6 4" xfId="50310"/>
    <cellStyle name="표준 9 5 2 6 5" xfId="50311"/>
    <cellStyle name="표준 9 5 2 7" xfId="50312"/>
    <cellStyle name="표준 9 5 2 7 2" xfId="50313"/>
    <cellStyle name="표준 9 5 2 7 2 2" xfId="50314"/>
    <cellStyle name="표준 9 5 2 7 2 3" xfId="50315"/>
    <cellStyle name="표준 9 5 2 7 3" xfId="50316"/>
    <cellStyle name="표준 9 5 2 7 4" xfId="50317"/>
    <cellStyle name="표준 9 5 2 8" xfId="50318"/>
    <cellStyle name="표준 9 5 2 8 2" xfId="50319"/>
    <cellStyle name="표준 9 5 2 8 3" xfId="50320"/>
    <cellStyle name="표준 9 5 2 9" xfId="50321"/>
    <cellStyle name="표준 9 5 3" xfId="50322"/>
    <cellStyle name="표준 9 5 3 10" xfId="50323"/>
    <cellStyle name="표준 9 5 3 2" xfId="50324"/>
    <cellStyle name="표준 9 5 3 2 2" xfId="50325"/>
    <cellStyle name="표준 9 5 3 2 2 2" xfId="50326"/>
    <cellStyle name="표준 9 5 3 2 2 2 2" xfId="50327"/>
    <cellStyle name="표준 9 5 3 2 2 2 2 2" xfId="50328"/>
    <cellStyle name="표준 9 5 3 2 2 2 2 3" xfId="50329"/>
    <cellStyle name="표준 9 5 3 2 2 2 3" xfId="50330"/>
    <cellStyle name="표준 9 5 3 2 2 2 4" xfId="50331"/>
    <cellStyle name="표준 9 5 3 2 2 3" xfId="50332"/>
    <cellStyle name="표준 9 5 3 2 2 3 2" xfId="50333"/>
    <cellStyle name="표준 9 5 3 2 2 3 3" xfId="50334"/>
    <cellStyle name="표준 9 5 3 2 2 4" xfId="50335"/>
    <cellStyle name="표준 9 5 3 2 2 5" xfId="50336"/>
    <cellStyle name="표준 9 5 3 2 3" xfId="50337"/>
    <cellStyle name="표준 9 5 3 2 3 2" xfId="50338"/>
    <cellStyle name="표준 9 5 3 2 3 2 2" xfId="50339"/>
    <cellStyle name="표준 9 5 3 2 3 2 2 2" xfId="50340"/>
    <cellStyle name="표준 9 5 3 2 3 2 2 3" xfId="50341"/>
    <cellStyle name="표준 9 5 3 2 3 2 3" xfId="50342"/>
    <cellStyle name="표준 9 5 3 2 3 2 4" xfId="50343"/>
    <cellStyle name="표준 9 5 3 2 3 3" xfId="50344"/>
    <cellStyle name="표준 9 5 3 2 3 3 2" xfId="50345"/>
    <cellStyle name="표준 9 5 3 2 3 3 3" xfId="50346"/>
    <cellStyle name="표준 9 5 3 2 3 4" xfId="50347"/>
    <cellStyle name="표준 9 5 3 2 3 5" xfId="50348"/>
    <cellStyle name="표준 9 5 3 2 4" xfId="50349"/>
    <cellStyle name="표준 9 5 3 2 4 2" xfId="50350"/>
    <cellStyle name="표준 9 5 3 2 4 2 2" xfId="50351"/>
    <cellStyle name="표준 9 5 3 2 4 2 3" xfId="50352"/>
    <cellStyle name="표준 9 5 3 2 4 3" xfId="50353"/>
    <cellStyle name="표준 9 5 3 2 4 4" xfId="50354"/>
    <cellStyle name="표준 9 5 3 2 5" xfId="50355"/>
    <cellStyle name="표준 9 5 3 2 5 2" xfId="50356"/>
    <cellStyle name="표준 9 5 3 2 5 3" xfId="50357"/>
    <cellStyle name="표준 9 5 3 2 6" xfId="50358"/>
    <cellStyle name="표준 9 5 3 2 7" xfId="50359"/>
    <cellStyle name="표준 9 5 3 3" xfId="50360"/>
    <cellStyle name="표준 9 5 3 3 2" xfId="50361"/>
    <cellStyle name="표준 9 5 3 3 2 2" xfId="50362"/>
    <cellStyle name="표준 9 5 3 3 2 2 2" xfId="50363"/>
    <cellStyle name="표준 9 5 3 3 2 2 2 2" xfId="50364"/>
    <cellStyle name="표준 9 5 3 3 2 2 2 3" xfId="50365"/>
    <cellStyle name="표준 9 5 3 3 2 2 3" xfId="50366"/>
    <cellStyle name="표준 9 5 3 3 2 2 4" xfId="50367"/>
    <cellStyle name="표준 9 5 3 3 2 3" xfId="50368"/>
    <cellStyle name="표준 9 5 3 3 2 3 2" xfId="50369"/>
    <cellStyle name="표준 9 5 3 3 2 3 3" xfId="50370"/>
    <cellStyle name="표준 9 5 3 3 2 4" xfId="50371"/>
    <cellStyle name="표준 9 5 3 3 2 5" xfId="50372"/>
    <cellStyle name="표준 9 5 3 3 3" xfId="50373"/>
    <cellStyle name="표준 9 5 3 3 3 2" xfId="50374"/>
    <cellStyle name="표준 9 5 3 3 3 2 2" xfId="50375"/>
    <cellStyle name="표준 9 5 3 3 3 2 2 2" xfId="50376"/>
    <cellStyle name="표준 9 5 3 3 3 2 2 3" xfId="50377"/>
    <cellStyle name="표준 9 5 3 3 3 2 3" xfId="50378"/>
    <cellStyle name="표준 9 5 3 3 3 2 4" xfId="50379"/>
    <cellStyle name="표준 9 5 3 3 3 3" xfId="50380"/>
    <cellStyle name="표준 9 5 3 3 3 3 2" xfId="50381"/>
    <cellStyle name="표준 9 5 3 3 3 3 3" xfId="50382"/>
    <cellStyle name="표준 9 5 3 3 3 4" xfId="50383"/>
    <cellStyle name="표준 9 5 3 3 3 5" xfId="50384"/>
    <cellStyle name="표준 9 5 3 3 4" xfId="50385"/>
    <cellStyle name="표준 9 5 3 3 4 2" xfId="50386"/>
    <cellStyle name="표준 9 5 3 3 4 2 2" xfId="50387"/>
    <cellStyle name="표준 9 5 3 3 4 2 3" xfId="50388"/>
    <cellStyle name="표준 9 5 3 3 4 3" xfId="50389"/>
    <cellStyle name="표준 9 5 3 3 4 4" xfId="50390"/>
    <cellStyle name="표준 9 5 3 3 5" xfId="50391"/>
    <cellStyle name="표준 9 5 3 3 5 2" xfId="50392"/>
    <cellStyle name="표준 9 5 3 3 5 3" xfId="50393"/>
    <cellStyle name="표준 9 5 3 3 6" xfId="50394"/>
    <cellStyle name="표준 9 5 3 3 7" xfId="50395"/>
    <cellStyle name="표준 9 5 3 4" xfId="50396"/>
    <cellStyle name="표준 9 5 3 4 2" xfId="50397"/>
    <cellStyle name="표준 9 5 3 4 2 2" xfId="50398"/>
    <cellStyle name="표준 9 5 3 4 2 2 2" xfId="50399"/>
    <cellStyle name="표준 9 5 3 4 2 2 3" xfId="50400"/>
    <cellStyle name="표준 9 5 3 4 2 3" xfId="50401"/>
    <cellStyle name="표준 9 5 3 4 2 4" xfId="50402"/>
    <cellStyle name="표준 9 5 3 4 3" xfId="50403"/>
    <cellStyle name="표준 9 5 3 4 3 2" xfId="50404"/>
    <cellStyle name="표준 9 5 3 4 3 3" xfId="50405"/>
    <cellStyle name="표준 9 5 3 4 4" xfId="50406"/>
    <cellStyle name="표준 9 5 3 4 5" xfId="50407"/>
    <cellStyle name="표준 9 5 3 5" xfId="50408"/>
    <cellStyle name="표준 9 5 3 5 2" xfId="50409"/>
    <cellStyle name="표준 9 5 3 5 2 2" xfId="50410"/>
    <cellStyle name="표준 9 5 3 5 2 2 2" xfId="50411"/>
    <cellStyle name="표준 9 5 3 5 2 2 3" xfId="50412"/>
    <cellStyle name="표준 9 5 3 5 2 3" xfId="50413"/>
    <cellStyle name="표준 9 5 3 5 2 4" xfId="50414"/>
    <cellStyle name="표준 9 5 3 5 3" xfId="50415"/>
    <cellStyle name="표준 9 5 3 5 3 2" xfId="50416"/>
    <cellStyle name="표준 9 5 3 5 3 3" xfId="50417"/>
    <cellStyle name="표준 9 5 3 5 4" xfId="50418"/>
    <cellStyle name="표준 9 5 3 5 5" xfId="50419"/>
    <cellStyle name="표준 9 5 3 6" xfId="50420"/>
    <cellStyle name="표준 9 5 3 6 2" xfId="50421"/>
    <cellStyle name="표준 9 5 3 6 2 2" xfId="50422"/>
    <cellStyle name="표준 9 5 3 6 2 2 2" xfId="50423"/>
    <cellStyle name="표준 9 5 3 6 2 2 3" xfId="50424"/>
    <cellStyle name="표준 9 5 3 6 2 3" xfId="50425"/>
    <cellStyle name="표준 9 5 3 6 2 4" xfId="50426"/>
    <cellStyle name="표준 9 5 3 6 3" xfId="50427"/>
    <cellStyle name="표준 9 5 3 6 3 2" xfId="50428"/>
    <cellStyle name="표준 9 5 3 6 3 3" xfId="50429"/>
    <cellStyle name="표준 9 5 3 6 4" xfId="50430"/>
    <cellStyle name="표준 9 5 3 6 5" xfId="50431"/>
    <cellStyle name="표준 9 5 3 7" xfId="50432"/>
    <cellStyle name="표준 9 5 3 7 2" xfId="50433"/>
    <cellStyle name="표준 9 5 3 7 2 2" xfId="50434"/>
    <cellStyle name="표준 9 5 3 7 2 3" xfId="50435"/>
    <cellStyle name="표준 9 5 3 7 3" xfId="50436"/>
    <cellStyle name="표준 9 5 3 7 4" xfId="50437"/>
    <cellStyle name="표준 9 5 3 8" xfId="50438"/>
    <cellStyle name="표준 9 5 3 8 2" xfId="50439"/>
    <cellStyle name="표준 9 5 3 8 3" xfId="50440"/>
    <cellStyle name="표준 9 5 3 9" xfId="50441"/>
    <cellStyle name="표준 9 5 4" xfId="50442"/>
    <cellStyle name="표준 9 5 4 10" xfId="50443"/>
    <cellStyle name="표준 9 5 4 2" xfId="50444"/>
    <cellStyle name="표준 9 5 4 2 2" xfId="50445"/>
    <cellStyle name="표준 9 5 4 2 2 2" xfId="50446"/>
    <cellStyle name="표준 9 5 4 2 2 2 2" xfId="50447"/>
    <cellStyle name="표준 9 5 4 2 2 2 2 2" xfId="50448"/>
    <cellStyle name="표준 9 5 4 2 2 2 2 3" xfId="50449"/>
    <cellStyle name="표준 9 5 4 2 2 2 3" xfId="50450"/>
    <cellStyle name="표준 9 5 4 2 2 2 4" xfId="50451"/>
    <cellStyle name="표준 9 5 4 2 2 3" xfId="50452"/>
    <cellStyle name="표준 9 5 4 2 2 3 2" xfId="50453"/>
    <cellStyle name="표준 9 5 4 2 2 3 3" xfId="50454"/>
    <cellStyle name="표준 9 5 4 2 2 4" xfId="50455"/>
    <cellStyle name="표준 9 5 4 2 2 5" xfId="50456"/>
    <cellStyle name="표준 9 5 4 2 3" xfId="50457"/>
    <cellStyle name="표준 9 5 4 2 3 2" xfId="50458"/>
    <cellStyle name="표준 9 5 4 2 3 2 2" xfId="50459"/>
    <cellStyle name="표준 9 5 4 2 3 2 2 2" xfId="50460"/>
    <cellStyle name="표준 9 5 4 2 3 2 2 3" xfId="50461"/>
    <cellStyle name="표준 9 5 4 2 3 2 3" xfId="50462"/>
    <cellStyle name="표준 9 5 4 2 3 2 4" xfId="50463"/>
    <cellStyle name="표준 9 5 4 2 3 3" xfId="50464"/>
    <cellStyle name="표준 9 5 4 2 3 3 2" xfId="50465"/>
    <cellStyle name="표준 9 5 4 2 3 3 3" xfId="50466"/>
    <cellStyle name="표준 9 5 4 2 3 4" xfId="50467"/>
    <cellStyle name="표준 9 5 4 2 3 5" xfId="50468"/>
    <cellStyle name="표준 9 5 4 2 4" xfId="50469"/>
    <cellStyle name="표준 9 5 4 2 4 2" xfId="50470"/>
    <cellStyle name="표준 9 5 4 2 4 2 2" xfId="50471"/>
    <cellStyle name="표준 9 5 4 2 4 2 3" xfId="50472"/>
    <cellStyle name="표준 9 5 4 2 4 3" xfId="50473"/>
    <cellStyle name="표준 9 5 4 2 4 4" xfId="50474"/>
    <cellStyle name="표준 9 5 4 2 5" xfId="50475"/>
    <cellStyle name="표준 9 5 4 2 5 2" xfId="50476"/>
    <cellStyle name="표준 9 5 4 2 5 3" xfId="50477"/>
    <cellStyle name="표준 9 5 4 2 6" xfId="50478"/>
    <cellStyle name="표준 9 5 4 2 7" xfId="50479"/>
    <cellStyle name="표준 9 5 4 3" xfId="50480"/>
    <cellStyle name="표준 9 5 4 3 2" xfId="50481"/>
    <cellStyle name="표준 9 5 4 3 2 2" xfId="50482"/>
    <cellStyle name="표준 9 5 4 3 2 2 2" xfId="50483"/>
    <cellStyle name="표준 9 5 4 3 2 2 2 2" xfId="50484"/>
    <cellStyle name="표준 9 5 4 3 2 2 2 3" xfId="50485"/>
    <cellStyle name="표준 9 5 4 3 2 2 3" xfId="50486"/>
    <cellStyle name="표준 9 5 4 3 2 2 4" xfId="50487"/>
    <cellStyle name="표준 9 5 4 3 2 3" xfId="50488"/>
    <cellStyle name="표준 9 5 4 3 2 3 2" xfId="50489"/>
    <cellStyle name="표준 9 5 4 3 2 3 3" xfId="50490"/>
    <cellStyle name="표준 9 5 4 3 2 4" xfId="50491"/>
    <cellStyle name="표준 9 5 4 3 2 5" xfId="50492"/>
    <cellStyle name="표준 9 5 4 3 3" xfId="50493"/>
    <cellStyle name="표준 9 5 4 3 3 2" xfId="50494"/>
    <cellStyle name="표준 9 5 4 3 3 2 2" xfId="50495"/>
    <cellStyle name="표준 9 5 4 3 3 2 2 2" xfId="50496"/>
    <cellStyle name="표준 9 5 4 3 3 2 2 3" xfId="50497"/>
    <cellStyle name="표준 9 5 4 3 3 2 3" xfId="50498"/>
    <cellStyle name="표준 9 5 4 3 3 2 4" xfId="50499"/>
    <cellStyle name="표준 9 5 4 3 3 3" xfId="50500"/>
    <cellStyle name="표준 9 5 4 3 3 3 2" xfId="50501"/>
    <cellStyle name="표준 9 5 4 3 3 3 3" xfId="50502"/>
    <cellStyle name="표준 9 5 4 3 3 4" xfId="50503"/>
    <cellStyle name="표준 9 5 4 3 3 5" xfId="50504"/>
    <cellStyle name="표준 9 5 4 3 4" xfId="50505"/>
    <cellStyle name="표준 9 5 4 3 4 2" xfId="50506"/>
    <cellStyle name="표준 9 5 4 3 4 2 2" xfId="50507"/>
    <cellStyle name="표준 9 5 4 3 4 2 3" xfId="50508"/>
    <cellStyle name="표준 9 5 4 3 4 3" xfId="50509"/>
    <cellStyle name="표준 9 5 4 3 4 4" xfId="50510"/>
    <cellStyle name="표준 9 5 4 3 5" xfId="50511"/>
    <cellStyle name="표준 9 5 4 3 5 2" xfId="50512"/>
    <cellStyle name="표준 9 5 4 3 5 3" xfId="50513"/>
    <cellStyle name="표준 9 5 4 3 6" xfId="50514"/>
    <cellStyle name="표준 9 5 4 3 7" xfId="50515"/>
    <cellStyle name="표준 9 5 4 4" xfId="50516"/>
    <cellStyle name="표준 9 5 4 4 2" xfId="50517"/>
    <cellStyle name="표준 9 5 4 4 2 2" xfId="50518"/>
    <cellStyle name="표준 9 5 4 4 2 2 2" xfId="50519"/>
    <cellStyle name="표준 9 5 4 4 2 2 3" xfId="50520"/>
    <cellStyle name="표준 9 5 4 4 2 3" xfId="50521"/>
    <cellStyle name="표준 9 5 4 4 2 4" xfId="50522"/>
    <cellStyle name="표준 9 5 4 4 3" xfId="50523"/>
    <cellStyle name="표준 9 5 4 4 3 2" xfId="50524"/>
    <cellStyle name="표준 9 5 4 4 3 3" xfId="50525"/>
    <cellStyle name="표준 9 5 4 4 4" xfId="50526"/>
    <cellStyle name="표준 9 5 4 4 5" xfId="50527"/>
    <cellStyle name="표준 9 5 4 5" xfId="50528"/>
    <cellStyle name="표준 9 5 4 5 2" xfId="50529"/>
    <cellStyle name="표준 9 5 4 5 2 2" xfId="50530"/>
    <cellStyle name="표준 9 5 4 5 2 2 2" xfId="50531"/>
    <cellStyle name="표준 9 5 4 5 2 2 3" xfId="50532"/>
    <cellStyle name="표준 9 5 4 5 2 3" xfId="50533"/>
    <cellStyle name="표준 9 5 4 5 2 4" xfId="50534"/>
    <cellStyle name="표준 9 5 4 5 3" xfId="50535"/>
    <cellStyle name="표준 9 5 4 5 3 2" xfId="50536"/>
    <cellStyle name="표준 9 5 4 5 3 3" xfId="50537"/>
    <cellStyle name="표준 9 5 4 5 4" xfId="50538"/>
    <cellStyle name="표준 9 5 4 5 5" xfId="50539"/>
    <cellStyle name="표준 9 5 4 6" xfId="50540"/>
    <cellStyle name="표준 9 5 4 6 2" xfId="50541"/>
    <cellStyle name="표준 9 5 4 6 2 2" xfId="50542"/>
    <cellStyle name="표준 9 5 4 6 2 2 2" xfId="50543"/>
    <cellStyle name="표준 9 5 4 6 2 2 3" xfId="50544"/>
    <cellStyle name="표준 9 5 4 6 2 3" xfId="50545"/>
    <cellStyle name="표준 9 5 4 6 2 4" xfId="50546"/>
    <cellStyle name="표준 9 5 4 6 3" xfId="50547"/>
    <cellStyle name="표준 9 5 4 6 3 2" xfId="50548"/>
    <cellStyle name="표준 9 5 4 6 3 3" xfId="50549"/>
    <cellStyle name="표준 9 5 4 6 4" xfId="50550"/>
    <cellStyle name="표준 9 5 4 6 5" xfId="50551"/>
    <cellStyle name="표준 9 5 4 7" xfId="50552"/>
    <cellStyle name="표준 9 5 4 7 2" xfId="50553"/>
    <cellStyle name="표준 9 5 4 7 2 2" xfId="50554"/>
    <cellStyle name="표준 9 5 4 7 2 3" xfId="50555"/>
    <cellStyle name="표준 9 5 4 7 3" xfId="50556"/>
    <cellStyle name="표준 9 5 4 7 4" xfId="50557"/>
    <cellStyle name="표준 9 5 4 8" xfId="50558"/>
    <cellStyle name="표준 9 5 4 8 2" xfId="50559"/>
    <cellStyle name="표준 9 5 4 8 3" xfId="50560"/>
    <cellStyle name="표준 9 5 4 9" xfId="50561"/>
    <cellStyle name="표준 9 5 5" xfId="50562"/>
    <cellStyle name="표준 9 5 5 2" xfId="50563"/>
    <cellStyle name="표준 9 5 5 2 2" xfId="50564"/>
    <cellStyle name="표준 9 5 5 2 2 2" xfId="50565"/>
    <cellStyle name="표준 9 5 5 2 2 2 2" xfId="50566"/>
    <cellStyle name="표준 9 5 5 2 2 2 3" xfId="50567"/>
    <cellStyle name="표준 9 5 5 2 2 3" xfId="50568"/>
    <cellStyle name="표준 9 5 5 2 2 4" xfId="50569"/>
    <cellStyle name="표준 9 5 5 2 3" xfId="50570"/>
    <cellStyle name="표준 9 5 5 2 3 2" xfId="50571"/>
    <cellStyle name="표준 9 5 5 2 3 3" xfId="50572"/>
    <cellStyle name="표준 9 5 5 2 4" xfId="50573"/>
    <cellStyle name="표준 9 5 5 2 5" xfId="50574"/>
    <cellStyle name="표준 9 5 5 3" xfId="50575"/>
    <cellStyle name="표준 9 5 5 3 2" xfId="50576"/>
    <cellStyle name="표준 9 5 5 3 2 2" xfId="50577"/>
    <cellStyle name="표준 9 5 5 3 2 2 2" xfId="50578"/>
    <cellStyle name="표준 9 5 5 3 2 2 3" xfId="50579"/>
    <cellStyle name="표준 9 5 5 3 2 3" xfId="50580"/>
    <cellStyle name="표준 9 5 5 3 2 4" xfId="50581"/>
    <cellStyle name="표준 9 5 5 3 3" xfId="50582"/>
    <cellStyle name="표준 9 5 5 3 3 2" xfId="50583"/>
    <cellStyle name="표준 9 5 5 3 3 3" xfId="50584"/>
    <cellStyle name="표준 9 5 5 3 4" xfId="50585"/>
    <cellStyle name="표준 9 5 5 3 5" xfId="50586"/>
    <cellStyle name="표준 9 5 5 4" xfId="50587"/>
    <cellStyle name="표준 9 5 5 4 2" xfId="50588"/>
    <cellStyle name="표준 9 5 5 4 2 2" xfId="50589"/>
    <cellStyle name="표준 9 5 5 4 2 3" xfId="50590"/>
    <cellStyle name="표준 9 5 5 4 3" xfId="50591"/>
    <cellStyle name="표준 9 5 5 4 4" xfId="50592"/>
    <cellStyle name="표준 9 5 5 5" xfId="50593"/>
    <cellStyle name="표준 9 5 5 5 2" xfId="50594"/>
    <cellStyle name="표준 9 5 5 5 3" xfId="50595"/>
    <cellStyle name="표준 9 5 5 6" xfId="50596"/>
    <cellStyle name="표준 9 5 5 7" xfId="50597"/>
    <cellStyle name="표준 9 5 6" xfId="50598"/>
    <cellStyle name="표준 9 5 6 2" xfId="50599"/>
    <cellStyle name="표준 9 5 6 2 2" xfId="50600"/>
    <cellStyle name="표준 9 5 6 2 2 2" xfId="50601"/>
    <cellStyle name="표준 9 5 6 2 2 2 2" xfId="50602"/>
    <cellStyle name="표준 9 5 6 2 2 2 3" xfId="50603"/>
    <cellStyle name="표준 9 5 6 2 2 3" xfId="50604"/>
    <cellStyle name="표준 9 5 6 2 2 4" xfId="50605"/>
    <cellStyle name="표준 9 5 6 2 3" xfId="50606"/>
    <cellStyle name="표준 9 5 6 2 3 2" xfId="50607"/>
    <cellStyle name="표준 9 5 6 2 3 3" xfId="50608"/>
    <cellStyle name="표준 9 5 6 2 4" xfId="50609"/>
    <cellStyle name="표준 9 5 6 2 5" xfId="50610"/>
    <cellStyle name="표준 9 5 6 3" xfId="50611"/>
    <cellStyle name="표준 9 5 6 3 2" xfId="50612"/>
    <cellStyle name="표준 9 5 6 3 2 2" xfId="50613"/>
    <cellStyle name="표준 9 5 6 3 2 2 2" xfId="50614"/>
    <cellStyle name="표준 9 5 6 3 2 2 3" xfId="50615"/>
    <cellStyle name="표준 9 5 6 3 2 3" xfId="50616"/>
    <cellStyle name="표준 9 5 6 3 2 4" xfId="50617"/>
    <cellStyle name="표준 9 5 6 3 3" xfId="50618"/>
    <cellStyle name="표준 9 5 6 3 3 2" xfId="50619"/>
    <cellStyle name="표준 9 5 6 3 3 3" xfId="50620"/>
    <cellStyle name="표준 9 5 6 3 4" xfId="50621"/>
    <cellStyle name="표준 9 5 6 3 5" xfId="50622"/>
    <cellStyle name="표준 9 5 6 4" xfId="50623"/>
    <cellStyle name="표준 9 5 6 4 2" xfId="50624"/>
    <cellStyle name="표준 9 5 6 4 2 2" xfId="50625"/>
    <cellStyle name="표준 9 5 6 4 2 3" xfId="50626"/>
    <cellStyle name="표준 9 5 6 4 3" xfId="50627"/>
    <cellStyle name="표준 9 5 6 4 4" xfId="50628"/>
    <cellStyle name="표준 9 5 6 5" xfId="50629"/>
    <cellStyle name="표준 9 5 6 5 2" xfId="50630"/>
    <cellStyle name="표준 9 5 6 5 3" xfId="50631"/>
    <cellStyle name="표준 9 5 6 6" xfId="50632"/>
    <cellStyle name="표준 9 5 6 7" xfId="50633"/>
    <cellStyle name="표준 9 5 7" xfId="50634"/>
    <cellStyle name="표준 9 5 7 2" xfId="50635"/>
    <cellStyle name="표준 9 5 7 2 2" xfId="50636"/>
    <cellStyle name="표준 9 5 7 2 2 2" xfId="50637"/>
    <cellStyle name="표준 9 5 7 2 2 3" xfId="50638"/>
    <cellStyle name="표준 9 5 7 2 3" xfId="50639"/>
    <cellStyle name="표준 9 5 7 2 4" xfId="50640"/>
    <cellStyle name="표준 9 5 7 3" xfId="50641"/>
    <cellStyle name="표준 9 5 7 3 2" xfId="50642"/>
    <cellStyle name="표준 9 5 7 3 3" xfId="50643"/>
    <cellStyle name="표준 9 5 7 4" xfId="50644"/>
    <cellStyle name="표준 9 5 7 5" xfId="50645"/>
    <cellStyle name="표준 9 5 8" xfId="50646"/>
    <cellStyle name="표준 9 5 8 2" xfId="50647"/>
    <cellStyle name="표준 9 5 8 2 2" xfId="50648"/>
    <cellStyle name="표준 9 5 8 2 2 2" xfId="50649"/>
    <cellStyle name="표준 9 5 8 2 2 3" xfId="50650"/>
    <cellStyle name="표준 9 5 8 2 3" xfId="50651"/>
    <cellStyle name="표준 9 5 8 2 4" xfId="50652"/>
    <cellStyle name="표준 9 5 8 3" xfId="50653"/>
    <cellStyle name="표준 9 5 8 3 2" xfId="50654"/>
    <cellStyle name="표준 9 5 8 3 3" xfId="50655"/>
    <cellStyle name="표준 9 5 8 4" xfId="50656"/>
    <cellStyle name="표준 9 5 8 5" xfId="50657"/>
    <cellStyle name="표준 9 5 9" xfId="50658"/>
    <cellStyle name="표준 9 5 9 2" xfId="50659"/>
    <cellStyle name="표준 9 5 9 2 2" xfId="50660"/>
    <cellStyle name="표준 9 5 9 2 2 2" xfId="50661"/>
    <cellStyle name="표준 9 5 9 2 2 3" xfId="50662"/>
    <cellStyle name="표준 9 5 9 2 3" xfId="50663"/>
    <cellStyle name="표준 9 5 9 2 4" xfId="50664"/>
    <cellStyle name="표준 9 5 9 3" xfId="50665"/>
    <cellStyle name="표준 9 5 9 3 2" xfId="50666"/>
    <cellStyle name="표준 9 5 9 3 3" xfId="50667"/>
    <cellStyle name="표준 9 5 9 4" xfId="50668"/>
    <cellStyle name="표준 9 5 9 5" xfId="50669"/>
    <cellStyle name="표준 9 6" xfId="50670"/>
    <cellStyle name="표준 9 6 10" xfId="50671"/>
    <cellStyle name="표준 9 6 2" xfId="50672"/>
    <cellStyle name="표준 9 6 2 2" xfId="50673"/>
    <cellStyle name="표준 9 6 2 2 2" xfId="50674"/>
    <cellStyle name="표준 9 6 2 2 2 2" xfId="50675"/>
    <cellStyle name="표준 9 6 2 2 2 2 2" xfId="50676"/>
    <cellStyle name="표준 9 6 2 2 2 2 3" xfId="50677"/>
    <cellStyle name="표준 9 6 2 2 2 3" xfId="50678"/>
    <cellStyle name="표준 9 6 2 2 2 4" xfId="50679"/>
    <cellStyle name="표준 9 6 2 2 3" xfId="50680"/>
    <cellStyle name="표준 9 6 2 2 3 2" xfId="50681"/>
    <cellStyle name="표준 9 6 2 2 3 3" xfId="50682"/>
    <cellStyle name="표준 9 6 2 2 4" xfId="50683"/>
    <cellStyle name="표준 9 6 2 2 5" xfId="50684"/>
    <cellStyle name="표준 9 6 2 3" xfId="50685"/>
    <cellStyle name="표준 9 6 2 3 2" xfId="50686"/>
    <cellStyle name="표준 9 6 2 3 2 2" xfId="50687"/>
    <cellStyle name="표준 9 6 2 3 2 2 2" xfId="50688"/>
    <cellStyle name="표준 9 6 2 3 2 2 3" xfId="50689"/>
    <cellStyle name="표준 9 6 2 3 2 3" xfId="50690"/>
    <cellStyle name="표준 9 6 2 3 2 4" xfId="50691"/>
    <cellStyle name="표준 9 6 2 3 3" xfId="50692"/>
    <cellStyle name="표준 9 6 2 3 3 2" xfId="50693"/>
    <cellStyle name="표준 9 6 2 3 3 3" xfId="50694"/>
    <cellStyle name="표준 9 6 2 3 4" xfId="50695"/>
    <cellStyle name="표준 9 6 2 3 5" xfId="50696"/>
    <cellStyle name="표준 9 6 2 4" xfId="50697"/>
    <cellStyle name="표준 9 6 2 4 2" xfId="50698"/>
    <cellStyle name="표준 9 6 2 4 2 2" xfId="50699"/>
    <cellStyle name="표준 9 6 2 4 2 3" xfId="50700"/>
    <cellStyle name="표준 9 6 2 4 3" xfId="50701"/>
    <cellStyle name="표준 9 6 2 4 4" xfId="50702"/>
    <cellStyle name="표준 9 6 2 5" xfId="50703"/>
    <cellStyle name="표준 9 6 2 5 2" xfId="50704"/>
    <cellStyle name="표준 9 6 2 5 3" xfId="50705"/>
    <cellStyle name="표준 9 6 2 6" xfId="50706"/>
    <cellStyle name="표준 9 6 2 7" xfId="50707"/>
    <cellStyle name="표준 9 6 3" xfId="50708"/>
    <cellStyle name="표준 9 6 3 2" xfId="50709"/>
    <cellStyle name="표준 9 6 3 2 2" xfId="50710"/>
    <cellStyle name="표준 9 6 3 2 2 2" xfId="50711"/>
    <cellStyle name="표준 9 6 3 2 2 2 2" xfId="50712"/>
    <cellStyle name="표준 9 6 3 2 2 2 3" xfId="50713"/>
    <cellStyle name="표준 9 6 3 2 2 3" xfId="50714"/>
    <cellStyle name="표준 9 6 3 2 2 4" xfId="50715"/>
    <cellStyle name="표준 9 6 3 2 3" xfId="50716"/>
    <cellStyle name="표준 9 6 3 2 3 2" xfId="50717"/>
    <cellStyle name="표준 9 6 3 2 3 3" xfId="50718"/>
    <cellStyle name="표준 9 6 3 2 4" xfId="50719"/>
    <cellStyle name="표준 9 6 3 2 5" xfId="50720"/>
    <cellStyle name="표준 9 6 3 3" xfId="50721"/>
    <cellStyle name="표준 9 6 3 3 2" xfId="50722"/>
    <cellStyle name="표준 9 6 3 3 2 2" xfId="50723"/>
    <cellStyle name="표준 9 6 3 3 2 2 2" xfId="50724"/>
    <cellStyle name="표준 9 6 3 3 2 2 3" xfId="50725"/>
    <cellStyle name="표준 9 6 3 3 2 3" xfId="50726"/>
    <cellStyle name="표준 9 6 3 3 2 4" xfId="50727"/>
    <cellStyle name="표준 9 6 3 3 3" xfId="50728"/>
    <cellStyle name="표준 9 6 3 3 3 2" xfId="50729"/>
    <cellStyle name="표준 9 6 3 3 3 3" xfId="50730"/>
    <cellStyle name="표준 9 6 3 3 4" xfId="50731"/>
    <cellStyle name="표준 9 6 3 3 5" xfId="50732"/>
    <cellStyle name="표준 9 6 3 4" xfId="50733"/>
    <cellStyle name="표준 9 6 3 4 2" xfId="50734"/>
    <cellStyle name="표준 9 6 3 4 2 2" xfId="50735"/>
    <cellStyle name="표준 9 6 3 4 2 3" xfId="50736"/>
    <cellStyle name="표준 9 6 3 4 3" xfId="50737"/>
    <cellStyle name="표준 9 6 3 4 4" xfId="50738"/>
    <cellStyle name="표준 9 6 3 5" xfId="50739"/>
    <cellStyle name="표준 9 6 3 5 2" xfId="50740"/>
    <cellStyle name="표준 9 6 3 5 3" xfId="50741"/>
    <cellStyle name="표준 9 6 3 6" xfId="50742"/>
    <cellStyle name="표준 9 6 3 7" xfId="50743"/>
    <cellStyle name="표준 9 6 4" xfId="50744"/>
    <cellStyle name="표준 9 6 4 2" xfId="50745"/>
    <cellStyle name="표준 9 6 4 2 2" xfId="50746"/>
    <cellStyle name="표준 9 6 4 2 2 2" xfId="50747"/>
    <cellStyle name="표준 9 6 4 2 2 3" xfId="50748"/>
    <cellStyle name="표준 9 6 4 2 3" xfId="50749"/>
    <cellStyle name="표준 9 6 4 2 4" xfId="50750"/>
    <cellStyle name="표준 9 6 4 3" xfId="50751"/>
    <cellStyle name="표준 9 6 4 3 2" xfId="50752"/>
    <cellStyle name="표준 9 6 4 3 3" xfId="50753"/>
    <cellStyle name="표준 9 6 4 4" xfId="50754"/>
    <cellStyle name="표준 9 6 4 5" xfId="50755"/>
    <cellStyle name="표준 9 6 5" xfId="50756"/>
    <cellStyle name="표준 9 6 5 2" xfId="50757"/>
    <cellStyle name="표준 9 6 5 2 2" xfId="50758"/>
    <cellStyle name="표준 9 6 5 2 2 2" xfId="50759"/>
    <cellStyle name="표준 9 6 5 2 2 3" xfId="50760"/>
    <cellStyle name="표준 9 6 5 2 3" xfId="50761"/>
    <cellStyle name="표준 9 6 5 2 4" xfId="50762"/>
    <cellStyle name="표준 9 6 5 3" xfId="50763"/>
    <cellStyle name="표준 9 6 5 3 2" xfId="50764"/>
    <cellStyle name="표준 9 6 5 3 3" xfId="50765"/>
    <cellStyle name="표준 9 6 5 4" xfId="50766"/>
    <cellStyle name="표준 9 6 5 5" xfId="50767"/>
    <cellStyle name="표준 9 6 6" xfId="50768"/>
    <cellStyle name="표준 9 6 6 2" xfId="50769"/>
    <cellStyle name="표준 9 6 6 2 2" xfId="50770"/>
    <cellStyle name="표준 9 6 6 2 2 2" xfId="50771"/>
    <cellStyle name="표준 9 6 6 2 2 3" xfId="50772"/>
    <cellStyle name="표준 9 6 6 2 3" xfId="50773"/>
    <cellStyle name="표준 9 6 6 2 4" xfId="50774"/>
    <cellStyle name="표준 9 6 6 3" xfId="50775"/>
    <cellStyle name="표준 9 6 6 3 2" xfId="50776"/>
    <cellStyle name="표준 9 6 6 3 3" xfId="50777"/>
    <cellStyle name="표준 9 6 6 4" xfId="50778"/>
    <cellStyle name="표준 9 6 6 5" xfId="50779"/>
    <cellStyle name="표준 9 6 7" xfId="50780"/>
    <cellStyle name="표준 9 6 7 2" xfId="50781"/>
    <cellStyle name="표준 9 6 7 2 2" xfId="50782"/>
    <cellStyle name="표준 9 6 7 2 3" xfId="50783"/>
    <cellStyle name="표준 9 6 7 3" xfId="50784"/>
    <cellStyle name="표준 9 6 7 4" xfId="50785"/>
    <cellStyle name="표준 9 6 8" xfId="50786"/>
    <cellStyle name="표준 9 6 8 2" xfId="50787"/>
    <cellStyle name="표준 9 6 8 3" xfId="50788"/>
    <cellStyle name="표준 9 6 9" xfId="50789"/>
    <cellStyle name="표준 9 7" xfId="50790"/>
    <cellStyle name="표준 9 7 10" xfId="50791"/>
    <cellStyle name="표준 9 7 2" xfId="50792"/>
    <cellStyle name="표준 9 7 2 2" xfId="50793"/>
    <cellStyle name="표준 9 7 2 2 2" xfId="50794"/>
    <cellStyle name="표준 9 7 2 2 2 2" xfId="50795"/>
    <cellStyle name="표준 9 7 2 2 2 2 2" xfId="50796"/>
    <cellStyle name="표준 9 7 2 2 2 2 3" xfId="50797"/>
    <cellStyle name="표준 9 7 2 2 2 3" xfId="50798"/>
    <cellStyle name="표준 9 7 2 2 2 4" xfId="50799"/>
    <cellStyle name="표준 9 7 2 2 3" xfId="50800"/>
    <cellStyle name="표준 9 7 2 2 3 2" xfId="50801"/>
    <cellStyle name="표준 9 7 2 2 3 3" xfId="50802"/>
    <cellStyle name="표준 9 7 2 2 4" xfId="50803"/>
    <cellStyle name="표준 9 7 2 2 5" xfId="50804"/>
    <cellStyle name="표준 9 7 2 3" xfId="50805"/>
    <cellStyle name="표준 9 7 2 3 2" xfId="50806"/>
    <cellStyle name="표준 9 7 2 3 2 2" xfId="50807"/>
    <cellStyle name="표준 9 7 2 3 2 2 2" xfId="50808"/>
    <cellStyle name="표준 9 7 2 3 2 2 3" xfId="50809"/>
    <cellStyle name="표준 9 7 2 3 2 3" xfId="50810"/>
    <cellStyle name="표준 9 7 2 3 2 4" xfId="50811"/>
    <cellStyle name="표준 9 7 2 3 3" xfId="50812"/>
    <cellStyle name="표준 9 7 2 3 3 2" xfId="50813"/>
    <cellStyle name="표준 9 7 2 3 3 3" xfId="50814"/>
    <cellStyle name="표준 9 7 2 3 4" xfId="50815"/>
    <cellStyle name="표준 9 7 2 3 5" xfId="50816"/>
    <cellStyle name="표준 9 7 2 4" xfId="50817"/>
    <cellStyle name="표준 9 7 2 4 2" xfId="50818"/>
    <cellStyle name="표준 9 7 2 4 2 2" xfId="50819"/>
    <cellStyle name="표준 9 7 2 4 2 3" xfId="50820"/>
    <cellStyle name="표준 9 7 2 4 3" xfId="50821"/>
    <cellStyle name="표준 9 7 2 4 4" xfId="50822"/>
    <cellStyle name="표준 9 7 2 5" xfId="50823"/>
    <cellStyle name="표준 9 7 2 5 2" xfId="50824"/>
    <cellStyle name="표준 9 7 2 5 3" xfId="50825"/>
    <cellStyle name="표준 9 7 2 6" xfId="50826"/>
    <cellStyle name="표준 9 7 2 7" xfId="50827"/>
    <cellStyle name="표준 9 7 3" xfId="50828"/>
    <cellStyle name="표준 9 7 3 2" xfId="50829"/>
    <cellStyle name="표준 9 7 3 2 2" xfId="50830"/>
    <cellStyle name="표준 9 7 3 2 2 2" xfId="50831"/>
    <cellStyle name="표준 9 7 3 2 2 2 2" xfId="50832"/>
    <cellStyle name="표준 9 7 3 2 2 2 3" xfId="50833"/>
    <cellStyle name="표준 9 7 3 2 2 3" xfId="50834"/>
    <cellStyle name="표준 9 7 3 2 2 4" xfId="50835"/>
    <cellStyle name="표준 9 7 3 2 3" xfId="50836"/>
    <cellStyle name="표준 9 7 3 2 3 2" xfId="50837"/>
    <cellStyle name="표준 9 7 3 2 3 3" xfId="50838"/>
    <cellStyle name="표준 9 7 3 2 4" xfId="50839"/>
    <cellStyle name="표준 9 7 3 2 5" xfId="50840"/>
    <cellStyle name="표준 9 7 3 3" xfId="50841"/>
    <cellStyle name="표준 9 7 3 3 2" xfId="50842"/>
    <cellStyle name="표준 9 7 3 3 2 2" xfId="50843"/>
    <cellStyle name="표준 9 7 3 3 2 2 2" xfId="50844"/>
    <cellStyle name="표준 9 7 3 3 2 2 3" xfId="50845"/>
    <cellStyle name="표준 9 7 3 3 2 3" xfId="50846"/>
    <cellStyle name="표준 9 7 3 3 2 4" xfId="50847"/>
    <cellStyle name="표준 9 7 3 3 3" xfId="50848"/>
    <cellStyle name="표준 9 7 3 3 3 2" xfId="50849"/>
    <cellStyle name="표준 9 7 3 3 3 3" xfId="50850"/>
    <cellStyle name="표준 9 7 3 3 4" xfId="50851"/>
    <cellStyle name="표준 9 7 3 3 5" xfId="50852"/>
    <cellStyle name="표준 9 7 3 4" xfId="50853"/>
    <cellStyle name="표준 9 7 3 4 2" xfId="50854"/>
    <cellStyle name="표준 9 7 3 4 2 2" xfId="50855"/>
    <cellStyle name="표준 9 7 3 4 2 3" xfId="50856"/>
    <cellStyle name="표준 9 7 3 4 3" xfId="50857"/>
    <cellStyle name="표준 9 7 3 4 4" xfId="50858"/>
    <cellStyle name="표준 9 7 3 5" xfId="50859"/>
    <cellStyle name="표준 9 7 3 5 2" xfId="50860"/>
    <cellStyle name="표준 9 7 3 5 3" xfId="50861"/>
    <cellStyle name="표준 9 7 3 6" xfId="50862"/>
    <cellStyle name="표준 9 7 3 7" xfId="50863"/>
    <cellStyle name="표준 9 7 4" xfId="50864"/>
    <cellStyle name="표준 9 7 4 2" xfId="50865"/>
    <cellStyle name="표준 9 7 4 2 2" xfId="50866"/>
    <cellStyle name="표준 9 7 4 2 2 2" xfId="50867"/>
    <cellStyle name="표준 9 7 4 2 2 3" xfId="50868"/>
    <cellStyle name="표준 9 7 4 2 3" xfId="50869"/>
    <cellStyle name="표준 9 7 4 2 4" xfId="50870"/>
    <cellStyle name="표준 9 7 4 3" xfId="50871"/>
    <cellStyle name="표준 9 7 4 3 2" xfId="50872"/>
    <cellStyle name="표준 9 7 4 3 3" xfId="50873"/>
    <cellStyle name="표준 9 7 4 4" xfId="50874"/>
    <cellStyle name="표준 9 7 4 5" xfId="50875"/>
    <cellStyle name="표준 9 7 5" xfId="50876"/>
    <cellStyle name="표준 9 7 5 2" xfId="50877"/>
    <cellStyle name="표준 9 7 5 2 2" xfId="50878"/>
    <cellStyle name="표준 9 7 5 2 2 2" xfId="50879"/>
    <cellStyle name="표준 9 7 5 2 2 3" xfId="50880"/>
    <cellStyle name="표준 9 7 5 2 3" xfId="50881"/>
    <cellStyle name="표준 9 7 5 2 4" xfId="50882"/>
    <cellStyle name="표준 9 7 5 3" xfId="50883"/>
    <cellStyle name="표준 9 7 5 3 2" xfId="50884"/>
    <cellStyle name="표준 9 7 5 3 3" xfId="50885"/>
    <cellStyle name="표준 9 7 5 4" xfId="50886"/>
    <cellStyle name="표준 9 7 5 5" xfId="50887"/>
    <cellStyle name="표준 9 7 6" xfId="50888"/>
    <cellStyle name="표준 9 7 6 2" xfId="50889"/>
    <cellStyle name="표준 9 7 6 2 2" xfId="50890"/>
    <cellStyle name="표준 9 7 6 2 2 2" xfId="50891"/>
    <cellStyle name="표준 9 7 6 2 2 3" xfId="50892"/>
    <cellStyle name="표준 9 7 6 2 3" xfId="50893"/>
    <cellStyle name="표준 9 7 6 2 4" xfId="50894"/>
    <cellStyle name="표준 9 7 6 3" xfId="50895"/>
    <cellStyle name="표준 9 7 6 3 2" xfId="50896"/>
    <cellStyle name="표준 9 7 6 3 3" xfId="50897"/>
    <cellStyle name="표준 9 7 6 4" xfId="50898"/>
    <cellStyle name="표준 9 7 6 5" xfId="50899"/>
    <cellStyle name="표준 9 7 7" xfId="50900"/>
    <cellStyle name="표준 9 7 7 2" xfId="50901"/>
    <cellStyle name="표준 9 7 7 2 2" xfId="50902"/>
    <cellStyle name="표준 9 7 7 2 3" xfId="50903"/>
    <cellStyle name="표준 9 7 7 3" xfId="50904"/>
    <cellStyle name="표준 9 7 7 4" xfId="50905"/>
    <cellStyle name="표준 9 7 8" xfId="50906"/>
    <cellStyle name="표준 9 7 8 2" xfId="50907"/>
    <cellStyle name="표준 9 7 8 3" xfId="50908"/>
    <cellStyle name="표준 9 7 9" xfId="50909"/>
    <cellStyle name="표준 9 8" xfId="50910"/>
    <cellStyle name="표준 9 8 10" xfId="50911"/>
    <cellStyle name="표준 9 8 2" xfId="50912"/>
    <cellStyle name="표준 9 8 2 2" xfId="50913"/>
    <cellStyle name="표준 9 8 2 2 2" xfId="50914"/>
    <cellStyle name="표준 9 8 2 2 2 2" xfId="50915"/>
    <cellStyle name="표준 9 8 2 2 2 2 2" xfId="50916"/>
    <cellStyle name="표준 9 8 2 2 2 2 3" xfId="50917"/>
    <cellStyle name="표준 9 8 2 2 2 3" xfId="50918"/>
    <cellStyle name="표준 9 8 2 2 2 4" xfId="50919"/>
    <cellStyle name="표준 9 8 2 2 3" xfId="50920"/>
    <cellStyle name="표준 9 8 2 2 3 2" xfId="50921"/>
    <cellStyle name="표준 9 8 2 2 3 3" xfId="50922"/>
    <cellStyle name="표준 9 8 2 2 4" xfId="50923"/>
    <cellStyle name="표준 9 8 2 2 5" xfId="50924"/>
    <cellStyle name="표준 9 8 2 3" xfId="50925"/>
    <cellStyle name="표준 9 8 2 3 2" xfId="50926"/>
    <cellStyle name="표준 9 8 2 3 2 2" xfId="50927"/>
    <cellStyle name="표준 9 8 2 3 2 2 2" xfId="50928"/>
    <cellStyle name="표준 9 8 2 3 2 2 3" xfId="50929"/>
    <cellStyle name="표준 9 8 2 3 2 3" xfId="50930"/>
    <cellStyle name="표준 9 8 2 3 2 4" xfId="50931"/>
    <cellStyle name="표준 9 8 2 3 3" xfId="50932"/>
    <cellStyle name="표준 9 8 2 3 3 2" xfId="50933"/>
    <cellStyle name="표준 9 8 2 3 3 3" xfId="50934"/>
    <cellStyle name="표준 9 8 2 3 4" xfId="50935"/>
    <cellStyle name="표준 9 8 2 3 5" xfId="50936"/>
    <cellStyle name="표준 9 8 2 4" xfId="50937"/>
    <cellStyle name="표준 9 8 2 4 2" xfId="50938"/>
    <cellStyle name="표준 9 8 2 4 2 2" xfId="50939"/>
    <cellStyle name="표준 9 8 2 4 2 3" xfId="50940"/>
    <cellStyle name="표준 9 8 2 4 3" xfId="50941"/>
    <cellStyle name="표준 9 8 2 4 4" xfId="50942"/>
    <cellStyle name="표준 9 8 2 5" xfId="50943"/>
    <cellStyle name="표준 9 8 2 5 2" xfId="50944"/>
    <cellStyle name="표준 9 8 2 5 3" xfId="50945"/>
    <cellStyle name="표준 9 8 2 6" xfId="50946"/>
    <cellStyle name="표준 9 8 2 7" xfId="50947"/>
    <cellStyle name="표준 9 8 3" xfId="50948"/>
    <cellStyle name="표준 9 8 3 2" xfId="50949"/>
    <cellStyle name="표준 9 8 3 2 2" xfId="50950"/>
    <cellStyle name="표준 9 8 3 2 2 2" xfId="50951"/>
    <cellStyle name="표준 9 8 3 2 2 2 2" xfId="50952"/>
    <cellStyle name="표준 9 8 3 2 2 2 3" xfId="50953"/>
    <cellStyle name="표준 9 8 3 2 2 3" xfId="50954"/>
    <cellStyle name="표준 9 8 3 2 2 4" xfId="50955"/>
    <cellStyle name="표준 9 8 3 2 3" xfId="50956"/>
    <cellStyle name="표준 9 8 3 2 3 2" xfId="50957"/>
    <cellStyle name="표준 9 8 3 2 3 3" xfId="50958"/>
    <cellStyle name="표준 9 8 3 2 4" xfId="50959"/>
    <cellStyle name="표준 9 8 3 2 5" xfId="50960"/>
    <cellStyle name="표준 9 8 3 3" xfId="50961"/>
    <cellStyle name="표준 9 8 3 3 2" xfId="50962"/>
    <cellStyle name="표준 9 8 3 3 2 2" xfId="50963"/>
    <cellStyle name="표준 9 8 3 3 2 2 2" xfId="50964"/>
    <cellStyle name="표준 9 8 3 3 2 2 3" xfId="50965"/>
    <cellStyle name="표준 9 8 3 3 2 3" xfId="50966"/>
    <cellStyle name="표준 9 8 3 3 2 4" xfId="50967"/>
    <cellStyle name="표준 9 8 3 3 3" xfId="50968"/>
    <cellStyle name="표준 9 8 3 3 3 2" xfId="50969"/>
    <cellStyle name="표준 9 8 3 3 3 3" xfId="50970"/>
    <cellStyle name="표준 9 8 3 3 4" xfId="50971"/>
    <cellStyle name="표준 9 8 3 3 5" xfId="50972"/>
    <cellStyle name="표준 9 8 3 4" xfId="50973"/>
    <cellStyle name="표준 9 8 3 4 2" xfId="50974"/>
    <cellStyle name="표준 9 8 3 4 2 2" xfId="50975"/>
    <cellStyle name="표준 9 8 3 4 2 3" xfId="50976"/>
    <cellStyle name="표준 9 8 3 4 3" xfId="50977"/>
    <cellStyle name="표준 9 8 3 4 4" xfId="50978"/>
    <cellStyle name="표준 9 8 3 5" xfId="50979"/>
    <cellStyle name="표준 9 8 3 5 2" xfId="50980"/>
    <cellStyle name="표준 9 8 3 5 3" xfId="50981"/>
    <cellStyle name="표준 9 8 3 6" xfId="50982"/>
    <cellStyle name="표준 9 8 3 7" xfId="50983"/>
    <cellStyle name="표준 9 8 4" xfId="50984"/>
    <cellStyle name="표준 9 8 4 2" xfId="50985"/>
    <cellStyle name="표준 9 8 4 2 2" xfId="50986"/>
    <cellStyle name="표준 9 8 4 2 2 2" xfId="50987"/>
    <cellStyle name="표준 9 8 4 2 2 3" xfId="50988"/>
    <cellStyle name="표준 9 8 4 2 3" xfId="50989"/>
    <cellStyle name="표준 9 8 4 2 4" xfId="50990"/>
    <cellStyle name="표준 9 8 4 3" xfId="50991"/>
    <cellStyle name="표준 9 8 4 3 2" xfId="50992"/>
    <cellStyle name="표준 9 8 4 3 3" xfId="50993"/>
    <cellStyle name="표준 9 8 4 4" xfId="50994"/>
    <cellStyle name="표준 9 8 4 5" xfId="50995"/>
    <cellStyle name="표준 9 8 5" xfId="50996"/>
    <cellStyle name="표준 9 8 5 2" xfId="50997"/>
    <cellStyle name="표준 9 8 5 2 2" xfId="50998"/>
    <cellStyle name="표준 9 8 5 2 2 2" xfId="50999"/>
    <cellStyle name="표준 9 8 5 2 2 3" xfId="51000"/>
    <cellStyle name="표준 9 8 5 2 3" xfId="51001"/>
    <cellStyle name="표준 9 8 5 2 4" xfId="51002"/>
    <cellStyle name="표준 9 8 5 3" xfId="51003"/>
    <cellStyle name="표준 9 8 5 3 2" xfId="51004"/>
    <cellStyle name="표준 9 8 5 3 3" xfId="51005"/>
    <cellStyle name="표준 9 8 5 4" xfId="51006"/>
    <cellStyle name="표준 9 8 5 5" xfId="51007"/>
    <cellStyle name="표준 9 8 6" xfId="51008"/>
    <cellStyle name="표준 9 8 6 2" xfId="51009"/>
    <cellStyle name="표준 9 8 6 2 2" xfId="51010"/>
    <cellStyle name="표준 9 8 6 2 2 2" xfId="51011"/>
    <cellStyle name="표준 9 8 6 2 2 3" xfId="51012"/>
    <cellStyle name="표준 9 8 6 2 3" xfId="51013"/>
    <cellStyle name="표준 9 8 6 2 4" xfId="51014"/>
    <cellStyle name="표준 9 8 6 3" xfId="51015"/>
    <cellStyle name="표준 9 8 6 3 2" xfId="51016"/>
    <cellStyle name="표준 9 8 6 3 3" xfId="51017"/>
    <cellStyle name="표준 9 8 6 4" xfId="51018"/>
    <cellStyle name="표준 9 8 6 5" xfId="51019"/>
    <cellStyle name="표준 9 8 7" xfId="51020"/>
    <cellStyle name="표준 9 8 7 2" xfId="51021"/>
    <cellStyle name="표준 9 8 7 2 2" xfId="51022"/>
    <cellStyle name="표준 9 8 7 2 3" xfId="51023"/>
    <cellStyle name="표준 9 8 7 3" xfId="51024"/>
    <cellStyle name="표준 9 8 7 4" xfId="51025"/>
    <cellStyle name="표준 9 8 8" xfId="51026"/>
    <cellStyle name="표준 9 8 8 2" xfId="51027"/>
    <cellStyle name="표준 9 8 8 3" xfId="51028"/>
    <cellStyle name="표준 9 8 9" xfId="51029"/>
    <cellStyle name="표준 9 9" xfId="51030"/>
    <cellStyle name="표준 9 9 2" xfId="51031"/>
    <cellStyle name="표준 9 9 2 2" xfId="51032"/>
    <cellStyle name="표준 9 9 2 2 2" xfId="51033"/>
    <cellStyle name="표준 9 9 2 2 2 2" xfId="51034"/>
    <cellStyle name="표준 9 9 2 2 2 3" xfId="51035"/>
    <cellStyle name="표준 9 9 2 2 3" xfId="51036"/>
    <cellStyle name="표준 9 9 2 2 4" xfId="51037"/>
    <cellStyle name="표준 9 9 2 3" xfId="51038"/>
    <cellStyle name="표준 9 9 2 3 2" xfId="51039"/>
    <cellStyle name="표준 9 9 2 3 3" xfId="51040"/>
    <cellStyle name="표준 9 9 2 4" xfId="51041"/>
    <cellStyle name="표준 9 9 2 5" xfId="51042"/>
    <cellStyle name="표준 9 9 3" xfId="51043"/>
    <cellStyle name="표준 9 9 3 2" xfId="51044"/>
    <cellStyle name="표준 9 9 3 2 2" xfId="51045"/>
    <cellStyle name="표준 9 9 3 2 2 2" xfId="51046"/>
    <cellStyle name="표준 9 9 3 2 2 3" xfId="51047"/>
    <cellStyle name="표준 9 9 3 2 3" xfId="51048"/>
    <cellStyle name="표준 9 9 3 2 4" xfId="51049"/>
    <cellStyle name="표준 9 9 3 3" xfId="51050"/>
    <cellStyle name="표준 9 9 3 3 2" xfId="51051"/>
    <cellStyle name="표준 9 9 3 3 3" xfId="51052"/>
    <cellStyle name="표준 9 9 3 4" xfId="51053"/>
    <cellStyle name="표준 9 9 3 5" xfId="51054"/>
    <cellStyle name="표준 9 9 4" xfId="51055"/>
    <cellStyle name="표준 9 9 4 2" xfId="51056"/>
    <cellStyle name="표준 9 9 4 2 2" xfId="51057"/>
    <cellStyle name="표준 9 9 4 2 3" xfId="51058"/>
    <cellStyle name="표준 9 9 4 3" xfId="51059"/>
    <cellStyle name="표준 9 9 4 4" xfId="51060"/>
    <cellStyle name="표준 9 9 5" xfId="51061"/>
    <cellStyle name="표준 9 9 5 2" xfId="51062"/>
    <cellStyle name="표준 9 9 5 3" xfId="51063"/>
    <cellStyle name="표준 9 9 6" xfId="51064"/>
    <cellStyle name="표준 9 9 7" xfId="51065"/>
    <cellStyle name="표준 9_Sheet3" xfId="51066"/>
    <cellStyle name="표준 90" xfId="51067"/>
    <cellStyle name="표준 91" xfId="51068"/>
    <cellStyle name="표준 92" xfId="51069"/>
    <cellStyle name="표준 93" xfId="51070"/>
    <cellStyle name="표준 94" xfId="51071"/>
    <cellStyle name="표준 95" xfId="51072"/>
    <cellStyle name="표준 96" xfId="51073"/>
    <cellStyle name="표준 97" xfId="51074"/>
    <cellStyle name="표준 98" xfId="51075"/>
    <cellStyle name="표준 99" xfId="51076"/>
    <cellStyle name="標準_Akia(F）-8" xfId="51077"/>
    <cellStyle name="표준1" xfId="51078"/>
    <cellStyle name="표준-천마편람" xfId="51079"/>
    <cellStyle name="표준⽴laroux_laroux_2" xfId="51080"/>
    <cellStyle name="푤롸貫[0]_丹홈셕뺍,茄셥 " xfId="51081"/>
    <cellStyle name="푤롸貫_丹홈셕뺍,茄셥 " xfId="51082"/>
    <cellStyle name="하이퍼링크 2" xfId="51083"/>
    <cellStyle name="하이퍼링크 2 2" xfId="51084"/>
    <cellStyle name="합산" xfId="51085"/>
    <cellStyle name="합산 2" xfId="51086"/>
    <cellStyle name="합산 2 2" xfId="51087"/>
    <cellStyle name="합산 3" xfId="51088"/>
    <cellStyle name="桁区切り_ＦＩＴＳ見積（FIT-042）" xfId="51089"/>
    <cellStyle name="货币[0]_GTHMSNZ" xfId="51090"/>
    <cellStyle name="货币_GTHMSNZ" xfId="51091"/>
    <cellStyle name="貨幣[0]_laroux" xfId="51092"/>
    <cellStyle name="화폐기호" xfId="51093"/>
    <cellStyle name="화폐기호 2" xfId="51094"/>
    <cellStyle name="화폐기호 2 2" xfId="51095"/>
    <cellStyle name="화폐기호 3" xfId="51096"/>
    <cellStyle name="화폐기호0" xfId="51097"/>
    <cellStyle name="화폐기호0 2" xfId="51098"/>
    <cellStyle name="화폐기호0 2 2" xfId="51099"/>
    <cellStyle name="화폐기호0 3" xfId="51100"/>
    <cellStyle name="표준 36 3 2" xfId="51101"/>
    <cellStyle name="백분율 6 18 2" xfId="51102"/>
    <cellStyle name="Normal 2" xfId="51103"/>
    <cellStyle name="Hyperlink" xfId="51104" builtinId="8"/>
    <cellStyle name="Percent 2" xfId="51105"/>
    <cellStyle name="Comma [0] 2" xfId="51106"/>
    <cellStyle name="Normal 3" xfId="51107"/>
    <cellStyle name="Normal 4" xfId="51108"/>
    <cellStyle name="표준 2 48" xfId="51109"/>
    <cellStyle name="Normal 5" xfId="51110"/>
  </cellStyles>
  <dxfs count="1">
    <dxf>
      <font>
        <condense val="0"/>
        <color indexed="10"/>
        <extend val="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externalLink" Target="/xl/externalLinks/externalLink1.xml" Id="rId5"/><Relationship Type="http://schemas.openxmlformats.org/officeDocument/2006/relationships/externalLink" Target="/xl/externalLinks/externalLink2.xml" Id="rId6"/><Relationship Type="http://schemas.openxmlformats.org/officeDocument/2006/relationships/externalLink" Target="/xl/externalLinks/externalLink3.xml" Id="rId7"/><Relationship Type="http://schemas.openxmlformats.org/officeDocument/2006/relationships/externalLink" Target="/xl/externalLinks/externalLink4.xml" Id="rId8"/><Relationship Type="http://schemas.openxmlformats.org/officeDocument/2006/relationships/externalLink" Target="/xl/externalLinks/externalLink5.xml" Id="rId9"/><Relationship Type="http://schemas.openxmlformats.org/officeDocument/2006/relationships/externalLink" Target="/xl/externalLinks/externalLink6.xml" Id="rId10"/><Relationship Type="http://schemas.openxmlformats.org/officeDocument/2006/relationships/externalLink" Target="/xl/externalLinks/externalLink7.xml" Id="rId11"/><Relationship Type="http://schemas.openxmlformats.org/officeDocument/2006/relationships/externalLink" Target="/xl/externalLinks/externalLink8.xml" Id="rId12"/><Relationship Type="http://schemas.openxmlformats.org/officeDocument/2006/relationships/externalLink" Target="/xl/externalLinks/externalLink9.xml" Id="rId13"/><Relationship Type="http://schemas.openxmlformats.org/officeDocument/2006/relationships/externalLink" Target="/xl/externalLinks/externalLink10.xml" Id="rId14"/><Relationship Type="http://schemas.openxmlformats.org/officeDocument/2006/relationships/externalLink" Target="/xl/externalLinks/externalLink11.xml" Id="rId15"/><Relationship Type="http://schemas.openxmlformats.org/officeDocument/2006/relationships/externalLink" Target="/xl/externalLinks/externalLink12.xml" Id="rId16"/><Relationship Type="http://schemas.openxmlformats.org/officeDocument/2006/relationships/externalLink" Target="/xl/externalLinks/externalLink13.xml" Id="rId17"/><Relationship Type="http://schemas.openxmlformats.org/officeDocument/2006/relationships/externalLink" Target="/xl/externalLinks/externalLink14.xml" Id="rId18"/><Relationship Type="http://schemas.openxmlformats.org/officeDocument/2006/relationships/externalLink" Target="/xl/externalLinks/externalLink15.xml" Id="rId19"/><Relationship Type="http://schemas.openxmlformats.org/officeDocument/2006/relationships/externalLink" Target="/xl/externalLinks/externalLink16.xml" Id="rId20"/><Relationship Type="http://schemas.openxmlformats.org/officeDocument/2006/relationships/externalLink" Target="/xl/externalLinks/externalLink17.xml" Id="rId21"/><Relationship Type="http://schemas.openxmlformats.org/officeDocument/2006/relationships/externalLink" Target="/xl/externalLinks/externalLink18.xml" Id="rId22"/><Relationship Type="http://schemas.openxmlformats.org/officeDocument/2006/relationships/externalLink" Target="/xl/externalLinks/externalLink19.xml" Id="rId23"/><Relationship Type="http://schemas.openxmlformats.org/officeDocument/2006/relationships/externalLink" Target="/xl/externalLinks/externalLink20.xml" Id="rId24"/><Relationship Type="http://schemas.openxmlformats.org/officeDocument/2006/relationships/externalLink" Target="/xl/externalLinks/externalLink21.xml" Id="rId25"/><Relationship Type="http://schemas.openxmlformats.org/officeDocument/2006/relationships/externalLink" Target="/xl/externalLinks/externalLink22.xml" Id="rId26"/><Relationship Type="http://schemas.openxmlformats.org/officeDocument/2006/relationships/externalLink" Target="/xl/externalLinks/externalLink23.xml" Id="rId27"/><Relationship Type="http://schemas.openxmlformats.org/officeDocument/2006/relationships/externalLink" Target="/xl/externalLinks/externalLink24.xml" Id="rId28"/><Relationship Type="http://schemas.openxmlformats.org/officeDocument/2006/relationships/externalLink" Target="/xl/externalLinks/externalLink25.xml" Id="rId29"/><Relationship Type="http://schemas.openxmlformats.org/officeDocument/2006/relationships/externalLink" Target="/xl/externalLinks/externalLink26.xml" Id="rId30"/><Relationship Type="http://schemas.openxmlformats.org/officeDocument/2006/relationships/externalLink" Target="/xl/externalLinks/externalLink27.xml" Id="rId31"/><Relationship Type="http://schemas.openxmlformats.org/officeDocument/2006/relationships/externalLink" Target="/xl/externalLinks/externalLink28.xml" Id="rId32"/><Relationship Type="http://schemas.openxmlformats.org/officeDocument/2006/relationships/styles" Target="styles.xml" Id="rId33"/><Relationship Type="http://schemas.openxmlformats.org/officeDocument/2006/relationships/theme" Target="theme/theme1.xml" Id="rId34"/></Relationships>
</file>

<file path=xl/charts/chart1.xml><?xml version="1.0" encoding="utf-8"?>
<chartSpace xmlns="http://schemas.openxmlformats.org/drawingml/2006/chart">
  <chart>
    <plotArea>
      <layout/>
      <radarChart>
        <radarStyle val="marker"/>
        <varyColors val="0"/>
        <ser>
          <idx val="0"/>
          <order val="0"/>
          <spPr>
            <a:ln xmlns:a="http://schemas.openxmlformats.org/drawingml/2006/main">
              <a:prstDash val="solid"/>
            </a:ln>
          </spPr>
          <marker>
            <symbol val="none"/>
            <spPr>
              <a:ln xmlns:a="http://schemas.openxmlformats.org/drawingml/2006/main">
                <a:prstDash val="solid"/>
              </a:ln>
            </spPr>
          </marker>
          <cat>
            <strRef>
              <f>'Result Report'!$D$11:$D$15</f>
              <strCache>
                <ptCount val="5"/>
                <pt idx="0">
                  <v>Material Management</v>
                </pt>
                <pt idx="1">
                  <v>Material Inspection  and  Preparation</v>
                </pt>
                <pt idx="2">
                  <v>Production Process</v>
                </pt>
                <pt idx="3">
                  <v>Product Evaluation</v>
                </pt>
                <pt idx="4">
                  <v>Packing Management</v>
                </pt>
              </strCache>
            </strRef>
          </cat>
          <val>
            <numRef>
              <f>'Result Report'!$K$11:$K$15</f>
              <numCache>
                <formatCode xml:space="preserve">#,##0.0_ </formatCode>
                <ptCount val="5"/>
                <pt idx="0">
                  <v>0</v>
                </pt>
                <pt idx="1">
                  <v>0</v>
                </pt>
                <pt idx="2">
                  <v>0</v>
                </pt>
                <pt idx="3">
                  <v>0</v>
                </pt>
                <pt idx="4">
                  <v>0</v>
                </pt>
              </numCache>
            </numRef>
          </val>
        </ser>
        <ser>
          <idx val="1"/>
          <order val="1"/>
          <spPr>
            <a:ln xmlns:a="http://schemas.openxmlformats.org/drawingml/2006/main">
              <a:prstDash val="solid"/>
            </a:ln>
          </spPr>
          <marker>
            <symbol val="none"/>
            <spPr>
              <a:ln xmlns:a="http://schemas.openxmlformats.org/drawingml/2006/main">
                <a:prstDash val="solid"/>
              </a:ln>
            </spPr>
          </marker>
          <cat>
            <strRef>
              <f>'Result Report'!$D$11:$D$15</f>
              <strCache>
                <ptCount val="5"/>
                <pt idx="0">
                  <v>Material Management</v>
                </pt>
                <pt idx="1">
                  <v>Material Inspection  and  Preparation</v>
                </pt>
                <pt idx="2">
                  <v>Production Process</v>
                </pt>
                <pt idx="3">
                  <v>Product Evaluation</v>
                </pt>
                <pt idx="4">
                  <v>Packing Management</v>
                </pt>
              </strCache>
            </strRef>
          </cat>
          <val>
            <numRef>
              <f>'Result Report'!$L$11:$L$15</f>
              <numCache>
                <formatCode xml:space="preserve">#,##0.0_ </formatCode>
                <ptCount val="5"/>
              </numCache>
            </numRef>
          </val>
        </ser>
        <dLbls>
          <showLegendKey val="0"/>
          <showVal val="0"/>
          <showCatName val="0"/>
          <showSerName val="0"/>
          <showPercent val="0"/>
          <showBubbleSize val="0"/>
        </dLbls>
        <axId val="143741696"/>
        <axId val="143743232"/>
      </radarChart>
      <catAx>
        <axId val="143741696"/>
        <scaling>
          <orientation val="minMax"/>
        </scaling>
        <delete val="0"/>
        <axPos val="b"/>
        <majorGridlines/>
        <numFmt formatCode="General" sourceLinked="0"/>
        <majorTickMark val="out"/>
        <minorTickMark val="none"/>
        <tickLblPos val="nextTo"/>
        <txPr>
          <a:bodyPr xmlns:a="http://schemas.openxmlformats.org/drawingml/2006/main"/>
          <a:lstStyle xmlns:a="http://schemas.openxmlformats.org/drawingml/2006/main"/>
          <a:p xmlns:a="http://schemas.openxmlformats.org/drawingml/2006/main">
            <a:pPr>
              <a:defRPr sz="900" baseline="0"/>
            </a:pPr>
            <a:r>
              <a:t>None</a:t>
            </a:r>
            <a:endParaRPr lang="en-US"/>
          </a:p>
        </txPr>
        <crossAx val="143743232"/>
        <crosses val="autoZero"/>
        <auto val="1"/>
        <lblAlgn val="ctr"/>
        <lblOffset val="100"/>
        <noMultiLvlLbl val="0"/>
      </catAx>
      <valAx>
        <axId val="143743232"/>
        <scaling>
          <orientation val="minMax"/>
          <max val="100"/>
          <min val="0"/>
        </scaling>
        <delete val="0"/>
        <axPos val="l"/>
        <majorGridlines/>
        <numFmt formatCode="#,##0.0_ " sourceLinked="1"/>
        <majorTickMark val="cross"/>
        <minorTickMark val="none"/>
        <tickLblPos val="nextTo"/>
        <crossAx val="143741696"/>
        <crosses val="autoZero"/>
        <crossBetween val="between"/>
      </valAx>
    </plotArea>
    <plotVisOnly val="1"/>
    <dispBlanksAs val="gap"/>
  </chart>
</chartSpace>
</file>

<file path=xl/charts/chart2.xml><?xml version="1.0" encoding="utf-8"?>
<chartSpace xmlns="http://schemas.openxmlformats.org/drawingml/2006/chart">
  <chart>
    <plotArea>
      <layout/>
      <barChart>
        <barDir val="col"/>
        <grouping val="clustered"/>
        <varyColors val="0"/>
        <ser>
          <idx val="0"/>
          <order val="0"/>
          <spPr>
            <a:ln xmlns:a="http://schemas.openxmlformats.org/drawingml/2006/main">
              <a:prstDash val="solid"/>
            </a:ln>
          </spPr>
          <invertIfNegative val="0"/>
          <cat>
            <strRef>
              <f>'Result Report'!$C$20:$C$24</f>
              <strCache>
                <ptCount val="5"/>
                <pt idx="0">
                  <v>Material Management</v>
                </pt>
                <pt idx="1">
                  <v>Material Inspection  and  Preparation</v>
                </pt>
                <pt idx="2">
                  <v>Production Process</v>
                </pt>
                <pt idx="3">
                  <v>Product Evaluation</v>
                </pt>
                <pt idx="4">
                  <v>Packing Management</v>
                </pt>
              </strCache>
            </strRef>
          </cat>
          <val>
            <numRef>
              <f>'Result Report'!$D$20:$D$24</f>
              <numCache>
                <formatCode>General</formatCode>
                <ptCount val="5"/>
              </numCache>
            </numRef>
          </val>
        </ser>
        <ser>
          <idx val="1"/>
          <order val="1"/>
          <spPr>
            <a:ln xmlns:a="http://schemas.openxmlformats.org/drawingml/2006/main">
              <a:prstDash val="solid"/>
            </a:ln>
          </spPr>
          <invertIfNegative val="0"/>
          <cat>
            <strRef>
              <f>'Result Report'!$C$20:$C$24</f>
              <strCache>
                <ptCount val="5"/>
                <pt idx="0">
                  <v>Material Management</v>
                </pt>
                <pt idx="1">
                  <v>Material Inspection  and  Preparation</v>
                </pt>
                <pt idx="2">
                  <v>Production Process</v>
                </pt>
                <pt idx="3">
                  <v>Product Evaluation</v>
                </pt>
                <pt idx="4">
                  <v>Packing Management</v>
                </pt>
              </strCache>
            </strRef>
          </cat>
          <val>
            <numRef>
              <f>'Result Report'!$E$20:$E$24</f>
              <numCache>
                <formatCode>General</formatCode>
                <ptCount val="5"/>
              </numCache>
            </numRef>
          </val>
        </ser>
        <ser>
          <idx val="2"/>
          <order val="2"/>
          <spPr>
            <a:ln xmlns:a="http://schemas.openxmlformats.org/drawingml/2006/main">
              <a:prstDash val="solid"/>
            </a:ln>
          </spPr>
          <invertIfNegative val="0"/>
          <cat>
            <strRef>
              <f>'Result Report'!$C$20:$C$24</f>
              <strCache>
                <ptCount val="5"/>
                <pt idx="0">
                  <v>Material Management</v>
                </pt>
                <pt idx="1">
                  <v>Material Inspection  and  Preparation</v>
                </pt>
                <pt idx="2">
                  <v>Production Process</v>
                </pt>
                <pt idx="3">
                  <v>Product Evaluation</v>
                </pt>
                <pt idx="4">
                  <v>Packing Management</v>
                </pt>
              </strCache>
            </strRef>
          </cat>
          <val>
            <numRef>
              <f>'Result Report'!$F$20:$F$24</f>
              <numCache>
                <formatCode>General</formatCode>
                <ptCount val="5"/>
              </numCache>
            </numRef>
          </val>
        </ser>
        <ser>
          <idx val="3"/>
          <order val="3"/>
          <spPr>
            <a:ln xmlns:a="http://schemas.openxmlformats.org/drawingml/2006/main">
              <a:prstDash val="solid"/>
            </a:ln>
          </spPr>
          <invertIfNegative val="0"/>
          <cat>
            <strRef>
              <f>'Result Report'!$C$20:$C$24</f>
              <strCache>
                <ptCount val="5"/>
                <pt idx="0">
                  <v>Material Management</v>
                </pt>
                <pt idx="1">
                  <v>Material Inspection  and  Preparation</v>
                </pt>
                <pt idx="2">
                  <v>Production Process</v>
                </pt>
                <pt idx="3">
                  <v>Product Evaluation</v>
                </pt>
                <pt idx="4">
                  <v>Packing Management</v>
                </pt>
              </strCache>
            </strRef>
          </cat>
          <val>
            <numRef>
              <f>'Result Report'!$G$20:$G$24</f>
              <numCache>
                <formatCode>General</formatCode>
                <ptCount val="5"/>
              </numCache>
            </numRef>
          </val>
        </ser>
        <ser>
          <idx val="4"/>
          <order val="4"/>
          <spPr>
            <a:ln xmlns:a="http://schemas.openxmlformats.org/drawingml/2006/main">
              <a:prstDash val="solid"/>
            </a:ln>
          </spPr>
          <invertIfNegative val="0"/>
          <cat>
            <strRef>
              <f>'Result Report'!$C$20:$C$24</f>
              <strCache>
                <ptCount val="5"/>
                <pt idx="0">
                  <v>Material Management</v>
                </pt>
                <pt idx="1">
                  <v>Material Inspection  and  Preparation</v>
                </pt>
                <pt idx="2">
                  <v>Production Process</v>
                </pt>
                <pt idx="3">
                  <v>Product Evaluation</v>
                </pt>
                <pt idx="4">
                  <v>Packing Management</v>
                </pt>
              </strCache>
            </strRef>
          </cat>
          <val>
            <numRef>
              <f>'Result Report'!$H$20:$H$24</f>
              <numCache>
                <formatCode>General</formatCode>
                <ptCount val="5"/>
              </numCache>
            </numRef>
          </val>
        </ser>
        <dLbls>
          <showLegendKey val="0"/>
          <showVal val="0"/>
          <showCatName val="0"/>
          <showSerName val="0"/>
          <showPercent val="0"/>
          <showBubbleSize val="0"/>
        </dLbls>
        <gapWidth val="150"/>
        <axId val="125219584"/>
        <axId val="125221120"/>
      </barChart>
      <catAx>
        <axId val="125219584"/>
        <scaling>
          <orientation val="minMax"/>
        </scaling>
        <delete val="0"/>
        <axPos val="b"/>
        <numFmt formatCode="General" sourceLinked="0"/>
        <majorTickMark val="out"/>
        <minorTickMark val="none"/>
        <tickLblPos val="nextTo"/>
        <crossAx val="125221120"/>
        <crosses val="autoZero"/>
        <auto val="1"/>
        <lblAlgn val="ctr"/>
        <lblOffset val="100"/>
        <noMultiLvlLbl val="0"/>
      </catAx>
      <valAx>
        <axId val="125221120"/>
        <scaling>
          <orientation val="minMax"/>
        </scaling>
        <delete val="0"/>
        <axPos val="l"/>
        <majorGridlines/>
        <numFmt formatCode="General" sourceLinked="1"/>
        <majorTickMark val="out"/>
        <minorTickMark val="none"/>
        <tickLblPos val="nextTo"/>
        <crossAx val="125219584"/>
        <crosses val="autoZero"/>
        <crossBetween val="between"/>
        <majorUnit val="1"/>
      </valAx>
    </plotArea>
    <plotVisOnly val="1"/>
    <dispBlanksAs val="gap"/>
  </chart>
</chartSpace>
</file>

<file path=xl/comments/comment1.xml><?xml version="1.0" encoding="utf-8"?>
<comments xmlns="http://schemas.openxmlformats.org/spreadsheetml/2006/main">
  <authors>
    <author>L872164</author>
  </authors>
  <commentList>
    <comment ref="C16" authorId="0" shapeId="0">
      <text>
        <t>평점 : (심사 종합득점/종합배점)*100</t>
      </text>
    </comment>
    <comment ref="H16" authorId="0" shapeId="0">
      <text>
        <t xml:space="preserve">A등급 : 90 ~ 100
B등급 : 80 ~ 89
C등급 : 70 ~ 79
D등급 : 60 ~ 69
E등급 : 59 이하 </t>
      </text>
    </comment>
  </commentList>
</comments>
</file>

<file path=xl/comments/comment2.xml><?xml version="1.0" encoding="utf-8"?>
<comments xmlns="http://schemas.openxmlformats.org/spreadsheetml/2006/main">
  <authors>
    <author>Dang Hoang Hoa</author>
  </authors>
  <commentList>
    <comment ref="A24" authorId="0" shapeId="0">
      <text>
        <t>Dang Hoang Hoa:
tạo check sheet dựa vào quy trình  sản xuất</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image" Target="/xl/media/image2.png" Id="rId3"/></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drawing1.xml><?xml version="1.0" encoding="utf-8"?>
<wsDr xmlns="http://schemas.openxmlformats.org/drawingml/2006/spreadsheetDrawing">
  <twoCellAnchor editAs="oneCell">
    <from>
      <col>11</col>
      <colOff>457200</colOff>
      <row>1</row>
      <rowOff>66675</rowOff>
    </from>
    <to>
      <col>13</col>
      <colOff>371475</colOff>
      <row>3</row>
      <rowOff>190500</rowOff>
    </to>
    <pic>
      <nvPicPr>
        <cNvPr id="3" name="Picture 90"/>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7486650" y="209550"/>
          <a:ext cx="1371600" cy="54292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13</col>
      <colOff>78442</colOff>
      <row>8</row>
      <rowOff>0</rowOff>
    </from>
    <to>
      <col>18</col>
      <colOff>1</colOff>
      <row>16</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10</col>
      <colOff>11206</colOff>
      <row>17</row>
      <rowOff>201705</rowOff>
    </from>
    <to>
      <col>18</col>
      <colOff>0</colOff>
      <row>25</row>
      <rowOff>11205</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editAs="oneCell">
    <from>
      <col>16</col>
      <colOff>0</colOff>
      <row>0</row>
      <rowOff>83344</rowOff>
    </from>
    <to>
      <col>18</col>
      <colOff>42863</colOff>
      <row>0</row>
      <rowOff>626269</rowOff>
    </to>
    <pic>
      <nvPicPr>
        <cNvPr id="7" name="Picture 90"/>
        <cNvPicPr>
          <a:picLocks xmlns:a="http://schemas.openxmlformats.org/drawingml/2006/main" noChangeAspect="1" noChangeArrowheads="1"/>
        </cNvPicPr>
      </nvPicPr>
      <blipFill>
        <a:blip xmlns:a="http://schemas.openxmlformats.org/drawingml/2006/main" xmlns:r="http://schemas.openxmlformats.org/officeDocument/2006/relationships" r:embed="rId3"/>
        <a:srcRect xmlns:a="http://schemas.openxmlformats.org/drawingml/2006/main"/>
        <a:stretch xmlns:a="http://schemas.openxmlformats.org/drawingml/2006/main">
          <a:fillRect/>
        </a:stretch>
      </blipFill>
      <spPr bwMode="auto">
        <a:xfrm xmlns:a="http://schemas.openxmlformats.org/drawingml/2006/main">
          <a:off x="9322594" y="83344"/>
          <a:ext cx="1447800" cy="54292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editAs="oneCell">
    <from>
      <col>11</col>
      <colOff>705971</colOff>
      <row>0</row>
      <rowOff>89646</rowOff>
    </from>
    <to>
      <col>12</col>
      <colOff>1212594</colOff>
      <row>3</row>
      <rowOff>27453</rowOff>
    </to>
    <pic>
      <nvPicPr>
        <cNvPr id="4" name="Picture 90"/>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17817353" y="89646"/>
          <a:ext cx="1447800" cy="54292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editAs="oneCell">
    <from>
      <col>0</col>
      <colOff>68036</colOff>
      <row>0</row>
      <rowOff>340179</rowOff>
    </from>
    <to>
      <col>1</col>
      <colOff>1381125</colOff>
      <row>2</row>
      <rowOff>195943</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68036" y="340179"/>
          <a:ext cx="2313214" cy="1017814"/>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L050242a\&#48512;&#54408;&#48372;&#51613;%20&#44277;&#50976;\PART%20LIST\&#48176;\2005&#45380;&#46020;\&#50672;&#46041;\0504\0421\050419sales.xls" TargetMode="External" Id="rId1"/></Relationships>
</file>

<file path=xl/externalLinks/_rels/externalLink2.xml.rels><Relationships xmlns="http://schemas.openxmlformats.org/package/2006/relationships"><Relationship Type="http://schemas.openxmlformats.org/officeDocument/2006/relationships/externalLinkPath" Target="file:///\\192.168.100.6\PART%20LIST\&#48176;\2005&#45380;&#46020;\&#50672;&#46041;\0504\0421\050419sales.xls" TargetMode="External" Id="rId1"/></Relationships>
</file>

<file path=xl/externalLinks/_rels/externalLink3.xml.rels><Relationships xmlns="http://schemas.openxmlformats.org/package/2006/relationships"><Relationship Type="http://schemas.openxmlformats.org/officeDocument/2006/relationships/externalLinkPath" Target="file:///\\192.168.100.6\PART%20LIST\EXCEL\96SALE\96SALE.XLS" TargetMode="External" Id="rId1"/></Relationships>
</file>

<file path=xl/externalLinks/_rels/externalLink4.xml.rels><Relationships xmlns="http://schemas.openxmlformats.org/package/2006/relationships"><Relationship Type="http://schemas.openxmlformats.org/officeDocument/2006/relationships/externalLinkPath" Target="file:///\\L050242a\&#48512;&#54408;&#48372;&#51613;%20&#44277;&#50976;\PART%20LIST\EXCEL\96SALE\96SALE.XLS" TargetMode="External" Id="rId1"/></Relationships>
</file>

<file path=xl/externalLinks/_rels/externalLink5.xml.rels><Relationships xmlns="http://schemas.openxmlformats.org/package/2006/relationships"><Relationship Type="http://schemas.openxmlformats.org/officeDocument/2006/relationships/externalLinkPath" Target="file:///\\192.168.100.6\Users\zhoug8\Desktop\zhoug8\OSA\Checklist\Supplier%20Assessment%20(Unlocked).xlsx" TargetMode="External" Id="rId1"/></Relationships>
</file>

<file path=xl/externalLinks/_rels/externalLink6.xml.rels><Relationships xmlns="http://schemas.openxmlformats.org/package/2006/relationships"><Relationship Type="http://schemas.openxmlformats.org/officeDocument/2006/relationships/externalLinkPath" Target="file:///\\192.168.100.6\PART%20LIST\MYDATA\DSC210&#50896;&#44032;&#48516;&#49437;\&#51116;&#47308;&#48708;&#47588;&#53356;&#47196;.xls" TargetMode="External" Id="rId1"/></Relationships>
</file>

<file path=xl/externalLinks/_rels/externalLink7.xml.rels><Relationships xmlns="http://schemas.openxmlformats.org/package/2006/relationships"><Relationship Type="http://schemas.openxmlformats.org/officeDocument/2006/relationships/externalLinkPath" Target="file:///\\L050242a\&#48512;&#54408;&#48372;&#51613;%20&#44277;&#50976;\PART%20LIST\MYDATA\DSC210&#50896;&#44032;&#48516;&#49437;\&#51116;&#47308;&#48708;&#47588;&#53356;&#47196;.xls" TargetMode="External" Id="rId1"/></Relationships>
</file>

<file path=xl/externalLinks/_rels/externalLink8.xml.rels><Relationships xmlns="http://schemas.openxmlformats.org/package/2006/relationships"><Relationship Type="http://schemas.openxmlformats.org/officeDocument/2006/relationships/externalLinkPath" Target="file:///\\192.168.100.6\1.%20Quality%20Data\5)%20&#54801;&#47141;&#50629;&#52404;\&#51221;&#44592;&#54217;&#44032;\2&#52264;&#44060;&#49440;\'12&#45380;%20&#54801;&#47141;&#50629;&#52404;%20QPA%20&#49324;&#51204;%20&#51216;&#44160;%20&#44208;&#44284;_&#51204;&#52404;_120305.xlsx" TargetMode="External" Id="rId1"/></Relationships>
</file>

<file path=xl/externalLinks/_rels/externalLink9.xml.rels><Relationships xmlns="http://schemas.openxmlformats.org/package/2006/relationships"><Relationship Type="http://schemas.openxmlformats.org/officeDocument/2006/relationships/externalLinkPath" Target="file:///\\L050242a\&#48512;&#54408;&#48372;&#51613;%20&#44277;&#50976;\1.%20Quality%20Data\5)%20&#54801;&#47141;&#50629;&#52404;\&#51221;&#44592;&#54217;&#44032;\2&#52264;&#44060;&#49440;\'12&#45380;%20&#54801;&#47141;&#50629;&#52404;%20QPA%20&#49324;&#51204;%20&#51216;&#44160;%20&#44208;&#44284;_&#51204;&#52404;_120305.xlsx" TargetMode="External" Id="rId1"/></Relationships>
</file>

<file path=xl/externalLinks/_rels/externalLink10.xml.rels><Relationships xmlns="http://schemas.openxmlformats.org/package/2006/relationships"><Relationship Type="http://schemas.openxmlformats.org/officeDocument/2006/relationships/externalLinkPath" Target="file:///\\Stp1jeis0489lt\My%20Documents\DOCUME~1\HP_ADM~1\LOCALS~1\TEMP\Calendar%202005_11_14.xls" TargetMode="External" Id="rId1"/></Relationships>
</file>

<file path=xl/externalLinks/_rels/externalLink11.xml.rels><Relationships xmlns="http://schemas.openxmlformats.org/package/2006/relationships"><Relationship Type="http://schemas.openxmlformats.org/officeDocument/2006/relationships/externalLinkPath" Target="file:///\\192.168.100.6\Excel%20Files\4-MT80-2000-001-I%20%20Supplier%20Assessment%20Template%2005-11-05.xls" TargetMode="External" Id="rId1"/></Relationships>
</file>

<file path=xl/externalLinks/_rels/externalLink12.xml.rels><Relationships xmlns="http://schemas.openxmlformats.org/package/2006/relationships"><Relationship Type="http://schemas.openxmlformats.org/officeDocument/2006/relationships/externalLinkPath" Target="file:///\\192.168.100.6\SPS%20DATA\training\audit%20questionare\Injection%20Molding%20OSA%20Template%20-%20Concept%2010-15-2014.xlsm" TargetMode="External" Id="rId1"/></Relationships>
</file>

<file path=xl/externalLinks/_rels/externalLink13.xml.rels><Relationships xmlns="http://schemas.openxmlformats.org/package/2006/relationships"><Relationship Type="http://schemas.openxmlformats.org/officeDocument/2006/relationships/externalLinkPath" Target="file:///\\L050242a\&#48512;&#54408;&#48372;&#51613;%20&#44277;&#50976;\PART%20LIST\Single\Office40\temp\D3500319.xls" TargetMode="External" Id="rId1"/></Relationships>
</file>

<file path=xl/externalLinks/_rels/externalLink14.xml.rels><Relationships xmlns="http://schemas.openxmlformats.org/package/2006/relationships"><Relationship Type="http://schemas.openxmlformats.org/officeDocument/2006/relationships/externalLinkPath" Target="file:///\\192.168.100.6\PART%20LIST\Single\Office40\temp\D3500319.xls" TargetMode="External" Id="rId1"/></Relationships>
</file>

<file path=xl/externalLinks/_rels/externalLink15.xml.rels><Relationships xmlns="http://schemas.openxmlformats.org/package/2006/relationships"><Relationship Type="http://schemas.openxmlformats.org/officeDocument/2006/relationships/externalLinkPath" Target="file:///\\192.168.100.6\PART%20LIST\data\xls\JINDAN.XLS" TargetMode="External" Id="rId1"/></Relationships>
</file>

<file path=xl/externalLinks/_rels/externalLink16.xml.rels><Relationships xmlns="http://schemas.openxmlformats.org/package/2006/relationships"><Relationship Type="http://schemas.openxmlformats.org/officeDocument/2006/relationships/externalLinkPath" Target="file:///\\L050242a\&#48512;&#54408;&#48372;&#51613;%20&#44277;&#50976;\PART%20LIST\data\xls\JINDAN.XLS" TargetMode="External" Id="rId1"/></Relationships>
</file>

<file path=xl/externalLinks/_rels/externalLink17.xml.rels><Relationships xmlns="http://schemas.openxmlformats.org/package/2006/relationships"><Relationship Type="http://schemas.openxmlformats.org/officeDocument/2006/relationships/externalLinkPath" Target="file:///\\L050242a\&#48512;&#54408;&#48372;&#51613;%20&#44277;&#50976;\PART%20LIST\EXCEL\98SALE\98&#50868;&#50689;.xls" TargetMode="External" Id="rId1"/></Relationships>
</file>

<file path=xl/externalLinks/_rels/externalLink18.xml.rels><Relationships xmlns="http://schemas.openxmlformats.org/package/2006/relationships"><Relationship Type="http://schemas.openxmlformats.org/officeDocument/2006/relationships/externalLinkPath" Target="file:///\\192.168.100.6\PART%20LIST\EXCEL\98SALE\98&#50868;&#50689;.xls" TargetMode="External" Id="rId1"/></Relationships>
</file>

<file path=xl/externalLinks/_rels/externalLink19.xml.rels><Relationships xmlns="http://schemas.openxmlformats.org/package/2006/relationships"><Relationship Type="http://schemas.openxmlformats.org/officeDocument/2006/relationships/externalLinkPath" Target="file:///\\L050242a\&#48512;&#54408;&#48372;&#51613;%20&#44277;&#50976;\PART%20LIST\My%20Documents\&#48372;&#44256;&#47928;&#49436;\98&#45380;&#50896;&#44032;.xls" TargetMode="External" Id="rId1"/></Relationships>
</file>

<file path=xl/externalLinks/_rels/externalLink20.xml.rels><Relationships xmlns="http://schemas.openxmlformats.org/package/2006/relationships"><Relationship Type="http://schemas.openxmlformats.org/officeDocument/2006/relationships/externalLinkPath" Target="file:///\\192.168.100.6\PART%20LIST\My%20Documents\&#48372;&#44256;&#47928;&#49436;\98&#45380;&#50896;&#44032;.xls" TargetMode="External" Id="rId1"/></Relationships>
</file>

<file path=xl/externalLinks/_rels/externalLink21.xml.rels><Relationships xmlns="http://schemas.openxmlformats.org/package/2006/relationships"><Relationship Type="http://schemas.openxmlformats.org/officeDocument/2006/relationships/externalLinkPath" Target="file:///\\L050242a\&#48512;&#54408;&#48372;&#51613;%20&#44277;&#50976;\PART%20LIST\DATA\97&#51204;&#47581;.xls" TargetMode="External" Id="rId1"/></Relationships>
</file>

<file path=xl/externalLinks/_rels/externalLink22.xml.rels><Relationships xmlns="http://schemas.openxmlformats.org/package/2006/relationships"><Relationship Type="http://schemas.openxmlformats.org/officeDocument/2006/relationships/externalLinkPath" Target="file:///\\192.168.100.6\PART%20LIST\DATA\97&#51204;&#47581;.xls" TargetMode="External" Id="rId1"/></Relationships>
</file>

<file path=xl/externalLinks/_rels/externalLink23.xml.rels><Relationships xmlns="http://schemas.openxmlformats.org/package/2006/relationships"><Relationship Type="http://schemas.openxmlformats.org/officeDocument/2006/relationships/externalLinkPath" Target="file:///\\L050242a\&#48512;&#54408;&#48372;&#51613;%20&#44277;&#50976;\PART%20LIST\&#50629;&#47924;\&#50896;&#44032;\&#50896;&#44032;91&#51452;.XLS" TargetMode="External" Id="rId1"/></Relationships>
</file>

<file path=xl/externalLinks/_rels/externalLink24.xml.rels><Relationships xmlns="http://schemas.openxmlformats.org/package/2006/relationships"><Relationship Type="http://schemas.openxmlformats.org/officeDocument/2006/relationships/externalLinkPath" Target="file:///\\192.168.100.6\PART%20LIST\&#50629;&#47924;\&#50896;&#44032;\&#50896;&#44032;91&#51452;.XLS" TargetMode="External" Id="rId1"/></Relationships>
</file>

<file path=xl/externalLinks/_rels/externalLink25.xml.rels><Relationships xmlns="http://schemas.openxmlformats.org/package/2006/relationships"><Relationship Type="http://schemas.openxmlformats.org/officeDocument/2006/relationships/externalLinkPath" Target="file:///\\L050242a\&#48512;&#54408;&#48372;&#51613;%20&#44277;&#50976;\PART%20LIST\&#52509;&#44221;&#48708;\98&#45380;\98&#52509;&#44221;&#48708;%20&#47785;&#54364;\&#52509;&#44221;&#52572;&#51333;&#54869;&#51221;.xls" TargetMode="External" Id="rId1"/></Relationships>
</file>

<file path=xl/externalLinks/_rels/externalLink26.xml.rels><Relationships xmlns="http://schemas.openxmlformats.org/package/2006/relationships"><Relationship Type="http://schemas.openxmlformats.org/officeDocument/2006/relationships/externalLinkPath" Target="file:///\\192.168.100.6\PART%20LIST\&#52509;&#44221;&#48708;\98&#45380;\98&#52509;&#44221;&#48708;%20&#47785;&#54364;\&#52509;&#44221;&#52572;&#51333;&#54869;&#51221;.xls" TargetMode="External" Id="rId1"/></Relationships>
</file>

<file path=xl/externalLinks/_rels/externalLink27.xml.rels><Relationships xmlns="http://schemas.openxmlformats.org/package/2006/relationships"><Relationship Type="http://schemas.openxmlformats.org/officeDocument/2006/relationships/externalLinkPath" Target="file:///\\L050242a\&#48512;&#54408;&#48372;&#51613;%20&#44277;&#50976;\PART%20LIST\BACKUP\&#50629;&#47924;&#51068;&#48152;\&#49373;&#49328;&#54788;&#54889;\8&#50900;\SANGGU\JOBJOB\6\SAMPLE.XLS" TargetMode="External" Id="rId1"/></Relationships>
</file>

<file path=xl/externalLinks/_rels/externalLink28.xml.rels><Relationships xmlns="http://schemas.openxmlformats.org/package/2006/relationships"><Relationship Type="http://schemas.openxmlformats.org/officeDocument/2006/relationships/externalLinkPath" Target="file:///\\192.168.100.6\PART%20LIST\BACKUP\&#50629;&#47924;&#51068;&#48152;\&#49373;&#49328;&#54788;&#54889;\8&#50900;\SANGGU\JOBJOB\6\SAMPLE.XLS"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Sheet4"/>
      <sheetName val="Sheet1"/>
      <sheetName val="유통"/>
      <sheetName val="Sheet3"/>
      <sheetName val="DSC"/>
      <sheetName val="요약"/>
      <sheetName val="capa부족"/>
      <sheetName val="실행반영"/>
      <sheetName val="적자기종"/>
    </sheetNames>
    <sheetDataSet>
      <sheetData sheetId="0"/>
      <sheetData sheetId="1"/>
      <sheetData sheetId="2"/>
      <sheetData sheetId="3"/>
      <sheetData sheetId="4"/>
      <sheetData sheetId="5"/>
      <sheetData sheetId="6"/>
      <sheetData sheetId="7"/>
      <sheetData sheetId="8"/>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heet4"/>
      <sheetName val="Sheet1"/>
      <sheetName val="유통"/>
      <sheetName val="Sheet3"/>
      <sheetName val="DSC"/>
      <sheetName val="요약"/>
      <sheetName val="capa부족"/>
      <sheetName val="실행반영"/>
      <sheetName val="적자기종"/>
      <sheetName val="기본데이타"/>
      <sheetName val="매출이익(실적)"/>
      <sheetName val="O_970122"/>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제품별"/>
      <sheetName val="매출이익"/>
      <sheetName val="관재차이"/>
      <sheetName val="집계표"/>
    </sheetNames>
    <sheetDataSet>
      <sheetData sheetId="0" refreshError="1">
        <row r="3">
          <cell r="F3" t="str">
            <v>년   간   누   계</v>
          </cell>
          <cell r="N3" t="str">
            <v>1            월</v>
          </cell>
          <cell r="T3" t="str">
            <v>2            월</v>
          </cell>
          <cell r="Z3" t="str">
            <v>3            월</v>
          </cell>
          <cell r="AF3" t="str">
            <v>4            월</v>
          </cell>
          <cell r="AL3" t="str">
            <v>5            월</v>
          </cell>
          <cell r="AR3" t="str">
            <v>6            월</v>
          </cell>
          <cell r="AX3" t="str">
            <v>상   반   기   누   계</v>
          </cell>
          <cell r="BF3" t="str">
            <v>7            월</v>
          </cell>
          <cell r="BL3" t="str">
            <v>8            월</v>
          </cell>
          <cell r="BR3" t="str">
            <v>9            월</v>
          </cell>
          <cell r="BX3" t="str">
            <v>10            월</v>
          </cell>
          <cell r="CD3" t="str">
            <v>11            월</v>
          </cell>
          <cell r="CJ3" t="str">
            <v>12            월</v>
          </cell>
          <cell r="CP3" t="str">
            <v>하   반   기   누   계</v>
          </cell>
          <cell r="CX3" t="str">
            <v>1  /  4  분  기</v>
          </cell>
          <cell r="DF3" t="str">
            <v>2  /  4  분  기</v>
          </cell>
          <cell r="DN3" t="str">
            <v>3  /  4  분  기</v>
          </cell>
          <cell r="DV3" t="str">
            <v>4  /  4  분  기</v>
          </cell>
        </row>
        <row r="4">
          <cell r="F4" t="str">
            <v>경      영</v>
          </cell>
          <cell r="N4" t="str">
            <v>경      영</v>
          </cell>
          <cell r="T4" t="str">
            <v>경      영</v>
          </cell>
          <cell r="Z4" t="str">
            <v>경      영</v>
          </cell>
          <cell r="AF4" t="str">
            <v>경      영</v>
          </cell>
          <cell r="AL4" t="str">
            <v>경      영</v>
          </cell>
          <cell r="AR4" t="str">
            <v>경      영</v>
          </cell>
          <cell r="AX4" t="str">
            <v>경      영</v>
          </cell>
          <cell r="BF4" t="str">
            <v>경      영</v>
          </cell>
          <cell r="BL4" t="str">
            <v>경      영</v>
          </cell>
          <cell r="BR4" t="str">
            <v>경      영</v>
          </cell>
          <cell r="BX4" t="str">
            <v>경      영</v>
          </cell>
          <cell r="CD4" t="str">
            <v>경      영</v>
          </cell>
          <cell r="CJ4" t="str">
            <v>경      영</v>
          </cell>
          <cell r="CP4" t="str">
            <v>경      영</v>
          </cell>
          <cell r="CX4" t="str">
            <v>경      영</v>
          </cell>
          <cell r="DF4" t="str">
            <v>경      영</v>
          </cell>
          <cell r="DN4" t="str">
            <v>경      영</v>
          </cell>
          <cell r="DV4" t="str">
            <v>경      영</v>
          </cell>
        </row>
        <row r="5">
          <cell r="F5" t="str">
            <v>수  량</v>
          </cell>
          <cell r="G5" t="str">
            <v>금  액</v>
          </cell>
          <cell r="H5" t="str">
            <v>매출익</v>
          </cell>
          <cell r="I5" t="str">
            <v>%</v>
          </cell>
          <cell r="N5" t="str">
            <v>수  량</v>
          </cell>
          <cell r="O5" t="str">
            <v>금  액</v>
          </cell>
          <cell r="P5" t="str">
            <v>매출익</v>
          </cell>
          <cell r="T5" t="str">
            <v>수  량</v>
          </cell>
          <cell r="U5" t="str">
            <v>금  액</v>
          </cell>
          <cell r="V5" t="str">
            <v>매출익</v>
          </cell>
          <cell r="Z5" t="str">
            <v>수  량</v>
          </cell>
          <cell r="AA5" t="str">
            <v>금  액</v>
          </cell>
          <cell r="AB5" t="str">
            <v>매출익</v>
          </cell>
          <cell r="AF5" t="str">
            <v>수  량</v>
          </cell>
          <cell r="AG5" t="str">
            <v>금  액</v>
          </cell>
          <cell r="AH5" t="str">
            <v>매출익</v>
          </cell>
          <cell r="AL5" t="str">
            <v>수  량</v>
          </cell>
          <cell r="AM5" t="str">
            <v>금  액</v>
          </cell>
          <cell r="AN5" t="str">
            <v>매출익</v>
          </cell>
          <cell r="AR5" t="str">
            <v>수  량</v>
          </cell>
          <cell r="AS5" t="str">
            <v>금  액</v>
          </cell>
          <cell r="AT5" t="str">
            <v>매출익</v>
          </cell>
          <cell r="AX5" t="str">
            <v>수  량</v>
          </cell>
          <cell r="AY5" t="str">
            <v>금  액</v>
          </cell>
          <cell r="AZ5" t="str">
            <v>매출익</v>
          </cell>
          <cell r="BA5" t="str">
            <v>%</v>
          </cell>
          <cell r="BF5" t="str">
            <v>수  량</v>
          </cell>
          <cell r="BG5" t="str">
            <v>금  액</v>
          </cell>
          <cell r="BH5" t="str">
            <v>매출익</v>
          </cell>
          <cell r="BL5" t="str">
            <v>수  량</v>
          </cell>
          <cell r="BM5" t="str">
            <v>금  액</v>
          </cell>
          <cell r="BN5" t="str">
            <v>매출익</v>
          </cell>
          <cell r="BR5" t="str">
            <v>수  량</v>
          </cell>
          <cell r="BS5" t="str">
            <v>금  액</v>
          </cell>
          <cell r="BT5" t="str">
            <v>매출익</v>
          </cell>
          <cell r="BX5" t="str">
            <v>수  량</v>
          </cell>
          <cell r="BY5" t="str">
            <v>금  액</v>
          </cell>
          <cell r="BZ5" t="str">
            <v>매출익</v>
          </cell>
          <cell r="CD5" t="str">
            <v>수  량</v>
          </cell>
          <cell r="CE5" t="str">
            <v>금  액</v>
          </cell>
          <cell r="CF5" t="str">
            <v>매출익</v>
          </cell>
          <cell r="CJ5" t="str">
            <v>수  량</v>
          </cell>
          <cell r="CK5" t="str">
            <v>금  액</v>
          </cell>
          <cell r="CL5" t="str">
            <v>매출익</v>
          </cell>
          <cell r="CP5" t="str">
            <v>수  량</v>
          </cell>
          <cell r="CQ5" t="str">
            <v>금  액</v>
          </cell>
          <cell r="CR5" t="str">
            <v>매출익</v>
          </cell>
          <cell r="CS5" t="str">
            <v>%</v>
          </cell>
          <cell r="CX5" t="str">
            <v>수  량</v>
          </cell>
          <cell r="CY5" t="str">
            <v>금  액</v>
          </cell>
          <cell r="CZ5" t="str">
            <v>매출익</v>
          </cell>
          <cell r="DA5" t="str">
            <v>%</v>
          </cell>
          <cell r="DF5" t="str">
            <v>수  량</v>
          </cell>
          <cell r="DG5" t="str">
            <v>금  액</v>
          </cell>
          <cell r="DH5" t="str">
            <v>매출익</v>
          </cell>
          <cell r="DI5" t="str">
            <v>%</v>
          </cell>
          <cell r="DN5" t="str">
            <v>수  량</v>
          </cell>
          <cell r="DO5" t="str">
            <v>금  액</v>
          </cell>
          <cell r="DP5" t="str">
            <v>매출익</v>
          </cell>
          <cell r="DQ5" t="str">
            <v>%</v>
          </cell>
          <cell r="DV5" t="str">
            <v>수  량</v>
          </cell>
          <cell r="DW5" t="str">
            <v>금  액</v>
          </cell>
          <cell r="DX5" t="str">
            <v>매출익</v>
          </cell>
          <cell r="DY5" t="str">
            <v>%</v>
          </cell>
        </row>
        <row r="6">
          <cell r="F6">
            <v>0</v>
          </cell>
          <cell r="G6">
            <v>0</v>
          </cell>
          <cell r="H6">
            <v>0</v>
          </cell>
          <cell r="I6">
            <v>0</v>
          </cell>
          <cell r="N6">
            <v>0</v>
          </cell>
          <cell r="O6">
            <v>0</v>
          </cell>
          <cell r="T6">
            <v>0</v>
          </cell>
          <cell r="U6">
            <v>0</v>
          </cell>
          <cell r="Z6">
            <v>0</v>
          </cell>
          <cell r="AA6">
            <v>0</v>
          </cell>
          <cell r="AF6">
            <v>0</v>
          </cell>
          <cell r="AG6">
            <v>0</v>
          </cell>
          <cell r="AL6">
            <v>0</v>
          </cell>
          <cell r="AM6">
            <v>0</v>
          </cell>
          <cell r="AR6">
            <v>0</v>
          </cell>
          <cell r="AS6">
            <v>0</v>
          </cell>
          <cell r="AX6">
            <v>0</v>
          </cell>
          <cell r="AY6">
            <v>0</v>
          </cell>
          <cell r="AZ6">
            <v>0</v>
          </cell>
          <cell r="BA6">
            <v>0</v>
          </cell>
          <cell r="BF6">
            <v>0</v>
          </cell>
          <cell r="BG6">
            <v>0</v>
          </cell>
          <cell r="BL6">
            <v>0</v>
          </cell>
          <cell r="BM6">
            <v>0</v>
          </cell>
          <cell r="BR6">
            <v>0</v>
          </cell>
          <cell r="BS6">
            <v>0</v>
          </cell>
          <cell r="BX6">
            <v>0</v>
          </cell>
          <cell r="BY6">
            <v>0</v>
          </cell>
          <cell r="CD6">
            <v>0</v>
          </cell>
          <cell r="CE6">
            <v>0</v>
          </cell>
          <cell r="CJ6">
            <v>0</v>
          </cell>
          <cell r="CK6">
            <v>0</v>
          </cell>
          <cell r="CP6">
            <v>0</v>
          </cell>
          <cell r="CQ6">
            <v>0</v>
          </cell>
          <cell r="CR6">
            <v>0</v>
          </cell>
          <cell r="CS6">
            <v>0</v>
          </cell>
          <cell r="CX6">
            <v>0</v>
          </cell>
          <cell r="CY6">
            <v>0</v>
          </cell>
          <cell r="CZ6">
            <v>0</v>
          </cell>
          <cell r="DA6">
            <v>0</v>
          </cell>
          <cell r="DF6">
            <v>0</v>
          </cell>
          <cell r="DG6">
            <v>0</v>
          </cell>
          <cell r="DH6">
            <v>0</v>
          </cell>
          <cell r="DI6">
            <v>0</v>
          </cell>
          <cell r="DN6">
            <v>0</v>
          </cell>
          <cell r="DO6">
            <v>0</v>
          </cell>
          <cell r="DP6">
            <v>0</v>
          </cell>
          <cell r="DQ6">
            <v>0</v>
          </cell>
          <cell r="DV6">
            <v>0</v>
          </cell>
          <cell r="DW6">
            <v>0</v>
          </cell>
          <cell r="DX6">
            <v>0</v>
          </cell>
          <cell r="DY6">
            <v>0</v>
          </cell>
        </row>
        <row r="7">
          <cell r="F7">
            <v>0</v>
          </cell>
          <cell r="G7">
            <v>0</v>
          </cell>
          <cell r="H7">
            <v>0</v>
          </cell>
          <cell r="I7">
            <v>0</v>
          </cell>
          <cell r="AX7">
            <v>0</v>
          </cell>
          <cell r="AY7">
            <v>0</v>
          </cell>
          <cell r="AZ7">
            <v>0</v>
          </cell>
          <cell r="BA7">
            <v>0</v>
          </cell>
          <cell r="CP7">
            <v>0</v>
          </cell>
          <cell r="CQ7">
            <v>0</v>
          </cell>
          <cell r="CR7">
            <v>0</v>
          </cell>
          <cell r="CS7">
            <v>0</v>
          </cell>
          <cell r="CX7">
            <v>0</v>
          </cell>
          <cell r="CY7">
            <v>0</v>
          </cell>
          <cell r="CZ7">
            <v>0</v>
          </cell>
          <cell r="DA7">
            <v>0</v>
          </cell>
          <cell r="DF7">
            <v>0</v>
          </cell>
          <cell r="DG7">
            <v>0</v>
          </cell>
          <cell r="DH7">
            <v>0</v>
          </cell>
          <cell r="DI7">
            <v>0</v>
          </cell>
          <cell r="DN7">
            <v>0</v>
          </cell>
          <cell r="DO7">
            <v>0</v>
          </cell>
          <cell r="DP7">
            <v>0</v>
          </cell>
          <cell r="DQ7">
            <v>0</v>
          </cell>
          <cell r="DV7">
            <v>0</v>
          </cell>
          <cell r="DW7">
            <v>0</v>
          </cell>
          <cell r="DX7">
            <v>0</v>
          </cell>
          <cell r="DY7">
            <v>0</v>
          </cell>
        </row>
        <row r="8">
          <cell r="F8">
            <v>0</v>
          </cell>
          <cell r="G8">
            <v>0</v>
          </cell>
          <cell r="H8">
            <v>0</v>
          </cell>
          <cell r="I8">
            <v>0</v>
          </cell>
          <cell r="N8">
            <v>0</v>
          </cell>
          <cell r="O8">
            <v>0</v>
          </cell>
          <cell r="T8">
            <v>0</v>
          </cell>
          <cell r="U8">
            <v>0</v>
          </cell>
          <cell r="Z8">
            <v>0</v>
          </cell>
          <cell r="AA8">
            <v>0</v>
          </cell>
          <cell r="AF8">
            <v>0</v>
          </cell>
          <cell r="AG8">
            <v>0</v>
          </cell>
          <cell r="AL8">
            <v>0</v>
          </cell>
          <cell r="AM8">
            <v>0</v>
          </cell>
          <cell r="AR8">
            <v>0</v>
          </cell>
          <cell r="AS8">
            <v>0</v>
          </cell>
          <cell r="AX8">
            <v>0</v>
          </cell>
          <cell r="AY8">
            <v>0</v>
          </cell>
          <cell r="AZ8">
            <v>0</v>
          </cell>
          <cell r="BA8">
            <v>0</v>
          </cell>
          <cell r="BF8">
            <v>0</v>
          </cell>
          <cell r="BG8">
            <v>0</v>
          </cell>
          <cell r="BL8">
            <v>0</v>
          </cell>
          <cell r="BM8">
            <v>0</v>
          </cell>
          <cell r="BR8">
            <v>0</v>
          </cell>
          <cell r="BS8">
            <v>0</v>
          </cell>
          <cell r="BX8">
            <v>0</v>
          </cell>
          <cell r="BY8">
            <v>0</v>
          </cell>
          <cell r="CD8">
            <v>0</v>
          </cell>
          <cell r="CE8">
            <v>0</v>
          </cell>
          <cell r="CJ8">
            <v>0</v>
          </cell>
          <cell r="CK8">
            <v>0</v>
          </cell>
          <cell r="CP8">
            <v>0</v>
          </cell>
          <cell r="CQ8">
            <v>0</v>
          </cell>
          <cell r="CR8">
            <v>0</v>
          </cell>
          <cell r="CS8">
            <v>0</v>
          </cell>
          <cell r="CX8">
            <v>0</v>
          </cell>
          <cell r="CY8">
            <v>0</v>
          </cell>
          <cell r="CZ8">
            <v>0</v>
          </cell>
          <cell r="DA8">
            <v>0</v>
          </cell>
          <cell r="DF8">
            <v>0</v>
          </cell>
          <cell r="DG8">
            <v>0</v>
          </cell>
          <cell r="DH8">
            <v>0</v>
          </cell>
          <cell r="DI8">
            <v>0</v>
          </cell>
          <cell r="DN8">
            <v>0</v>
          </cell>
          <cell r="DO8">
            <v>0</v>
          </cell>
          <cell r="DP8">
            <v>0</v>
          </cell>
          <cell r="DQ8">
            <v>0</v>
          </cell>
          <cell r="DV8">
            <v>0</v>
          </cell>
          <cell r="DW8">
            <v>0</v>
          </cell>
          <cell r="DX8">
            <v>0</v>
          </cell>
          <cell r="DY8">
            <v>0</v>
          </cell>
        </row>
        <row r="9">
          <cell r="F9">
            <v>0</v>
          </cell>
          <cell r="G9">
            <v>0</v>
          </cell>
          <cell r="H9">
            <v>0</v>
          </cell>
          <cell r="I9">
            <v>0</v>
          </cell>
          <cell r="AX9">
            <v>0</v>
          </cell>
          <cell r="AY9">
            <v>0</v>
          </cell>
          <cell r="AZ9">
            <v>0</v>
          </cell>
          <cell r="BA9">
            <v>0</v>
          </cell>
          <cell r="CP9">
            <v>0</v>
          </cell>
          <cell r="CQ9">
            <v>0</v>
          </cell>
          <cell r="CR9">
            <v>0</v>
          </cell>
          <cell r="CS9">
            <v>0</v>
          </cell>
          <cell r="CX9">
            <v>0</v>
          </cell>
          <cell r="CY9">
            <v>0</v>
          </cell>
          <cell r="CZ9">
            <v>0</v>
          </cell>
          <cell r="DA9">
            <v>0</v>
          </cell>
          <cell r="DF9">
            <v>0</v>
          </cell>
          <cell r="DG9">
            <v>0</v>
          </cell>
          <cell r="DH9">
            <v>0</v>
          </cell>
          <cell r="DI9">
            <v>0</v>
          </cell>
          <cell r="DN9">
            <v>0</v>
          </cell>
          <cell r="DO9">
            <v>0</v>
          </cell>
          <cell r="DP9">
            <v>0</v>
          </cell>
          <cell r="DQ9">
            <v>0</v>
          </cell>
          <cell r="DV9">
            <v>0</v>
          </cell>
          <cell r="DW9">
            <v>0</v>
          </cell>
          <cell r="DX9">
            <v>0</v>
          </cell>
          <cell r="DY9">
            <v>0</v>
          </cell>
        </row>
        <row r="10">
          <cell r="F10">
            <v>0</v>
          </cell>
          <cell r="G10">
            <v>0</v>
          </cell>
          <cell r="H10">
            <v>0</v>
          </cell>
          <cell r="I10">
            <v>0</v>
          </cell>
          <cell r="AX10">
            <v>0</v>
          </cell>
          <cell r="AY10">
            <v>0</v>
          </cell>
          <cell r="AZ10">
            <v>0</v>
          </cell>
          <cell r="BA10">
            <v>0</v>
          </cell>
          <cell r="CP10">
            <v>0</v>
          </cell>
          <cell r="CQ10">
            <v>0</v>
          </cell>
          <cell r="CR10">
            <v>0</v>
          </cell>
          <cell r="CS10">
            <v>0</v>
          </cell>
          <cell r="CX10">
            <v>0</v>
          </cell>
          <cell r="CY10">
            <v>0</v>
          </cell>
          <cell r="CZ10">
            <v>0</v>
          </cell>
          <cell r="DA10">
            <v>0</v>
          </cell>
          <cell r="DF10">
            <v>0</v>
          </cell>
          <cell r="DG10">
            <v>0</v>
          </cell>
          <cell r="DH10">
            <v>0</v>
          </cell>
          <cell r="DI10">
            <v>0</v>
          </cell>
          <cell r="DN10">
            <v>0</v>
          </cell>
          <cell r="DO10">
            <v>0</v>
          </cell>
          <cell r="DP10">
            <v>0</v>
          </cell>
          <cell r="DQ10">
            <v>0</v>
          </cell>
          <cell r="DV10">
            <v>0</v>
          </cell>
          <cell r="DW10">
            <v>0</v>
          </cell>
          <cell r="DX10">
            <v>0</v>
          </cell>
          <cell r="DY10">
            <v>0</v>
          </cell>
        </row>
        <row r="11">
          <cell r="F11">
            <v>0</v>
          </cell>
          <cell r="G11">
            <v>0</v>
          </cell>
          <cell r="H11">
            <v>0</v>
          </cell>
          <cell r="I11">
            <v>0</v>
          </cell>
          <cell r="N11">
            <v>0</v>
          </cell>
          <cell r="O11">
            <v>0</v>
          </cell>
          <cell r="T11">
            <v>0</v>
          </cell>
          <cell r="U11">
            <v>0</v>
          </cell>
          <cell r="Z11">
            <v>0</v>
          </cell>
          <cell r="AA11">
            <v>0</v>
          </cell>
          <cell r="AF11">
            <v>0</v>
          </cell>
          <cell r="AG11">
            <v>0</v>
          </cell>
          <cell r="AL11">
            <v>0</v>
          </cell>
          <cell r="AM11">
            <v>0</v>
          </cell>
          <cell r="AR11">
            <v>0</v>
          </cell>
          <cell r="AS11">
            <v>0</v>
          </cell>
          <cell r="AX11">
            <v>0</v>
          </cell>
          <cell r="AY11">
            <v>0</v>
          </cell>
          <cell r="AZ11">
            <v>0</v>
          </cell>
          <cell r="BA11">
            <v>0</v>
          </cell>
          <cell r="BF11">
            <v>0</v>
          </cell>
          <cell r="BG11">
            <v>0</v>
          </cell>
          <cell r="BL11">
            <v>0</v>
          </cell>
          <cell r="BM11">
            <v>0</v>
          </cell>
          <cell r="BR11">
            <v>0</v>
          </cell>
          <cell r="BS11">
            <v>0</v>
          </cell>
          <cell r="BX11">
            <v>0</v>
          </cell>
          <cell r="BY11">
            <v>0</v>
          </cell>
          <cell r="CD11">
            <v>0</v>
          </cell>
          <cell r="CE11">
            <v>0</v>
          </cell>
          <cell r="CJ11">
            <v>0</v>
          </cell>
          <cell r="CK11">
            <v>0</v>
          </cell>
          <cell r="CP11">
            <v>0</v>
          </cell>
          <cell r="CQ11">
            <v>0</v>
          </cell>
          <cell r="CR11">
            <v>0</v>
          </cell>
          <cell r="CS11">
            <v>0</v>
          </cell>
          <cell r="CX11">
            <v>0</v>
          </cell>
          <cell r="CY11">
            <v>0</v>
          </cell>
          <cell r="CZ11">
            <v>0</v>
          </cell>
          <cell r="DA11">
            <v>0</v>
          </cell>
          <cell r="DF11">
            <v>0</v>
          </cell>
          <cell r="DG11">
            <v>0</v>
          </cell>
          <cell r="DH11">
            <v>0</v>
          </cell>
          <cell r="DI11">
            <v>0</v>
          </cell>
          <cell r="DN11">
            <v>0</v>
          </cell>
          <cell r="DO11">
            <v>0</v>
          </cell>
          <cell r="DP11">
            <v>0</v>
          </cell>
          <cell r="DQ11">
            <v>0</v>
          </cell>
          <cell r="DV11">
            <v>0</v>
          </cell>
          <cell r="DW11">
            <v>0</v>
          </cell>
          <cell r="DX11">
            <v>0</v>
          </cell>
          <cell r="DY11">
            <v>0</v>
          </cell>
        </row>
        <row r="12">
          <cell r="F12">
            <v>0</v>
          </cell>
          <cell r="G12">
            <v>0</v>
          </cell>
          <cell r="H12">
            <v>0</v>
          </cell>
          <cell r="I12">
            <v>0</v>
          </cell>
          <cell r="AX12">
            <v>0</v>
          </cell>
          <cell r="AY12">
            <v>0</v>
          </cell>
          <cell r="AZ12">
            <v>0</v>
          </cell>
          <cell r="BA12">
            <v>0</v>
          </cell>
          <cell r="CP12">
            <v>0</v>
          </cell>
          <cell r="CQ12">
            <v>0</v>
          </cell>
          <cell r="CR12">
            <v>0</v>
          </cell>
          <cell r="CS12">
            <v>0</v>
          </cell>
          <cell r="CX12">
            <v>0</v>
          </cell>
          <cell r="CY12">
            <v>0</v>
          </cell>
          <cell r="CZ12">
            <v>0</v>
          </cell>
          <cell r="DA12">
            <v>0</v>
          </cell>
          <cell r="DF12">
            <v>0</v>
          </cell>
          <cell r="DG12">
            <v>0</v>
          </cell>
          <cell r="DH12">
            <v>0</v>
          </cell>
          <cell r="DI12">
            <v>0</v>
          </cell>
          <cell r="DN12">
            <v>0</v>
          </cell>
          <cell r="DO12">
            <v>0</v>
          </cell>
          <cell r="DP12">
            <v>0</v>
          </cell>
          <cell r="DQ12">
            <v>0</v>
          </cell>
          <cell r="DV12">
            <v>0</v>
          </cell>
          <cell r="DW12">
            <v>0</v>
          </cell>
          <cell r="DX12">
            <v>0</v>
          </cell>
          <cell r="DY12">
            <v>0</v>
          </cell>
        </row>
        <row r="13">
          <cell r="F13">
            <v>0</v>
          </cell>
          <cell r="G13">
            <v>0</v>
          </cell>
          <cell r="H13">
            <v>0</v>
          </cell>
          <cell r="I13">
            <v>0</v>
          </cell>
          <cell r="AX13">
            <v>0</v>
          </cell>
          <cell r="AY13">
            <v>0</v>
          </cell>
          <cell r="AZ13">
            <v>0</v>
          </cell>
          <cell r="BA13">
            <v>0</v>
          </cell>
          <cell r="CP13">
            <v>0</v>
          </cell>
          <cell r="CQ13">
            <v>0</v>
          </cell>
          <cell r="CR13">
            <v>0</v>
          </cell>
          <cell r="CS13">
            <v>0</v>
          </cell>
          <cell r="CX13">
            <v>0</v>
          </cell>
          <cell r="CY13">
            <v>0</v>
          </cell>
          <cell r="CZ13">
            <v>0</v>
          </cell>
          <cell r="DA13">
            <v>0</v>
          </cell>
          <cell r="DF13">
            <v>0</v>
          </cell>
          <cell r="DG13">
            <v>0</v>
          </cell>
          <cell r="DH13">
            <v>0</v>
          </cell>
          <cell r="DI13">
            <v>0</v>
          </cell>
          <cell r="DN13">
            <v>0</v>
          </cell>
          <cell r="DO13">
            <v>0</v>
          </cell>
          <cell r="DP13">
            <v>0</v>
          </cell>
          <cell r="DQ13">
            <v>0</v>
          </cell>
          <cell r="DV13">
            <v>0</v>
          </cell>
          <cell r="DW13">
            <v>0</v>
          </cell>
          <cell r="DX13">
            <v>0</v>
          </cell>
          <cell r="DY13">
            <v>0</v>
          </cell>
        </row>
        <row r="14">
          <cell r="F14">
            <v>0</v>
          </cell>
          <cell r="G14">
            <v>0</v>
          </cell>
          <cell r="H14">
            <v>0</v>
          </cell>
          <cell r="I14">
            <v>0</v>
          </cell>
          <cell r="AX14">
            <v>0</v>
          </cell>
          <cell r="AY14">
            <v>0</v>
          </cell>
          <cell r="AZ14">
            <v>0</v>
          </cell>
          <cell r="BA14">
            <v>0</v>
          </cell>
          <cell r="CP14">
            <v>0</v>
          </cell>
          <cell r="CQ14">
            <v>0</v>
          </cell>
          <cell r="CR14">
            <v>0</v>
          </cell>
          <cell r="CS14">
            <v>0</v>
          </cell>
          <cell r="CX14">
            <v>0</v>
          </cell>
          <cell r="CY14">
            <v>0</v>
          </cell>
          <cell r="CZ14">
            <v>0</v>
          </cell>
          <cell r="DA14">
            <v>0</v>
          </cell>
          <cell r="DF14">
            <v>0</v>
          </cell>
          <cell r="DG14">
            <v>0</v>
          </cell>
          <cell r="DH14">
            <v>0</v>
          </cell>
          <cell r="DI14">
            <v>0</v>
          </cell>
          <cell r="DN14">
            <v>0</v>
          </cell>
          <cell r="DO14">
            <v>0</v>
          </cell>
          <cell r="DP14">
            <v>0</v>
          </cell>
          <cell r="DQ14">
            <v>0</v>
          </cell>
          <cell r="DV14">
            <v>0</v>
          </cell>
          <cell r="DW14">
            <v>0</v>
          </cell>
          <cell r="DX14">
            <v>0</v>
          </cell>
          <cell r="DY14">
            <v>0</v>
          </cell>
        </row>
        <row r="15">
          <cell r="F15">
            <v>0</v>
          </cell>
          <cell r="G15">
            <v>0</v>
          </cell>
          <cell r="H15">
            <v>0</v>
          </cell>
          <cell r="I15">
            <v>0</v>
          </cell>
          <cell r="AX15">
            <v>0</v>
          </cell>
          <cell r="AY15">
            <v>0</v>
          </cell>
          <cell r="AZ15">
            <v>0</v>
          </cell>
          <cell r="BA15">
            <v>0</v>
          </cell>
          <cell r="CP15">
            <v>0</v>
          </cell>
          <cell r="CQ15">
            <v>0</v>
          </cell>
          <cell r="CR15">
            <v>0</v>
          </cell>
          <cell r="CS15">
            <v>0</v>
          </cell>
          <cell r="CX15">
            <v>0</v>
          </cell>
          <cell r="CY15">
            <v>0</v>
          </cell>
          <cell r="CZ15">
            <v>0</v>
          </cell>
          <cell r="DA15">
            <v>0</v>
          </cell>
          <cell r="DF15">
            <v>0</v>
          </cell>
          <cell r="DG15">
            <v>0</v>
          </cell>
          <cell r="DH15">
            <v>0</v>
          </cell>
          <cell r="DI15">
            <v>0</v>
          </cell>
          <cell r="DN15">
            <v>0</v>
          </cell>
          <cell r="DO15">
            <v>0</v>
          </cell>
          <cell r="DP15">
            <v>0</v>
          </cell>
          <cell r="DQ15">
            <v>0</v>
          </cell>
          <cell r="DV15">
            <v>0</v>
          </cell>
          <cell r="DW15">
            <v>0</v>
          </cell>
          <cell r="DX15">
            <v>0</v>
          </cell>
          <cell r="DY15">
            <v>0</v>
          </cell>
        </row>
        <row r="16">
          <cell r="F16">
            <v>0</v>
          </cell>
          <cell r="G16">
            <v>0</v>
          </cell>
          <cell r="H16">
            <v>0</v>
          </cell>
          <cell r="I16">
            <v>0</v>
          </cell>
          <cell r="AX16">
            <v>0</v>
          </cell>
          <cell r="AY16">
            <v>0</v>
          </cell>
          <cell r="AZ16">
            <v>0</v>
          </cell>
          <cell r="BA16">
            <v>0</v>
          </cell>
          <cell r="CP16">
            <v>0</v>
          </cell>
          <cell r="CQ16">
            <v>0</v>
          </cell>
          <cell r="CR16">
            <v>0</v>
          </cell>
          <cell r="CS16">
            <v>0</v>
          </cell>
          <cell r="CX16">
            <v>0</v>
          </cell>
          <cell r="CY16">
            <v>0</v>
          </cell>
          <cell r="CZ16">
            <v>0</v>
          </cell>
          <cell r="DA16">
            <v>0</v>
          </cell>
          <cell r="DF16">
            <v>0</v>
          </cell>
          <cell r="DG16">
            <v>0</v>
          </cell>
          <cell r="DH16">
            <v>0</v>
          </cell>
          <cell r="DI16">
            <v>0</v>
          </cell>
          <cell r="DN16">
            <v>0</v>
          </cell>
          <cell r="DO16">
            <v>0</v>
          </cell>
          <cell r="DP16">
            <v>0</v>
          </cell>
          <cell r="DQ16">
            <v>0</v>
          </cell>
          <cell r="DV16">
            <v>0</v>
          </cell>
          <cell r="DW16">
            <v>0</v>
          </cell>
          <cell r="DX16">
            <v>0</v>
          </cell>
          <cell r="DY16">
            <v>0</v>
          </cell>
        </row>
        <row r="17">
          <cell r="F17">
            <v>0</v>
          </cell>
          <cell r="G17">
            <v>0</v>
          </cell>
          <cell r="H17">
            <v>0</v>
          </cell>
          <cell r="I17">
            <v>0</v>
          </cell>
          <cell r="AX17">
            <v>0</v>
          </cell>
          <cell r="AY17">
            <v>0</v>
          </cell>
          <cell r="AZ17">
            <v>0</v>
          </cell>
          <cell r="BA17">
            <v>0</v>
          </cell>
          <cell r="CP17">
            <v>0</v>
          </cell>
          <cell r="CQ17">
            <v>0</v>
          </cell>
          <cell r="CR17">
            <v>0</v>
          </cell>
          <cell r="CS17">
            <v>0</v>
          </cell>
          <cell r="CX17">
            <v>0</v>
          </cell>
          <cell r="CY17">
            <v>0</v>
          </cell>
          <cell r="CZ17">
            <v>0</v>
          </cell>
          <cell r="DA17">
            <v>0</v>
          </cell>
          <cell r="DF17">
            <v>0</v>
          </cell>
          <cell r="DG17">
            <v>0</v>
          </cell>
          <cell r="DH17">
            <v>0</v>
          </cell>
          <cell r="DI17">
            <v>0</v>
          </cell>
          <cell r="DN17">
            <v>0</v>
          </cell>
          <cell r="DO17">
            <v>0</v>
          </cell>
          <cell r="DP17">
            <v>0</v>
          </cell>
          <cell r="DQ17">
            <v>0</v>
          </cell>
          <cell r="DV17">
            <v>0</v>
          </cell>
          <cell r="DW17">
            <v>0</v>
          </cell>
          <cell r="DX17">
            <v>0</v>
          </cell>
          <cell r="DY17">
            <v>0</v>
          </cell>
        </row>
        <row r="18">
          <cell r="F18">
            <v>0</v>
          </cell>
          <cell r="G18">
            <v>0</v>
          </cell>
          <cell r="H18">
            <v>0</v>
          </cell>
          <cell r="I18">
            <v>0</v>
          </cell>
          <cell r="AX18">
            <v>0</v>
          </cell>
          <cell r="AY18">
            <v>0</v>
          </cell>
          <cell r="AZ18">
            <v>0</v>
          </cell>
          <cell r="BA18">
            <v>0</v>
          </cell>
          <cell r="CP18">
            <v>0</v>
          </cell>
          <cell r="CQ18">
            <v>0</v>
          </cell>
          <cell r="CR18">
            <v>0</v>
          </cell>
          <cell r="CS18">
            <v>0</v>
          </cell>
          <cell r="CX18">
            <v>0</v>
          </cell>
          <cell r="CY18">
            <v>0</v>
          </cell>
          <cell r="CZ18">
            <v>0</v>
          </cell>
          <cell r="DA18">
            <v>0</v>
          </cell>
          <cell r="DF18">
            <v>0</v>
          </cell>
          <cell r="DG18">
            <v>0</v>
          </cell>
          <cell r="DH18">
            <v>0</v>
          </cell>
          <cell r="DI18">
            <v>0</v>
          </cell>
          <cell r="DN18">
            <v>0</v>
          </cell>
          <cell r="DO18">
            <v>0</v>
          </cell>
          <cell r="DP18">
            <v>0</v>
          </cell>
          <cell r="DQ18">
            <v>0</v>
          </cell>
          <cell r="DV18">
            <v>0</v>
          </cell>
          <cell r="DW18">
            <v>0</v>
          </cell>
          <cell r="DX18">
            <v>0</v>
          </cell>
          <cell r="DY18">
            <v>0</v>
          </cell>
        </row>
        <row r="19">
          <cell r="F19">
            <v>0</v>
          </cell>
          <cell r="G19">
            <v>0</v>
          </cell>
          <cell r="H19">
            <v>0</v>
          </cell>
          <cell r="I19">
            <v>0</v>
          </cell>
          <cell r="N19">
            <v>0</v>
          </cell>
          <cell r="O19">
            <v>0</v>
          </cell>
          <cell r="P19">
            <v>0</v>
          </cell>
          <cell r="T19">
            <v>0</v>
          </cell>
          <cell r="U19">
            <v>0</v>
          </cell>
          <cell r="V19">
            <v>0</v>
          </cell>
          <cell r="Z19">
            <v>0</v>
          </cell>
          <cell r="AA19">
            <v>0</v>
          </cell>
          <cell r="AB19">
            <v>0</v>
          </cell>
          <cell r="AF19">
            <v>0</v>
          </cell>
          <cell r="AG19">
            <v>0</v>
          </cell>
          <cell r="AH19">
            <v>0</v>
          </cell>
          <cell r="AL19">
            <v>0</v>
          </cell>
          <cell r="AM19">
            <v>0</v>
          </cell>
          <cell r="AN19">
            <v>0</v>
          </cell>
          <cell r="AR19">
            <v>0</v>
          </cell>
          <cell r="AS19">
            <v>0</v>
          </cell>
          <cell r="AT19">
            <v>0</v>
          </cell>
          <cell r="AX19">
            <v>0</v>
          </cell>
          <cell r="AY19">
            <v>0</v>
          </cell>
          <cell r="AZ19">
            <v>0</v>
          </cell>
          <cell r="BA19">
            <v>0</v>
          </cell>
          <cell r="BF19">
            <v>0</v>
          </cell>
          <cell r="BG19">
            <v>0</v>
          </cell>
          <cell r="BH19">
            <v>0</v>
          </cell>
          <cell r="BL19">
            <v>0</v>
          </cell>
          <cell r="BM19">
            <v>0</v>
          </cell>
          <cell r="BN19">
            <v>0</v>
          </cell>
          <cell r="BR19">
            <v>0</v>
          </cell>
          <cell r="BS19">
            <v>0</v>
          </cell>
          <cell r="BT19">
            <v>0</v>
          </cell>
          <cell r="BX19">
            <v>0</v>
          </cell>
          <cell r="BY19">
            <v>0</v>
          </cell>
          <cell r="BZ19">
            <v>0</v>
          </cell>
          <cell r="CD19">
            <v>0</v>
          </cell>
          <cell r="CE19">
            <v>0</v>
          </cell>
          <cell r="CF19">
            <v>0</v>
          </cell>
          <cell r="CJ19">
            <v>0</v>
          </cell>
          <cell r="CK19">
            <v>0</v>
          </cell>
          <cell r="CL19">
            <v>0</v>
          </cell>
          <cell r="CP19">
            <v>0</v>
          </cell>
          <cell r="CQ19">
            <v>0</v>
          </cell>
          <cell r="CR19">
            <v>0</v>
          </cell>
          <cell r="CS19">
            <v>0</v>
          </cell>
          <cell r="CX19">
            <v>0</v>
          </cell>
          <cell r="CY19">
            <v>0</v>
          </cell>
          <cell r="CZ19">
            <v>0</v>
          </cell>
          <cell r="DA19">
            <v>0</v>
          </cell>
          <cell r="DF19">
            <v>0</v>
          </cell>
          <cell r="DG19">
            <v>0</v>
          </cell>
          <cell r="DH19">
            <v>0</v>
          </cell>
          <cell r="DI19">
            <v>0</v>
          </cell>
          <cell r="DN19">
            <v>0</v>
          </cell>
          <cell r="DO19">
            <v>0</v>
          </cell>
          <cell r="DP19">
            <v>0</v>
          </cell>
          <cell r="DQ19">
            <v>0</v>
          </cell>
          <cell r="DV19">
            <v>0</v>
          </cell>
          <cell r="DW19">
            <v>0</v>
          </cell>
          <cell r="DX19">
            <v>0</v>
          </cell>
          <cell r="DY19">
            <v>0</v>
          </cell>
        </row>
        <row r="20">
          <cell r="F20">
            <v>0</v>
          </cell>
          <cell r="G20">
            <v>0</v>
          </cell>
          <cell r="H20">
            <v>0</v>
          </cell>
          <cell r="I20">
            <v>0</v>
          </cell>
          <cell r="AX20">
            <v>0</v>
          </cell>
          <cell r="AY20">
            <v>0</v>
          </cell>
          <cell r="AZ20">
            <v>0</v>
          </cell>
          <cell r="BA20">
            <v>0</v>
          </cell>
          <cell r="CP20">
            <v>0</v>
          </cell>
          <cell r="CQ20">
            <v>0</v>
          </cell>
          <cell r="CR20">
            <v>0</v>
          </cell>
          <cell r="CS20">
            <v>0</v>
          </cell>
          <cell r="CX20">
            <v>0</v>
          </cell>
          <cell r="CY20">
            <v>0</v>
          </cell>
          <cell r="CZ20">
            <v>0</v>
          </cell>
          <cell r="DA20">
            <v>0</v>
          </cell>
          <cell r="DF20">
            <v>0</v>
          </cell>
          <cell r="DG20">
            <v>0</v>
          </cell>
          <cell r="DH20">
            <v>0</v>
          </cell>
          <cell r="DI20">
            <v>0</v>
          </cell>
          <cell r="DN20">
            <v>0</v>
          </cell>
          <cell r="DO20">
            <v>0</v>
          </cell>
          <cell r="DP20">
            <v>0</v>
          </cell>
          <cell r="DQ20">
            <v>0</v>
          </cell>
          <cell r="DV20">
            <v>0</v>
          </cell>
          <cell r="DW20">
            <v>0</v>
          </cell>
          <cell r="DX20">
            <v>0</v>
          </cell>
          <cell r="DY20">
            <v>0</v>
          </cell>
        </row>
        <row r="21">
          <cell r="F21">
            <v>15600</v>
          </cell>
          <cell r="G21">
            <v>1982</v>
          </cell>
          <cell r="H21">
            <v>1243.0030000000002</v>
          </cell>
          <cell r="I21">
            <v>62.714581231079727</v>
          </cell>
          <cell r="N21">
            <v>1100</v>
          </cell>
          <cell r="O21">
            <v>140</v>
          </cell>
          <cell r="P21">
            <v>85.694999999999993</v>
          </cell>
          <cell r="T21">
            <v>1700</v>
          </cell>
          <cell r="U21">
            <v>216</v>
          </cell>
          <cell r="V21">
            <v>134.46199999999999</v>
          </cell>
          <cell r="Z21">
            <v>1400</v>
          </cell>
          <cell r="AA21">
            <v>178</v>
          </cell>
          <cell r="AB21">
            <v>112.03</v>
          </cell>
          <cell r="AF21">
            <v>1400</v>
          </cell>
          <cell r="AG21">
            <v>178</v>
          </cell>
          <cell r="AH21">
            <v>112.03</v>
          </cell>
          <cell r="AL21">
            <v>1500</v>
          </cell>
          <cell r="AM21">
            <v>191</v>
          </cell>
          <cell r="AN21">
            <v>120.318</v>
          </cell>
          <cell r="AR21">
            <v>1300</v>
          </cell>
          <cell r="AS21">
            <v>165</v>
          </cell>
          <cell r="AT21">
            <v>103.742</v>
          </cell>
          <cell r="AX21">
            <v>8400</v>
          </cell>
          <cell r="AY21">
            <v>1068</v>
          </cell>
          <cell r="AZ21">
            <v>668.27700000000004</v>
          </cell>
          <cell r="BA21">
            <v>62.57275280898876</v>
          </cell>
          <cell r="BF21">
            <v>1300</v>
          </cell>
          <cell r="BG21">
            <v>165</v>
          </cell>
          <cell r="BH21">
            <v>103.742</v>
          </cell>
          <cell r="BL21">
            <v>1200</v>
          </cell>
          <cell r="BM21">
            <v>152</v>
          </cell>
          <cell r="BN21">
            <v>95.453999999999994</v>
          </cell>
          <cell r="BR21">
            <v>1300</v>
          </cell>
          <cell r="BS21">
            <v>165</v>
          </cell>
          <cell r="BT21">
            <v>103.742</v>
          </cell>
          <cell r="BX21">
            <v>1200</v>
          </cell>
          <cell r="BY21">
            <v>152</v>
          </cell>
          <cell r="BZ21">
            <v>95.453999999999994</v>
          </cell>
          <cell r="CD21">
            <v>1100</v>
          </cell>
          <cell r="CE21">
            <v>140</v>
          </cell>
          <cell r="CF21">
            <v>88.167000000000002</v>
          </cell>
          <cell r="CJ21">
            <v>1100</v>
          </cell>
          <cell r="CK21">
            <v>140</v>
          </cell>
          <cell r="CL21">
            <v>88.167000000000002</v>
          </cell>
          <cell r="CP21">
            <v>7200</v>
          </cell>
          <cell r="CQ21">
            <v>914</v>
          </cell>
          <cell r="CR21">
            <v>574.726</v>
          </cell>
          <cell r="CS21">
            <v>62.88030634573304</v>
          </cell>
          <cell r="CX21">
            <v>4200</v>
          </cell>
          <cell r="CY21">
            <v>534</v>
          </cell>
          <cell r="CZ21">
            <v>332.18700000000001</v>
          </cell>
          <cell r="DA21">
            <v>62.207303370786512</v>
          </cell>
          <cell r="DF21">
            <v>4200</v>
          </cell>
          <cell r="DG21">
            <v>534</v>
          </cell>
          <cell r="DH21">
            <v>336.09000000000003</v>
          </cell>
          <cell r="DI21">
            <v>62.938202247191022</v>
          </cell>
          <cell r="DN21">
            <v>3800</v>
          </cell>
          <cell r="DO21">
            <v>482</v>
          </cell>
          <cell r="DP21">
            <v>302.93799999999999</v>
          </cell>
          <cell r="DQ21">
            <v>62.850207468879674</v>
          </cell>
          <cell r="DV21">
            <v>3400</v>
          </cell>
          <cell r="DW21">
            <v>432</v>
          </cell>
          <cell r="DX21">
            <v>271.78800000000001</v>
          </cell>
          <cell r="DY21">
            <v>62.913888888888891</v>
          </cell>
        </row>
        <row r="22">
          <cell r="F22">
            <v>0</v>
          </cell>
          <cell r="G22">
            <v>0</v>
          </cell>
          <cell r="H22">
            <v>0</v>
          </cell>
          <cell r="I22">
            <v>0</v>
          </cell>
          <cell r="N22">
            <v>0</v>
          </cell>
          <cell r="O22">
            <v>0</v>
          </cell>
          <cell r="T22">
            <v>0</v>
          </cell>
          <cell r="U22">
            <v>0</v>
          </cell>
          <cell r="Z22">
            <v>0</v>
          </cell>
          <cell r="AA22">
            <v>0</v>
          </cell>
          <cell r="AF22">
            <v>0</v>
          </cell>
          <cell r="AG22">
            <v>0</v>
          </cell>
          <cell r="AL22">
            <v>0</v>
          </cell>
          <cell r="AM22">
            <v>0</v>
          </cell>
          <cell r="AR22">
            <v>0</v>
          </cell>
          <cell r="AS22">
            <v>0</v>
          </cell>
          <cell r="AX22">
            <v>0</v>
          </cell>
          <cell r="AY22">
            <v>0</v>
          </cell>
          <cell r="AZ22">
            <v>0</v>
          </cell>
          <cell r="BA22">
            <v>0</v>
          </cell>
          <cell r="BF22">
            <v>0</v>
          </cell>
          <cell r="BG22">
            <v>0</v>
          </cell>
          <cell r="BL22">
            <v>0</v>
          </cell>
          <cell r="BM22">
            <v>0</v>
          </cell>
          <cell r="BR22">
            <v>0</v>
          </cell>
          <cell r="BS22">
            <v>0</v>
          </cell>
          <cell r="BX22">
            <v>0</v>
          </cell>
          <cell r="BY22">
            <v>0</v>
          </cell>
          <cell r="CD22">
            <v>0</v>
          </cell>
          <cell r="CE22">
            <v>0</v>
          </cell>
          <cell r="CJ22">
            <v>0</v>
          </cell>
          <cell r="CK22">
            <v>0</v>
          </cell>
          <cell r="CP22">
            <v>0</v>
          </cell>
          <cell r="CQ22">
            <v>0</v>
          </cell>
          <cell r="CR22">
            <v>0</v>
          </cell>
          <cell r="CS22">
            <v>0</v>
          </cell>
          <cell r="CX22">
            <v>0</v>
          </cell>
          <cell r="CY22">
            <v>0</v>
          </cell>
          <cell r="CZ22">
            <v>0</v>
          </cell>
          <cell r="DA22">
            <v>0</v>
          </cell>
          <cell r="DF22">
            <v>0</v>
          </cell>
          <cell r="DG22">
            <v>0</v>
          </cell>
          <cell r="DH22">
            <v>0</v>
          </cell>
          <cell r="DI22">
            <v>0</v>
          </cell>
          <cell r="DN22">
            <v>0</v>
          </cell>
          <cell r="DO22">
            <v>0</v>
          </cell>
          <cell r="DP22">
            <v>0</v>
          </cell>
          <cell r="DQ22">
            <v>0</v>
          </cell>
          <cell r="DV22">
            <v>0</v>
          </cell>
          <cell r="DW22">
            <v>0</v>
          </cell>
          <cell r="DX22">
            <v>0</v>
          </cell>
          <cell r="DY22">
            <v>0</v>
          </cell>
        </row>
        <row r="23">
          <cell r="F23">
            <v>29600</v>
          </cell>
          <cell r="G23">
            <v>2133</v>
          </cell>
          <cell r="H23">
            <v>1243.7909999999999</v>
          </cell>
          <cell r="I23">
            <v>58.311814345991564</v>
          </cell>
          <cell r="N23">
            <v>2000</v>
          </cell>
          <cell r="O23">
            <v>144</v>
          </cell>
          <cell r="P23">
            <v>63.408999999999999</v>
          </cell>
          <cell r="T23">
            <v>2900</v>
          </cell>
          <cell r="U23">
            <v>209</v>
          </cell>
          <cell r="V23">
            <v>121.866</v>
          </cell>
          <cell r="Z23">
            <v>2300</v>
          </cell>
          <cell r="AA23">
            <v>166</v>
          </cell>
          <cell r="AB23">
            <v>96.977000000000004</v>
          </cell>
          <cell r="AF23">
            <v>2500</v>
          </cell>
          <cell r="AG23">
            <v>180</v>
          </cell>
          <cell r="AH23">
            <v>105.095</v>
          </cell>
          <cell r="AL23">
            <v>2700</v>
          </cell>
          <cell r="AM23">
            <v>194</v>
          </cell>
          <cell r="AN23">
            <v>113.429</v>
          </cell>
          <cell r="AR23">
            <v>2500</v>
          </cell>
          <cell r="AS23">
            <v>180</v>
          </cell>
          <cell r="AT23">
            <v>106.06699999999999</v>
          </cell>
          <cell r="AX23">
            <v>14900</v>
          </cell>
          <cell r="AY23">
            <v>1073</v>
          </cell>
          <cell r="AZ23">
            <v>606.84299999999996</v>
          </cell>
          <cell r="BA23">
            <v>56.555731593662628</v>
          </cell>
          <cell r="BF23">
            <v>3300</v>
          </cell>
          <cell r="BG23">
            <v>238</v>
          </cell>
          <cell r="BH23">
            <v>142.125</v>
          </cell>
          <cell r="BL23">
            <v>2800</v>
          </cell>
          <cell r="BM23">
            <v>202</v>
          </cell>
          <cell r="BN23">
            <v>121.349</v>
          </cell>
          <cell r="BR23">
            <v>2500</v>
          </cell>
          <cell r="BS23">
            <v>180</v>
          </cell>
          <cell r="BT23">
            <v>107.88</v>
          </cell>
          <cell r="BX23">
            <v>2300</v>
          </cell>
          <cell r="BY23">
            <v>166</v>
          </cell>
          <cell r="BZ23">
            <v>100.548</v>
          </cell>
          <cell r="CD23">
            <v>2000</v>
          </cell>
          <cell r="CE23">
            <v>144</v>
          </cell>
          <cell r="CF23">
            <v>86.724999999999994</v>
          </cell>
          <cell r="CJ23">
            <v>1800</v>
          </cell>
          <cell r="CK23">
            <v>130</v>
          </cell>
          <cell r="CL23">
            <v>78.320999999999998</v>
          </cell>
          <cell r="CP23">
            <v>14700</v>
          </cell>
          <cell r="CQ23">
            <v>1060</v>
          </cell>
          <cell r="CR23">
            <v>636.94799999999998</v>
          </cell>
          <cell r="CS23">
            <v>60.089433962264152</v>
          </cell>
          <cell r="CX23">
            <v>7200</v>
          </cell>
          <cell r="CY23">
            <v>519</v>
          </cell>
          <cell r="CZ23">
            <v>282.25200000000001</v>
          </cell>
          <cell r="DA23">
            <v>54.383815028901736</v>
          </cell>
          <cell r="DF23">
            <v>7700</v>
          </cell>
          <cell r="DG23">
            <v>554</v>
          </cell>
          <cell r="DH23">
            <v>324.59100000000001</v>
          </cell>
          <cell r="DI23">
            <v>58.590433212996395</v>
          </cell>
          <cell r="DN23">
            <v>8600</v>
          </cell>
          <cell r="DO23">
            <v>620</v>
          </cell>
          <cell r="DP23">
            <v>371.35399999999998</v>
          </cell>
          <cell r="DQ23">
            <v>59.895806451612899</v>
          </cell>
          <cell r="DV23">
            <v>6100</v>
          </cell>
          <cell r="DW23">
            <v>440</v>
          </cell>
          <cell r="DX23">
            <v>265.59399999999999</v>
          </cell>
          <cell r="DY23">
            <v>60.362272727272725</v>
          </cell>
        </row>
        <row r="24">
          <cell r="F24">
            <v>0</v>
          </cell>
          <cell r="G24">
            <v>0</v>
          </cell>
          <cell r="H24">
            <v>0</v>
          </cell>
          <cell r="I24">
            <v>0</v>
          </cell>
          <cell r="N24">
            <v>0</v>
          </cell>
          <cell r="O24">
            <v>0</v>
          </cell>
          <cell r="T24">
            <v>0</v>
          </cell>
          <cell r="U24">
            <v>0</v>
          </cell>
          <cell r="Z24">
            <v>0</v>
          </cell>
          <cell r="AA24">
            <v>0</v>
          </cell>
          <cell r="AF24">
            <v>0</v>
          </cell>
          <cell r="AG24">
            <v>0</v>
          </cell>
          <cell r="AL24">
            <v>0</v>
          </cell>
          <cell r="AM24">
            <v>0</v>
          </cell>
          <cell r="AR24">
            <v>0</v>
          </cell>
          <cell r="AS24">
            <v>0</v>
          </cell>
          <cell r="AX24">
            <v>0</v>
          </cell>
          <cell r="AY24">
            <v>0</v>
          </cell>
          <cell r="AZ24">
            <v>0</v>
          </cell>
          <cell r="BA24">
            <v>0</v>
          </cell>
          <cell r="BF24">
            <v>0</v>
          </cell>
          <cell r="BG24">
            <v>0</v>
          </cell>
          <cell r="BL24">
            <v>0</v>
          </cell>
          <cell r="BM24">
            <v>0</v>
          </cell>
          <cell r="BR24">
            <v>0</v>
          </cell>
          <cell r="BS24">
            <v>0</v>
          </cell>
          <cell r="BX24">
            <v>0</v>
          </cell>
          <cell r="BY24">
            <v>0</v>
          </cell>
          <cell r="CD24">
            <v>0</v>
          </cell>
          <cell r="CE24">
            <v>0</v>
          </cell>
          <cell r="CJ24">
            <v>0</v>
          </cell>
          <cell r="CK24">
            <v>0</v>
          </cell>
          <cell r="CP24">
            <v>0</v>
          </cell>
          <cell r="CQ24">
            <v>0</v>
          </cell>
          <cell r="CR24">
            <v>0</v>
          </cell>
          <cell r="CS24">
            <v>0</v>
          </cell>
          <cell r="CX24">
            <v>0</v>
          </cell>
          <cell r="CY24">
            <v>0</v>
          </cell>
          <cell r="CZ24">
            <v>0</v>
          </cell>
          <cell r="DA24">
            <v>0</v>
          </cell>
          <cell r="DF24">
            <v>0</v>
          </cell>
          <cell r="DG24">
            <v>0</v>
          </cell>
          <cell r="DH24">
            <v>0</v>
          </cell>
          <cell r="DI24">
            <v>0</v>
          </cell>
          <cell r="DN24">
            <v>0</v>
          </cell>
          <cell r="DO24">
            <v>0</v>
          </cell>
          <cell r="DP24">
            <v>0</v>
          </cell>
          <cell r="DQ24">
            <v>0</v>
          </cell>
          <cell r="DV24">
            <v>0</v>
          </cell>
          <cell r="DW24">
            <v>0</v>
          </cell>
          <cell r="DX24">
            <v>0</v>
          </cell>
          <cell r="DY24">
            <v>0</v>
          </cell>
        </row>
        <row r="25">
          <cell r="F25">
            <v>0</v>
          </cell>
          <cell r="G25">
            <v>0</v>
          </cell>
          <cell r="H25">
            <v>0</v>
          </cell>
          <cell r="I25">
            <v>0</v>
          </cell>
          <cell r="AX25">
            <v>0</v>
          </cell>
          <cell r="AY25">
            <v>0</v>
          </cell>
          <cell r="AZ25">
            <v>0</v>
          </cell>
          <cell r="BA25">
            <v>0</v>
          </cell>
          <cell r="CP25">
            <v>0</v>
          </cell>
          <cell r="CQ25">
            <v>0</v>
          </cell>
          <cell r="CR25">
            <v>0</v>
          </cell>
          <cell r="CS25">
            <v>0</v>
          </cell>
          <cell r="CX25">
            <v>0</v>
          </cell>
          <cell r="CY25">
            <v>0</v>
          </cell>
          <cell r="CZ25">
            <v>0</v>
          </cell>
          <cell r="DA25">
            <v>0</v>
          </cell>
          <cell r="DF25">
            <v>0</v>
          </cell>
          <cell r="DG25">
            <v>0</v>
          </cell>
          <cell r="DH25">
            <v>0</v>
          </cell>
          <cell r="DI25">
            <v>0</v>
          </cell>
          <cell r="DN25">
            <v>0</v>
          </cell>
          <cell r="DO25">
            <v>0</v>
          </cell>
          <cell r="DP25">
            <v>0</v>
          </cell>
          <cell r="DQ25">
            <v>0</v>
          </cell>
          <cell r="DV25">
            <v>0</v>
          </cell>
          <cell r="DW25">
            <v>0</v>
          </cell>
          <cell r="DX25">
            <v>0</v>
          </cell>
          <cell r="DY25">
            <v>0</v>
          </cell>
        </row>
        <row r="26">
          <cell r="F26">
            <v>0</v>
          </cell>
          <cell r="G26">
            <v>0</v>
          </cell>
          <cell r="H26">
            <v>0</v>
          </cell>
          <cell r="I26">
            <v>0</v>
          </cell>
          <cell r="N26">
            <v>0</v>
          </cell>
          <cell r="O26">
            <v>0</v>
          </cell>
          <cell r="T26">
            <v>0</v>
          </cell>
          <cell r="U26">
            <v>0</v>
          </cell>
          <cell r="Z26">
            <v>0</v>
          </cell>
          <cell r="AA26">
            <v>0</v>
          </cell>
          <cell r="AF26">
            <v>0</v>
          </cell>
          <cell r="AG26">
            <v>0</v>
          </cell>
          <cell r="AL26">
            <v>0</v>
          </cell>
          <cell r="AM26">
            <v>0</v>
          </cell>
          <cell r="AR26">
            <v>0</v>
          </cell>
          <cell r="AS26">
            <v>0</v>
          </cell>
          <cell r="AX26">
            <v>0</v>
          </cell>
          <cell r="AY26">
            <v>0</v>
          </cell>
          <cell r="AZ26">
            <v>0</v>
          </cell>
          <cell r="BA26">
            <v>0</v>
          </cell>
          <cell r="BF26">
            <v>0</v>
          </cell>
          <cell r="BG26">
            <v>0</v>
          </cell>
          <cell r="BL26">
            <v>0</v>
          </cell>
          <cell r="BM26">
            <v>0</v>
          </cell>
          <cell r="BR26">
            <v>0</v>
          </cell>
          <cell r="BS26">
            <v>0</v>
          </cell>
          <cell r="BX26">
            <v>0</v>
          </cell>
          <cell r="BY26">
            <v>0</v>
          </cell>
          <cell r="CD26">
            <v>0</v>
          </cell>
          <cell r="CE26">
            <v>0</v>
          </cell>
          <cell r="CJ26">
            <v>0</v>
          </cell>
          <cell r="CK26">
            <v>0</v>
          </cell>
          <cell r="CP26">
            <v>0</v>
          </cell>
          <cell r="CQ26">
            <v>0</v>
          </cell>
          <cell r="CR26">
            <v>0</v>
          </cell>
          <cell r="CS26">
            <v>0</v>
          </cell>
          <cell r="CX26">
            <v>0</v>
          </cell>
          <cell r="CY26">
            <v>0</v>
          </cell>
          <cell r="CZ26">
            <v>0</v>
          </cell>
          <cell r="DA26">
            <v>0</v>
          </cell>
          <cell r="DF26">
            <v>0</v>
          </cell>
          <cell r="DG26">
            <v>0</v>
          </cell>
          <cell r="DH26">
            <v>0</v>
          </cell>
          <cell r="DI26">
            <v>0</v>
          </cell>
          <cell r="DN26">
            <v>0</v>
          </cell>
          <cell r="DO26">
            <v>0</v>
          </cell>
          <cell r="DP26">
            <v>0</v>
          </cell>
          <cell r="DQ26">
            <v>0</v>
          </cell>
          <cell r="DV26">
            <v>0</v>
          </cell>
          <cell r="DW26">
            <v>0</v>
          </cell>
          <cell r="DX26">
            <v>0</v>
          </cell>
          <cell r="DY26">
            <v>0</v>
          </cell>
        </row>
        <row r="27">
          <cell r="F27">
            <v>0</v>
          </cell>
          <cell r="G27">
            <v>0</v>
          </cell>
          <cell r="H27">
            <v>0</v>
          </cell>
          <cell r="I27">
            <v>0</v>
          </cell>
          <cell r="AX27">
            <v>0</v>
          </cell>
          <cell r="AY27">
            <v>0</v>
          </cell>
          <cell r="AZ27">
            <v>0</v>
          </cell>
          <cell r="BA27">
            <v>0</v>
          </cell>
          <cell r="CP27">
            <v>0</v>
          </cell>
          <cell r="CQ27">
            <v>0</v>
          </cell>
          <cell r="CR27">
            <v>0</v>
          </cell>
          <cell r="CS27">
            <v>0</v>
          </cell>
          <cell r="CX27">
            <v>0</v>
          </cell>
          <cell r="CY27">
            <v>0</v>
          </cell>
          <cell r="CZ27">
            <v>0</v>
          </cell>
          <cell r="DA27">
            <v>0</v>
          </cell>
          <cell r="DF27">
            <v>0</v>
          </cell>
          <cell r="DG27">
            <v>0</v>
          </cell>
          <cell r="DH27">
            <v>0</v>
          </cell>
          <cell r="DI27">
            <v>0</v>
          </cell>
          <cell r="DN27">
            <v>0</v>
          </cell>
          <cell r="DO27">
            <v>0</v>
          </cell>
          <cell r="DP27">
            <v>0</v>
          </cell>
          <cell r="DQ27">
            <v>0</v>
          </cell>
          <cell r="DV27">
            <v>0</v>
          </cell>
          <cell r="DW27">
            <v>0</v>
          </cell>
          <cell r="DX27">
            <v>0</v>
          </cell>
          <cell r="DY27">
            <v>0</v>
          </cell>
        </row>
        <row r="28">
          <cell r="F28">
            <v>0</v>
          </cell>
          <cell r="G28">
            <v>0</v>
          </cell>
          <cell r="H28">
            <v>0</v>
          </cell>
          <cell r="I28">
            <v>0</v>
          </cell>
          <cell r="N28">
            <v>0</v>
          </cell>
          <cell r="O28">
            <v>0</v>
          </cell>
          <cell r="T28">
            <v>0</v>
          </cell>
          <cell r="U28">
            <v>0</v>
          </cell>
          <cell r="Z28">
            <v>0</v>
          </cell>
          <cell r="AA28">
            <v>0</v>
          </cell>
          <cell r="AF28">
            <v>0</v>
          </cell>
          <cell r="AG28">
            <v>0</v>
          </cell>
          <cell r="AL28">
            <v>0</v>
          </cell>
          <cell r="AM28">
            <v>0</v>
          </cell>
          <cell r="AR28">
            <v>0</v>
          </cell>
          <cell r="AS28">
            <v>0</v>
          </cell>
          <cell r="AX28">
            <v>0</v>
          </cell>
          <cell r="AY28">
            <v>0</v>
          </cell>
          <cell r="AZ28">
            <v>0</v>
          </cell>
          <cell r="BA28">
            <v>0</v>
          </cell>
          <cell r="BF28">
            <v>0</v>
          </cell>
          <cell r="BG28">
            <v>0</v>
          </cell>
          <cell r="BL28">
            <v>0</v>
          </cell>
          <cell r="BM28">
            <v>0</v>
          </cell>
          <cell r="BR28">
            <v>0</v>
          </cell>
          <cell r="BS28">
            <v>0</v>
          </cell>
          <cell r="BX28">
            <v>0</v>
          </cell>
          <cell r="BY28">
            <v>0</v>
          </cell>
          <cell r="CD28">
            <v>0</v>
          </cell>
          <cell r="CE28">
            <v>0</v>
          </cell>
          <cell r="CJ28">
            <v>0</v>
          </cell>
          <cell r="CK28">
            <v>0</v>
          </cell>
          <cell r="CP28">
            <v>0</v>
          </cell>
          <cell r="CQ28">
            <v>0</v>
          </cell>
          <cell r="CR28">
            <v>0</v>
          </cell>
          <cell r="CS28">
            <v>0</v>
          </cell>
          <cell r="CX28">
            <v>0</v>
          </cell>
          <cell r="CY28">
            <v>0</v>
          </cell>
          <cell r="CZ28">
            <v>0</v>
          </cell>
          <cell r="DA28">
            <v>0</v>
          </cell>
          <cell r="DF28">
            <v>0</v>
          </cell>
          <cell r="DG28">
            <v>0</v>
          </cell>
          <cell r="DH28">
            <v>0</v>
          </cell>
          <cell r="DI28">
            <v>0</v>
          </cell>
          <cell r="DN28">
            <v>0</v>
          </cell>
          <cell r="DO28">
            <v>0</v>
          </cell>
          <cell r="DP28">
            <v>0</v>
          </cell>
          <cell r="DQ28">
            <v>0</v>
          </cell>
          <cell r="DV28">
            <v>0</v>
          </cell>
          <cell r="DW28">
            <v>0</v>
          </cell>
          <cell r="DX28">
            <v>0</v>
          </cell>
          <cell r="DY28">
            <v>0</v>
          </cell>
        </row>
        <row r="29">
          <cell r="F29">
            <v>31900</v>
          </cell>
          <cell r="G29">
            <v>3367</v>
          </cell>
          <cell r="H29">
            <v>1852.19</v>
          </cell>
          <cell r="I29">
            <v>55.010098010098005</v>
          </cell>
          <cell r="N29">
            <v>2100</v>
          </cell>
          <cell r="O29">
            <v>222</v>
          </cell>
          <cell r="P29">
            <v>111.114</v>
          </cell>
          <cell r="T29">
            <v>3300</v>
          </cell>
          <cell r="U29">
            <v>348</v>
          </cell>
          <cell r="V29">
            <v>181.714</v>
          </cell>
          <cell r="Z29">
            <v>2700</v>
          </cell>
          <cell r="AA29">
            <v>285</v>
          </cell>
          <cell r="AB29">
            <v>152.453</v>
          </cell>
          <cell r="AF29">
            <v>3000</v>
          </cell>
          <cell r="AG29">
            <v>317</v>
          </cell>
          <cell r="AH29">
            <v>172.26400000000001</v>
          </cell>
          <cell r="AL29">
            <v>3200</v>
          </cell>
          <cell r="AM29">
            <v>338</v>
          </cell>
          <cell r="AN29">
            <v>185.727</v>
          </cell>
          <cell r="AR29">
            <v>3000</v>
          </cell>
          <cell r="AS29">
            <v>317</v>
          </cell>
          <cell r="AT29">
            <v>176.04900000000001</v>
          </cell>
          <cell r="AX29">
            <v>17300</v>
          </cell>
          <cell r="AY29">
            <v>1827</v>
          </cell>
          <cell r="AZ29">
            <v>979.32099999999991</v>
          </cell>
          <cell r="BA29">
            <v>53.602681992337168</v>
          </cell>
          <cell r="BF29">
            <v>2900</v>
          </cell>
          <cell r="BG29">
            <v>306</v>
          </cell>
          <cell r="BH29">
            <v>171.25200000000001</v>
          </cell>
          <cell r="BL29">
            <v>2500</v>
          </cell>
          <cell r="BM29">
            <v>264</v>
          </cell>
          <cell r="BN29">
            <v>148.995</v>
          </cell>
          <cell r="BR29">
            <v>2500</v>
          </cell>
          <cell r="BS29">
            <v>264</v>
          </cell>
          <cell r="BT29">
            <v>149.69999999999999</v>
          </cell>
          <cell r="BX29">
            <v>2400</v>
          </cell>
          <cell r="BY29">
            <v>253</v>
          </cell>
          <cell r="BZ29">
            <v>144.09200000000001</v>
          </cell>
          <cell r="CD29">
            <v>2200</v>
          </cell>
          <cell r="CE29">
            <v>232</v>
          </cell>
          <cell r="CF29">
            <v>132.541</v>
          </cell>
          <cell r="CJ29">
            <v>2100</v>
          </cell>
          <cell r="CK29">
            <v>221</v>
          </cell>
          <cell r="CL29">
            <v>126.289</v>
          </cell>
          <cell r="CP29">
            <v>14600</v>
          </cell>
          <cell r="CQ29">
            <v>1540</v>
          </cell>
          <cell r="CR29">
            <v>872.86900000000014</v>
          </cell>
          <cell r="CS29">
            <v>56.679805194805198</v>
          </cell>
          <cell r="CX29">
            <v>8100</v>
          </cell>
          <cell r="CY29">
            <v>855</v>
          </cell>
          <cell r="CZ29">
            <v>445.28099999999995</v>
          </cell>
          <cell r="DA29">
            <v>52.079649122807012</v>
          </cell>
          <cell r="DF29">
            <v>9200</v>
          </cell>
          <cell r="DG29">
            <v>972</v>
          </cell>
          <cell r="DH29">
            <v>534.04</v>
          </cell>
          <cell r="DI29">
            <v>54.942386831275712</v>
          </cell>
          <cell r="DN29">
            <v>7900</v>
          </cell>
          <cell r="DO29">
            <v>834</v>
          </cell>
          <cell r="DP29">
            <v>469.947</v>
          </cell>
          <cell r="DQ29">
            <v>56.348561151079139</v>
          </cell>
          <cell r="DV29">
            <v>6700</v>
          </cell>
          <cell r="DW29">
            <v>706</v>
          </cell>
          <cell r="DX29">
            <v>402.92200000000003</v>
          </cell>
          <cell r="DY29">
            <v>57.071104815864025</v>
          </cell>
        </row>
        <row r="30">
          <cell r="F30">
            <v>77100</v>
          </cell>
          <cell r="G30">
            <v>7482</v>
          </cell>
          <cell r="H30">
            <v>4338.9840000000004</v>
          </cell>
          <cell r="I30">
            <v>57.992301523656785</v>
          </cell>
          <cell r="N30">
            <v>5200</v>
          </cell>
          <cell r="O30">
            <v>506</v>
          </cell>
          <cell r="P30">
            <v>260.21799999999996</v>
          </cell>
          <cell r="T30">
            <v>7900</v>
          </cell>
          <cell r="U30">
            <v>773</v>
          </cell>
          <cell r="V30">
            <v>438.04199999999997</v>
          </cell>
          <cell r="Z30">
            <v>6400</v>
          </cell>
          <cell r="AA30">
            <v>629</v>
          </cell>
          <cell r="AB30">
            <v>361.46000000000004</v>
          </cell>
          <cell r="AF30">
            <v>6900</v>
          </cell>
          <cell r="AG30">
            <v>675</v>
          </cell>
          <cell r="AH30">
            <v>389.38900000000001</v>
          </cell>
          <cell r="AL30">
            <v>7400</v>
          </cell>
          <cell r="AM30">
            <v>723</v>
          </cell>
          <cell r="AN30">
            <v>419.47400000000005</v>
          </cell>
          <cell r="AR30">
            <v>6800</v>
          </cell>
          <cell r="AS30">
            <v>662</v>
          </cell>
          <cell r="AT30">
            <v>385.858</v>
          </cell>
          <cell r="AX30">
            <v>40600</v>
          </cell>
          <cell r="AY30">
            <v>3968</v>
          </cell>
          <cell r="AZ30">
            <v>2254.4409999999998</v>
          </cell>
          <cell r="BA30">
            <v>56.815549395161277</v>
          </cell>
          <cell r="BF30">
            <v>7500</v>
          </cell>
          <cell r="BG30">
            <v>709</v>
          </cell>
          <cell r="BH30">
            <v>417.11900000000003</v>
          </cell>
          <cell r="BL30">
            <v>6500</v>
          </cell>
          <cell r="BM30">
            <v>618</v>
          </cell>
          <cell r="BN30">
            <v>365.798</v>
          </cell>
          <cell r="BR30">
            <v>6300</v>
          </cell>
          <cell r="BS30">
            <v>609</v>
          </cell>
          <cell r="BT30">
            <v>361.322</v>
          </cell>
          <cell r="BX30">
            <v>5900</v>
          </cell>
          <cell r="BY30">
            <v>571</v>
          </cell>
          <cell r="BZ30">
            <v>340.09400000000005</v>
          </cell>
          <cell r="CD30">
            <v>5300</v>
          </cell>
          <cell r="CE30">
            <v>516</v>
          </cell>
          <cell r="CF30">
            <v>307.43299999999999</v>
          </cell>
          <cell r="CJ30">
            <v>5000</v>
          </cell>
          <cell r="CK30">
            <v>491</v>
          </cell>
          <cell r="CL30">
            <v>292.77699999999999</v>
          </cell>
          <cell r="CP30">
            <v>36500</v>
          </cell>
          <cell r="CQ30">
            <v>3514</v>
          </cell>
          <cell r="CR30">
            <v>2084.5430000000001</v>
          </cell>
          <cell r="CS30">
            <v>59.321087080250436</v>
          </cell>
          <cell r="CX30">
            <v>19500</v>
          </cell>
          <cell r="CY30">
            <v>1908</v>
          </cell>
          <cell r="CZ30">
            <v>1059.72</v>
          </cell>
          <cell r="DA30">
            <v>55.540880503144649</v>
          </cell>
          <cell r="DF30">
            <v>21100</v>
          </cell>
          <cell r="DG30">
            <v>2060</v>
          </cell>
          <cell r="DH30">
            <v>1194.721</v>
          </cell>
          <cell r="DI30">
            <v>57.996165048543688</v>
          </cell>
          <cell r="DN30">
            <v>20300</v>
          </cell>
          <cell r="DO30">
            <v>1936</v>
          </cell>
          <cell r="DP30">
            <v>1144.239</v>
          </cell>
          <cell r="DQ30">
            <v>59.103254132231406</v>
          </cell>
          <cell r="DV30">
            <v>16200</v>
          </cell>
          <cell r="DW30">
            <v>1578</v>
          </cell>
          <cell r="DX30">
            <v>940.30400000000009</v>
          </cell>
          <cell r="DY30">
            <v>59.588339670468947</v>
          </cell>
        </row>
        <row r="31">
          <cell r="F31">
            <v>0</v>
          </cell>
          <cell r="G31">
            <v>0</v>
          </cell>
          <cell r="H31">
            <v>0</v>
          </cell>
          <cell r="I31">
            <v>0</v>
          </cell>
          <cell r="AX31">
            <v>0</v>
          </cell>
          <cell r="AY31">
            <v>0</v>
          </cell>
          <cell r="AZ31">
            <v>0</v>
          </cell>
          <cell r="BA31">
            <v>0</v>
          </cell>
          <cell r="CP31">
            <v>0</v>
          </cell>
          <cell r="CQ31">
            <v>0</v>
          </cell>
          <cell r="CR31">
            <v>0</v>
          </cell>
          <cell r="CS31">
            <v>0</v>
          </cell>
          <cell r="CX31">
            <v>0</v>
          </cell>
          <cell r="CY31">
            <v>0</v>
          </cell>
          <cell r="CZ31">
            <v>0</v>
          </cell>
          <cell r="DA31">
            <v>0</v>
          </cell>
          <cell r="DF31">
            <v>0</v>
          </cell>
          <cell r="DG31">
            <v>0</v>
          </cell>
          <cell r="DH31">
            <v>0</v>
          </cell>
          <cell r="DI31">
            <v>0</v>
          </cell>
          <cell r="DN31">
            <v>0</v>
          </cell>
          <cell r="DO31">
            <v>0</v>
          </cell>
          <cell r="DP31">
            <v>0</v>
          </cell>
          <cell r="DQ31">
            <v>0</v>
          </cell>
          <cell r="DV31">
            <v>0</v>
          </cell>
          <cell r="DW31">
            <v>0</v>
          </cell>
          <cell r="DX31">
            <v>0</v>
          </cell>
          <cell r="DY31">
            <v>0</v>
          </cell>
        </row>
        <row r="32">
          <cell r="F32">
            <v>23500</v>
          </cell>
          <cell r="G32">
            <v>3789</v>
          </cell>
          <cell r="H32">
            <v>2188.0690000000004</v>
          </cell>
          <cell r="I32">
            <v>57.74792821324889</v>
          </cell>
          <cell r="N32">
            <v>1700</v>
          </cell>
          <cell r="O32">
            <v>280</v>
          </cell>
          <cell r="P32">
            <v>141.08500000000001</v>
          </cell>
          <cell r="T32">
            <v>2100</v>
          </cell>
          <cell r="U32">
            <v>346</v>
          </cell>
          <cell r="V32">
            <v>185.13900000000001</v>
          </cell>
          <cell r="Z32">
            <v>2000</v>
          </cell>
          <cell r="AA32">
            <v>329</v>
          </cell>
          <cell r="AB32">
            <v>183.00800000000001</v>
          </cell>
          <cell r="AF32">
            <v>2200</v>
          </cell>
          <cell r="AG32">
            <v>362</v>
          </cell>
          <cell r="AH32">
            <v>206.52099999999999</v>
          </cell>
          <cell r="AL32">
            <v>2600</v>
          </cell>
          <cell r="AM32">
            <v>428</v>
          </cell>
          <cell r="AN32">
            <v>249.57599999999999</v>
          </cell>
          <cell r="AR32">
            <v>2300</v>
          </cell>
          <cell r="AS32">
            <v>379</v>
          </cell>
          <cell r="AT32">
            <v>224.24100000000001</v>
          </cell>
          <cell r="AX32">
            <v>12900</v>
          </cell>
          <cell r="AY32">
            <v>2124</v>
          </cell>
          <cell r="AZ32">
            <v>1189.5700000000002</v>
          </cell>
          <cell r="BA32">
            <v>56.006120527306976</v>
          </cell>
          <cell r="BF32">
            <v>2100</v>
          </cell>
          <cell r="BG32">
            <v>330</v>
          </cell>
          <cell r="BH32">
            <v>192.36799999999999</v>
          </cell>
          <cell r="BL32">
            <v>1800</v>
          </cell>
          <cell r="BM32">
            <v>283</v>
          </cell>
          <cell r="BN32">
            <v>167.483</v>
          </cell>
          <cell r="BR32">
            <v>1800</v>
          </cell>
          <cell r="BS32">
            <v>283</v>
          </cell>
          <cell r="BT32">
            <v>169.464</v>
          </cell>
          <cell r="BX32">
            <v>1800</v>
          </cell>
          <cell r="BY32">
            <v>283</v>
          </cell>
          <cell r="BZ32">
            <v>172.09800000000001</v>
          </cell>
          <cell r="CD32">
            <v>1600</v>
          </cell>
          <cell r="CE32">
            <v>251</v>
          </cell>
          <cell r="CF32">
            <v>152.995</v>
          </cell>
          <cell r="CJ32">
            <v>1500</v>
          </cell>
          <cell r="CK32">
            <v>235</v>
          </cell>
          <cell r="CL32">
            <v>144.09100000000001</v>
          </cell>
          <cell r="CP32">
            <v>10600</v>
          </cell>
          <cell r="CQ32">
            <v>1665</v>
          </cell>
          <cell r="CR32">
            <v>998.49900000000002</v>
          </cell>
          <cell r="CS32">
            <v>59.969909909909916</v>
          </cell>
          <cell r="CX32">
            <v>5800</v>
          </cell>
          <cell r="CY32">
            <v>955</v>
          </cell>
          <cell r="CZ32">
            <v>509.23200000000008</v>
          </cell>
          <cell r="DA32">
            <v>53.322722513089019</v>
          </cell>
          <cell r="DF32">
            <v>7100</v>
          </cell>
          <cell r="DG32">
            <v>1169</v>
          </cell>
          <cell r="DH32">
            <v>680.33799999999997</v>
          </cell>
          <cell r="DI32">
            <v>58.198289136013685</v>
          </cell>
          <cell r="DN32">
            <v>5700</v>
          </cell>
          <cell r="DO32">
            <v>896</v>
          </cell>
          <cell r="DP32">
            <v>529.31500000000005</v>
          </cell>
          <cell r="DQ32">
            <v>59.075334821428584</v>
          </cell>
          <cell r="DV32">
            <v>4900</v>
          </cell>
          <cell r="DW32">
            <v>769</v>
          </cell>
          <cell r="DX32">
            <v>469.18400000000003</v>
          </cell>
          <cell r="DY32">
            <v>61.01222366710013</v>
          </cell>
        </row>
        <row r="33">
          <cell r="F33">
            <v>0</v>
          </cell>
          <cell r="G33">
            <v>0</v>
          </cell>
          <cell r="H33">
            <v>0</v>
          </cell>
          <cell r="I33">
            <v>0</v>
          </cell>
          <cell r="AX33">
            <v>0</v>
          </cell>
          <cell r="AY33">
            <v>0</v>
          </cell>
          <cell r="AZ33">
            <v>0</v>
          </cell>
          <cell r="BA33">
            <v>0</v>
          </cell>
          <cell r="CP33">
            <v>0</v>
          </cell>
          <cell r="CQ33">
            <v>0</v>
          </cell>
          <cell r="CR33">
            <v>0</v>
          </cell>
          <cell r="CS33">
            <v>0</v>
          </cell>
          <cell r="CX33">
            <v>0</v>
          </cell>
          <cell r="CY33">
            <v>0</v>
          </cell>
          <cell r="CZ33">
            <v>0</v>
          </cell>
          <cell r="DA33">
            <v>0</v>
          </cell>
          <cell r="DF33">
            <v>0</v>
          </cell>
          <cell r="DG33">
            <v>0</v>
          </cell>
          <cell r="DH33">
            <v>0</v>
          </cell>
          <cell r="DI33">
            <v>0</v>
          </cell>
          <cell r="DN33">
            <v>0</v>
          </cell>
          <cell r="DO33">
            <v>0</v>
          </cell>
          <cell r="DP33">
            <v>0</v>
          </cell>
          <cell r="DQ33">
            <v>0</v>
          </cell>
          <cell r="DV33">
            <v>0</v>
          </cell>
          <cell r="DW33">
            <v>0</v>
          </cell>
          <cell r="DX33">
            <v>0</v>
          </cell>
          <cell r="DY33">
            <v>0</v>
          </cell>
        </row>
        <row r="34">
          <cell r="F34">
            <v>38200</v>
          </cell>
          <cell r="G34">
            <v>8215</v>
          </cell>
          <cell r="H34">
            <v>4995.7000000000007</v>
          </cell>
          <cell r="I34">
            <v>60.811929397443706</v>
          </cell>
          <cell r="N34">
            <v>2300</v>
          </cell>
          <cell r="O34">
            <v>495</v>
          </cell>
          <cell r="P34">
            <v>281.851</v>
          </cell>
          <cell r="T34">
            <v>3500</v>
          </cell>
          <cell r="U34">
            <v>753</v>
          </cell>
          <cell r="V34">
            <v>430.97300000000001</v>
          </cell>
          <cell r="Z34">
            <v>3000</v>
          </cell>
          <cell r="AA34">
            <v>645</v>
          </cell>
          <cell r="AB34">
            <v>375.78300000000002</v>
          </cell>
          <cell r="AF34">
            <v>3400</v>
          </cell>
          <cell r="AG34">
            <v>731</v>
          </cell>
          <cell r="AH34">
            <v>428.01299999999998</v>
          </cell>
          <cell r="AL34">
            <v>3800</v>
          </cell>
          <cell r="AM34">
            <v>817</v>
          </cell>
          <cell r="AN34">
            <v>484.23899999999998</v>
          </cell>
          <cell r="AR34">
            <v>3500</v>
          </cell>
          <cell r="AS34">
            <v>753</v>
          </cell>
          <cell r="AT34">
            <v>450.11500000000001</v>
          </cell>
          <cell r="AX34">
            <v>19500</v>
          </cell>
          <cell r="AY34">
            <v>4194</v>
          </cell>
          <cell r="AZ34">
            <v>2450.9740000000002</v>
          </cell>
          <cell r="BA34">
            <v>58.440009537434435</v>
          </cell>
          <cell r="BF34">
            <v>3500</v>
          </cell>
          <cell r="BG34">
            <v>753</v>
          </cell>
          <cell r="BH34">
            <v>460.05700000000002</v>
          </cell>
          <cell r="BL34">
            <v>3200</v>
          </cell>
          <cell r="BM34">
            <v>688</v>
          </cell>
          <cell r="BN34">
            <v>429.07400000000001</v>
          </cell>
          <cell r="BR34">
            <v>3200</v>
          </cell>
          <cell r="BS34">
            <v>688</v>
          </cell>
          <cell r="BT34">
            <v>433.85300000000001</v>
          </cell>
          <cell r="BX34">
            <v>3000</v>
          </cell>
          <cell r="BY34">
            <v>645</v>
          </cell>
          <cell r="BZ34">
            <v>413.50400000000002</v>
          </cell>
          <cell r="CD34">
            <v>3000</v>
          </cell>
          <cell r="CE34">
            <v>645</v>
          </cell>
          <cell r="CF34">
            <v>415.11900000000003</v>
          </cell>
          <cell r="CJ34">
            <v>2800</v>
          </cell>
          <cell r="CK34">
            <v>602</v>
          </cell>
          <cell r="CL34">
            <v>393.11900000000003</v>
          </cell>
          <cell r="CP34">
            <v>18700</v>
          </cell>
          <cell r="CQ34">
            <v>4021</v>
          </cell>
          <cell r="CR34">
            <v>2544.7260000000006</v>
          </cell>
          <cell r="CS34">
            <v>63.285899030092033</v>
          </cell>
          <cell r="CX34">
            <v>8800</v>
          </cell>
          <cell r="CY34">
            <v>1893</v>
          </cell>
          <cell r="CZ34">
            <v>1088.607</v>
          </cell>
          <cell r="DA34">
            <v>57.50697305863708</v>
          </cell>
          <cell r="DF34">
            <v>10700</v>
          </cell>
          <cell r="DG34">
            <v>2301</v>
          </cell>
          <cell r="DH34">
            <v>1362.367</v>
          </cell>
          <cell r="DI34">
            <v>59.207605388961312</v>
          </cell>
          <cell r="DN34">
            <v>9900</v>
          </cell>
          <cell r="DO34">
            <v>2129</v>
          </cell>
          <cell r="DP34">
            <v>1322.9840000000002</v>
          </cell>
          <cell r="DQ34">
            <v>62.141099107562248</v>
          </cell>
          <cell r="DV34">
            <v>8800</v>
          </cell>
          <cell r="DW34">
            <v>1892</v>
          </cell>
          <cell r="DX34">
            <v>1221.7420000000002</v>
          </cell>
          <cell r="DY34">
            <v>64.574101479915441</v>
          </cell>
        </row>
        <row r="35">
          <cell r="F35">
            <v>12700</v>
          </cell>
          <cell r="G35">
            <v>2990</v>
          </cell>
          <cell r="H35">
            <v>1853.758</v>
          </cell>
          <cell r="I35">
            <v>61.998595317725758</v>
          </cell>
          <cell r="N35">
            <v>900</v>
          </cell>
          <cell r="O35">
            <v>212</v>
          </cell>
          <cell r="P35">
            <v>124.489</v>
          </cell>
          <cell r="T35">
            <v>1100</v>
          </cell>
          <cell r="U35">
            <v>259</v>
          </cell>
          <cell r="V35">
            <v>154.54400000000001</v>
          </cell>
          <cell r="Z35">
            <v>1000</v>
          </cell>
          <cell r="AA35">
            <v>235</v>
          </cell>
          <cell r="AB35">
            <v>141.90100000000001</v>
          </cell>
          <cell r="AF35">
            <v>1100</v>
          </cell>
          <cell r="AG35">
            <v>259</v>
          </cell>
          <cell r="AH35">
            <v>155.88800000000001</v>
          </cell>
          <cell r="AL35">
            <v>1300</v>
          </cell>
          <cell r="AM35">
            <v>306</v>
          </cell>
          <cell r="AN35">
            <v>186.154</v>
          </cell>
          <cell r="AR35">
            <v>1100</v>
          </cell>
          <cell r="AS35">
            <v>259</v>
          </cell>
          <cell r="AT35">
            <v>158.07300000000001</v>
          </cell>
          <cell r="AX35">
            <v>6500</v>
          </cell>
          <cell r="AY35">
            <v>1530</v>
          </cell>
          <cell r="AZ35">
            <v>921.04900000000009</v>
          </cell>
          <cell r="BA35">
            <v>60.19928104575164</v>
          </cell>
          <cell r="BF35">
            <v>1100</v>
          </cell>
          <cell r="BG35">
            <v>259</v>
          </cell>
          <cell r="BH35">
            <v>162.333</v>
          </cell>
          <cell r="BL35">
            <v>1100</v>
          </cell>
          <cell r="BM35">
            <v>259</v>
          </cell>
          <cell r="BN35">
            <v>164.57900000000001</v>
          </cell>
          <cell r="BR35">
            <v>1100</v>
          </cell>
          <cell r="BS35">
            <v>259</v>
          </cell>
          <cell r="BT35">
            <v>164.96199999999999</v>
          </cell>
          <cell r="BX35">
            <v>1100</v>
          </cell>
          <cell r="BY35">
            <v>259</v>
          </cell>
          <cell r="BZ35">
            <v>167.30699999999999</v>
          </cell>
          <cell r="CD35">
            <v>900</v>
          </cell>
          <cell r="CE35">
            <v>212</v>
          </cell>
          <cell r="CF35">
            <v>136.322</v>
          </cell>
          <cell r="CJ35">
            <v>900</v>
          </cell>
          <cell r="CK35">
            <v>212</v>
          </cell>
          <cell r="CL35">
            <v>137.20599999999999</v>
          </cell>
          <cell r="CP35">
            <v>6200</v>
          </cell>
          <cell r="CQ35">
            <v>1460</v>
          </cell>
          <cell r="CR35">
            <v>932.70899999999995</v>
          </cell>
          <cell r="CS35">
            <v>63.884178082191781</v>
          </cell>
          <cell r="CX35">
            <v>3000</v>
          </cell>
          <cell r="CY35">
            <v>706</v>
          </cell>
          <cell r="CZ35">
            <v>420.93400000000003</v>
          </cell>
          <cell r="DA35">
            <v>59.62237960339943</v>
          </cell>
          <cell r="DF35">
            <v>3500</v>
          </cell>
          <cell r="DG35">
            <v>824</v>
          </cell>
          <cell r="DH35">
            <v>500.11500000000001</v>
          </cell>
          <cell r="DI35">
            <v>60.693567961165051</v>
          </cell>
          <cell r="DN35">
            <v>3300</v>
          </cell>
          <cell r="DO35">
            <v>777</v>
          </cell>
          <cell r="DP35">
            <v>491.87400000000002</v>
          </cell>
          <cell r="DQ35">
            <v>63.304247104247104</v>
          </cell>
          <cell r="DV35">
            <v>2900</v>
          </cell>
          <cell r="DW35">
            <v>683</v>
          </cell>
          <cell r="DX35">
            <v>440.83500000000004</v>
          </cell>
          <cell r="DY35">
            <v>64.543923865300158</v>
          </cell>
        </row>
        <row r="36">
          <cell r="F36">
            <v>0</v>
          </cell>
          <cell r="G36">
            <v>0</v>
          </cell>
          <cell r="H36">
            <v>0</v>
          </cell>
          <cell r="I36">
            <v>0</v>
          </cell>
          <cell r="N36">
            <v>0</v>
          </cell>
          <cell r="O36">
            <v>0</v>
          </cell>
          <cell r="T36">
            <v>0</v>
          </cell>
          <cell r="U36">
            <v>0</v>
          </cell>
          <cell r="Z36">
            <v>0</v>
          </cell>
          <cell r="AA36">
            <v>0</v>
          </cell>
          <cell r="AF36">
            <v>0</v>
          </cell>
          <cell r="AG36">
            <v>0</v>
          </cell>
          <cell r="AL36">
            <v>0</v>
          </cell>
          <cell r="AM36">
            <v>0</v>
          </cell>
          <cell r="AR36">
            <v>0</v>
          </cell>
          <cell r="AS36">
            <v>0</v>
          </cell>
          <cell r="AX36">
            <v>0</v>
          </cell>
          <cell r="AY36">
            <v>0</v>
          </cell>
          <cell r="AZ36">
            <v>0</v>
          </cell>
          <cell r="BA36">
            <v>0</v>
          </cell>
          <cell r="BF36">
            <v>0</v>
          </cell>
          <cell r="BG36">
            <v>0</v>
          </cell>
          <cell r="BL36">
            <v>0</v>
          </cell>
          <cell r="BM36">
            <v>0</v>
          </cell>
          <cell r="BR36">
            <v>0</v>
          </cell>
          <cell r="BS36">
            <v>0</v>
          </cell>
          <cell r="BX36">
            <v>0</v>
          </cell>
          <cell r="BY36">
            <v>0</v>
          </cell>
          <cell r="CD36">
            <v>0</v>
          </cell>
          <cell r="CE36">
            <v>0</v>
          </cell>
          <cell r="CJ36">
            <v>0</v>
          </cell>
          <cell r="CK36">
            <v>0</v>
          </cell>
          <cell r="CP36">
            <v>0</v>
          </cell>
          <cell r="CQ36">
            <v>0</v>
          </cell>
          <cell r="CR36">
            <v>0</v>
          </cell>
          <cell r="CS36">
            <v>0</v>
          </cell>
          <cell r="CX36">
            <v>0</v>
          </cell>
          <cell r="CY36">
            <v>0</v>
          </cell>
          <cell r="CZ36">
            <v>0</v>
          </cell>
          <cell r="DA36">
            <v>0</v>
          </cell>
          <cell r="DF36">
            <v>0</v>
          </cell>
          <cell r="DG36">
            <v>0</v>
          </cell>
          <cell r="DH36">
            <v>0</v>
          </cell>
          <cell r="DI36">
            <v>0</v>
          </cell>
          <cell r="DN36">
            <v>0</v>
          </cell>
          <cell r="DO36">
            <v>0</v>
          </cell>
          <cell r="DP36">
            <v>0</v>
          </cell>
          <cell r="DQ36">
            <v>0</v>
          </cell>
          <cell r="DV36">
            <v>0</v>
          </cell>
          <cell r="DW36">
            <v>0</v>
          </cell>
          <cell r="DX36">
            <v>0</v>
          </cell>
          <cell r="DY36">
            <v>0</v>
          </cell>
        </row>
        <row r="37">
          <cell r="F37">
            <v>37800</v>
          </cell>
          <cell r="G37">
            <v>8131</v>
          </cell>
          <cell r="H37">
            <v>4267.4889999999996</v>
          </cell>
          <cell r="I37">
            <v>52.484183987209441</v>
          </cell>
          <cell r="N37">
            <v>2500</v>
          </cell>
          <cell r="O37">
            <v>538</v>
          </cell>
          <cell r="P37">
            <v>248.84100000000001</v>
          </cell>
          <cell r="T37">
            <v>3200</v>
          </cell>
          <cell r="U37">
            <v>688</v>
          </cell>
          <cell r="V37">
            <v>327.29700000000003</v>
          </cell>
          <cell r="Z37">
            <v>2900</v>
          </cell>
          <cell r="AA37">
            <v>624</v>
          </cell>
          <cell r="AB37">
            <v>308.2</v>
          </cell>
          <cell r="AF37">
            <v>3300</v>
          </cell>
          <cell r="AG37">
            <v>710</v>
          </cell>
          <cell r="AH37">
            <v>357.041</v>
          </cell>
          <cell r="AL37">
            <v>3600</v>
          </cell>
          <cell r="AM37">
            <v>774</v>
          </cell>
          <cell r="AN37">
            <v>396.161</v>
          </cell>
          <cell r="AR37">
            <v>3300</v>
          </cell>
          <cell r="AS37">
            <v>710</v>
          </cell>
          <cell r="AT37">
            <v>369.08300000000003</v>
          </cell>
          <cell r="AX37">
            <v>18800</v>
          </cell>
          <cell r="AY37">
            <v>4044</v>
          </cell>
          <cell r="AZ37">
            <v>2006.623</v>
          </cell>
          <cell r="BA37">
            <v>49.619757665677547</v>
          </cell>
          <cell r="BF37">
            <v>3500</v>
          </cell>
          <cell r="BG37">
            <v>753</v>
          </cell>
          <cell r="BH37">
            <v>398.41800000000001</v>
          </cell>
          <cell r="BL37">
            <v>3300</v>
          </cell>
          <cell r="BM37">
            <v>710</v>
          </cell>
          <cell r="BN37">
            <v>383.21699999999998</v>
          </cell>
          <cell r="BR37">
            <v>3200</v>
          </cell>
          <cell r="BS37">
            <v>688</v>
          </cell>
          <cell r="BT37">
            <v>378.36599999999999</v>
          </cell>
          <cell r="BX37">
            <v>3100</v>
          </cell>
          <cell r="BY37">
            <v>667</v>
          </cell>
          <cell r="BZ37">
            <v>374.55799999999999</v>
          </cell>
          <cell r="CD37">
            <v>3000</v>
          </cell>
          <cell r="CE37">
            <v>645</v>
          </cell>
          <cell r="CF37">
            <v>366.33800000000002</v>
          </cell>
          <cell r="CJ37">
            <v>2900</v>
          </cell>
          <cell r="CK37">
            <v>624</v>
          </cell>
          <cell r="CL37">
            <v>359.96899999999999</v>
          </cell>
          <cell r="CP37">
            <v>19000</v>
          </cell>
          <cell r="CQ37">
            <v>4087</v>
          </cell>
          <cell r="CR37">
            <v>2260.866</v>
          </cell>
          <cell r="CS37">
            <v>55.318473207731834</v>
          </cell>
          <cell r="CX37">
            <v>8600</v>
          </cell>
          <cell r="CY37">
            <v>1850</v>
          </cell>
          <cell r="CZ37">
            <v>884.33799999999997</v>
          </cell>
          <cell r="DA37">
            <v>47.802054054054047</v>
          </cell>
          <cell r="DF37">
            <v>10200</v>
          </cell>
          <cell r="DG37">
            <v>2194</v>
          </cell>
          <cell r="DH37">
            <v>1122.2850000000001</v>
          </cell>
          <cell r="DI37">
            <v>51.152461257976299</v>
          </cell>
          <cell r="DN37">
            <v>10000</v>
          </cell>
          <cell r="DO37">
            <v>2151</v>
          </cell>
          <cell r="DP37">
            <v>1160.001</v>
          </cell>
          <cell r="DQ37">
            <v>53.928451882845188</v>
          </cell>
          <cell r="DV37">
            <v>9000</v>
          </cell>
          <cell r="DW37">
            <v>1936</v>
          </cell>
          <cell r="DX37">
            <v>1100.865</v>
          </cell>
          <cell r="DY37">
            <v>56.862861570247937</v>
          </cell>
        </row>
        <row r="38">
          <cell r="F38">
            <v>0</v>
          </cell>
          <cell r="G38">
            <v>0</v>
          </cell>
          <cell r="H38">
            <v>0</v>
          </cell>
          <cell r="I38">
            <v>0</v>
          </cell>
          <cell r="N38">
            <v>0</v>
          </cell>
          <cell r="O38">
            <v>0</v>
          </cell>
          <cell r="T38">
            <v>0</v>
          </cell>
          <cell r="U38">
            <v>0</v>
          </cell>
          <cell r="Z38">
            <v>0</v>
          </cell>
          <cell r="AA38">
            <v>0</v>
          </cell>
          <cell r="AF38">
            <v>0</v>
          </cell>
          <cell r="AG38">
            <v>0</v>
          </cell>
          <cell r="AL38">
            <v>0</v>
          </cell>
          <cell r="AM38">
            <v>0</v>
          </cell>
          <cell r="AR38">
            <v>0</v>
          </cell>
          <cell r="AS38">
            <v>0</v>
          </cell>
          <cell r="AX38">
            <v>0</v>
          </cell>
          <cell r="AY38">
            <v>0</v>
          </cell>
          <cell r="AZ38">
            <v>0</v>
          </cell>
          <cell r="BA38">
            <v>0</v>
          </cell>
          <cell r="BF38">
            <v>0</v>
          </cell>
          <cell r="BG38">
            <v>0</v>
          </cell>
          <cell r="BL38">
            <v>0</v>
          </cell>
          <cell r="BM38">
            <v>0</v>
          </cell>
          <cell r="BR38">
            <v>0</v>
          </cell>
          <cell r="BS38">
            <v>0</v>
          </cell>
          <cell r="BX38">
            <v>0</v>
          </cell>
          <cell r="BY38">
            <v>0</v>
          </cell>
          <cell r="CD38">
            <v>0</v>
          </cell>
          <cell r="CE38">
            <v>0</v>
          </cell>
          <cell r="CJ38">
            <v>0</v>
          </cell>
          <cell r="CK38">
            <v>0</v>
          </cell>
          <cell r="CP38">
            <v>0</v>
          </cell>
          <cell r="CQ38">
            <v>0</v>
          </cell>
          <cell r="CR38">
            <v>0</v>
          </cell>
          <cell r="CS38">
            <v>0</v>
          </cell>
          <cell r="CX38">
            <v>0</v>
          </cell>
          <cell r="CY38">
            <v>0</v>
          </cell>
          <cell r="CZ38">
            <v>0</v>
          </cell>
          <cell r="DA38">
            <v>0</v>
          </cell>
          <cell r="DF38">
            <v>0</v>
          </cell>
          <cell r="DG38">
            <v>0</v>
          </cell>
          <cell r="DH38">
            <v>0</v>
          </cell>
          <cell r="DI38">
            <v>0</v>
          </cell>
          <cell r="DN38">
            <v>0</v>
          </cell>
          <cell r="DO38">
            <v>0</v>
          </cell>
          <cell r="DP38">
            <v>0</v>
          </cell>
          <cell r="DQ38">
            <v>0</v>
          </cell>
          <cell r="DV38">
            <v>0</v>
          </cell>
          <cell r="DW38">
            <v>0</v>
          </cell>
          <cell r="DX38">
            <v>0</v>
          </cell>
          <cell r="DY38">
            <v>0</v>
          </cell>
        </row>
        <row r="39">
          <cell r="F39">
            <v>32800</v>
          </cell>
          <cell r="G39">
            <v>4920</v>
          </cell>
          <cell r="H39">
            <v>2782.1850000000004</v>
          </cell>
          <cell r="I39">
            <v>56.54847560975611</v>
          </cell>
          <cell r="N39">
            <v>2100</v>
          </cell>
          <cell r="O39">
            <v>315</v>
          </cell>
          <cell r="P39">
            <v>161.816</v>
          </cell>
          <cell r="T39">
            <v>3200</v>
          </cell>
          <cell r="U39">
            <v>480</v>
          </cell>
          <cell r="V39">
            <v>259.62400000000002</v>
          </cell>
          <cell r="Z39">
            <v>2700</v>
          </cell>
          <cell r="AA39">
            <v>405</v>
          </cell>
          <cell r="AB39">
            <v>223.696</v>
          </cell>
          <cell r="AF39">
            <v>2900</v>
          </cell>
          <cell r="AG39">
            <v>435</v>
          </cell>
          <cell r="AH39">
            <v>242.227</v>
          </cell>
          <cell r="AL39">
            <v>3300</v>
          </cell>
          <cell r="AM39">
            <v>495</v>
          </cell>
          <cell r="AN39">
            <v>278.40199999999999</v>
          </cell>
          <cell r="AR39">
            <v>2900</v>
          </cell>
          <cell r="AS39">
            <v>435</v>
          </cell>
          <cell r="AT39">
            <v>246.375</v>
          </cell>
          <cell r="AX39">
            <v>17100</v>
          </cell>
          <cell r="AY39">
            <v>2565</v>
          </cell>
          <cell r="AZ39">
            <v>1412.14</v>
          </cell>
          <cell r="BA39">
            <v>55.054191033138409</v>
          </cell>
          <cell r="BF39">
            <v>3100</v>
          </cell>
          <cell r="BG39">
            <v>465</v>
          </cell>
          <cell r="BH39">
            <v>266.25299999999999</v>
          </cell>
          <cell r="BL39">
            <v>2900</v>
          </cell>
          <cell r="BM39">
            <v>435</v>
          </cell>
          <cell r="BN39">
            <v>251.15199999999999</v>
          </cell>
          <cell r="BR39">
            <v>2700</v>
          </cell>
          <cell r="BS39">
            <v>405</v>
          </cell>
          <cell r="BT39">
            <v>235.21100000000001</v>
          </cell>
          <cell r="BX39">
            <v>2700</v>
          </cell>
          <cell r="BY39">
            <v>405</v>
          </cell>
          <cell r="BZ39">
            <v>237.87700000000001</v>
          </cell>
          <cell r="CD39">
            <v>2200</v>
          </cell>
          <cell r="CE39">
            <v>330</v>
          </cell>
          <cell r="CF39">
            <v>194.15899999999999</v>
          </cell>
          <cell r="CJ39">
            <v>2100</v>
          </cell>
          <cell r="CK39">
            <v>315</v>
          </cell>
          <cell r="CL39">
            <v>185.393</v>
          </cell>
          <cell r="CP39">
            <v>15700</v>
          </cell>
          <cell r="CQ39">
            <v>2355</v>
          </cell>
          <cell r="CR39">
            <v>1370.0450000000001</v>
          </cell>
          <cell r="CS39">
            <v>58.176008492569011</v>
          </cell>
          <cell r="CX39">
            <v>8000</v>
          </cell>
          <cell r="CY39">
            <v>1200</v>
          </cell>
          <cell r="CZ39">
            <v>645.13600000000008</v>
          </cell>
          <cell r="DA39">
            <v>53.76133333333334</v>
          </cell>
          <cell r="DF39">
            <v>9100</v>
          </cell>
          <cell r="DG39">
            <v>1365</v>
          </cell>
          <cell r="DH39">
            <v>767.00400000000002</v>
          </cell>
          <cell r="DI39">
            <v>56.190769230769234</v>
          </cell>
          <cell r="DN39">
            <v>8700</v>
          </cell>
          <cell r="DO39">
            <v>1305</v>
          </cell>
          <cell r="DP39">
            <v>752.61599999999999</v>
          </cell>
          <cell r="DQ39">
            <v>57.671724137931037</v>
          </cell>
          <cell r="DV39">
            <v>7000</v>
          </cell>
          <cell r="DW39">
            <v>1050</v>
          </cell>
          <cell r="DX39">
            <v>617.42899999999997</v>
          </cell>
          <cell r="DY39">
            <v>58.802761904761901</v>
          </cell>
        </row>
        <row r="40">
          <cell r="F40">
            <v>0</v>
          </cell>
          <cell r="G40">
            <v>0</v>
          </cell>
          <cell r="H40">
            <v>0</v>
          </cell>
          <cell r="I40">
            <v>0</v>
          </cell>
          <cell r="AX40">
            <v>0</v>
          </cell>
          <cell r="AY40">
            <v>0</v>
          </cell>
          <cell r="AZ40">
            <v>0</v>
          </cell>
          <cell r="BA40">
            <v>0</v>
          </cell>
          <cell r="CP40">
            <v>0</v>
          </cell>
          <cell r="CQ40">
            <v>0</v>
          </cell>
          <cell r="CR40">
            <v>0</v>
          </cell>
          <cell r="CS40">
            <v>0</v>
          </cell>
          <cell r="CX40">
            <v>0</v>
          </cell>
          <cell r="CY40">
            <v>0</v>
          </cell>
          <cell r="CZ40">
            <v>0</v>
          </cell>
          <cell r="DA40">
            <v>0</v>
          </cell>
          <cell r="DF40">
            <v>0</v>
          </cell>
          <cell r="DG40">
            <v>0</v>
          </cell>
          <cell r="DH40">
            <v>0</v>
          </cell>
          <cell r="DI40">
            <v>0</v>
          </cell>
          <cell r="DN40">
            <v>0</v>
          </cell>
          <cell r="DO40">
            <v>0</v>
          </cell>
          <cell r="DP40">
            <v>0</v>
          </cell>
          <cell r="DQ40">
            <v>0</v>
          </cell>
          <cell r="DV40">
            <v>0</v>
          </cell>
          <cell r="DW40">
            <v>0</v>
          </cell>
          <cell r="DX40">
            <v>0</v>
          </cell>
          <cell r="DY40">
            <v>0</v>
          </cell>
        </row>
        <row r="41">
          <cell r="F41">
            <v>0</v>
          </cell>
          <cell r="G41">
            <v>0</v>
          </cell>
          <cell r="H41">
            <v>0</v>
          </cell>
          <cell r="I41">
            <v>0</v>
          </cell>
          <cell r="N41">
            <v>0</v>
          </cell>
          <cell r="O41">
            <v>0</v>
          </cell>
          <cell r="T41">
            <v>0</v>
          </cell>
          <cell r="U41">
            <v>0</v>
          </cell>
          <cell r="Z41">
            <v>0</v>
          </cell>
          <cell r="AA41">
            <v>0</v>
          </cell>
          <cell r="AF41">
            <v>0</v>
          </cell>
          <cell r="AG41">
            <v>0</v>
          </cell>
          <cell r="AL41">
            <v>0</v>
          </cell>
          <cell r="AM41">
            <v>0</v>
          </cell>
          <cell r="AR41">
            <v>0</v>
          </cell>
          <cell r="AS41">
            <v>0</v>
          </cell>
          <cell r="AX41">
            <v>0</v>
          </cell>
          <cell r="AY41">
            <v>0</v>
          </cell>
          <cell r="AZ41">
            <v>0</v>
          </cell>
          <cell r="BA41">
            <v>0</v>
          </cell>
          <cell r="BF41">
            <v>0</v>
          </cell>
          <cell r="BG41">
            <v>0</v>
          </cell>
          <cell r="BL41">
            <v>0</v>
          </cell>
          <cell r="BM41">
            <v>0</v>
          </cell>
          <cell r="BR41">
            <v>0</v>
          </cell>
          <cell r="BS41">
            <v>0</v>
          </cell>
          <cell r="BX41">
            <v>0</v>
          </cell>
          <cell r="BY41">
            <v>0</v>
          </cell>
          <cell r="CD41">
            <v>0</v>
          </cell>
          <cell r="CE41">
            <v>0</v>
          </cell>
          <cell r="CJ41">
            <v>0</v>
          </cell>
          <cell r="CK41">
            <v>0</v>
          </cell>
          <cell r="CP41">
            <v>0</v>
          </cell>
          <cell r="CQ41">
            <v>0</v>
          </cell>
          <cell r="CR41">
            <v>0</v>
          </cell>
          <cell r="CS41">
            <v>0</v>
          </cell>
          <cell r="CX41">
            <v>0</v>
          </cell>
          <cell r="CY41">
            <v>0</v>
          </cell>
          <cell r="CZ41">
            <v>0</v>
          </cell>
          <cell r="DA41">
            <v>0</v>
          </cell>
          <cell r="DF41">
            <v>0</v>
          </cell>
          <cell r="DG41">
            <v>0</v>
          </cell>
          <cell r="DH41">
            <v>0</v>
          </cell>
          <cell r="DI41">
            <v>0</v>
          </cell>
          <cell r="DN41">
            <v>0</v>
          </cell>
          <cell r="DO41">
            <v>0</v>
          </cell>
          <cell r="DP41">
            <v>0</v>
          </cell>
          <cell r="DQ41">
            <v>0</v>
          </cell>
          <cell r="DV41">
            <v>0</v>
          </cell>
          <cell r="DW41">
            <v>0</v>
          </cell>
          <cell r="DX41">
            <v>0</v>
          </cell>
          <cell r="DY41">
            <v>0</v>
          </cell>
        </row>
        <row r="42">
          <cell r="F42">
            <v>0</v>
          </cell>
          <cell r="G42">
            <v>0</v>
          </cell>
          <cell r="H42">
            <v>0</v>
          </cell>
          <cell r="I42">
            <v>0</v>
          </cell>
          <cell r="AX42">
            <v>0</v>
          </cell>
          <cell r="AY42">
            <v>0</v>
          </cell>
          <cell r="AZ42">
            <v>0</v>
          </cell>
          <cell r="BA42">
            <v>0</v>
          </cell>
          <cell r="CP42">
            <v>0</v>
          </cell>
          <cell r="CQ42">
            <v>0</v>
          </cell>
          <cell r="CR42">
            <v>0</v>
          </cell>
          <cell r="CS42">
            <v>0</v>
          </cell>
          <cell r="CX42">
            <v>0</v>
          </cell>
          <cell r="CY42">
            <v>0</v>
          </cell>
          <cell r="CZ42">
            <v>0</v>
          </cell>
          <cell r="DA42">
            <v>0</v>
          </cell>
          <cell r="DF42">
            <v>0</v>
          </cell>
          <cell r="DG42">
            <v>0</v>
          </cell>
          <cell r="DH42">
            <v>0</v>
          </cell>
          <cell r="DI42">
            <v>0</v>
          </cell>
          <cell r="DN42">
            <v>0</v>
          </cell>
          <cell r="DO42">
            <v>0</v>
          </cell>
          <cell r="DP42">
            <v>0</v>
          </cell>
          <cell r="DQ42">
            <v>0</v>
          </cell>
          <cell r="DV42">
            <v>0</v>
          </cell>
          <cell r="DW42">
            <v>0</v>
          </cell>
          <cell r="DX42">
            <v>0</v>
          </cell>
          <cell r="DY42">
            <v>0</v>
          </cell>
        </row>
        <row r="43">
          <cell r="F43">
            <v>0</v>
          </cell>
          <cell r="G43">
            <v>0</v>
          </cell>
          <cell r="H43">
            <v>0</v>
          </cell>
          <cell r="I43">
            <v>0</v>
          </cell>
          <cell r="AX43">
            <v>0</v>
          </cell>
          <cell r="AY43">
            <v>0</v>
          </cell>
          <cell r="AZ43">
            <v>0</v>
          </cell>
          <cell r="BA43">
            <v>0</v>
          </cell>
          <cell r="CP43">
            <v>0</v>
          </cell>
          <cell r="CQ43">
            <v>0</v>
          </cell>
          <cell r="CR43">
            <v>0</v>
          </cell>
          <cell r="CS43">
            <v>0</v>
          </cell>
          <cell r="CX43">
            <v>0</v>
          </cell>
          <cell r="CY43">
            <v>0</v>
          </cell>
          <cell r="CZ43">
            <v>0</v>
          </cell>
          <cell r="DA43">
            <v>0</v>
          </cell>
          <cell r="DF43">
            <v>0</v>
          </cell>
          <cell r="DG43">
            <v>0</v>
          </cell>
          <cell r="DH43">
            <v>0</v>
          </cell>
          <cell r="DI43">
            <v>0</v>
          </cell>
          <cell r="DN43">
            <v>0</v>
          </cell>
          <cell r="DO43">
            <v>0</v>
          </cell>
          <cell r="DP43">
            <v>0</v>
          </cell>
          <cell r="DQ43">
            <v>0</v>
          </cell>
          <cell r="DV43">
            <v>0</v>
          </cell>
          <cell r="DW43">
            <v>0</v>
          </cell>
          <cell r="DX43">
            <v>0</v>
          </cell>
          <cell r="DY43">
            <v>0</v>
          </cell>
        </row>
        <row r="44">
          <cell r="F44">
            <v>0</v>
          </cell>
          <cell r="G44">
            <v>0</v>
          </cell>
          <cell r="H44">
            <v>0</v>
          </cell>
          <cell r="I44">
            <v>0</v>
          </cell>
          <cell r="N44">
            <v>0</v>
          </cell>
          <cell r="O44">
            <v>0</v>
          </cell>
          <cell r="T44">
            <v>0</v>
          </cell>
          <cell r="U44">
            <v>0</v>
          </cell>
          <cell r="Z44">
            <v>0</v>
          </cell>
          <cell r="AA44">
            <v>0</v>
          </cell>
          <cell r="AF44">
            <v>0</v>
          </cell>
          <cell r="AG44">
            <v>0</v>
          </cell>
          <cell r="AL44">
            <v>0</v>
          </cell>
          <cell r="AM44">
            <v>0</v>
          </cell>
          <cell r="AR44">
            <v>0</v>
          </cell>
          <cell r="AS44">
            <v>0</v>
          </cell>
          <cell r="AX44">
            <v>0</v>
          </cell>
          <cell r="AY44">
            <v>0</v>
          </cell>
          <cell r="AZ44">
            <v>0</v>
          </cell>
          <cell r="BA44">
            <v>0</v>
          </cell>
          <cell r="BF44">
            <v>0</v>
          </cell>
          <cell r="BG44">
            <v>0</v>
          </cell>
          <cell r="BL44">
            <v>0</v>
          </cell>
          <cell r="BM44">
            <v>0</v>
          </cell>
          <cell r="BR44">
            <v>0</v>
          </cell>
          <cell r="BS44">
            <v>0</v>
          </cell>
          <cell r="BX44">
            <v>0</v>
          </cell>
          <cell r="BY44">
            <v>0</v>
          </cell>
          <cell r="CD44">
            <v>0</v>
          </cell>
          <cell r="CE44">
            <v>0</v>
          </cell>
          <cell r="CJ44">
            <v>0</v>
          </cell>
          <cell r="CK44">
            <v>0</v>
          </cell>
          <cell r="CP44">
            <v>0</v>
          </cell>
          <cell r="CQ44">
            <v>0</v>
          </cell>
          <cell r="CR44">
            <v>0</v>
          </cell>
          <cell r="CS44">
            <v>0</v>
          </cell>
          <cell r="CX44">
            <v>0</v>
          </cell>
          <cell r="CY44">
            <v>0</v>
          </cell>
          <cell r="CZ44">
            <v>0</v>
          </cell>
          <cell r="DA44">
            <v>0</v>
          </cell>
          <cell r="DF44">
            <v>0</v>
          </cell>
          <cell r="DG44">
            <v>0</v>
          </cell>
          <cell r="DH44">
            <v>0</v>
          </cell>
          <cell r="DI44">
            <v>0</v>
          </cell>
          <cell r="DN44">
            <v>0</v>
          </cell>
          <cell r="DO44">
            <v>0</v>
          </cell>
          <cell r="DP44">
            <v>0</v>
          </cell>
          <cell r="DQ44">
            <v>0</v>
          </cell>
          <cell r="DV44">
            <v>0</v>
          </cell>
          <cell r="DW44">
            <v>0</v>
          </cell>
          <cell r="DX44">
            <v>0</v>
          </cell>
          <cell r="DY44">
            <v>0</v>
          </cell>
        </row>
        <row r="45">
          <cell r="F45">
            <v>29700</v>
          </cell>
          <cell r="G45">
            <v>5795</v>
          </cell>
          <cell r="H45">
            <v>3472.06</v>
          </cell>
          <cell r="I45">
            <v>59.914754098360653</v>
          </cell>
          <cell r="N45">
            <v>1800</v>
          </cell>
          <cell r="O45">
            <v>351</v>
          </cell>
          <cell r="P45">
            <v>194.518</v>
          </cell>
          <cell r="T45">
            <v>3100</v>
          </cell>
          <cell r="U45">
            <v>605</v>
          </cell>
          <cell r="V45">
            <v>347.072</v>
          </cell>
          <cell r="Z45">
            <v>2800</v>
          </cell>
          <cell r="AA45">
            <v>546</v>
          </cell>
          <cell r="AB45">
            <v>320.26600000000002</v>
          </cell>
          <cell r="AF45">
            <v>2900</v>
          </cell>
          <cell r="AG45">
            <v>566</v>
          </cell>
          <cell r="AH45">
            <v>336.9</v>
          </cell>
          <cell r="AL45">
            <v>3200</v>
          </cell>
          <cell r="AM45">
            <v>624</v>
          </cell>
          <cell r="AN45">
            <v>374.95499999999998</v>
          </cell>
          <cell r="AR45">
            <v>2900</v>
          </cell>
          <cell r="AS45">
            <v>566</v>
          </cell>
          <cell r="AT45">
            <v>342.83</v>
          </cell>
          <cell r="AX45">
            <v>16700</v>
          </cell>
          <cell r="AY45">
            <v>3258</v>
          </cell>
          <cell r="AZ45">
            <v>1916.5410000000002</v>
          </cell>
          <cell r="BA45">
            <v>58.825690607734813</v>
          </cell>
          <cell r="BF45">
            <v>2700</v>
          </cell>
          <cell r="BG45">
            <v>527</v>
          </cell>
          <cell r="BH45">
            <v>320.54399999999998</v>
          </cell>
          <cell r="BL45">
            <v>2400</v>
          </cell>
          <cell r="BM45">
            <v>468</v>
          </cell>
          <cell r="BN45">
            <v>285.52699999999999</v>
          </cell>
          <cell r="BR45">
            <v>2300</v>
          </cell>
          <cell r="BS45">
            <v>449</v>
          </cell>
          <cell r="BT45">
            <v>274.99</v>
          </cell>
          <cell r="BX45">
            <v>2100</v>
          </cell>
          <cell r="BY45">
            <v>410</v>
          </cell>
          <cell r="BZ45">
            <v>252.571</v>
          </cell>
          <cell r="CD45">
            <v>1800</v>
          </cell>
          <cell r="CE45">
            <v>351</v>
          </cell>
          <cell r="CF45">
            <v>216.346</v>
          </cell>
          <cell r="CJ45">
            <v>1700</v>
          </cell>
          <cell r="CK45">
            <v>332</v>
          </cell>
          <cell r="CL45">
            <v>205.541</v>
          </cell>
          <cell r="CP45">
            <v>13000</v>
          </cell>
          <cell r="CQ45">
            <v>2537</v>
          </cell>
          <cell r="CR45">
            <v>1555.5189999999998</v>
          </cell>
          <cell r="CS45">
            <v>61.313322822230973</v>
          </cell>
          <cell r="CX45">
            <v>7700</v>
          </cell>
          <cell r="CY45">
            <v>1502</v>
          </cell>
          <cell r="CZ45">
            <v>861.85599999999999</v>
          </cell>
          <cell r="DA45">
            <v>57.380559254327565</v>
          </cell>
          <cell r="DF45">
            <v>9000</v>
          </cell>
          <cell r="DG45">
            <v>1756</v>
          </cell>
          <cell r="DH45">
            <v>1054.6849999999999</v>
          </cell>
          <cell r="DI45">
            <v>60.061788154897485</v>
          </cell>
          <cell r="DN45">
            <v>7400</v>
          </cell>
          <cell r="DO45">
            <v>1444</v>
          </cell>
          <cell r="DP45">
            <v>881.06099999999992</v>
          </cell>
          <cell r="DQ45">
            <v>61.015304709141269</v>
          </cell>
          <cell r="DV45">
            <v>5600</v>
          </cell>
          <cell r="DW45">
            <v>1093</v>
          </cell>
          <cell r="DX45">
            <v>674.45800000000008</v>
          </cell>
          <cell r="DY45">
            <v>61.70704483074109</v>
          </cell>
        </row>
        <row r="46">
          <cell r="F46">
            <v>0</v>
          </cell>
          <cell r="G46">
            <v>0</v>
          </cell>
          <cell r="H46">
            <v>0</v>
          </cell>
          <cell r="I46">
            <v>0</v>
          </cell>
          <cell r="AX46">
            <v>0</v>
          </cell>
          <cell r="AY46">
            <v>0</v>
          </cell>
          <cell r="AZ46">
            <v>0</v>
          </cell>
          <cell r="BA46">
            <v>0</v>
          </cell>
          <cell r="CP46">
            <v>0</v>
          </cell>
          <cell r="CQ46">
            <v>0</v>
          </cell>
          <cell r="CR46">
            <v>0</v>
          </cell>
          <cell r="CS46">
            <v>0</v>
          </cell>
          <cell r="CX46">
            <v>0</v>
          </cell>
          <cell r="CY46">
            <v>0</v>
          </cell>
          <cell r="CZ46">
            <v>0</v>
          </cell>
          <cell r="DA46">
            <v>0</v>
          </cell>
          <cell r="DF46">
            <v>0</v>
          </cell>
          <cell r="DG46">
            <v>0</v>
          </cell>
          <cell r="DH46">
            <v>0</v>
          </cell>
          <cell r="DI46">
            <v>0</v>
          </cell>
          <cell r="DN46">
            <v>0</v>
          </cell>
          <cell r="DO46">
            <v>0</v>
          </cell>
          <cell r="DP46">
            <v>0</v>
          </cell>
          <cell r="DQ46">
            <v>0</v>
          </cell>
          <cell r="DV46">
            <v>0</v>
          </cell>
          <cell r="DW46">
            <v>0</v>
          </cell>
          <cell r="DX46">
            <v>0</v>
          </cell>
          <cell r="DY46">
            <v>0</v>
          </cell>
        </row>
        <row r="47">
          <cell r="F47">
            <v>4500</v>
          </cell>
          <cell r="G47">
            <v>1008</v>
          </cell>
          <cell r="H47">
            <v>573.64700000000005</v>
          </cell>
          <cell r="I47">
            <v>56.909424603174607</v>
          </cell>
          <cell r="N47">
            <v>0</v>
          </cell>
          <cell r="O47">
            <v>0</v>
          </cell>
          <cell r="P47">
            <v>0</v>
          </cell>
          <cell r="T47">
            <v>0</v>
          </cell>
          <cell r="U47">
            <v>0</v>
          </cell>
          <cell r="V47">
            <v>0</v>
          </cell>
          <cell r="Z47">
            <v>0</v>
          </cell>
          <cell r="AA47">
            <v>0</v>
          </cell>
          <cell r="AB47">
            <v>0</v>
          </cell>
          <cell r="AF47">
            <v>0</v>
          </cell>
          <cell r="AG47">
            <v>0</v>
          </cell>
          <cell r="AH47">
            <v>0</v>
          </cell>
          <cell r="AL47">
            <v>0</v>
          </cell>
          <cell r="AM47">
            <v>0</v>
          </cell>
          <cell r="AN47">
            <v>0</v>
          </cell>
          <cell r="AR47">
            <v>0</v>
          </cell>
          <cell r="AS47">
            <v>0</v>
          </cell>
          <cell r="AT47">
            <v>0</v>
          </cell>
          <cell r="AX47">
            <v>0</v>
          </cell>
          <cell r="AY47">
            <v>0</v>
          </cell>
          <cell r="AZ47">
            <v>0</v>
          </cell>
          <cell r="BA47">
            <v>0</v>
          </cell>
          <cell r="BF47">
            <v>0</v>
          </cell>
          <cell r="BG47">
            <v>0</v>
          </cell>
          <cell r="BH47">
            <v>0</v>
          </cell>
          <cell r="BL47">
            <v>0</v>
          </cell>
          <cell r="BM47">
            <v>0</v>
          </cell>
          <cell r="BN47">
            <v>0</v>
          </cell>
          <cell r="BR47">
            <v>0</v>
          </cell>
          <cell r="BS47">
            <v>0</v>
          </cell>
          <cell r="BT47">
            <v>0</v>
          </cell>
          <cell r="BX47">
            <v>1200</v>
          </cell>
          <cell r="BY47">
            <v>269</v>
          </cell>
          <cell r="BZ47">
            <v>152.86500000000001</v>
          </cell>
          <cell r="CD47">
            <v>1500</v>
          </cell>
          <cell r="CE47">
            <v>336</v>
          </cell>
          <cell r="CF47">
            <v>188.708</v>
          </cell>
          <cell r="CJ47">
            <v>1800</v>
          </cell>
          <cell r="CK47">
            <v>403</v>
          </cell>
          <cell r="CL47">
            <v>232.07400000000001</v>
          </cell>
          <cell r="CP47">
            <v>4500</v>
          </cell>
          <cell r="CQ47">
            <v>1008</v>
          </cell>
          <cell r="CR47">
            <v>573.64700000000005</v>
          </cell>
          <cell r="CS47">
            <v>56.909424603174607</v>
          </cell>
          <cell r="CX47">
            <v>0</v>
          </cell>
          <cell r="CY47">
            <v>0</v>
          </cell>
          <cell r="CZ47">
            <v>0</v>
          </cell>
          <cell r="DA47">
            <v>0</v>
          </cell>
          <cell r="DF47">
            <v>0</v>
          </cell>
          <cell r="DG47">
            <v>0</v>
          </cell>
          <cell r="DH47">
            <v>0</v>
          </cell>
          <cell r="DI47">
            <v>0</v>
          </cell>
          <cell r="DN47">
            <v>0</v>
          </cell>
          <cell r="DO47">
            <v>0</v>
          </cell>
          <cell r="DP47">
            <v>0</v>
          </cell>
          <cell r="DQ47">
            <v>0</v>
          </cell>
          <cell r="DV47">
            <v>4500</v>
          </cell>
          <cell r="DW47">
            <v>1008</v>
          </cell>
          <cell r="DX47">
            <v>573.64699999999993</v>
          </cell>
          <cell r="DY47">
            <v>56.9094246031746</v>
          </cell>
        </row>
        <row r="48">
          <cell r="F48">
            <v>74200</v>
          </cell>
          <cell r="G48">
            <v>18550</v>
          </cell>
          <cell r="H48">
            <v>10197.669</v>
          </cell>
          <cell r="I48">
            <v>54.973956873315366</v>
          </cell>
          <cell r="N48">
            <v>5900</v>
          </cell>
          <cell r="O48">
            <v>1475</v>
          </cell>
          <cell r="P48">
            <v>779.12300000000005</v>
          </cell>
          <cell r="T48">
            <v>7400</v>
          </cell>
          <cell r="U48">
            <v>1850</v>
          </cell>
          <cell r="V48">
            <v>992.23900000000003</v>
          </cell>
          <cell r="Z48">
            <v>7300</v>
          </cell>
          <cell r="AA48">
            <v>1825</v>
          </cell>
          <cell r="AB48">
            <v>983.49199999999996</v>
          </cell>
          <cell r="AF48">
            <v>7700</v>
          </cell>
          <cell r="AG48">
            <v>1925</v>
          </cell>
          <cell r="AH48">
            <v>1038.558</v>
          </cell>
          <cell r="AL48">
            <v>7900</v>
          </cell>
          <cell r="AM48">
            <v>1975</v>
          </cell>
          <cell r="AN48">
            <v>1071.518</v>
          </cell>
          <cell r="AR48">
            <v>7400</v>
          </cell>
          <cell r="AS48">
            <v>1850</v>
          </cell>
          <cell r="AT48">
            <v>1007.718</v>
          </cell>
          <cell r="AX48">
            <v>43600</v>
          </cell>
          <cell r="AY48">
            <v>10900</v>
          </cell>
          <cell r="AZ48">
            <v>5872.6479999999992</v>
          </cell>
          <cell r="BA48">
            <v>53.877504587155954</v>
          </cell>
          <cell r="BF48">
            <v>7400</v>
          </cell>
          <cell r="BG48">
            <v>1850</v>
          </cell>
          <cell r="BH48">
            <v>1021.866</v>
          </cell>
          <cell r="BL48">
            <v>5800</v>
          </cell>
          <cell r="BM48">
            <v>1450</v>
          </cell>
          <cell r="BN48">
            <v>810.25900000000001</v>
          </cell>
          <cell r="BR48">
            <v>5200</v>
          </cell>
          <cell r="BS48">
            <v>1300</v>
          </cell>
          <cell r="BT48">
            <v>733.50300000000004</v>
          </cell>
          <cell r="BX48">
            <v>4500</v>
          </cell>
          <cell r="BY48">
            <v>1125</v>
          </cell>
          <cell r="BZ48">
            <v>644.35699999999997</v>
          </cell>
          <cell r="CD48">
            <v>4200</v>
          </cell>
          <cell r="CE48">
            <v>1050</v>
          </cell>
          <cell r="CF48">
            <v>605.14300000000003</v>
          </cell>
          <cell r="CJ48">
            <v>3500</v>
          </cell>
          <cell r="CK48">
            <v>875</v>
          </cell>
          <cell r="CL48">
            <v>509.89299999999997</v>
          </cell>
          <cell r="CP48">
            <v>30600</v>
          </cell>
          <cell r="CQ48">
            <v>7650</v>
          </cell>
          <cell r="CR48">
            <v>4325.0210000000006</v>
          </cell>
          <cell r="CS48">
            <v>56.536222222222236</v>
          </cell>
          <cell r="CX48">
            <v>20600</v>
          </cell>
          <cell r="CY48">
            <v>5150</v>
          </cell>
          <cell r="CZ48">
            <v>2754.8540000000003</v>
          </cell>
          <cell r="DA48">
            <v>53.492310679611656</v>
          </cell>
          <cell r="DF48">
            <v>23000</v>
          </cell>
          <cell r="DG48">
            <v>5750</v>
          </cell>
          <cell r="DH48">
            <v>3117.7939999999999</v>
          </cell>
          <cell r="DI48">
            <v>54.222504347826082</v>
          </cell>
          <cell r="DN48">
            <v>18400</v>
          </cell>
          <cell r="DO48">
            <v>4600</v>
          </cell>
          <cell r="DP48">
            <v>2565.6280000000002</v>
          </cell>
          <cell r="DQ48">
            <v>55.774521739130435</v>
          </cell>
          <cell r="DV48">
            <v>12200</v>
          </cell>
          <cell r="DW48">
            <v>3050</v>
          </cell>
          <cell r="DX48">
            <v>1759.393</v>
          </cell>
          <cell r="DY48">
            <v>57.685016393442623</v>
          </cell>
        </row>
        <row r="49">
          <cell r="F49">
            <v>0</v>
          </cell>
          <cell r="G49">
            <v>0</v>
          </cell>
          <cell r="H49">
            <v>0</v>
          </cell>
          <cell r="I49">
            <v>0</v>
          </cell>
          <cell r="AX49">
            <v>0</v>
          </cell>
          <cell r="AY49">
            <v>0</v>
          </cell>
          <cell r="AZ49">
            <v>0</v>
          </cell>
          <cell r="BA49">
            <v>0</v>
          </cell>
          <cell r="CP49">
            <v>0</v>
          </cell>
          <cell r="CQ49">
            <v>0</v>
          </cell>
          <cell r="CR49">
            <v>0</v>
          </cell>
          <cell r="CS49">
            <v>0</v>
          </cell>
          <cell r="CX49">
            <v>0</v>
          </cell>
          <cell r="CY49">
            <v>0</v>
          </cell>
          <cell r="CZ49">
            <v>0</v>
          </cell>
          <cell r="DA49">
            <v>0</v>
          </cell>
          <cell r="DF49">
            <v>0</v>
          </cell>
          <cell r="DG49">
            <v>0</v>
          </cell>
          <cell r="DH49">
            <v>0</v>
          </cell>
          <cell r="DI49">
            <v>0</v>
          </cell>
          <cell r="DN49">
            <v>0</v>
          </cell>
          <cell r="DO49">
            <v>0</v>
          </cell>
          <cell r="DP49">
            <v>0</v>
          </cell>
          <cell r="DQ49">
            <v>0</v>
          </cell>
          <cell r="DV49">
            <v>0</v>
          </cell>
          <cell r="DW49">
            <v>0</v>
          </cell>
          <cell r="DX49">
            <v>0</v>
          </cell>
          <cell r="DY49">
            <v>0</v>
          </cell>
        </row>
        <row r="50">
          <cell r="F50">
            <v>0</v>
          </cell>
          <cell r="G50">
            <v>0</v>
          </cell>
          <cell r="H50">
            <v>0</v>
          </cell>
          <cell r="I50">
            <v>0</v>
          </cell>
          <cell r="N50">
            <v>0</v>
          </cell>
          <cell r="O50">
            <v>0</v>
          </cell>
          <cell r="T50">
            <v>0</v>
          </cell>
          <cell r="U50">
            <v>0</v>
          </cell>
          <cell r="Z50">
            <v>0</v>
          </cell>
          <cell r="AA50">
            <v>0</v>
          </cell>
          <cell r="AF50">
            <v>0</v>
          </cell>
          <cell r="AG50">
            <v>0</v>
          </cell>
          <cell r="AL50">
            <v>0</v>
          </cell>
          <cell r="AM50">
            <v>0</v>
          </cell>
          <cell r="AR50">
            <v>0</v>
          </cell>
          <cell r="AS50">
            <v>0</v>
          </cell>
          <cell r="AX50">
            <v>0</v>
          </cell>
          <cell r="AY50">
            <v>0</v>
          </cell>
          <cell r="AZ50">
            <v>0</v>
          </cell>
          <cell r="BA50">
            <v>0</v>
          </cell>
          <cell r="BF50">
            <v>0</v>
          </cell>
          <cell r="BG50">
            <v>0</v>
          </cell>
          <cell r="BL50">
            <v>0</v>
          </cell>
          <cell r="BM50">
            <v>0</v>
          </cell>
          <cell r="BR50">
            <v>0</v>
          </cell>
          <cell r="BS50">
            <v>0</v>
          </cell>
          <cell r="BX50">
            <v>0</v>
          </cell>
          <cell r="BY50">
            <v>0</v>
          </cell>
          <cell r="CD50">
            <v>0</v>
          </cell>
          <cell r="CE50">
            <v>0</v>
          </cell>
          <cell r="CJ50">
            <v>0</v>
          </cell>
          <cell r="CK50">
            <v>0</v>
          </cell>
          <cell r="CP50">
            <v>0</v>
          </cell>
          <cell r="CQ50">
            <v>0</v>
          </cell>
          <cell r="CR50">
            <v>0</v>
          </cell>
          <cell r="CS50">
            <v>0</v>
          </cell>
          <cell r="CX50">
            <v>0</v>
          </cell>
          <cell r="CY50">
            <v>0</v>
          </cell>
          <cell r="CZ50">
            <v>0</v>
          </cell>
          <cell r="DA50">
            <v>0</v>
          </cell>
          <cell r="DF50">
            <v>0</v>
          </cell>
          <cell r="DG50">
            <v>0</v>
          </cell>
          <cell r="DH50">
            <v>0</v>
          </cell>
          <cell r="DI50">
            <v>0</v>
          </cell>
          <cell r="DN50">
            <v>0</v>
          </cell>
          <cell r="DO50">
            <v>0</v>
          </cell>
          <cell r="DP50">
            <v>0</v>
          </cell>
          <cell r="DQ50">
            <v>0</v>
          </cell>
          <cell r="DV50">
            <v>0</v>
          </cell>
          <cell r="DW50">
            <v>0</v>
          </cell>
          <cell r="DX50">
            <v>0</v>
          </cell>
          <cell r="DY50">
            <v>0</v>
          </cell>
        </row>
        <row r="51">
          <cell r="F51">
            <v>13200</v>
          </cell>
          <cell r="G51">
            <v>3300</v>
          </cell>
          <cell r="H51">
            <v>1986.5990000000002</v>
          </cell>
          <cell r="I51">
            <v>60.199969696969703</v>
          </cell>
          <cell r="N51">
            <v>0</v>
          </cell>
          <cell r="O51">
            <v>0</v>
          </cell>
          <cell r="P51">
            <v>0</v>
          </cell>
          <cell r="T51">
            <v>0</v>
          </cell>
          <cell r="U51">
            <v>0</v>
          </cell>
          <cell r="V51">
            <v>0</v>
          </cell>
          <cell r="Z51">
            <v>0</v>
          </cell>
          <cell r="AA51">
            <v>0</v>
          </cell>
          <cell r="AB51">
            <v>0</v>
          </cell>
          <cell r="AF51">
            <v>0</v>
          </cell>
          <cell r="AG51">
            <v>0</v>
          </cell>
          <cell r="AH51">
            <v>0</v>
          </cell>
          <cell r="AL51">
            <v>0</v>
          </cell>
          <cell r="AM51">
            <v>0</v>
          </cell>
          <cell r="AN51">
            <v>0</v>
          </cell>
          <cell r="AR51">
            <v>0</v>
          </cell>
          <cell r="AS51">
            <v>0</v>
          </cell>
          <cell r="AT51">
            <v>0</v>
          </cell>
          <cell r="AX51">
            <v>0</v>
          </cell>
          <cell r="AY51">
            <v>0</v>
          </cell>
          <cell r="AZ51">
            <v>0</v>
          </cell>
          <cell r="BA51">
            <v>0</v>
          </cell>
          <cell r="BF51">
            <v>0</v>
          </cell>
          <cell r="BG51">
            <v>0</v>
          </cell>
          <cell r="BH51">
            <v>0</v>
          </cell>
          <cell r="BL51">
            <v>1500</v>
          </cell>
          <cell r="BM51">
            <v>375</v>
          </cell>
          <cell r="BN51">
            <v>222.036</v>
          </cell>
          <cell r="BR51">
            <v>2400</v>
          </cell>
          <cell r="BS51">
            <v>600</v>
          </cell>
          <cell r="BT51">
            <v>355.31400000000002</v>
          </cell>
          <cell r="BX51">
            <v>3000</v>
          </cell>
          <cell r="BY51">
            <v>750</v>
          </cell>
          <cell r="BZ51">
            <v>453.42</v>
          </cell>
          <cell r="CD51">
            <v>3200</v>
          </cell>
          <cell r="CE51">
            <v>800</v>
          </cell>
          <cell r="CF51">
            <v>482.17099999999999</v>
          </cell>
          <cell r="CJ51">
            <v>3100</v>
          </cell>
          <cell r="CK51">
            <v>775</v>
          </cell>
          <cell r="CL51">
            <v>473.65800000000002</v>
          </cell>
          <cell r="CP51">
            <v>13200</v>
          </cell>
          <cell r="CQ51">
            <v>3300</v>
          </cell>
          <cell r="CR51">
            <v>1986.5990000000002</v>
          </cell>
          <cell r="CS51">
            <v>60.199969696969703</v>
          </cell>
          <cell r="CX51">
            <v>0</v>
          </cell>
          <cell r="CY51">
            <v>0</v>
          </cell>
          <cell r="CZ51">
            <v>0</v>
          </cell>
          <cell r="DA51">
            <v>0</v>
          </cell>
          <cell r="DF51">
            <v>0</v>
          </cell>
          <cell r="DG51">
            <v>0</v>
          </cell>
          <cell r="DH51">
            <v>0</v>
          </cell>
          <cell r="DI51">
            <v>0</v>
          </cell>
          <cell r="DN51">
            <v>3900</v>
          </cell>
          <cell r="DO51">
            <v>975</v>
          </cell>
          <cell r="DP51">
            <v>577.35</v>
          </cell>
          <cell r="DQ51">
            <v>59.215384615384615</v>
          </cell>
          <cell r="DV51">
            <v>9300</v>
          </cell>
          <cell r="DW51">
            <v>2325</v>
          </cell>
          <cell r="DX51">
            <v>1409.249</v>
          </cell>
          <cell r="DY51">
            <v>60.612860215053765</v>
          </cell>
        </row>
        <row r="52">
          <cell r="F52">
            <v>0</v>
          </cell>
          <cell r="G52">
            <v>0</v>
          </cell>
          <cell r="H52">
            <v>0</v>
          </cell>
          <cell r="I52">
            <v>0</v>
          </cell>
          <cell r="AX52">
            <v>0</v>
          </cell>
          <cell r="AY52">
            <v>0</v>
          </cell>
          <cell r="AZ52">
            <v>0</v>
          </cell>
          <cell r="BA52">
            <v>0</v>
          </cell>
          <cell r="CP52">
            <v>0</v>
          </cell>
          <cell r="CQ52">
            <v>0</v>
          </cell>
          <cell r="CR52">
            <v>0</v>
          </cell>
          <cell r="CS52">
            <v>0</v>
          </cell>
          <cell r="CX52">
            <v>0</v>
          </cell>
          <cell r="CY52">
            <v>0</v>
          </cell>
          <cell r="CZ52">
            <v>0</v>
          </cell>
          <cell r="DA52">
            <v>0</v>
          </cell>
          <cell r="DF52">
            <v>0</v>
          </cell>
          <cell r="DG52">
            <v>0</v>
          </cell>
          <cell r="DH52">
            <v>0</v>
          </cell>
          <cell r="DI52">
            <v>0</v>
          </cell>
          <cell r="DN52">
            <v>0</v>
          </cell>
          <cell r="DO52">
            <v>0</v>
          </cell>
          <cell r="DP52">
            <v>0</v>
          </cell>
          <cell r="DQ52">
            <v>0</v>
          </cell>
          <cell r="DV52">
            <v>0</v>
          </cell>
          <cell r="DW52">
            <v>0</v>
          </cell>
          <cell r="DX52">
            <v>0</v>
          </cell>
          <cell r="DY52">
            <v>0</v>
          </cell>
        </row>
        <row r="53">
          <cell r="F53">
            <v>0</v>
          </cell>
          <cell r="G53">
            <v>0</v>
          </cell>
          <cell r="H53">
            <v>0</v>
          </cell>
          <cell r="I53">
            <v>0</v>
          </cell>
          <cell r="N53">
            <v>0</v>
          </cell>
          <cell r="O53">
            <v>0</v>
          </cell>
          <cell r="T53">
            <v>0</v>
          </cell>
          <cell r="U53">
            <v>0</v>
          </cell>
          <cell r="Z53">
            <v>0</v>
          </cell>
          <cell r="AA53">
            <v>0</v>
          </cell>
          <cell r="AF53">
            <v>0</v>
          </cell>
          <cell r="AG53">
            <v>0</v>
          </cell>
          <cell r="AL53">
            <v>0</v>
          </cell>
          <cell r="AM53">
            <v>0</v>
          </cell>
          <cell r="AR53">
            <v>0</v>
          </cell>
          <cell r="AS53">
            <v>0</v>
          </cell>
          <cell r="AX53">
            <v>0</v>
          </cell>
          <cell r="AY53">
            <v>0</v>
          </cell>
          <cell r="AZ53">
            <v>0</v>
          </cell>
          <cell r="BA53">
            <v>0</v>
          </cell>
          <cell r="BF53">
            <v>0</v>
          </cell>
          <cell r="BG53">
            <v>0</v>
          </cell>
          <cell r="BL53">
            <v>0</v>
          </cell>
          <cell r="BM53">
            <v>0</v>
          </cell>
          <cell r="BR53">
            <v>0</v>
          </cell>
          <cell r="BS53">
            <v>0</v>
          </cell>
          <cell r="BX53">
            <v>0</v>
          </cell>
          <cell r="BY53">
            <v>0</v>
          </cell>
          <cell r="CD53">
            <v>0</v>
          </cell>
          <cell r="CE53">
            <v>0</v>
          </cell>
          <cell r="CJ53">
            <v>0</v>
          </cell>
          <cell r="CK53">
            <v>0</v>
          </cell>
          <cell r="CP53">
            <v>0</v>
          </cell>
          <cell r="CQ53">
            <v>0</v>
          </cell>
          <cell r="CR53">
            <v>0</v>
          </cell>
          <cell r="CS53">
            <v>0</v>
          </cell>
          <cell r="CX53">
            <v>0</v>
          </cell>
          <cell r="CY53">
            <v>0</v>
          </cell>
          <cell r="CZ53">
            <v>0</v>
          </cell>
          <cell r="DA53">
            <v>0</v>
          </cell>
          <cell r="DF53">
            <v>0</v>
          </cell>
          <cell r="DG53">
            <v>0</v>
          </cell>
          <cell r="DH53">
            <v>0</v>
          </cell>
          <cell r="DI53">
            <v>0</v>
          </cell>
          <cell r="DN53">
            <v>0</v>
          </cell>
          <cell r="DO53">
            <v>0</v>
          </cell>
          <cell r="DP53">
            <v>0</v>
          </cell>
          <cell r="DQ53">
            <v>0</v>
          </cell>
          <cell r="DV53">
            <v>0</v>
          </cell>
          <cell r="DW53">
            <v>0</v>
          </cell>
          <cell r="DX53">
            <v>0</v>
          </cell>
          <cell r="DY53">
            <v>0</v>
          </cell>
        </row>
        <row r="54">
          <cell r="F54">
            <v>266600</v>
          </cell>
          <cell r="G54">
            <v>56698</v>
          </cell>
          <cell r="H54">
            <v>32317.176000000007</v>
          </cell>
          <cell r="I54">
            <v>56.998793608240163</v>
          </cell>
          <cell r="N54">
            <v>17200</v>
          </cell>
          <cell r="O54">
            <v>3666</v>
          </cell>
          <cell r="P54">
            <v>1931.7230000000002</v>
          </cell>
          <cell r="T54">
            <v>23600</v>
          </cell>
          <cell r="U54">
            <v>4981</v>
          </cell>
          <cell r="V54">
            <v>2696.8879999999999</v>
          </cell>
          <cell r="Z54">
            <v>21700</v>
          </cell>
          <cell r="AA54">
            <v>4609</v>
          </cell>
          <cell r="AB54">
            <v>2536.346</v>
          </cell>
          <cell r="AF54">
            <v>23500</v>
          </cell>
          <cell r="AG54">
            <v>4988</v>
          </cell>
          <cell r="AH54">
            <v>2765.1480000000001</v>
          </cell>
          <cell r="AL54">
            <v>25700</v>
          </cell>
          <cell r="AM54">
            <v>5419</v>
          </cell>
          <cell r="AN54">
            <v>3041.0050000000001</v>
          </cell>
          <cell r="AR54">
            <v>23400</v>
          </cell>
          <cell r="AS54">
            <v>4952</v>
          </cell>
          <cell r="AT54">
            <v>2798.4349999999999</v>
          </cell>
          <cell r="AX54">
            <v>135100</v>
          </cell>
          <cell r="AY54">
            <v>28615</v>
          </cell>
          <cell r="AZ54">
            <v>15769.545</v>
          </cell>
          <cell r="BA54">
            <v>55.109365717281143</v>
          </cell>
          <cell r="BF54">
            <v>23400</v>
          </cell>
          <cell r="BG54">
            <v>4937</v>
          </cell>
          <cell r="BH54">
            <v>2821.8389999999999</v>
          </cell>
          <cell r="BL54">
            <v>22000</v>
          </cell>
          <cell r="BM54">
            <v>4668</v>
          </cell>
          <cell r="BN54">
            <v>2713.3270000000002</v>
          </cell>
          <cell r="BR54">
            <v>21900</v>
          </cell>
          <cell r="BS54">
            <v>4672</v>
          </cell>
          <cell r="BT54">
            <v>2745.663</v>
          </cell>
          <cell r="BX54">
            <v>22500</v>
          </cell>
          <cell r="BY54">
            <v>4813</v>
          </cell>
          <cell r="BZ54">
            <v>2868.5569999999998</v>
          </cell>
          <cell r="CD54">
            <v>21400</v>
          </cell>
          <cell r="CE54">
            <v>4620</v>
          </cell>
          <cell r="CF54">
            <v>2757.3009999999999</v>
          </cell>
          <cell r="CJ54">
            <v>20300</v>
          </cell>
          <cell r="CK54">
            <v>4373</v>
          </cell>
          <cell r="CL54">
            <v>2640.944</v>
          </cell>
          <cell r="CP54">
            <v>131500</v>
          </cell>
          <cell r="CQ54">
            <v>28083</v>
          </cell>
          <cell r="CR54">
            <v>16547.631000000001</v>
          </cell>
          <cell r="CS54">
            <v>58.924014528362356</v>
          </cell>
          <cell r="CX54">
            <v>62500</v>
          </cell>
          <cell r="CY54">
            <v>13256</v>
          </cell>
          <cell r="CZ54">
            <v>7164.9570000000003</v>
          </cell>
          <cell r="DA54">
            <v>54.050671394085704</v>
          </cell>
          <cell r="DF54">
            <v>72600</v>
          </cell>
          <cell r="DG54">
            <v>15359</v>
          </cell>
          <cell r="DH54">
            <v>8604.5879999999997</v>
          </cell>
          <cell r="DI54">
            <v>56.023100462269682</v>
          </cell>
          <cell r="DN54">
            <v>67300</v>
          </cell>
          <cell r="DO54">
            <v>14277</v>
          </cell>
          <cell r="DP54">
            <v>8280.8289999999997</v>
          </cell>
          <cell r="DQ54">
            <v>58.001183722070458</v>
          </cell>
          <cell r="DV54">
            <v>64200</v>
          </cell>
          <cell r="DW54">
            <v>13806</v>
          </cell>
          <cell r="DX54">
            <v>8266.8020000000015</v>
          </cell>
          <cell r="DY54">
            <v>59.878328263074032</v>
          </cell>
        </row>
        <row r="55">
          <cell r="F55">
            <v>11150</v>
          </cell>
          <cell r="G55">
            <v>3373</v>
          </cell>
          <cell r="H55">
            <v>410.74600000000009</v>
          </cell>
          <cell r="I55">
            <v>12.177468129261786</v>
          </cell>
          <cell r="N55">
            <v>550</v>
          </cell>
          <cell r="O55">
            <v>168</v>
          </cell>
          <cell r="P55">
            <v>-1.907</v>
          </cell>
          <cell r="T55">
            <v>950</v>
          </cell>
          <cell r="U55">
            <v>289</v>
          </cell>
          <cell r="V55">
            <v>24.786000000000001</v>
          </cell>
          <cell r="Z55">
            <v>1000</v>
          </cell>
          <cell r="AA55">
            <v>305</v>
          </cell>
          <cell r="AB55">
            <v>30.436</v>
          </cell>
          <cell r="AF55">
            <v>1000</v>
          </cell>
          <cell r="AG55">
            <v>305</v>
          </cell>
          <cell r="AH55">
            <v>26.259</v>
          </cell>
          <cell r="AL55">
            <v>1100</v>
          </cell>
          <cell r="AM55">
            <v>335</v>
          </cell>
          <cell r="AN55">
            <v>36.853999999999999</v>
          </cell>
          <cell r="AR55">
            <v>950</v>
          </cell>
          <cell r="AS55">
            <v>259</v>
          </cell>
          <cell r="AT55">
            <v>-3.129</v>
          </cell>
          <cell r="AX55">
            <v>5550</v>
          </cell>
          <cell r="AY55">
            <v>1661</v>
          </cell>
          <cell r="AZ55">
            <v>113.29900000000001</v>
          </cell>
          <cell r="BA55">
            <v>6.8211318482841659</v>
          </cell>
          <cell r="BF55">
            <v>950</v>
          </cell>
          <cell r="BG55">
            <v>291</v>
          </cell>
          <cell r="BH55">
            <v>51.374000000000002</v>
          </cell>
          <cell r="BL55">
            <v>900</v>
          </cell>
          <cell r="BM55">
            <v>276</v>
          </cell>
          <cell r="BN55">
            <v>51.259</v>
          </cell>
          <cell r="BR55">
            <v>1000</v>
          </cell>
          <cell r="BS55">
            <v>305</v>
          </cell>
          <cell r="BT55">
            <v>54.831000000000003</v>
          </cell>
          <cell r="BX55">
            <v>1000</v>
          </cell>
          <cell r="BY55">
            <v>305</v>
          </cell>
          <cell r="BZ55">
            <v>68.59</v>
          </cell>
          <cell r="CD55">
            <v>900</v>
          </cell>
          <cell r="CE55">
            <v>275</v>
          </cell>
          <cell r="CF55">
            <v>48.377000000000002</v>
          </cell>
          <cell r="CJ55">
            <v>850</v>
          </cell>
          <cell r="CK55">
            <v>260</v>
          </cell>
          <cell r="CL55">
            <v>23.015999999999998</v>
          </cell>
          <cell r="CP55">
            <v>5600</v>
          </cell>
          <cell r="CQ55">
            <v>1712</v>
          </cell>
          <cell r="CR55">
            <v>297.44700000000006</v>
          </cell>
          <cell r="CS55">
            <v>17.374240654205611</v>
          </cell>
          <cell r="CX55">
            <v>2500</v>
          </cell>
          <cell r="CY55">
            <v>762</v>
          </cell>
          <cell r="CZ55">
            <v>53.314999999999998</v>
          </cell>
          <cell r="DA55">
            <v>6.9967191601049858</v>
          </cell>
          <cell r="DF55">
            <v>3050</v>
          </cell>
          <cell r="DG55">
            <v>899</v>
          </cell>
          <cell r="DH55">
            <v>59.984000000000002</v>
          </cell>
          <cell r="DI55">
            <v>6.6723025583982203</v>
          </cell>
          <cell r="DN55">
            <v>2850</v>
          </cell>
          <cell r="DO55">
            <v>872</v>
          </cell>
          <cell r="DP55">
            <v>157.464</v>
          </cell>
          <cell r="DQ55">
            <v>18.057798165137616</v>
          </cell>
          <cell r="DV55">
            <v>2750</v>
          </cell>
          <cell r="DW55">
            <v>840</v>
          </cell>
          <cell r="DX55">
            <v>139.983</v>
          </cell>
          <cell r="DY55">
            <v>16.664642857142859</v>
          </cell>
        </row>
        <row r="56">
          <cell r="F56">
            <v>400</v>
          </cell>
          <cell r="G56">
            <v>132</v>
          </cell>
          <cell r="H56">
            <v>-14.181999999999999</v>
          </cell>
          <cell r="I56">
            <v>-10.743939393939392</v>
          </cell>
          <cell r="N56">
            <v>60</v>
          </cell>
          <cell r="O56">
            <v>20</v>
          </cell>
          <cell r="P56">
            <v>-1.927</v>
          </cell>
          <cell r="T56">
            <v>60</v>
          </cell>
          <cell r="U56">
            <v>20</v>
          </cell>
          <cell r="V56">
            <v>-1.927</v>
          </cell>
          <cell r="Z56">
            <v>70</v>
          </cell>
          <cell r="AA56">
            <v>23</v>
          </cell>
          <cell r="AB56">
            <v>-2.5819999999999999</v>
          </cell>
          <cell r="AF56">
            <v>70</v>
          </cell>
          <cell r="AG56">
            <v>23</v>
          </cell>
          <cell r="AH56">
            <v>-2.5819999999999999</v>
          </cell>
          <cell r="AL56">
            <v>70</v>
          </cell>
          <cell r="AM56">
            <v>23</v>
          </cell>
          <cell r="AN56">
            <v>-2.5819999999999999</v>
          </cell>
          <cell r="AR56">
            <v>70</v>
          </cell>
          <cell r="AS56">
            <v>23</v>
          </cell>
          <cell r="AT56">
            <v>-2.5819999999999999</v>
          </cell>
          <cell r="AX56">
            <v>400</v>
          </cell>
          <cell r="AY56">
            <v>132</v>
          </cell>
          <cell r="AZ56">
            <v>-14.181999999999999</v>
          </cell>
          <cell r="BA56">
            <v>-10.743939393939392</v>
          </cell>
          <cell r="BF56">
            <v>0</v>
          </cell>
          <cell r="BG56">
            <v>0</v>
          </cell>
          <cell r="BH56">
            <v>0</v>
          </cell>
          <cell r="BL56">
            <v>0</v>
          </cell>
          <cell r="BM56">
            <v>0</v>
          </cell>
          <cell r="BN56">
            <v>0</v>
          </cell>
          <cell r="BR56">
            <v>0</v>
          </cell>
          <cell r="BS56">
            <v>0</v>
          </cell>
          <cell r="BT56">
            <v>0</v>
          </cell>
          <cell r="BX56">
            <v>0</v>
          </cell>
          <cell r="BY56">
            <v>0</v>
          </cell>
          <cell r="BZ56">
            <v>0</v>
          </cell>
          <cell r="CD56">
            <v>0</v>
          </cell>
          <cell r="CE56">
            <v>0</v>
          </cell>
          <cell r="CF56">
            <v>0</v>
          </cell>
          <cell r="CJ56">
            <v>0</v>
          </cell>
          <cell r="CK56">
            <v>0</v>
          </cell>
          <cell r="CL56">
            <v>0</v>
          </cell>
          <cell r="CP56">
            <v>0</v>
          </cell>
          <cell r="CQ56">
            <v>0</v>
          </cell>
          <cell r="CR56">
            <v>0</v>
          </cell>
          <cell r="CS56">
            <v>0</v>
          </cell>
          <cell r="CX56">
            <v>190</v>
          </cell>
          <cell r="CY56">
            <v>63</v>
          </cell>
          <cell r="CZ56">
            <v>-6.4359999999999999</v>
          </cell>
          <cell r="DA56">
            <v>-10.215873015873015</v>
          </cell>
          <cell r="DF56">
            <v>210</v>
          </cell>
          <cell r="DG56">
            <v>69</v>
          </cell>
          <cell r="DH56">
            <v>-7.7459999999999996</v>
          </cell>
          <cell r="DI56">
            <v>-11.226086956521739</v>
          </cell>
          <cell r="DN56">
            <v>0</v>
          </cell>
          <cell r="DO56">
            <v>0</v>
          </cell>
          <cell r="DP56">
            <v>0</v>
          </cell>
          <cell r="DQ56">
            <v>0</v>
          </cell>
          <cell r="DV56">
            <v>0</v>
          </cell>
          <cell r="DW56">
            <v>0</v>
          </cell>
          <cell r="DX56">
            <v>0</v>
          </cell>
          <cell r="DY56">
            <v>0</v>
          </cell>
        </row>
        <row r="57">
          <cell r="F57">
            <v>0</v>
          </cell>
          <cell r="G57">
            <v>0</v>
          </cell>
          <cell r="H57">
            <v>0</v>
          </cell>
          <cell r="I57">
            <v>0</v>
          </cell>
          <cell r="AX57">
            <v>0</v>
          </cell>
          <cell r="AY57">
            <v>0</v>
          </cell>
          <cell r="AZ57">
            <v>0</v>
          </cell>
          <cell r="BA57">
            <v>0</v>
          </cell>
          <cell r="CP57">
            <v>0</v>
          </cell>
          <cell r="CQ57">
            <v>0</v>
          </cell>
          <cell r="CR57">
            <v>0</v>
          </cell>
          <cell r="CS57">
            <v>0</v>
          </cell>
          <cell r="CX57">
            <v>0</v>
          </cell>
          <cell r="CY57">
            <v>0</v>
          </cell>
          <cell r="CZ57">
            <v>0</v>
          </cell>
          <cell r="DA57">
            <v>0</v>
          </cell>
          <cell r="DF57">
            <v>0</v>
          </cell>
          <cell r="DG57">
            <v>0</v>
          </cell>
          <cell r="DH57">
            <v>0</v>
          </cell>
          <cell r="DI57">
            <v>0</v>
          </cell>
          <cell r="DN57">
            <v>0</v>
          </cell>
          <cell r="DO57">
            <v>0</v>
          </cell>
          <cell r="DP57">
            <v>0</v>
          </cell>
          <cell r="DQ57">
            <v>0</v>
          </cell>
          <cell r="DV57">
            <v>0</v>
          </cell>
          <cell r="DW57">
            <v>0</v>
          </cell>
          <cell r="DX57">
            <v>0</v>
          </cell>
          <cell r="DY57">
            <v>0</v>
          </cell>
        </row>
        <row r="58">
          <cell r="F58">
            <v>0</v>
          </cell>
          <cell r="G58">
            <v>0</v>
          </cell>
          <cell r="H58">
            <v>0</v>
          </cell>
          <cell r="I58">
            <v>0</v>
          </cell>
          <cell r="AX58">
            <v>0</v>
          </cell>
          <cell r="AY58">
            <v>0</v>
          </cell>
          <cell r="AZ58">
            <v>0</v>
          </cell>
          <cell r="BA58">
            <v>0</v>
          </cell>
          <cell r="CP58">
            <v>0</v>
          </cell>
          <cell r="CQ58">
            <v>0</v>
          </cell>
          <cell r="CR58">
            <v>0</v>
          </cell>
          <cell r="CS58">
            <v>0</v>
          </cell>
          <cell r="CX58">
            <v>0</v>
          </cell>
          <cell r="CY58">
            <v>0</v>
          </cell>
          <cell r="CZ58">
            <v>0</v>
          </cell>
          <cell r="DA58">
            <v>0</v>
          </cell>
          <cell r="DF58">
            <v>0</v>
          </cell>
          <cell r="DG58">
            <v>0</v>
          </cell>
          <cell r="DH58">
            <v>0</v>
          </cell>
          <cell r="DI58">
            <v>0</v>
          </cell>
          <cell r="DN58">
            <v>0</v>
          </cell>
          <cell r="DO58">
            <v>0</v>
          </cell>
          <cell r="DP58">
            <v>0</v>
          </cell>
          <cell r="DQ58">
            <v>0</v>
          </cell>
          <cell r="DV58">
            <v>0</v>
          </cell>
          <cell r="DW58">
            <v>0</v>
          </cell>
          <cell r="DX58">
            <v>0</v>
          </cell>
          <cell r="DY58">
            <v>0</v>
          </cell>
        </row>
        <row r="59">
          <cell r="F59">
            <v>3000</v>
          </cell>
          <cell r="G59">
            <v>1524</v>
          </cell>
          <cell r="H59">
            <v>211.54399999999998</v>
          </cell>
          <cell r="I59">
            <v>13.880839895013123</v>
          </cell>
          <cell r="N59">
            <v>200</v>
          </cell>
          <cell r="O59">
            <v>102</v>
          </cell>
          <cell r="P59">
            <v>13.061999999999999</v>
          </cell>
          <cell r="T59">
            <v>250</v>
          </cell>
          <cell r="U59">
            <v>127</v>
          </cell>
          <cell r="V59">
            <v>16.305</v>
          </cell>
          <cell r="Z59">
            <v>300</v>
          </cell>
          <cell r="AA59">
            <v>152</v>
          </cell>
          <cell r="AB59">
            <v>19.381</v>
          </cell>
          <cell r="AF59">
            <v>250</v>
          </cell>
          <cell r="AG59">
            <v>127</v>
          </cell>
          <cell r="AH59">
            <v>16.167000000000002</v>
          </cell>
          <cell r="AL59">
            <v>300</v>
          </cell>
          <cell r="AM59">
            <v>152</v>
          </cell>
          <cell r="AN59">
            <v>19.367000000000001</v>
          </cell>
          <cell r="AR59">
            <v>250</v>
          </cell>
          <cell r="AS59">
            <v>127</v>
          </cell>
          <cell r="AT59">
            <v>16.579000000000001</v>
          </cell>
          <cell r="AX59">
            <v>1550</v>
          </cell>
          <cell r="AY59">
            <v>787</v>
          </cell>
          <cell r="AZ59">
            <v>100.861</v>
          </cell>
          <cell r="BA59">
            <v>12.815883100381194</v>
          </cell>
          <cell r="BF59">
            <v>250</v>
          </cell>
          <cell r="BG59">
            <v>127</v>
          </cell>
          <cell r="BH59">
            <v>18.338999999999999</v>
          </cell>
          <cell r="BL59">
            <v>250</v>
          </cell>
          <cell r="BM59">
            <v>127</v>
          </cell>
          <cell r="BN59">
            <v>19.155000000000001</v>
          </cell>
          <cell r="BR59">
            <v>250</v>
          </cell>
          <cell r="BS59">
            <v>127</v>
          </cell>
          <cell r="BT59">
            <v>19.155000000000001</v>
          </cell>
          <cell r="BX59">
            <v>300</v>
          </cell>
          <cell r="BY59">
            <v>152</v>
          </cell>
          <cell r="BZ59">
            <v>22.585999999999999</v>
          </cell>
          <cell r="CD59">
            <v>200</v>
          </cell>
          <cell r="CE59">
            <v>102</v>
          </cell>
          <cell r="CF59">
            <v>15.724</v>
          </cell>
          <cell r="CJ59">
            <v>200</v>
          </cell>
          <cell r="CK59">
            <v>102</v>
          </cell>
          <cell r="CL59">
            <v>15.724</v>
          </cell>
          <cell r="CP59">
            <v>1450</v>
          </cell>
          <cell r="CQ59">
            <v>737</v>
          </cell>
          <cell r="CR59">
            <v>110.68299999999999</v>
          </cell>
          <cell r="CS59">
            <v>15.018046132971504</v>
          </cell>
          <cell r="CX59">
            <v>750</v>
          </cell>
          <cell r="CY59">
            <v>381</v>
          </cell>
          <cell r="CZ59">
            <v>48.747999999999998</v>
          </cell>
          <cell r="DA59">
            <v>12.794750656167977</v>
          </cell>
          <cell r="DF59">
            <v>800</v>
          </cell>
          <cell r="DG59">
            <v>406</v>
          </cell>
          <cell r="DH59">
            <v>52.113000000000007</v>
          </cell>
          <cell r="DI59">
            <v>12.835714285714287</v>
          </cell>
          <cell r="DN59">
            <v>750</v>
          </cell>
          <cell r="DO59">
            <v>381</v>
          </cell>
          <cell r="DP59">
            <v>56.649000000000001</v>
          </cell>
          <cell r="DQ59">
            <v>14.868503937007874</v>
          </cell>
          <cell r="DV59">
            <v>700</v>
          </cell>
          <cell r="DW59">
            <v>356</v>
          </cell>
          <cell r="DX59">
            <v>54.034000000000006</v>
          </cell>
          <cell r="DY59">
            <v>15.17808988764045</v>
          </cell>
        </row>
        <row r="60">
          <cell r="F60">
            <v>14550</v>
          </cell>
          <cell r="G60">
            <v>5029</v>
          </cell>
          <cell r="H60">
            <v>608.10800000000006</v>
          </cell>
          <cell r="I60">
            <v>12.092026247762975</v>
          </cell>
          <cell r="N60">
            <v>810</v>
          </cell>
          <cell r="O60">
            <v>290</v>
          </cell>
          <cell r="P60">
            <v>9.2279999999999998</v>
          </cell>
          <cell r="T60">
            <v>1260</v>
          </cell>
          <cell r="U60">
            <v>436</v>
          </cell>
          <cell r="V60">
            <v>39.164000000000001</v>
          </cell>
          <cell r="Z60">
            <v>1370</v>
          </cell>
          <cell r="AA60">
            <v>480</v>
          </cell>
          <cell r="AB60">
            <v>47.234999999999999</v>
          </cell>
          <cell r="AF60">
            <v>1320</v>
          </cell>
          <cell r="AG60">
            <v>455</v>
          </cell>
          <cell r="AH60">
            <v>39.844000000000001</v>
          </cell>
          <cell r="AL60">
            <v>1470</v>
          </cell>
          <cell r="AM60">
            <v>510</v>
          </cell>
          <cell r="AN60">
            <v>53.638999999999996</v>
          </cell>
          <cell r="AR60">
            <v>1270</v>
          </cell>
          <cell r="AS60">
            <v>409</v>
          </cell>
          <cell r="AT60">
            <v>10.868</v>
          </cell>
          <cell r="AX60">
            <v>7500</v>
          </cell>
          <cell r="AY60">
            <v>2580</v>
          </cell>
          <cell r="AZ60">
            <v>199.97800000000001</v>
          </cell>
          <cell r="BA60">
            <v>7.7510852713178302</v>
          </cell>
          <cell r="BF60">
            <v>1200</v>
          </cell>
          <cell r="BG60">
            <v>418</v>
          </cell>
          <cell r="BH60">
            <v>69.712999999999994</v>
          </cell>
          <cell r="BL60">
            <v>1150</v>
          </cell>
          <cell r="BM60">
            <v>403</v>
          </cell>
          <cell r="BN60">
            <v>70.414000000000001</v>
          </cell>
          <cell r="BR60">
            <v>1250</v>
          </cell>
          <cell r="BS60">
            <v>432</v>
          </cell>
          <cell r="BT60">
            <v>73.986000000000004</v>
          </cell>
          <cell r="BX60">
            <v>1300</v>
          </cell>
          <cell r="BY60">
            <v>457</v>
          </cell>
          <cell r="BZ60">
            <v>91.176000000000002</v>
          </cell>
          <cell r="CD60">
            <v>1100</v>
          </cell>
          <cell r="CE60">
            <v>377</v>
          </cell>
          <cell r="CF60">
            <v>64.100999999999999</v>
          </cell>
          <cell r="CJ60">
            <v>1050</v>
          </cell>
          <cell r="CK60">
            <v>362</v>
          </cell>
          <cell r="CL60">
            <v>38.739999999999995</v>
          </cell>
          <cell r="CP60">
            <v>7050</v>
          </cell>
          <cell r="CQ60">
            <v>2449</v>
          </cell>
          <cell r="CR60">
            <v>408.13000000000005</v>
          </cell>
          <cell r="CS60">
            <v>16.665169456921195</v>
          </cell>
          <cell r="CX60">
            <v>3440</v>
          </cell>
          <cell r="CY60">
            <v>1206</v>
          </cell>
          <cell r="CZ60">
            <v>95.626999999999995</v>
          </cell>
          <cell r="DA60">
            <v>7.9292703150912107</v>
          </cell>
          <cell r="DF60">
            <v>4060</v>
          </cell>
          <cell r="DG60">
            <v>1374</v>
          </cell>
          <cell r="DH60">
            <v>104.351</v>
          </cell>
          <cell r="DI60">
            <v>7.5946870451237274</v>
          </cell>
          <cell r="DN60">
            <v>3600</v>
          </cell>
          <cell r="DO60">
            <v>1253</v>
          </cell>
          <cell r="DP60">
            <v>214.113</v>
          </cell>
          <cell r="DQ60">
            <v>17.08802873104549</v>
          </cell>
          <cell r="DV60">
            <v>3450</v>
          </cell>
          <cell r="DW60">
            <v>1196</v>
          </cell>
          <cell r="DX60">
            <v>194.017</v>
          </cell>
          <cell r="DY60">
            <v>16.22215719063545</v>
          </cell>
        </row>
        <row r="61">
          <cell r="F61">
            <v>0</v>
          </cell>
          <cell r="G61">
            <v>0</v>
          </cell>
          <cell r="H61">
            <v>0</v>
          </cell>
          <cell r="I61">
            <v>0</v>
          </cell>
          <cell r="AX61">
            <v>0</v>
          </cell>
          <cell r="AY61">
            <v>0</v>
          </cell>
          <cell r="AZ61">
            <v>0</v>
          </cell>
          <cell r="BA61">
            <v>0</v>
          </cell>
          <cell r="CP61">
            <v>0</v>
          </cell>
          <cell r="CQ61">
            <v>0</v>
          </cell>
          <cell r="CR61">
            <v>0</v>
          </cell>
          <cell r="CS61">
            <v>0</v>
          </cell>
          <cell r="CX61">
            <v>0</v>
          </cell>
          <cell r="CY61">
            <v>0</v>
          </cell>
          <cell r="CZ61">
            <v>0</v>
          </cell>
          <cell r="DA61">
            <v>0</v>
          </cell>
          <cell r="DF61">
            <v>0</v>
          </cell>
          <cell r="DG61">
            <v>0</v>
          </cell>
          <cell r="DH61">
            <v>0</v>
          </cell>
          <cell r="DI61">
            <v>0</v>
          </cell>
          <cell r="DN61">
            <v>0</v>
          </cell>
          <cell r="DO61">
            <v>0</v>
          </cell>
          <cell r="DP61">
            <v>0</v>
          </cell>
          <cell r="DQ61">
            <v>0</v>
          </cell>
          <cell r="DV61">
            <v>0</v>
          </cell>
          <cell r="DW61">
            <v>0</v>
          </cell>
          <cell r="DX61">
            <v>0</v>
          </cell>
          <cell r="DY61">
            <v>0</v>
          </cell>
        </row>
        <row r="62">
          <cell r="F62">
            <v>0</v>
          </cell>
          <cell r="G62">
            <v>0</v>
          </cell>
          <cell r="H62">
            <v>0</v>
          </cell>
          <cell r="I62">
            <v>0</v>
          </cell>
          <cell r="AX62">
            <v>0</v>
          </cell>
          <cell r="AY62">
            <v>0</v>
          </cell>
          <cell r="AZ62">
            <v>0</v>
          </cell>
          <cell r="BA62">
            <v>0</v>
          </cell>
          <cell r="CP62">
            <v>0</v>
          </cell>
          <cell r="CQ62">
            <v>0</v>
          </cell>
          <cell r="CR62">
            <v>0</v>
          </cell>
          <cell r="CS62">
            <v>0</v>
          </cell>
          <cell r="CX62">
            <v>0</v>
          </cell>
          <cell r="CY62">
            <v>0</v>
          </cell>
          <cell r="CZ62">
            <v>0</v>
          </cell>
          <cell r="DA62">
            <v>0</v>
          </cell>
          <cell r="DF62">
            <v>0</v>
          </cell>
          <cell r="DG62">
            <v>0</v>
          </cell>
          <cell r="DH62">
            <v>0</v>
          </cell>
          <cell r="DI62">
            <v>0</v>
          </cell>
          <cell r="DN62">
            <v>0</v>
          </cell>
          <cell r="DO62">
            <v>0</v>
          </cell>
          <cell r="DP62">
            <v>0</v>
          </cell>
          <cell r="DQ62">
            <v>0</v>
          </cell>
          <cell r="DV62">
            <v>0</v>
          </cell>
          <cell r="DW62">
            <v>0</v>
          </cell>
          <cell r="DX62">
            <v>0</v>
          </cell>
          <cell r="DY62">
            <v>0</v>
          </cell>
        </row>
        <row r="63">
          <cell r="F63">
            <v>0</v>
          </cell>
          <cell r="G63">
            <v>0</v>
          </cell>
          <cell r="H63">
            <v>0</v>
          </cell>
          <cell r="I63">
            <v>0</v>
          </cell>
          <cell r="N63">
            <v>0</v>
          </cell>
          <cell r="O63">
            <v>0</v>
          </cell>
          <cell r="P63">
            <v>0</v>
          </cell>
          <cell r="T63">
            <v>0</v>
          </cell>
          <cell r="U63">
            <v>0</v>
          </cell>
          <cell r="V63">
            <v>0</v>
          </cell>
          <cell r="Z63">
            <v>0</v>
          </cell>
          <cell r="AA63">
            <v>0</v>
          </cell>
          <cell r="AB63">
            <v>0</v>
          </cell>
          <cell r="AF63">
            <v>0</v>
          </cell>
          <cell r="AG63">
            <v>0</v>
          </cell>
          <cell r="AH63">
            <v>0</v>
          </cell>
          <cell r="AL63">
            <v>0</v>
          </cell>
          <cell r="AM63">
            <v>0</v>
          </cell>
          <cell r="AN63">
            <v>0</v>
          </cell>
          <cell r="AR63">
            <v>0</v>
          </cell>
          <cell r="AS63">
            <v>0</v>
          </cell>
          <cell r="AT63">
            <v>0</v>
          </cell>
          <cell r="AX63">
            <v>0</v>
          </cell>
          <cell r="AY63">
            <v>0</v>
          </cell>
          <cell r="AZ63">
            <v>0</v>
          </cell>
          <cell r="BA63">
            <v>0</v>
          </cell>
          <cell r="BF63">
            <v>0</v>
          </cell>
          <cell r="BG63">
            <v>0</v>
          </cell>
          <cell r="BH63">
            <v>0</v>
          </cell>
          <cell r="BL63">
            <v>0</v>
          </cell>
          <cell r="BM63">
            <v>0</v>
          </cell>
          <cell r="BN63">
            <v>0</v>
          </cell>
          <cell r="BR63">
            <v>0</v>
          </cell>
          <cell r="BS63">
            <v>0</v>
          </cell>
          <cell r="BT63">
            <v>0</v>
          </cell>
          <cell r="BX63">
            <v>0</v>
          </cell>
          <cell r="BY63">
            <v>0</v>
          </cell>
          <cell r="BZ63">
            <v>0</v>
          </cell>
          <cell r="CD63">
            <v>0</v>
          </cell>
          <cell r="CE63">
            <v>0</v>
          </cell>
          <cell r="CF63">
            <v>0</v>
          </cell>
          <cell r="CJ63">
            <v>0</v>
          </cell>
          <cell r="CK63">
            <v>0</v>
          </cell>
          <cell r="CL63">
            <v>0</v>
          </cell>
          <cell r="CP63">
            <v>0</v>
          </cell>
          <cell r="CQ63">
            <v>0</v>
          </cell>
          <cell r="CR63">
            <v>0</v>
          </cell>
          <cell r="CS63">
            <v>0</v>
          </cell>
          <cell r="CX63">
            <v>0</v>
          </cell>
          <cell r="CY63">
            <v>0</v>
          </cell>
          <cell r="CZ63">
            <v>0</v>
          </cell>
          <cell r="DA63">
            <v>0</v>
          </cell>
          <cell r="DF63">
            <v>0</v>
          </cell>
          <cell r="DG63">
            <v>0</v>
          </cell>
          <cell r="DH63">
            <v>0</v>
          </cell>
          <cell r="DI63">
            <v>0</v>
          </cell>
          <cell r="DN63">
            <v>0</v>
          </cell>
          <cell r="DO63">
            <v>0</v>
          </cell>
          <cell r="DP63">
            <v>0</v>
          </cell>
          <cell r="DQ63">
            <v>0</v>
          </cell>
          <cell r="DV63">
            <v>0</v>
          </cell>
          <cell r="DW63">
            <v>0</v>
          </cell>
          <cell r="DX63">
            <v>0</v>
          </cell>
          <cell r="DY63">
            <v>0</v>
          </cell>
        </row>
        <row r="64">
          <cell r="F64">
            <v>0</v>
          </cell>
          <cell r="G64">
            <v>0</v>
          </cell>
          <cell r="H64">
            <v>0</v>
          </cell>
          <cell r="I64">
            <v>0</v>
          </cell>
          <cell r="AX64">
            <v>0</v>
          </cell>
          <cell r="AY64">
            <v>0</v>
          </cell>
          <cell r="AZ64">
            <v>0</v>
          </cell>
          <cell r="BA64">
            <v>0</v>
          </cell>
          <cell r="CP64">
            <v>0</v>
          </cell>
          <cell r="CQ64">
            <v>0</v>
          </cell>
          <cell r="CR64">
            <v>0</v>
          </cell>
          <cell r="CS64">
            <v>0</v>
          </cell>
          <cell r="CX64">
            <v>0</v>
          </cell>
          <cell r="CY64">
            <v>0</v>
          </cell>
          <cell r="CZ64">
            <v>0</v>
          </cell>
          <cell r="DA64">
            <v>0</v>
          </cell>
          <cell r="DF64">
            <v>0</v>
          </cell>
          <cell r="DG64">
            <v>0</v>
          </cell>
          <cell r="DH64">
            <v>0</v>
          </cell>
          <cell r="DI64">
            <v>0</v>
          </cell>
          <cell r="DN64">
            <v>0</v>
          </cell>
          <cell r="DO64">
            <v>0</v>
          </cell>
          <cell r="DP64">
            <v>0</v>
          </cell>
          <cell r="DQ64">
            <v>0</v>
          </cell>
          <cell r="DV64">
            <v>0</v>
          </cell>
          <cell r="DW64">
            <v>0</v>
          </cell>
          <cell r="DX64">
            <v>0</v>
          </cell>
          <cell r="DY64">
            <v>0</v>
          </cell>
        </row>
        <row r="65">
          <cell r="F65">
            <v>46400</v>
          </cell>
          <cell r="G65">
            <v>1903</v>
          </cell>
          <cell r="H65">
            <v>741.29499999999985</v>
          </cell>
          <cell r="I65">
            <v>38.954019968470824</v>
          </cell>
          <cell r="N65">
            <v>3500</v>
          </cell>
          <cell r="O65">
            <v>144</v>
          </cell>
          <cell r="P65">
            <v>56.395000000000003</v>
          </cell>
          <cell r="T65">
            <v>4600</v>
          </cell>
          <cell r="U65">
            <v>189</v>
          </cell>
          <cell r="V65">
            <v>73.816000000000003</v>
          </cell>
          <cell r="Z65">
            <v>4100</v>
          </cell>
          <cell r="AA65">
            <v>168</v>
          </cell>
          <cell r="AB65">
            <v>65.376999999999995</v>
          </cell>
          <cell r="AF65">
            <v>4200</v>
          </cell>
          <cell r="AG65">
            <v>172</v>
          </cell>
          <cell r="AH65">
            <v>66.831999999999994</v>
          </cell>
          <cell r="AL65">
            <v>4500</v>
          </cell>
          <cell r="AM65">
            <v>185</v>
          </cell>
          <cell r="AN65">
            <v>72.319999999999993</v>
          </cell>
          <cell r="AR65">
            <v>4000</v>
          </cell>
          <cell r="AS65">
            <v>164</v>
          </cell>
          <cell r="AT65">
            <v>63.84</v>
          </cell>
          <cell r="AX65">
            <v>24900</v>
          </cell>
          <cell r="AY65">
            <v>1022</v>
          </cell>
          <cell r="AZ65">
            <v>398.57999999999993</v>
          </cell>
          <cell r="BA65">
            <v>38.999999999999993</v>
          </cell>
          <cell r="BF65">
            <v>3500</v>
          </cell>
          <cell r="BG65">
            <v>144</v>
          </cell>
          <cell r="BH65">
            <v>56.395000000000003</v>
          </cell>
          <cell r="BL65">
            <v>3300</v>
          </cell>
          <cell r="BM65">
            <v>135</v>
          </cell>
          <cell r="BN65">
            <v>52.368000000000002</v>
          </cell>
          <cell r="BR65">
            <v>4300</v>
          </cell>
          <cell r="BS65">
            <v>176</v>
          </cell>
          <cell r="BT65">
            <v>68.328000000000003</v>
          </cell>
          <cell r="BX65">
            <v>4000</v>
          </cell>
          <cell r="BY65">
            <v>164</v>
          </cell>
          <cell r="BZ65">
            <v>63.88</v>
          </cell>
          <cell r="CD65">
            <v>3300</v>
          </cell>
          <cell r="CE65">
            <v>135</v>
          </cell>
          <cell r="CF65">
            <v>52.368000000000002</v>
          </cell>
          <cell r="CJ65">
            <v>3100</v>
          </cell>
          <cell r="CK65">
            <v>127</v>
          </cell>
          <cell r="CL65">
            <v>49.375999999999998</v>
          </cell>
          <cell r="CP65">
            <v>21500</v>
          </cell>
          <cell r="CQ65">
            <v>881</v>
          </cell>
          <cell r="CR65">
            <v>342.71499999999997</v>
          </cell>
          <cell r="CS65">
            <v>38.900681044267877</v>
          </cell>
          <cell r="CX65">
            <v>12200</v>
          </cell>
          <cell r="CY65">
            <v>501</v>
          </cell>
          <cell r="CZ65">
            <v>195.58800000000002</v>
          </cell>
          <cell r="DA65">
            <v>39.039520958083834</v>
          </cell>
          <cell r="DF65">
            <v>12700</v>
          </cell>
          <cell r="DG65">
            <v>521</v>
          </cell>
          <cell r="DH65">
            <v>202.99199999999999</v>
          </cell>
          <cell r="DI65">
            <v>38.961996161228406</v>
          </cell>
          <cell r="DN65">
            <v>11100</v>
          </cell>
          <cell r="DO65">
            <v>455</v>
          </cell>
          <cell r="DP65">
            <v>177.09100000000001</v>
          </cell>
          <cell r="DQ65">
            <v>38.921098901098908</v>
          </cell>
          <cell r="DV65">
            <v>10400</v>
          </cell>
          <cell r="DW65">
            <v>426</v>
          </cell>
          <cell r="DX65">
            <v>165.624</v>
          </cell>
          <cell r="DY65">
            <v>38.878873239436615</v>
          </cell>
        </row>
        <row r="66">
          <cell r="F66">
            <v>0</v>
          </cell>
          <cell r="G66">
            <v>0</v>
          </cell>
          <cell r="H66">
            <v>0</v>
          </cell>
          <cell r="I66">
            <v>0</v>
          </cell>
          <cell r="AX66">
            <v>0</v>
          </cell>
          <cell r="AY66">
            <v>0</v>
          </cell>
          <cell r="AZ66">
            <v>0</v>
          </cell>
          <cell r="BA66">
            <v>0</v>
          </cell>
          <cell r="CP66">
            <v>0</v>
          </cell>
          <cell r="CQ66">
            <v>0</v>
          </cell>
          <cell r="CR66">
            <v>0</v>
          </cell>
          <cell r="CS66">
            <v>0</v>
          </cell>
          <cell r="CX66">
            <v>0</v>
          </cell>
          <cell r="CY66">
            <v>0</v>
          </cell>
          <cell r="CZ66">
            <v>0</v>
          </cell>
          <cell r="DA66">
            <v>0</v>
          </cell>
          <cell r="DF66">
            <v>0</v>
          </cell>
          <cell r="DG66">
            <v>0</v>
          </cell>
          <cell r="DH66">
            <v>0</v>
          </cell>
          <cell r="DI66">
            <v>0</v>
          </cell>
          <cell r="DN66">
            <v>0</v>
          </cell>
          <cell r="DO66">
            <v>0</v>
          </cell>
          <cell r="DP66">
            <v>0</v>
          </cell>
          <cell r="DQ66">
            <v>0</v>
          </cell>
          <cell r="DV66">
            <v>0</v>
          </cell>
          <cell r="DW66">
            <v>0</v>
          </cell>
          <cell r="DX66">
            <v>0</v>
          </cell>
          <cell r="DY66">
            <v>0</v>
          </cell>
        </row>
        <row r="67">
          <cell r="F67">
            <v>25200</v>
          </cell>
          <cell r="G67">
            <v>1702</v>
          </cell>
          <cell r="H67">
            <v>893.18200000000002</v>
          </cell>
          <cell r="I67">
            <v>52.478378378378373</v>
          </cell>
          <cell r="N67">
            <v>1900</v>
          </cell>
          <cell r="O67">
            <v>128</v>
          </cell>
          <cell r="P67">
            <v>68.073999999999998</v>
          </cell>
          <cell r="T67">
            <v>2500</v>
          </cell>
          <cell r="U67">
            <v>169</v>
          </cell>
          <cell r="V67">
            <v>89.55</v>
          </cell>
          <cell r="Z67">
            <v>2300</v>
          </cell>
          <cell r="AA67">
            <v>155</v>
          </cell>
          <cell r="AB67">
            <v>81.537999999999997</v>
          </cell>
          <cell r="AF67">
            <v>2400</v>
          </cell>
          <cell r="AG67">
            <v>162</v>
          </cell>
          <cell r="AH67">
            <v>85.055999999999997</v>
          </cell>
          <cell r="AL67">
            <v>2500</v>
          </cell>
          <cell r="AM67">
            <v>169</v>
          </cell>
          <cell r="AN67">
            <v>88.65</v>
          </cell>
          <cell r="AR67">
            <v>2300</v>
          </cell>
          <cell r="AS67">
            <v>155</v>
          </cell>
          <cell r="AT67">
            <v>80.962999999999994</v>
          </cell>
          <cell r="AX67">
            <v>13900</v>
          </cell>
          <cell r="AY67">
            <v>938</v>
          </cell>
          <cell r="AZ67">
            <v>493.83100000000002</v>
          </cell>
          <cell r="BA67">
            <v>52.647228144989342</v>
          </cell>
          <cell r="BF67">
            <v>1900</v>
          </cell>
          <cell r="BG67">
            <v>128</v>
          </cell>
          <cell r="BH67">
            <v>66.763000000000005</v>
          </cell>
          <cell r="BL67">
            <v>1800</v>
          </cell>
          <cell r="BM67">
            <v>122</v>
          </cell>
          <cell r="BN67">
            <v>63.95</v>
          </cell>
          <cell r="BR67">
            <v>2000</v>
          </cell>
          <cell r="BS67">
            <v>135</v>
          </cell>
          <cell r="BT67">
            <v>70.459999999999994</v>
          </cell>
          <cell r="BX67">
            <v>2000</v>
          </cell>
          <cell r="BY67">
            <v>135</v>
          </cell>
          <cell r="BZ67">
            <v>70.44</v>
          </cell>
          <cell r="CD67">
            <v>1800</v>
          </cell>
          <cell r="CE67">
            <v>122</v>
          </cell>
          <cell r="CF67">
            <v>63.878</v>
          </cell>
          <cell r="CJ67">
            <v>1800</v>
          </cell>
          <cell r="CK67">
            <v>122</v>
          </cell>
          <cell r="CL67">
            <v>63.86</v>
          </cell>
          <cell r="CP67">
            <v>11300</v>
          </cell>
          <cell r="CQ67">
            <v>764</v>
          </cell>
          <cell r="CR67">
            <v>399.351</v>
          </cell>
          <cell r="CS67">
            <v>52.271073298429314</v>
          </cell>
          <cell r="CX67">
            <v>6700</v>
          </cell>
          <cell r="CY67">
            <v>452</v>
          </cell>
          <cell r="CZ67">
            <v>239.16199999999998</v>
          </cell>
          <cell r="DA67">
            <v>52.911946902654861</v>
          </cell>
          <cell r="DF67">
            <v>7200</v>
          </cell>
          <cell r="DG67">
            <v>486</v>
          </cell>
          <cell r="DH67">
            <v>254.66900000000001</v>
          </cell>
          <cell r="DI67">
            <v>52.401028806584357</v>
          </cell>
          <cell r="DN67">
            <v>5700</v>
          </cell>
          <cell r="DO67">
            <v>385</v>
          </cell>
          <cell r="DP67">
            <v>201.173</v>
          </cell>
          <cell r="DQ67">
            <v>52.25272727272727</v>
          </cell>
          <cell r="DV67">
            <v>5600</v>
          </cell>
          <cell r="DW67">
            <v>379</v>
          </cell>
          <cell r="DX67">
            <v>198.178</v>
          </cell>
          <cell r="DY67">
            <v>52.289709762532979</v>
          </cell>
        </row>
        <row r="68">
          <cell r="F68">
            <v>0</v>
          </cell>
          <cell r="G68">
            <v>0</v>
          </cell>
          <cell r="H68">
            <v>0</v>
          </cell>
          <cell r="I68">
            <v>0</v>
          </cell>
          <cell r="AX68">
            <v>0</v>
          </cell>
          <cell r="AY68">
            <v>0</v>
          </cell>
          <cell r="AZ68">
            <v>0</v>
          </cell>
          <cell r="BA68">
            <v>0</v>
          </cell>
          <cell r="CP68">
            <v>0</v>
          </cell>
          <cell r="CQ68">
            <v>0</v>
          </cell>
          <cell r="CR68">
            <v>0</v>
          </cell>
          <cell r="CS68">
            <v>0</v>
          </cell>
          <cell r="CX68">
            <v>0</v>
          </cell>
          <cell r="CY68">
            <v>0</v>
          </cell>
          <cell r="CZ68">
            <v>0</v>
          </cell>
          <cell r="DA68">
            <v>0</v>
          </cell>
          <cell r="DF68">
            <v>0</v>
          </cell>
          <cell r="DG68">
            <v>0</v>
          </cell>
          <cell r="DH68">
            <v>0</v>
          </cell>
          <cell r="DI68">
            <v>0</v>
          </cell>
          <cell r="DN68">
            <v>0</v>
          </cell>
          <cell r="DO68">
            <v>0</v>
          </cell>
          <cell r="DP68">
            <v>0</v>
          </cell>
          <cell r="DQ68">
            <v>0</v>
          </cell>
          <cell r="DV68">
            <v>0</v>
          </cell>
          <cell r="DW68">
            <v>0</v>
          </cell>
          <cell r="DX68">
            <v>0</v>
          </cell>
          <cell r="DY68">
            <v>0</v>
          </cell>
        </row>
        <row r="69">
          <cell r="F69">
            <v>0</v>
          </cell>
          <cell r="G69">
            <v>0</v>
          </cell>
          <cell r="H69">
            <v>0</v>
          </cell>
          <cell r="I69">
            <v>0</v>
          </cell>
          <cell r="AX69">
            <v>0</v>
          </cell>
          <cell r="AY69">
            <v>0</v>
          </cell>
          <cell r="AZ69">
            <v>0</v>
          </cell>
          <cell r="BA69">
            <v>0</v>
          </cell>
          <cell r="CP69">
            <v>0</v>
          </cell>
          <cell r="CQ69">
            <v>0</v>
          </cell>
          <cell r="CR69">
            <v>0</v>
          </cell>
          <cell r="CS69">
            <v>0</v>
          </cell>
          <cell r="CX69">
            <v>0</v>
          </cell>
          <cell r="CY69">
            <v>0</v>
          </cell>
          <cell r="CZ69">
            <v>0</v>
          </cell>
          <cell r="DA69">
            <v>0</v>
          </cell>
          <cell r="DF69">
            <v>0</v>
          </cell>
          <cell r="DG69">
            <v>0</v>
          </cell>
          <cell r="DH69">
            <v>0</v>
          </cell>
          <cell r="DI69">
            <v>0</v>
          </cell>
          <cell r="DN69">
            <v>0</v>
          </cell>
          <cell r="DO69">
            <v>0</v>
          </cell>
          <cell r="DP69">
            <v>0</v>
          </cell>
          <cell r="DQ69">
            <v>0</v>
          </cell>
          <cell r="DV69">
            <v>0</v>
          </cell>
          <cell r="DW69">
            <v>0</v>
          </cell>
          <cell r="DX69">
            <v>0</v>
          </cell>
          <cell r="DY69">
            <v>0</v>
          </cell>
        </row>
        <row r="70">
          <cell r="F70">
            <v>128</v>
          </cell>
          <cell r="G70">
            <v>982.4</v>
          </cell>
          <cell r="H70">
            <v>235.68</v>
          </cell>
          <cell r="I70">
            <v>23.990228013029316</v>
          </cell>
          <cell r="O70">
            <v>60.2</v>
          </cell>
          <cell r="P70">
            <v>14.4</v>
          </cell>
          <cell r="U70">
            <v>79</v>
          </cell>
          <cell r="V70">
            <v>18.96</v>
          </cell>
          <cell r="AA70">
            <v>90</v>
          </cell>
          <cell r="AB70">
            <v>21.6</v>
          </cell>
          <cell r="AG70">
            <v>80</v>
          </cell>
          <cell r="AH70">
            <v>19.2</v>
          </cell>
          <cell r="AM70">
            <v>92</v>
          </cell>
          <cell r="AN70">
            <v>22.08</v>
          </cell>
          <cell r="AS70">
            <v>83</v>
          </cell>
          <cell r="AT70">
            <v>19.920000000000002</v>
          </cell>
          <cell r="AX70">
            <v>0</v>
          </cell>
          <cell r="AY70">
            <v>484.2</v>
          </cell>
          <cell r="AZ70">
            <v>116.16000000000003</v>
          </cell>
          <cell r="BA70">
            <v>23.990086741016114</v>
          </cell>
          <cell r="BG70">
            <v>84.2</v>
          </cell>
          <cell r="BH70">
            <v>20.16</v>
          </cell>
          <cell r="BL70">
            <v>25</v>
          </cell>
          <cell r="BM70">
            <v>80</v>
          </cell>
          <cell r="BN70">
            <v>19.2</v>
          </cell>
          <cell r="BR70">
            <v>27</v>
          </cell>
          <cell r="BS70">
            <v>88</v>
          </cell>
          <cell r="BT70">
            <v>21.12</v>
          </cell>
          <cell r="BX70">
            <v>26</v>
          </cell>
          <cell r="BY70">
            <v>85</v>
          </cell>
          <cell r="BZ70">
            <v>20.399999999999999</v>
          </cell>
          <cell r="CD70">
            <v>26</v>
          </cell>
          <cell r="CE70">
            <v>83</v>
          </cell>
          <cell r="CF70">
            <v>19.920000000000002</v>
          </cell>
          <cell r="CJ70">
            <v>24</v>
          </cell>
          <cell r="CK70">
            <v>78</v>
          </cell>
          <cell r="CL70">
            <v>18.72</v>
          </cell>
          <cell r="CP70">
            <v>128</v>
          </cell>
          <cell r="CQ70">
            <v>498.2</v>
          </cell>
          <cell r="CR70">
            <v>119.52</v>
          </cell>
          <cell r="CS70">
            <v>23.990365315134486</v>
          </cell>
          <cell r="CX70">
            <v>0</v>
          </cell>
          <cell r="CY70">
            <v>229.2</v>
          </cell>
          <cell r="CZ70">
            <v>54.96</v>
          </cell>
          <cell r="DA70">
            <v>23.979057591623036</v>
          </cell>
          <cell r="DF70">
            <v>0</v>
          </cell>
          <cell r="DG70">
            <v>255</v>
          </cell>
          <cell r="DH70">
            <v>61.2</v>
          </cell>
          <cell r="DI70">
            <v>24.000000000000004</v>
          </cell>
          <cell r="DN70">
            <v>52</v>
          </cell>
          <cell r="DO70">
            <v>252.2</v>
          </cell>
          <cell r="DP70">
            <v>60.480000000000004</v>
          </cell>
          <cell r="DQ70">
            <v>23.980967486122129</v>
          </cell>
          <cell r="DV70">
            <v>76</v>
          </cell>
          <cell r="DW70">
            <v>246</v>
          </cell>
          <cell r="DX70">
            <v>59.04</v>
          </cell>
          <cell r="DY70">
            <v>24</v>
          </cell>
        </row>
        <row r="71">
          <cell r="F71">
            <v>71728</v>
          </cell>
          <cell r="G71">
            <v>4587.3999999999996</v>
          </cell>
          <cell r="H71">
            <v>1870.1569999999999</v>
          </cell>
          <cell r="I71">
            <v>40.767253782098791</v>
          </cell>
          <cell r="N71">
            <v>5400</v>
          </cell>
          <cell r="O71">
            <v>332.2</v>
          </cell>
          <cell r="P71">
            <v>138.869</v>
          </cell>
          <cell r="T71">
            <v>7100</v>
          </cell>
          <cell r="U71">
            <v>437</v>
          </cell>
          <cell r="V71">
            <v>182.32599999999999</v>
          </cell>
          <cell r="Z71">
            <v>6400</v>
          </cell>
          <cell r="AA71">
            <v>413</v>
          </cell>
          <cell r="AB71">
            <v>168.51499999999999</v>
          </cell>
          <cell r="AF71">
            <v>6600</v>
          </cell>
          <cell r="AG71">
            <v>414</v>
          </cell>
          <cell r="AH71">
            <v>171.08799999999997</v>
          </cell>
          <cell r="AL71">
            <v>7000</v>
          </cell>
          <cell r="AM71">
            <v>446</v>
          </cell>
          <cell r="AN71">
            <v>183.05</v>
          </cell>
          <cell r="AR71">
            <v>6300</v>
          </cell>
          <cell r="AS71">
            <v>402</v>
          </cell>
          <cell r="AT71">
            <v>164.72300000000001</v>
          </cell>
          <cell r="AX71">
            <v>38800</v>
          </cell>
          <cell r="AY71">
            <v>2444.1999999999998</v>
          </cell>
          <cell r="AZ71">
            <v>1008.5709999999999</v>
          </cell>
          <cell r="BA71">
            <v>41.263849112183948</v>
          </cell>
          <cell r="BF71">
            <v>5400</v>
          </cell>
          <cell r="BG71">
            <v>356.2</v>
          </cell>
          <cell r="BH71">
            <v>143.31800000000001</v>
          </cell>
          <cell r="BL71">
            <v>5125</v>
          </cell>
          <cell r="BM71">
            <v>337</v>
          </cell>
          <cell r="BN71">
            <v>135.518</v>
          </cell>
          <cell r="BR71">
            <v>6327</v>
          </cell>
          <cell r="BS71">
            <v>399</v>
          </cell>
          <cell r="BT71">
            <v>159.90800000000002</v>
          </cell>
          <cell r="BX71">
            <v>6026</v>
          </cell>
          <cell r="BY71">
            <v>384</v>
          </cell>
          <cell r="BZ71">
            <v>154.72</v>
          </cell>
          <cell r="CD71">
            <v>5126</v>
          </cell>
          <cell r="CE71">
            <v>340</v>
          </cell>
          <cell r="CF71">
            <v>136.166</v>
          </cell>
          <cell r="CJ71">
            <v>4924</v>
          </cell>
          <cell r="CK71">
            <v>327</v>
          </cell>
          <cell r="CL71">
            <v>131.95599999999999</v>
          </cell>
          <cell r="CP71">
            <v>32928</v>
          </cell>
          <cell r="CQ71">
            <v>2143.1999999999998</v>
          </cell>
          <cell r="CR71">
            <v>861.58600000000001</v>
          </cell>
          <cell r="CS71">
            <v>40.200914520343417</v>
          </cell>
          <cell r="CX71">
            <v>18900</v>
          </cell>
          <cell r="CY71">
            <v>1182.2</v>
          </cell>
          <cell r="CZ71">
            <v>489.71</v>
          </cell>
          <cell r="DA71">
            <v>41.423616985281676</v>
          </cell>
          <cell r="DF71">
            <v>19900</v>
          </cell>
          <cell r="DG71">
            <v>1262</v>
          </cell>
          <cell r="DH71">
            <v>518.86099999999999</v>
          </cell>
          <cell r="DI71">
            <v>41.114183835182253</v>
          </cell>
          <cell r="DN71">
            <v>16852</v>
          </cell>
          <cell r="DO71">
            <v>1092.2</v>
          </cell>
          <cell r="DP71">
            <v>438.74400000000003</v>
          </cell>
          <cell r="DQ71">
            <v>40.170664713422447</v>
          </cell>
          <cell r="DV71">
            <v>16076</v>
          </cell>
          <cell r="DW71">
            <v>1051</v>
          </cell>
          <cell r="DX71">
            <v>422.84200000000004</v>
          </cell>
          <cell r="DY71">
            <v>40.232350142721224</v>
          </cell>
        </row>
        <row r="72">
          <cell r="F72">
            <v>429978</v>
          </cell>
          <cell r="G72">
            <v>73796.399999999994</v>
          </cell>
          <cell r="H72">
            <v>39134.425000000003</v>
          </cell>
          <cell r="I72">
            <v>53.030262993858791</v>
          </cell>
          <cell r="N72">
            <v>28610</v>
          </cell>
          <cell r="O72">
            <v>4794.2</v>
          </cell>
          <cell r="P72">
            <v>2340.038</v>
          </cell>
          <cell r="T72">
            <v>39860</v>
          </cell>
          <cell r="U72">
            <v>6627</v>
          </cell>
          <cell r="V72">
            <v>3356.4199999999996</v>
          </cell>
          <cell r="Z72">
            <v>35870</v>
          </cell>
          <cell r="AA72">
            <v>6131</v>
          </cell>
          <cell r="AB72">
            <v>3113.556</v>
          </cell>
          <cell r="AF72">
            <v>38320</v>
          </cell>
          <cell r="AG72">
            <v>6532</v>
          </cell>
          <cell r="AH72">
            <v>3365.4690000000001</v>
          </cell>
          <cell r="AL72">
            <v>41570</v>
          </cell>
          <cell r="AM72">
            <v>7098</v>
          </cell>
          <cell r="AN72">
            <v>3697.1680000000001</v>
          </cell>
          <cell r="AR72">
            <v>37770</v>
          </cell>
          <cell r="AS72">
            <v>6425</v>
          </cell>
          <cell r="AT72">
            <v>3359.884</v>
          </cell>
          <cell r="AX72">
            <v>222000</v>
          </cell>
          <cell r="AY72">
            <v>37607.199999999997</v>
          </cell>
          <cell r="AZ72">
            <v>19232.535</v>
          </cell>
          <cell r="BA72">
            <v>51.14056616818057</v>
          </cell>
          <cell r="BF72">
            <v>37500</v>
          </cell>
          <cell r="BG72">
            <v>6420.2</v>
          </cell>
          <cell r="BH72">
            <v>3451.989</v>
          </cell>
          <cell r="BL72">
            <v>34775</v>
          </cell>
          <cell r="BM72">
            <v>6026</v>
          </cell>
          <cell r="BN72">
            <v>3285.0569999999998</v>
          </cell>
          <cell r="BR72">
            <v>35777</v>
          </cell>
          <cell r="BS72">
            <v>6112</v>
          </cell>
          <cell r="BT72">
            <v>3340.8789999999999</v>
          </cell>
          <cell r="BX72">
            <v>35726</v>
          </cell>
          <cell r="BY72">
            <v>6225</v>
          </cell>
          <cell r="BZ72">
            <v>3454.547</v>
          </cell>
          <cell r="CD72">
            <v>32926</v>
          </cell>
          <cell r="CE72">
            <v>5853</v>
          </cell>
          <cell r="CF72">
            <v>3265.0009999999997</v>
          </cell>
          <cell r="CJ72">
            <v>31274</v>
          </cell>
          <cell r="CK72">
            <v>5553</v>
          </cell>
          <cell r="CL72">
            <v>3104.4169999999999</v>
          </cell>
          <cell r="CP72">
            <v>207978</v>
          </cell>
          <cell r="CQ72">
            <v>36189.199999999997</v>
          </cell>
          <cell r="CR72">
            <v>19901.890000000003</v>
          </cell>
          <cell r="CS72">
            <v>54.994003735921225</v>
          </cell>
          <cell r="CX72">
            <v>104340</v>
          </cell>
          <cell r="CY72">
            <v>17552.2</v>
          </cell>
          <cell r="CZ72">
            <v>8810.0139999999992</v>
          </cell>
          <cell r="DA72">
            <v>50.193217944189328</v>
          </cell>
          <cell r="DF72">
            <v>117660</v>
          </cell>
          <cell r="DG72">
            <v>20055</v>
          </cell>
          <cell r="DH72">
            <v>10422.520999999999</v>
          </cell>
          <cell r="DI72">
            <v>51.969688357018192</v>
          </cell>
          <cell r="DN72">
            <v>108052</v>
          </cell>
          <cell r="DO72">
            <v>18558.2</v>
          </cell>
          <cell r="DP72">
            <v>10077.924999999999</v>
          </cell>
          <cell r="DQ72">
            <v>54.304431464258386</v>
          </cell>
          <cell r="DV72">
            <v>99926</v>
          </cell>
          <cell r="DW72">
            <v>17631</v>
          </cell>
          <cell r="DX72">
            <v>9823.965000000002</v>
          </cell>
          <cell r="DY72">
            <v>55.719840054449563</v>
          </cell>
        </row>
        <row r="73">
          <cell r="F73">
            <v>29700</v>
          </cell>
          <cell r="G73">
            <v>1228</v>
          </cell>
          <cell r="H73">
            <v>497.01300000000003</v>
          </cell>
          <cell r="I73">
            <v>40.473371335504886</v>
          </cell>
          <cell r="N73">
            <v>1900</v>
          </cell>
          <cell r="O73">
            <v>81</v>
          </cell>
          <cell r="P73">
            <v>32.835999999999999</v>
          </cell>
          <cell r="T73">
            <v>2500</v>
          </cell>
          <cell r="U73">
            <v>107</v>
          </cell>
          <cell r="V73">
            <v>44.93</v>
          </cell>
          <cell r="Z73">
            <v>2300</v>
          </cell>
          <cell r="AA73">
            <v>98</v>
          </cell>
          <cell r="AB73">
            <v>43.137999999999998</v>
          </cell>
          <cell r="AF73">
            <v>2500</v>
          </cell>
          <cell r="AG73">
            <v>107</v>
          </cell>
          <cell r="AH73">
            <v>49.500999999999998</v>
          </cell>
          <cell r="AL73">
            <v>3000</v>
          </cell>
          <cell r="AM73">
            <v>128</v>
          </cell>
          <cell r="AN73">
            <v>54.076999999999998</v>
          </cell>
          <cell r="AR73">
            <v>2500</v>
          </cell>
          <cell r="AS73">
            <v>107</v>
          </cell>
          <cell r="AT73">
            <v>49.493000000000002</v>
          </cell>
          <cell r="AX73">
            <v>14700</v>
          </cell>
          <cell r="AY73">
            <v>628</v>
          </cell>
          <cell r="AZ73">
            <v>273.97500000000002</v>
          </cell>
          <cell r="BA73">
            <v>43.626592356687901</v>
          </cell>
          <cell r="BF73">
            <v>2500</v>
          </cell>
          <cell r="BG73">
            <v>100</v>
          </cell>
          <cell r="BH73">
            <v>40.692999999999998</v>
          </cell>
          <cell r="BL73">
            <v>2500</v>
          </cell>
          <cell r="BM73">
            <v>100</v>
          </cell>
          <cell r="BN73">
            <v>36.436</v>
          </cell>
          <cell r="BR73">
            <v>3000</v>
          </cell>
          <cell r="BS73">
            <v>120</v>
          </cell>
          <cell r="BT73">
            <v>43.576000000000001</v>
          </cell>
          <cell r="BX73">
            <v>2500</v>
          </cell>
          <cell r="BY73">
            <v>100</v>
          </cell>
          <cell r="BZ73">
            <v>36.436</v>
          </cell>
          <cell r="CD73">
            <v>2000</v>
          </cell>
          <cell r="CE73">
            <v>80</v>
          </cell>
          <cell r="CF73">
            <v>29.454999999999998</v>
          </cell>
          <cell r="CJ73">
            <v>2500</v>
          </cell>
          <cell r="CK73">
            <v>100</v>
          </cell>
          <cell r="CL73">
            <v>36.442</v>
          </cell>
          <cell r="CP73">
            <v>15000</v>
          </cell>
          <cell r="CQ73">
            <v>600</v>
          </cell>
          <cell r="CR73">
            <v>223.03800000000001</v>
          </cell>
          <cell r="CS73">
            <v>37.173000000000002</v>
          </cell>
          <cell r="CX73">
            <v>6700</v>
          </cell>
          <cell r="CY73">
            <v>286</v>
          </cell>
          <cell r="CZ73">
            <v>120.904</v>
          </cell>
          <cell r="DA73">
            <v>42.274125874125872</v>
          </cell>
          <cell r="DF73">
            <v>8000</v>
          </cell>
          <cell r="DG73">
            <v>342</v>
          </cell>
          <cell r="DH73">
            <v>153.071</v>
          </cell>
          <cell r="DI73">
            <v>44.757602339181283</v>
          </cell>
          <cell r="DN73">
            <v>8000</v>
          </cell>
          <cell r="DO73">
            <v>320</v>
          </cell>
          <cell r="DP73">
            <v>120.70499999999998</v>
          </cell>
          <cell r="DQ73">
            <v>37.720312499999999</v>
          </cell>
          <cell r="DV73">
            <v>7000</v>
          </cell>
          <cell r="DW73">
            <v>280</v>
          </cell>
          <cell r="DX73">
            <v>102.333</v>
          </cell>
          <cell r="DY73">
            <v>36.547499999999999</v>
          </cell>
        </row>
        <row r="74">
          <cell r="F74">
            <v>0</v>
          </cell>
          <cell r="G74">
            <v>4062</v>
          </cell>
          <cell r="H74">
            <v>203.10000000000002</v>
          </cell>
          <cell r="I74">
            <v>5</v>
          </cell>
          <cell r="N74">
            <v>0</v>
          </cell>
          <cell r="O74">
            <v>80</v>
          </cell>
          <cell r="P74">
            <v>4</v>
          </cell>
          <cell r="T74">
            <v>0</v>
          </cell>
          <cell r="U74">
            <v>80</v>
          </cell>
          <cell r="V74">
            <v>4</v>
          </cell>
          <cell r="Z74">
            <v>0</v>
          </cell>
          <cell r="AA74">
            <v>80</v>
          </cell>
          <cell r="AB74">
            <v>4</v>
          </cell>
          <cell r="AF74">
            <v>0</v>
          </cell>
          <cell r="AG74">
            <v>182</v>
          </cell>
          <cell r="AH74">
            <v>9.1</v>
          </cell>
          <cell r="AL74">
            <v>0</v>
          </cell>
          <cell r="AM74">
            <v>182</v>
          </cell>
          <cell r="AN74">
            <v>9.1</v>
          </cell>
          <cell r="AR74">
            <v>0</v>
          </cell>
          <cell r="AS74">
            <v>212</v>
          </cell>
          <cell r="AT74">
            <v>10.6</v>
          </cell>
          <cell r="AX74">
            <v>0</v>
          </cell>
          <cell r="AY74">
            <v>816</v>
          </cell>
          <cell r="AZ74">
            <v>40.799999999999997</v>
          </cell>
          <cell r="BA74">
            <v>5</v>
          </cell>
          <cell r="BF74">
            <v>0</v>
          </cell>
          <cell r="BG74">
            <v>510</v>
          </cell>
          <cell r="BH74">
            <v>25.5</v>
          </cell>
          <cell r="BL74">
            <v>0</v>
          </cell>
          <cell r="BM74">
            <v>510</v>
          </cell>
          <cell r="BN74">
            <v>25.5</v>
          </cell>
          <cell r="BR74">
            <v>0</v>
          </cell>
          <cell r="BS74">
            <v>510</v>
          </cell>
          <cell r="BT74">
            <v>25.5</v>
          </cell>
          <cell r="BX74">
            <v>0</v>
          </cell>
          <cell r="BY74">
            <v>510</v>
          </cell>
          <cell r="BZ74">
            <v>25.5</v>
          </cell>
          <cell r="CD74">
            <v>0</v>
          </cell>
          <cell r="CE74">
            <v>516</v>
          </cell>
          <cell r="CF74">
            <v>25.8</v>
          </cell>
          <cell r="CJ74">
            <v>0</v>
          </cell>
          <cell r="CK74">
            <v>690</v>
          </cell>
          <cell r="CL74">
            <v>34.5</v>
          </cell>
          <cell r="CP74">
            <v>0</v>
          </cell>
          <cell r="CQ74">
            <v>3246</v>
          </cell>
          <cell r="CR74">
            <v>162.30000000000001</v>
          </cell>
          <cell r="CS74">
            <v>5</v>
          </cell>
          <cell r="CX74">
            <v>0</v>
          </cell>
          <cell r="CY74">
            <v>240</v>
          </cell>
          <cell r="CZ74">
            <v>12</v>
          </cell>
          <cell r="DA74">
            <v>5</v>
          </cell>
          <cell r="DF74">
            <v>0</v>
          </cell>
          <cell r="DG74">
            <v>576</v>
          </cell>
          <cell r="DH74">
            <v>28.799999999999997</v>
          </cell>
          <cell r="DI74">
            <v>5</v>
          </cell>
          <cell r="DN74">
            <v>0</v>
          </cell>
          <cell r="DO74">
            <v>1530</v>
          </cell>
          <cell r="DP74">
            <v>76.5</v>
          </cell>
          <cell r="DQ74">
            <v>5</v>
          </cell>
          <cell r="DV74">
            <v>0</v>
          </cell>
          <cell r="DW74">
            <v>1716</v>
          </cell>
          <cell r="DX74">
            <v>85.8</v>
          </cell>
          <cell r="DY74">
            <v>5</v>
          </cell>
        </row>
        <row r="75">
          <cell r="F75">
            <v>0</v>
          </cell>
          <cell r="G75">
            <v>1976</v>
          </cell>
          <cell r="H75">
            <v>484.12</v>
          </cell>
          <cell r="I75">
            <v>24.5</v>
          </cell>
          <cell r="N75">
            <v>0</v>
          </cell>
          <cell r="O75">
            <v>125</v>
          </cell>
          <cell r="P75">
            <v>30.625</v>
          </cell>
          <cell r="T75">
            <v>0</v>
          </cell>
          <cell r="U75">
            <v>166</v>
          </cell>
          <cell r="V75">
            <v>40.67</v>
          </cell>
          <cell r="Z75">
            <v>0</v>
          </cell>
          <cell r="AA75">
            <v>171</v>
          </cell>
          <cell r="AB75">
            <v>41.895000000000003</v>
          </cell>
          <cell r="AF75">
            <v>0</v>
          </cell>
          <cell r="AG75">
            <v>161</v>
          </cell>
          <cell r="AH75">
            <v>39.445</v>
          </cell>
          <cell r="AL75">
            <v>0</v>
          </cell>
          <cell r="AM75">
            <v>174</v>
          </cell>
          <cell r="AN75">
            <v>42.63</v>
          </cell>
          <cell r="AR75">
            <v>0</v>
          </cell>
          <cell r="AS75">
            <v>168</v>
          </cell>
          <cell r="AT75">
            <v>41.16</v>
          </cell>
          <cell r="AX75">
            <v>0</v>
          </cell>
          <cell r="AY75">
            <v>965</v>
          </cell>
          <cell r="AZ75">
            <v>236.42500000000001</v>
          </cell>
          <cell r="BA75">
            <v>24.500000000000004</v>
          </cell>
          <cell r="BF75">
            <v>0</v>
          </cell>
          <cell r="BG75">
            <v>180</v>
          </cell>
          <cell r="BH75">
            <v>44.1</v>
          </cell>
          <cell r="BL75">
            <v>0</v>
          </cell>
          <cell r="BM75">
            <v>174</v>
          </cell>
          <cell r="BN75">
            <v>42.63</v>
          </cell>
          <cell r="BR75">
            <v>0</v>
          </cell>
          <cell r="BS75">
            <v>168</v>
          </cell>
          <cell r="BT75">
            <v>41.16</v>
          </cell>
          <cell r="BX75">
            <v>0</v>
          </cell>
          <cell r="BY75">
            <v>175</v>
          </cell>
          <cell r="BZ75">
            <v>42.875</v>
          </cell>
          <cell r="CD75">
            <v>0</v>
          </cell>
          <cell r="CE75">
            <v>167</v>
          </cell>
          <cell r="CF75">
            <v>40.914999999999999</v>
          </cell>
          <cell r="CJ75">
            <v>0</v>
          </cell>
          <cell r="CK75">
            <v>147</v>
          </cell>
          <cell r="CL75">
            <v>36.015000000000001</v>
          </cell>
          <cell r="CP75">
            <v>0</v>
          </cell>
          <cell r="CQ75">
            <v>1011</v>
          </cell>
          <cell r="CR75">
            <v>247.69499999999999</v>
          </cell>
          <cell r="CS75">
            <v>24.5</v>
          </cell>
          <cell r="CX75">
            <v>0</v>
          </cell>
          <cell r="CY75">
            <v>462</v>
          </cell>
          <cell r="CZ75">
            <v>113.19</v>
          </cell>
          <cell r="DA75">
            <v>24.5</v>
          </cell>
          <cell r="DF75">
            <v>0</v>
          </cell>
          <cell r="DG75">
            <v>503</v>
          </cell>
          <cell r="DH75">
            <v>123.235</v>
          </cell>
          <cell r="DI75">
            <v>24.5</v>
          </cell>
          <cell r="DN75">
            <v>0</v>
          </cell>
          <cell r="DO75">
            <v>522</v>
          </cell>
          <cell r="DP75">
            <v>127.89</v>
          </cell>
          <cell r="DQ75">
            <v>24.5</v>
          </cell>
          <cell r="DV75">
            <v>0</v>
          </cell>
          <cell r="DW75">
            <v>489</v>
          </cell>
          <cell r="DX75">
            <v>119.80499999999999</v>
          </cell>
          <cell r="DY75">
            <v>24.5</v>
          </cell>
        </row>
        <row r="76">
          <cell r="F76">
            <v>0</v>
          </cell>
          <cell r="G76">
            <v>0</v>
          </cell>
          <cell r="H76">
            <v>0</v>
          </cell>
          <cell r="I76">
            <v>0</v>
          </cell>
          <cell r="N76">
            <v>0</v>
          </cell>
          <cell r="AR76">
            <v>0</v>
          </cell>
          <cell r="AX76">
            <v>0</v>
          </cell>
          <cell r="AY76">
            <v>0</v>
          </cell>
          <cell r="AZ76">
            <v>0</v>
          </cell>
          <cell r="BA76">
            <v>0</v>
          </cell>
          <cell r="BF76">
            <v>0</v>
          </cell>
          <cell r="BL76">
            <v>0</v>
          </cell>
          <cell r="BR76">
            <v>0</v>
          </cell>
          <cell r="BX76">
            <v>0</v>
          </cell>
          <cell r="CD76">
            <v>0</v>
          </cell>
          <cell r="CJ76">
            <v>0</v>
          </cell>
          <cell r="CP76">
            <v>0</v>
          </cell>
          <cell r="CQ76">
            <v>0</v>
          </cell>
          <cell r="CR76">
            <v>0</v>
          </cell>
          <cell r="CS76">
            <v>0</v>
          </cell>
          <cell r="CX76">
            <v>0</v>
          </cell>
          <cell r="CY76">
            <v>0</v>
          </cell>
          <cell r="CZ76">
            <v>0</v>
          </cell>
          <cell r="DA76">
            <v>0</v>
          </cell>
          <cell r="DF76">
            <v>0</v>
          </cell>
          <cell r="DG76">
            <v>0</v>
          </cell>
          <cell r="DH76">
            <v>0</v>
          </cell>
          <cell r="DI76">
            <v>0</v>
          </cell>
          <cell r="DN76">
            <v>0</v>
          </cell>
          <cell r="DO76">
            <v>0</v>
          </cell>
          <cell r="DP76">
            <v>0</v>
          </cell>
          <cell r="DQ76">
            <v>0</v>
          </cell>
          <cell r="DV76">
            <v>0</v>
          </cell>
          <cell r="DW76">
            <v>0</v>
          </cell>
          <cell r="DX76">
            <v>0</v>
          </cell>
          <cell r="DY76">
            <v>0</v>
          </cell>
        </row>
        <row r="77">
          <cell r="F77">
            <v>429978</v>
          </cell>
          <cell r="G77">
            <v>81062.399999999994</v>
          </cell>
          <cell r="H77">
            <v>40318.658000000003</v>
          </cell>
          <cell r="I77">
            <v>49.737804456813521</v>
          </cell>
          <cell r="N77">
            <v>28610</v>
          </cell>
          <cell r="O77">
            <v>5080.2</v>
          </cell>
          <cell r="P77">
            <v>2407.4989999999998</v>
          </cell>
          <cell r="T77">
            <v>39860</v>
          </cell>
          <cell r="U77">
            <v>6980</v>
          </cell>
          <cell r="V77">
            <v>3446.0199999999995</v>
          </cell>
          <cell r="Z77">
            <v>35870</v>
          </cell>
          <cell r="AA77">
            <v>6480</v>
          </cell>
          <cell r="AB77">
            <v>3202.5889999999999</v>
          </cell>
          <cell r="AF77">
            <v>38320</v>
          </cell>
          <cell r="AG77">
            <v>6982</v>
          </cell>
          <cell r="AH77">
            <v>3463.5150000000003</v>
          </cell>
          <cell r="AL77">
            <v>41570</v>
          </cell>
          <cell r="AM77">
            <v>7582</v>
          </cell>
          <cell r="AN77">
            <v>3802.9749999999999</v>
          </cell>
          <cell r="AR77">
            <v>37770</v>
          </cell>
          <cell r="AS77">
            <v>6912</v>
          </cell>
          <cell r="AT77">
            <v>3461.1369999999997</v>
          </cell>
          <cell r="AX77">
            <v>222000</v>
          </cell>
          <cell r="AY77">
            <v>40016.199999999997</v>
          </cell>
          <cell r="AZ77">
            <v>19783.734999999997</v>
          </cell>
          <cell r="BA77">
            <v>49.439314577596072</v>
          </cell>
          <cell r="BF77">
            <v>37500</v>
          </cell>
          <cell r="BG77">
            <v>7210.2</v>
          </cell>
          <cell r="BH77">
            <v>3562.2820000000002</v>
          </cell>
          <cell r="BL77">
            <v>34775</v>
          </cell>
          <cell r="BM77">
            <v>6810</v>
          </cell>
          <cell r="BN77">
            <v>3389.623</v>
          </cell>
          <cell r="BR77">
            <v>35777</v>
          </cell>
          <cell r="BS77">
            <v>6910</v>
          </cell>
          <cell r="BT77">
            <v>3451.1149999999998</v>
          </cell>
          <cell r="BX77">
            <v>35726</v>
          </cell>
          <cell r="BY77">
            <v>7010</v>
          </cell>
          <cell r="BZ77">
            <v>3559.3580000000002</v>
          </cell>
          <cell r="CD77">
            <v>32926</v>
          </cell>
          <cell r="CE77">
            <v>6616</v>
          </cell>
          <cell r="CF77">
            <v>3361.1709999999998</v>
          </cell>
          <cell r="CJ77">
            <v>31274</v>
          </cell>
          <cell r="CK77">
            <v>6490</v>
          </cell>
          <cell r="CL77">
            <v>3211.3739999999998</v>
          </cell>
          <cell r="CP77">
            <v>207978</v>
          </cell>
          <cell r="CQ77">
            <v>41046.199999999997</v>
          </cell>
          <cell r="CR77">
            <v>20534.923000000003</v>
          </cell>
          <cell r="CS77">
            <v>50.028804128031346</v>
          </cell>
          <cell r="CX77">
            <v>104340</v>
          </cell>
          <cell r="CY77">
            <v>18540.2</v>
          </cell>
          <cell r="CZ77">
            <v>9056.1080000000002</v>
          </cell>
          <cell r="DA77">
            <v>48.845794543748177</v>
          </cell>
          <cell r="DF77">
            <v>117660</v>
          </cell>
          <cell r="DG77">
            <v>21476</v>
          </cell>
          <cell r="DH77">
            <v>10727.626999999999</v>
          </cell>
          <cell r="DI77">
            <v>49.951699571614824</v>
          </cell>
          <cell r="DN77">
            <v>108052</v>
          </cell>
          <cell r="DO77">
            <v>20930.2</v>
          </cell>
          <cell r="DP77">
            <v>10403.019999999999</v>
          </cell>
          <cell r="DQ77">
            <v>49.703395094170141</v>
          </cell>
          <cell r="DV77">
            <v>99926</v>
          </cell>
          <cell r="DW77">
            <v>20116</v>
          </cell>
          <cell r="DX77">
            <v>10131.903000000002</v>
          </cell>
          <cell r="DY77">
            <v>50.36738417180355</v>
          </cell>
        </row>
        <row r="78">
          <cell r="F78">
            <v>0</v>
          </cell>
          <cell r="G78">
            <v>0</v>
          </cell>
          <cell r="H78">
            <v>0</v>
          </cell>
          <cell r="I78">
            <v>0</v>
          </cell>
          <cell r="N78">
            <v>0</v>
          </cell>
          <cell r="O78">
            <v>0</v>
          </cell>
          <cell r="T78">
            <v>0</v>
          </cell>
          <cell r="U78">
            <v>0</v>
          </cell>
          <cell r="Z78">
            <v>0</v>
          </cell>
          <cell r="AA78">
            <v>0</v>
          </cell>
          <cell r="AF78">
            <v>0</v>
          </cell>
          <cell r="AG78">
            <v>0</v>
          </cell>
          <cell r="AL78">
            <v>0</v>
          </cell>
          <cell r="AM78">
            <v>0</v>
          </cell>
          <cell r="AR78">
            <v>0</v>
          </cell>
          <cell r="AS78">
            <v>0</v>
          </cell>
          <cell r="AX78">
            <v>0</v>
          </cell>
          <cell r="AY78">
            <v>0</v>
          </cell>
          <cell r="AZ78">
            <v>0</v>
          </cell>
          <cell r="BA78">
            <v>0</v>
          </cell>
          <cell r="BF78">
            <v>0</v>
          </cell>
          <cell r="BG78">
            <v>0</v>
          </cell>
          <cell r="BL78">
            <v>0</v>
          </cell>
          <cell r="BM78">
            <v>0</v>
          </cell>
          <cell r="BR78">
            <v>0</v>
          </cell>
          <cell r="BS78">
            <v>0</v>
          </cell>
          <cell r="BX78">
            <v>0</v>
          </cell>
          <cell r="BY78">
            <v>0</v>
          </cell>
          <cell r="CD78">
            <v>0</v>
          </cell>
          <cell r="CE78">
            <v>0</v>
          </cell>
          <cell r="CJ78">
            <v>0</v>
          </cell>
          <cell r="CK78">
            <v>0</v>
          </cell>
          <cell r="CP78">
            <v>0</v>
          </cell>
          <cell r="CQ78">
            <v>0</v>
          </cell>
          <cell r="CR78">
            <v>0</v>
          </cell>
          <cell r="CS78">
            <v>0</v>
          </cell>
          <cell r="CX78">
            <v>0</v>
          </cell>
          <cell r="CY78">
            <v>0</v>
          </cell>
          <cell r="CZ78">
            <v>0</v>
          </cell>
          <cell r="DA78">
            <v>0</v>
          </cell>
          <cell r="DF78">
            <v>0</v>
          </cell>
          <cell r="DG78">
            <v>0</v>
          </cell>
          <cell r="DH78">
            <v>0</v>
          </cell>
          <cell r="DI78">
            <v>0</v>
          </cell>
          <cell r="DN78">
            <v>0</v>
          </cell>
          <cell r="DO78">
            <v>0</v>
          </cell>
          <cell r="DP78">
            <v>0</v>
          </cell>
          <cell r="DQ78">
            <v>0</v>
          </cell>
          <cell r="DV78">
            <v>0</v>
          </cell>
          <cell r="DW78">
            <v>0</v>
          </cell>
          <cell r="DX78">
            <v>0</v>
          </cell>
          <cell r="DY78">
            <v>0</v>
          </cell>
        </row>
        <row r="79">
          <cell r="F79">
            <v>0</v>
          </cell>
          <cell r="G79">
            <v>0</v>
          </cell>
          <cell r="H79">
            <v>0</v>
          </cell>
          <cell r="I79">
            <v>0</v>
          </cell>
          <cell r="N79">
            <v>0</v>
          </cell>
          <cell r="O79">
            <v>0</v>
          </cell>
          <cell r="T79">
            <v>0</v>
          </cell>
          <cell r="U79">
            <v>0</v>
          </cell>
          <cell r="Z79">
            <v>0</v>
          </cell>
          <cell r="AA79">
            <v>0</v>
          </cell>
          <cell r="AF79">
            <v>0</v>
          </cell>
          <cell r="AG79">
            <v>0</v>
          </cell>
          <cell r="AL79">
            <v>0</v>
          </cell>
          <cell r="AM79">
            <v>0</v>
          </cell>
          <cell r="AR79">
            <v>0</v>
          </cell>
          <cell r="AS79">
            <v>0</v>
          </cell>
          <cell r="AX79">
            <v>0</v>
          </cell>
          <cell r="AY79">
            <v>0</v>
          </cell>
          <cell r="AZ79">
            <v>0</v>
          </cell>
          <cell r="BA79">
            <v>0</v>
          </cell>
          <cell r="BF79">
            <v>0</v>
          </cell>
          <cell r="BG79">
            <v>0</v>
          </cell>
          <cell r="BL79">
            <v>0</v>
          </cell>
          <cell r="BM79">
            <v>0</v>
          </cell>
          <cell r="BR79">
            <v>0</v>
          </cell>
          <cell r="BS79">
            <v>0</v>
          </cell>
          <cell r="BX79">
            <v>0</v>
          </cell>
          <cell r="BY79">
            <v>0</v>
          </cell>
          <cell r="CD79">
            <v>0</v>
          </cell>
          <cell r="CE79">
            <v>0</v>
          </cell>
          <cell r="CJ79">
            <v>0</v>
          </cell>
          <cell r="CK79">
            <v>0</v>
          </cell>
          <cell r="CP79">
            <v>0</v>
          </cell>
          <cell r="CQ79">
            <v>0</v>
          </cell>
          <cell r="CR79">
            <v>0</v>
          </cell>
          <cell r="CS79">
            <v>0</v>
          </cell>
          <cell r="CX79">
            <v>0</v>
          </cell>
          <cell r="CY79">
            <v>0</v>
          </cell>
          <cell r="CZ79">
            <v>0</v>
          </cell>
          <cell r="DA79">
            <v>0</v>
          </cell>
          <cell r="DF79">
            <v>0</v>
          </cell>
          <cell r="DG79">
            <v>0</v>
          </cell>
          <cell r="DH79">
            <v>0</v>
          </cell>
          <cell r="DI79">
            <v>0</v>
          </cell>
          <cell r="DN79">
            <v>0</v>
          </cell>
          <cell r="DO79">
            <v>0</v>
          </cell>
          <cell r="DP79">
            <v>0</v>
          </cell>
          <cell r="DQ79">
            <v>0</v>
          </cell>
          <cell r="DV79">
            <v>0</v>
          </cell>
          <cell r="DW79">
            <v>0</v>
          </cell>
          <cell r="DX79">
            <v>0</v>
          </cell>
          <cell r="DY79">
            <v>0</v>
          </cell>
        </row>
        <row r="80">
          <cell r="F80">
            <v>0</v>
          </cell>
          <cell r="G80">
            <v>0</v>
          </cell>
          <cell r="H80">
            <v>0</v>
          </cell>
          <cell r="I80">
            <v>0</v>
          </cell>
          <cell r="N80">
            <v>0</v>
          </cell>
          <cell r="O80">
            <v>0</v>
          </cell>
          <cell r="T80">
            <v>0</v>
          </cell>
          <cell r="U80">
            <v>0</v>
          </cell>
          <cell r="Z80">
            <v>0</v>
          </cell>
          <cell r="AA80">
            <v>0</v>
          </cell>
          <cell r="AF80">
            <v>0</v>
          </cell>
          <cell r="AG80">
            <v>0</v>
          </cell>
          <cell r="AL80">
            <v>0</v>
          </cell>
          <cell r="AM80">
            <v>0</v>
          </cell>
          <cell r="AR80">
            <v>0</v>
          </cell>
          <cell r="AS80">
            <v>0</v>
          </cell>
          <cell r="AX80">
            <v>0</v>
          </cell>
          <cell r="AY80">
            <v>0</v>
          </cell>
          <cell r="AZ80">
            <v>0</v>
          </cell>
          <cell r="BA80">
            <v>0</v>
          </cell>
          <cell r="BF80">
            <v>0</v>
          </cell>
          <cell r="BG80">
            <v>0</v>
          </cell>
          <cell r="BL80">
            <v>0</v>
          </cell>
          <cell r="BM80">
            <v>0</v>
          </cell>
          <cell r="BR80">
            <v>0</v>
          </cell>
          <cell r="BS80">
            <v>0</v>
          </cell>
          <cell r="BX80">
            <v>0</v>
          </cell>
          <cell r="BY80">
            <v>0</v>
          </cell>
          <cell r="CD80">
            <v>0</v>
          </cell>
          <cell r="CE80">
            <v>0</v>
          </cell>
          <cell r="CJ80">
            <v>0</v>
          </cell>
          <cell r="CK80">
            <v>0</v>
          </cell>
          <cell r="CP80">
            <v>0</v>
          </cell>
          <cell r="CQ80">
            <v>0</v>
          </cell>
          <cell r="CR80">
            <v>0</v>
          </cell>
          <cell r="CS80">
            <v>0</v>
          </cell>
          <cell r="CX80">
            <v>0</v>
          </cell>
          <cell r="CY80">
            <v>0</v>
          </cell>
          <cell r="CZ80">
            <v>0</v>
          </cell>
          <cell r="DA80">
            <v>0</v>
          </cell>
          <cell r="DF80">
            <v>0</v>
          </cell>
          <cell r="DG80">
            <v>0</v>
          </cell>
          <cell r="DH80">
            <v>0</v>
          </cell>
          <cell r="DI80">
            <v>0</v>
          </cell>
          <cell r="DN80">
            <v>0</v>
          </cell>
          <cell r="DO80">
            <v>0</v>
          </cell>
          <cell r="DP80">
            <v>0</v>
          </cell>
          <cell r="DQ80">
            <v>0</v>
          </cell>
          <cell r="DV80">
            <v>0</v>
          </cell>
          <cell r="DW80">
            <v>0</v>
          </cell>
          <cell r="DX80">
            <v>0</v>
          </cell>
          <cell r="DY80">
            <v>0</v>
          </cell>
        </row>
        <row r="81">
          <cell r="F81">
            <v>0</v>
          </cell>
          <cell r="G81">
            <v>0</v>
          </cell>
          <cell r="H81">
            <v>0</v>
          </cell>
          <cell r="I81">
            <v>0</v>
          </cell>
          <cell r="N81">
            <v>0</v>
          </cell>
          <cell r="O81">
            <v>0</v>
          </cell>
          <cell r="T81">
            <v>0</v>
          </cell>
          <cell r="U81">
            <v>0</v>
          </cell>
          <cell r="Z81">
            <v>0</v>
          </cell>
          <cell r="AA81">
            <v>0</v>
          </cell>
          <cell r="AF81">
            <v>0</v>
          </cell>
          <cell r="AG81">
            <v>0</v>
          </cell>
          <cell r="AL81">
            <v>0</v>
          </cell>
          <cell r="AM81">
            <v>0</v>
          </cell>
          <cell r="AR81">
            <v>0</v>
          </cell>
          <cell r="AS81">
            <v>0</v>
          </cell>
          <cell r="AX81">
            <v>0</v>
          </cell>
          <cell r="AY81">
            <v>0</v>
          </cell>
          <cell r="AZ81">
            <v>0</v>
          </cell>
          <cell r="BA81">
            <v>0</v>
          </cell>
          <cell r="BF81">
            <v>0</v>
          </cell>
          <cell r="BG81">
            <v>0</v>
          </cell>
          <cell r="BL81">
            <v>0</v>
          </cell>
          <cell r="BM81">
            <v>0</v>
          </cell>
          <cell r="BR81">
            <v>0</v>
          </cell>
          <cell r="BS81">
            <v>0</v>
          </cell>
          <cell r="BX81">
            <v>0</v>
          </cell>
          <cell r="BY81">
            <v>0</v>
          </cell>
          <cell r="CD81">
            <v>0</v>
          </cell>
          <cell r="CE81">
            <v>0</v>
          </cell>
          <cell r="CJ81">
            <v>0</v>
          </cell>
          <cell r="CK81">
            <v>0</v>
          </cell>
          <cell r="CP81">
            <v>0</v>
          </cell>
          <cell r="CQ81">
            <v>0</v>
          </cell>
          <cell r="CR81">
            <v>0</v>
          </cell>
          <cell r="CS81">
            <v>0</v>
          </cell>
          <cell r="CX81">
            <v>0</v>
          </cell>
          <cell r="CY81">
            <v>0</v>
          </cell>
          <cell r="CZ81">
            <v>0</v>
          </cell>
          <cell r="DA81">
            <v>0</v>
          </cell>
          <cell r="DF81">
            <v>0</v>
          </cell>
          <cell r="DG81">
            <v>0</v>
          </cell>
          <cell r="DH81">
            <v>0</v>
          </cell>
          <cell r="DI81">
            <v>0</v>
          </cell>
          <cell r="DN81">
            <v>0</v>
          </cell>
          <cell r="DO81">
            <v>0</v>
          </cell>
          <cell r="DP81">
            <v>0</v>
          </cell>
          <cell r="DQ81">
            <v>0</v>
          </cell>
          <cell r="DV81">
            <v>0</v>
          </cell>
          <cell r="DW81">
            <v>0</v>
          </cell>
          <cell r="DX81">
            <v>0</v>
          </cell>
          <cell r="DY81">
            <v>0</v>
          </cell>
        </row>
        <row r="82">
          <cell r="F82">
            <v>0</v>
          </cell>
          <cell r="G82">
            <v>0</v>
          </cell>
          <cell r="H82">
            <v>0</v>
          </cell>
          <cell r="I82">
            <v>0</v>
          </cell>
          <cell r="N82">
            <v>0</v>
          </cell>
          <cell r="O82">
            <v>0</v>
          </cell>
          <cell r="P82">
            <v>0</v>
          </cell>
          <cell r="T82">
            <v>0</v>
          </cell>
          <cell r="U82">
            <v>0</v>
          </cell>
          <cell r="V82">
            <v>0</v>
          </cell>
          <cell r="Z82">
            <v>0</v>
          </cell>
          <cell r="AA82">
            <v>0</v>
          </cell>
          <cell r="AB82">
            <v>0</v>
          </cell>
          <cell r="AF82">
            <v>0</v>
          </cell>
          <cell r="AG82">
            <v>0</v>
          </cell>
          <cell r="AH82">
            <v>0</v>
          </cell>
          <cell r="AL82">
            <v>0</v>
          </cell>
          <cell r="AM82">
            <v>0</v>
          </cell>
          <cell r="AN82">
            <v>0</v>
          </cell>
          <cell r="AR82">
            <v>0</v>
          </cell>
          <cell r="AS82">
            <v>0</v>
          </cell>
          <cell r="AT82">
            <v>0</v>
          </cell>
          <cell r="AX82">
            <v>0</v>
          </cell>
          <cell r="AY82">
            <v>0</v>
          </cell>
          <cell r="AZ82">
            <v>0</v>
          </cell>
          <cell r="BA82">
            <v>0</v>
          </cell>
          <cell r="BF82">
            <v>0</v>
          </cell>
          <cell r="BG82">
            <v>0</v>
          </cell>
          <cell r="BH82">
            <v>0</v>
          </cell>
          <cell r="BL82">
            <v>0</v>
          </cell>
          <cell r="BM82">
            <v>0</v>
          </cell>
          <cell r="BN82">
            <v>0</v>
          </cell>
          <cell r="BR82">
            <v>0</v>
          </cell>
          <cell r="BS82">
            <v>0</v>
          </cell>
          <cell r="BT82">
            <v>0</v>
          </cell>
          <cell r="BX82">
            <v>0</v>
          </cell>
          <cell r="BY82">
            <v>0</v>
          </cell>
          <cell r="BZ82">
            <v>0</v>
          </cell>
          <cell r="CD82">
            <v>0</v>
          </cell>
          <cell r="CE82">
            <v>0</v>
          </cell>
          <cell r="CF82">
            <v>0</v>
          </cell>
          <cell r="CJ82">
            <v>0</v>
          </cell>
          <cell r="CK82">
            <v>0</v>
          </cell>
          <cell r="CL82">
            <v>0</v>
          </cell>
          <cell r="CP82">
            <v>0</v>
          </cell>
          <cell r="CQ82">
            <v>0</v>
          </cell>
          <cell r="CR82">
            <v>0</v>
          </cell>
          <cell r="CS82">
            <v>0</v>
          </cell>
          <cell r="CX82">
            <v>0</v>
          </cell>
          <cell r="CY82">
            <v>0</v>
          </cell>
          <cell r="CZ82">
            <v>0</v>
          </cell>
          <cell r="DA82">
            <v>0</v>
          </cell>
          <cell r="DF82">
            <v>0</v>
          </cell>
          <cell r="DG82">
            <v>0</v>
          </cell>
          <cell r="DH82">
            <v>0</v>
          </cell>
          <cell r="DI82">
            <v>0</v>
          </cell>
          <cell r="DN82">
            <v>0</v>
          </cell>
          <cell r="DO82">
            <v>0</v>
          </cell>
          <cell r="DP82">
            <v>0</v>
          </cell>
          <cell r="DQ82">
            <v>0</v>
          </cell>
          <cell r="DV82">
            <v>0</v>
          </cell>
          <cell r="DW82">
            <v>0</v>
          </cell>
          <cell r="DX82">
            <v>0</v>
          </cell>
          <cell r="DY82">
            <v>0</v>
          </cell>
        </row>
        <row r="83">
          <cell r="F83">
            <v>0</v>
          </cell>
          <cell r="G83">
            <v>0</v>
          </cell>
          <cell r="H83">
            <v>0</v>
          </cell>
          <cell r="I83">
            <v>0</v>
          </cell>
          <cell r="N83">
            <v>0</v>
          </cell>
          <cell r="O83">
            <v>0</v>
          </cell>
          <cell r="T83">
            <v>0</v>
          </cell>
          <cell r="U83">
            <v>0</v>
          </cell>
          <cell r="Z83">
            <v>0</v>
          </cell>
          <cell r="AA83">
            <v>0</v>
          </cell>
          <cell r="AF83">
            <v>0</v>
          </cell>
          <cell r="AG83">
            <v>0</v>
          </cell>
          <cell r="AL83">
            <v>0</v>
          </cell>
          <cell r="AM83">
            <v>0</v>
          </cell>
          <cell r="AR83">
            <v>0</v>
          </cell>
          <cell r="AS83">
            <v>0</v>
          </cell>
          <cell r="AX83">
            <v>0</v>
          </cell>
          <cell r="AY83">
            <v>0</v>
          </cell>
          <cell r="AZ83">
            <v>0</v>
          </cell>
          <cell r="BA83">
            <v>0</v>
          </cell>
          <cell r="BF83">
            <v>0</v>
          </cell>
          <cell r="BG83">
            <v>0</v>
          </cell>
          <cell r="BL83">
            <v>0</v>
          </cell>
          <cell r="BM83">
            <v>0</v>
          </cell>
          <cell r="BR83">
            <v>0</v>
          </cell>
          <cell r="BS83">
            <v>0</v>
          </cell>
          <cell r="BX83">
            <v>0</v>
          </cell>
          <cell r="BY83">
            <v>0</v>
          </cell>
          <cell r="CD83">
            <v>0</v>
          </cell>
          <cell r="CE83">
            <v>0</v>
          </cell>
          <cell r="CJ83">
            <v>0</v>
          </cell>
          <cell r="CK83">
            <v>0</v>
          </cell>
          <cell r="CP83">
            <v>0</v>
          </cell>
          <cell r="CQ83">
            <v>0</v>
          </cell>
          <cell r="CR83">
            <v>0</v>
          </cell>
          <cell r="CS83">
            <v>0</v>
          </cell>
          <cell r="CX83">
            <v>0</v>
          </cell>
          <cell r="CY83">
            <v>0</v>
          </cell>
          <cell r="CZ83">
            <v>0</v>
          </cell>
          <cell r="DA83">
            <v>0</v>
          </cell>
          <cell r="DF83">
            <v>0</v>
          </cell>
          <cell r="DG83">
            <v>0</v>
          </cell>
          <cell r="DH83">
            <v>0</v>
          </cell>
          <cell r="DI83">
            <v>0</v>
          </cell>
          <cell r="DN83">
            <v>0</v>
          </cell>
          <cell r="DO83">
            <v>0</v>
          </cell>
          <cell r="DP83">
            <v>0</v>
          </cell>
          <cell r="DQ83">
            <v>0</v>
          </cell>
          <cell r="DV83">
            <v>0</v>
          </cell>
          <cell r="DW83">
            <v>0</v>
          </cell>
          <cell r="DX83">
            <v>0</v>
          </cell>
          <cell r="DY83">
            <v>0</v>
          </cell>
        </row>
        <row r="84">
          <cell r="F84">
            <v>0</v>
          </cell>
          <cell r="G84">
            <v>0</v>
          </cell>
          <cell r="H84">
            <v>0</v>
          </cell>
          <cell r="I84">
            <v>0</v>
          </cell>
          <cell r="N84">
            <v>0</v>
          </cell>
          <cell r="O84">
            <v>0</v>
          </cell>
          <cell r="T84">
            <v>0</v>
          </cell>
          <cell r="U84">
            <v>0</v>
          </cell>
          <cell r="Z84">
            <v>0</v>
          </cell>
          <cell r="AA84">
            <v>0</v>
          </cell>
          <cell r="AF84">
            <v>0</v>
          </cell>
          <cell r="AG84">
            <v>0</v>
          </cell>
          <cell r="AL84">
            <v>0</v>
          </cell>
          <cell r="AM84">
            <v>0</v>
          </cell>
          <cell r="AR84">
            <v>0</v>
          </cell>
          <cell r="AS84">
            <v>0</v>
          </cell>
          <cell r="AX84">
            <v>0</v>
          </cell>
          <cell r="AY84">
            <v>0</v>
          </cell>
          <cell r="AZ84">
            <v>0</v>
          </cell>
          <cell r="BA84">
            <v>0</v>
          </cell>
          <cell r="BF84">
            <v>0</v>
          </cell>
          <cell r="BG84">
            <v>0</v>
          </cell>
          <cell r="BL84">
            <v>0</v>
          </cell>
          <cell r="BM84">
            <v>0</v>
          </cell>
          <cell r="BR84">
            <v>0</v>
          </cell>
          <cell r="BS84">
            <v>0</v>
          </cell>
          <cell r="BX84">
            <v>0</v>
          </cell>
          <cell r="BY84">
            <v>0</v>
          </cell>
          <cell r="CD84">
            <v>0</v>
          </cell>
          <cell r="CE84">
            <v>0</v>
          </cell>
          <cell r="CJ84">
            <v>0</v>
          </cell>
          <cell r="CK84">
            <v>0</v>
          </cell>
          <cell r="CP84">
            <v>0</v>
          </cell>
          <cell r="CQ84">
            <v>0</v>
          </cell>
          <cell r="CR84">
            <v>0</v>
          </cell>
          <cell r="CS84">
            <v>0</v>
          </cell>
          <cell r="CX84">
            <v>0</v>
          </cell>
          <cell r="CY84">
            <v>0</v>
          </cell>
          <cell r="CZ84">
            <v>0</v>
          </cell>
          <cell r="DA84">
            <v>0</v>
          </cell>
          <cell r="DF84">
            <v>0</v>
          </cell>
          <cell r="DG84">
            <v>0</v>
          </cell>
          <cell r="DH84">
            <v>0</v>
          </cell>
          <cell r="DI84">
            <v>0</v>
          </cell>
          <cell r="DN84">
            <v>0</v>
          </cell>
          <cell r="DO84">
            <v>0</v>
          </cell>
          <cell r="DP84">
            <v>0</v>
          </cell>
          <cell r="DQ84">
            <v>0</v>
          </cell>
          <cell r="DV84">
            <v>0</v>
          </cell>
          <cell r="DW84">
            <v>0</v>
          </cell>
          <cell r="DX84">
            <v>0</v>
          </cell>
          <cell r="DY84">
            <v>0</v>
          </cell>
        </row>
        <row r="85">
          <cell r="F85">
            <v>90000</v>
          </cell>
          <cell r="G85">
            <v>2411.4398199999996</v>
          </cell>
          <cell r="H85">
            <v>102.06899999999999</v>
          </cell>
          <cell r="I85">
            <v>4.232699450073774</v>
          </cell>
          <cell r="N85">
            <v>5331</v>
          </cell>
          <cell r="O85">
            <v>143.594762</v>
          </cell>
          <cell r="P85">
            <v>2.427</v>
          </cell>
          <cell r="T85">
            <v>5507</v>
          </cell>
          <cell r="U85">
            <v>148.931082</v>
          </cell>
          <cell r="V85">
            <v>6.9530000000000003</v>
          </cell>
          <cell r="Z85">
            <v>6662</v>
          </cell>
          <cell r="AA85">
            <v>181.069524</v>
          </cell>
          <cell r="AB85">
            <v>6.4390000000000001</v>
          </cell>
          <cell r="AF85">
            <v>6526</v>
          </cell>
          <cell r="AG85">
            <v>176.94600399999999</v>
          </cell>
          <cell r="AH85">
            <v>5.0380000000000003</v>
          </cell>
          <cell r="AL85">
            <v>6526</v>
          </cell>
          <cell r="AM85">
            <v>176.94600399999999</v>
          </cell>
          <cell r="AN85">
            <v>5.7290000000000001</v>
          </cell>
          <cell r="AR85">
            <v>6598</v>
          </cell>
          <cell r="AS85">
            <v>179.12904399999999</v>
          </cell>
          <cell r="AT85">
            <v>7.7249999999999996</v>
          </cell>
          <cell r="AX85">
            <v>37150</v>
          </cell>
          <cell r="AY85">
            <v>1006.6164199999998</v>
          </cell>
          <cell r="AZ85">
            <v>34.311</v>
          </cell>
          <cell r="BA85">
            <v>3.4085476173734586</v>
          </cell>
          <cell r="BF85">
            <v>7433.5</v>
          </cell>
          <cell r="BG85">
            <v>197.39610999999999</v>
          </cell>
          <cell r="BH85">
            <v>7.4640000000000004</v>
          </cell>
          <cell r="BL85">
            <v>8649.5</v>
          </cell>
          <cell r="BM85">
            <v>229.68970999999999</v>
          </cell>
          <cell r="BN85">
            <v>10.801</v>
          </cell>
          <cell r="BR85">
            <v>9078.5</v>
          </cell>
          <cell r="BS85">
            <v>241.343378</v>
          </cell>
          <cell r="BT85">
            <v>10.41</v>
          </cell>
          <cell r="BX85">
            <v>10758.5</v>
          </cell>
          <cell r="BY85">
            <v>286.89245</v>
          </cell>
          <cell r="BZ85">
            <v>17.372</v>
          </cell>
          <cell r="CD85">
            <v>9257</v>
          </cell>
          <cell r="CE85">
            <v>246.10461199999997</v>
          </cell>
          <cell r="CF85">
            <v>12.506</v>
          </cell>
          <cell r="CJ85">
            <v>7673</v>
          </cell>
          <cell r="CK85">
            <v>203.39714000000001</v>
          </cell>
          <cell r="CL85">
            <v>9.2050000000000001</v>
          </cell>
          <cell r="CP85">
            <v>52850</v>
          </cell>
          <cell r="CQ85">
            <v>1404.8234</v>
          </cell>
          <cell r="CR85">
            <v>67.757999999999996</v>
          </cell>
          <cell r="CS85">
            <v>4.8232397040083468</v>
          </cell>
          <cell r="CX85">
            <v>17500</v>
          </cell>
          <cell r="CY85">
            <v>473.59536800000001</v>
          </cell>
          <cell r="CZ85">
            <v>15.819000000000001</v>
          </cell>
          <cell r="DA85">
            <v>3.3401931414160284</v>
          </cell>
          <cell r="DF85">
            <v>19650</v>
          </cell>
          <cell r="DG85">
            <v>533.02105199999994</v>
          </cell>
          <cell r="DH85">
            <v>18.491999999999997</v>
          </cell>
          <cell r="DI85">
            <v>3.4692813596413075</v>
          </cell>
          <cell r="DN85">
            <v>25161.5</v>
          </cell>
          <cell r="DO85">
            <v>668.42919800000004</v>
          </cell>
          <cell r="DP85">
            <v>28.675000000000001</v>
          </cell>
          <cell r="DQ85">
            <v>4.2899083531656261</v>
          </cell>
          <cell r="DV85">
            <v>27688.5</v>
          </cell>
          <cell r="DW85">
            <v>736.39420199999995</v>
          </cell>
          <cell r="DX85">
            <v>39.082999999999998</v>
          </cell>
          <cell r="DY85">
            <v>5.3073475991327808</v>
          </cell>
        </row>
        <row r="86">
          <cell r="F86">
            <v>20000</v>
          </cell>
          <cell r="G86">
            <v>660.20002299999999</v>
          </cell>
          <cell r="H86">
            <v>81.53</v>
          </cell>
          <cell r="I86">
            <v>12.349287664293222</v>
          </cell>
          <cell r="N86">
            <v>464</v>
          </cell>
          <cell r="O86">
            <v>15.800017299999999</v>
          </cell>
          <cell r="P86">
            <v>-2.6720000000000002</v>
          </cell>
          <cell r="T86">
            <v>1208</v>
          </cell>
          <cell r="U86">
            <v>40.216713299999995</v>
          </cell>
          <cell r="V86">
            <v>4.508</v>
          </cell>
          <cell r="Z86">
            <v>928</v>
          </cell>
          <cell r="AA86">
            <v>31.600034599999997</v>
          </cell>
          <cell r="AB86">
            <v>4.1959999999999997</v>
          </cell>
          <cell r="AF86">
            <v>1594</v>
          </cell>
          <cell r="AG86">
            <v>53.178778599999994</v>
          </cell>
          <cell r="AH86">
            <v>6.165</v>
          </cell>
          <cell r="AL86">
            <v>1594</v>
          </cell>
          <cell r="AM86">
            <v>53.178778599999994</v>
          </cell>
          <cell r="AN86">
            <v>6.3579999999999997</v>
          </cell>
          <cell r="AR86">
            <v>1612</v>
          </cell>
          <cell r="AS86">
            <v>53.833690599999997</v>
          </cell>
          <cell r="AT86">
            <v>6.9160000000000004</v>
          </cell>
          <cell r="AX86">
            <v>7400</v>
          </cell>
          <cell r="AY86">
            <v>247.80801299999999</v>
          </cell>
          <cell r="AZ86">
            <v>25.470999999999997</v>
          </cell>
          <cell r="BA86">
            <v>10.278521542400648</v>
          </cell>
          <cell r="BF86">
            <v>1924</v>
          </cell>
          <cell r="BG86">
            <v>62.807481500000002</v>
          </cell>
          <cell r="BH86">
            <v>7.7869999999999999</v>
          </cell>
          <cell r="BL86">
            <v>1978</v>
          </cell>
          <cell r="BM86">
            <v>64.725561499999998</v>
          </cell>
          <cell r="BN86">
            <v>8.6549999999999994</v>
          </cell>
          <cell r="BR86">
            <v>2134</v>
          </cell>
          <cell r="BS86">
            <v>69.874281699999997</v>
          </cell>
          <cell r="BT86">
            <v>9.2739999999999991</v>
          </cell>
          <cell r="BX86">
            <v>2749</v>
          </cell>
          <cell r="BY86">
            <v>90.149482500000005</v>
          </cell>
          <cell r="BZ86">
            <v>13.157999999999999</v>
          </cell>
          <cell r="CD86">
            <v>2203</v>
          </cell>
          <cell r="CE86">
            <v>72.128961799999999</v>
          </cell>
          <cell r="CF86">
            <v>10.034000000000001</v>
          </cell>
          <cell r="CJ86">
            <v>1612</v>
          </cell>
          <cell r="CK86">
            <v>52.706240999999991</v>
          </cell>
          <cell r="CL86">
            <v>7.1509999999999998</v>
          </cell>
          <cell r="CP86">
            <v>12600</v>
          </cell>
          <cell r="CQ86">
            <v>412.39201000000003</v>
          </cell>
          <cell r="CR86">
            <v>56.059000000000005</v>
          </cell>
          <cell r="CS86">
            <v>13.59361933321647</v>
          </cell>
          <cell r="CX86">
            <v>2600</v>
          </cell>
          <cell r="CY86">
            <v>87.616765199999989</v>
          </cell>
          <cell r="CZ86">
            <v>6.032</v>
          </cell>
          <cell r="DA86">
            <v>6.8845271635296577</v>
          </cell>
          <cell r="DF86">
            <v>4800</v>
          </cell>
          <cell r="DG86">
            <v>160.19124779999999</v>
          </cell>
          <cell r="DH86">
            <v>19.439</v>
          </cell>
          <cell r="DI86">
            <v>12.134870204812778</v>
          </cell>
          <cell r="DN86">
            <v>6036</v>
          </cell>
          <cell r="DO86">
            <v>197.4073247</v>
          </cell>
          <cell r="DP86">
            <v>25.716000000000001</v>
          </cell>
          <cell r="DQ86">
            <v>13.026872249588822</v>
          </cell>
          <cell r="DV86">
            <v>6564</v>
          </cell>
          <cell r="DW86">
            <v>214.98468529999997</v>
          </cell>
          <cell r="DX86">
            <v>30.343</v>
          </cell>
          <cell r="DY86">
            <v>14.114028614483825</v>
          </cell>
        </row>
        <row r="87">
          <cell r="F87">
            <v>0</v>
          </cell>
          <cell r="G87">
            <v>0</v>
          </cell>
          <cell r="H87">
            <v>0</v>
          </cell>
          <cell r="I87">
            <v>0</v>
          </cell>
          <cell r="N87">
            <v>0</v>
          </cell>
          <cell r="O87">
            <v>0</v>
          </cell>
          <cell r="T87">
            <v>0</v>
          </cell>
          <cell r="U87">
            <v>0</v>
          </cell>
          <cell r="Z87">
            <v>0</v>
          </cell>
          <cell r="AA87">
            <v>0</v>
          </cell>
          <cell r="AF87">
            <v>0</v>
          </cell>
          <cell r="AG87">
            <v>0</v>
          </cell>
          <cell r="AL87">
            <v>0</v>
          </cell>
          <cell r="AM87">
            <v>0</v>
          </cell>
          <cell r="AR87">
            <v>0</v>
          </cell>
          <cell r="AS87">
            <v>0</v>
          </cell>
          <cell r="AX87">
            <v>0</v>
          </cell>
          <cell r="AY87">
            <v>0</v>
          </cell>
          <cell r="AZ87">
            <v>0</v>
          </cell>
          <cell r="BA87">
            <v>0</v>
          </cell>
          <cell r="BF87">
            <v>0</v>
          </cell>
          <cell r="BG87">
            <v>0</v>
          </cell>
          <cell r="BL87">
            <v>0</v>
          </cell>
          <cell r="BM87">
            <v>0</v>
          </cell>
          <cell r="BR87">
            <v>0</v>
          </cell>
          <cell r="BS87">
            <v>0</v>
          </cell>
          <cell r="BX87">
            <v>0</v>
          </cell>
          <cell r="BY87">
            <v>0</v>
          </cell>
          <cell r="CD87">
            <v>0</v>
          </cell>
          <cell r="CE87">
            <v>0</v>
          </cell>
          <cell r="CJ87">
            <v>0</v>
          </cell>
          <cell r="CK87">
            <v>0</v>
          </cell>
          <cell r="CP87">
            <v>0</v>
          </cell>
          <cell r="CQ87">
            <v>0</v>
          </cell>
          <cell r="CR87">
            <v>0</v>
          </cell>
          <cell r="CS87">
            <v>0</v>
          </cell>
          <cell r="CX87">
            <v>0</v>
          </cell>
          <cell r="CY87">
            <v>0</v>
          </cell>
          <cell r="CZ87">
            <v>0</v>
          </cell>
          <cell r="DA87">
            <v>0</v>
          </cell>
          <cell r="DF87">
            <v>0</v>
          </cell>
          <cell r="DG87">
            <v>0</v>
          </cell>
          <cell r="DH87">
            <v>0</v>
          </cell>
          <cell r="DI87">
            <v>0</v>
          </cell>
          <cell r="DN87">
            <v>0</v>
          </cell>
          <cell r="DO87">
            <v>0</v>
          </cell>
          <cell r="DP87">
            <v>0</v>
          </cell>
          <cell r="DQ87">
            <v>0</v>
          </cell>
          <cell r="DV87">
            <v>0</v>
          </cell>
          <cell r="DW87">
            <v>0</v>
          </cell>
          <cell r="DX87">
            <v>0</v>
          </cell>
          <cell r="DY87">
            <v>0</v>
          </cell>
        </row>
        <row r="88">
          <cell r="F88">
            <v>86000</v>
          </cell>
          <cell r="G88">
            <v>2985.3152</v>
          </cell>
          <cell r="H88">
            <v>-465.85400000000004</v>
          </cell>
          <cell r="I88">
            <v>-15.604851373818082</v>
          </cell>
          <cell r="N88">
            <v>5484</v>
          </cell>
          <cell r="O88">
            <v>191.094832</v>
          </cell>
          <cell r="P88">
            <v>-47.673999999999999</v>
          </cell>
          <cell r="T88">
            <v>5968</v>
          </cell>
          <cell r="U88">
            <v>211.63966400000001</v>
          </cell>
          <cell r="V88">
            <v>-36.94</v>
          </cell>
          <cell r="Z88">
            <v>6968</v>
          </cell>
          <cell r="AA88">
            <v>245.749664</v>
          </cell>
          <cell r="AB88">
            <v>-39.398000000000003</v>
          </cell>
          <cell r="AF88">
            <v>6594</v>
          </cell>
          <cell r="AG88">
            <v>229.874112</v>
          </cell>
          <cell r="AH88">
            <v>-38.387999999999998</v>
          </cell>
          <cell r="AL88">
            <v>6594</v>
          </cell>
          <cell r="AM88">
            <v>229.874112</v>
          </cell>
          <cell r="AN88">
            <v>-37.094999999999999</v>
          </cell>
          <cell r="AR88">
            <v>6792</v>
          </cell>
          <cell r="AS88">
            <v>238.27881600000001</v>
          </cell>
          <cell r="AT88">
            <v>-34.225999999999999</v>
          </cell>
          <cell r="AX88">
            <v>38400</v>
          </cell>
          <cell r="AY88">
            <v>1346.5111999999999</v>
          </cell>
          <cell r="AZ88">
            <v>-233.721</v>
          </cell>
          <cell r="BA88">
            <v>-17.357523650750174</v>
          </cell>
          <cell r="BF88">
            <v>7594</v>
          </cell>
          <cell r="BG88">
            <v>257.71535999999998</v>
          </cell>
          <cell r="BH88">
            <v>-44.4</v>
          </cell>
          <cell r="BL88">
            <v>8188</v>
          </cell>
          <cell r="BM88">
            <v>282.33071999999999</v>
          </cell>
          <cell r="BN88">
            <v>-40.716999999999999</v>
          </cell>
          <cell r="BR88">
            <v>8188</v>
          </cell>
          <cell r="BS88">
            <v>282.33071999999999</v>
          </cell>
          <cell r="BT88">
            <v>-40.232999999999997</v>
          </cell>
          <cell r="BX88">
            <v>8089</v>
          </cell>
          <cell r="BY88">
            <v>278.22816</v>
          </cell>
          <cell r="BZ88">
            <v>-37.773000000000003</v>
          </cell>
          <cell r="CD88">
            <v>8089</v>
          </cell>
          <cell r="CE88">
            <v>278.22816</v>
          </cell>
          <cell r="CF88">
            <v>-37.689</v>
          </cell>
          <cell r="CJ88">
            <v>7452</v>
          </cell>
          <cell r="CK88">
            <v>259.97088000000002</v>
          </cell>
          <cell r="CL88">
            <v>-31.321000000000002</v>
          </cell>
          <cell r="CP88">
            <v>47600</v>
          </cell>
          <cell r="CQ88">
            <v>1638.8039999999999</v>
          </cell>
          <cell r="CR88">
            <v>-232.13300000000001</v>
          </cell>
          <cell r="CS88">
            <v>-14.164781145274238</v>
          </cell>
          <cell r="CX88">
            <v>18420</v>
          </cell>
          <cell r="CY88">
            <v>648.48415999999997</v>
          </cell>
          <cell r="CZ88">
            <v>-124.012</v>
          </cell>
          <cell r="DA88">
            <v>-19.123366097330734</v>
          </cell>
          <cell r="DF88">
            <v>19980</v>
          </cell>
          <cell r="DG88">
            <v>698.02703999999994</v>
          </cell>
          <cell r="DH88">
            <v>-109.709</v>
          </cell>
          <cell r="DI88">
            <v>-15.717012911133072</v>
          </cell>
          <cell r="DN88">
            <v>23970</v>
          </cell>
          <cell r="DO88">
            <v>822.3768</v>
          </cell>
          <cell r="DP88">
            <v>-125.35</v>
          </cell>
          <cell r="DQ88">
            <v>-15.242404698187009</v>
          </cell>
          <cell r="DV88">
            <v>23630</v>
          </cell>
          <cell r="DW88">
            <v>816.42720000000008</v>
          </cell>
          <cell r="DX88">
            <v>-106.783</v>
          </cell>
          <cell r="DY88">
            <v>-13.079304560161638</v>
          </cell>
        </row>
        <row r="89">
          <cell r="F89">
            <v>9000</v>
          </cell>
          <cell r="G89">
            <v>430.38720000000001</v>
          </cell>
          <cell r="H89">
            <v>13.912000000000003</v>
          </cell>
          <cell r="I89">
            <v>3.2324381394242216</v>
          </cell>
          <cell r="N89">
            <v>396</v>
          </cell>
          <cell r="O89">
            <v>19.210751999999999</v>
          </cell>
          <cell r="P89">
            <v>-1.42</v>
          </cell>
          <cell r="T89">
            <v>792</v>
          </cell>
          <cell r="U89">
            <v>38.421503999999999</v>
          </cell>
          <cell r="V89">
            <v>-0.92700000000000005</v>
          </cell>
          <cell r="Z89">
            <v>792</v>
          </cell>
          <cell r="AA89">
            <v>38.421503999999999</v>
          </cell>
          <cell r="AB89">
            <v>0.10100000000000001</v>
          </cell>
          <cell r="AF89">
            <v>486</v>
          </cell>
          <cell r="AG89">
            <v>23.576832</v>
          </cell>
          <cell r="AH89">
            <v>0.47299999999999998</v>
          </cell>
          <cell r="AL89">
            <v>486</v>
          </cell>
          <cell r="AM89">
            <v>23.576832</v>
          </cell>
          <cell r="AN89">
            <v>0.79400000000000004</v>
          </cell>
          <cell r="AR89">
            <v>648</v>
          </cell>
          <cell r="AS89">
            <v>31.435776000000001</v>
          </cell>
          <cell r="AT89">
            <v>1.4490000000000001</v>
          </cell>
          <cell r="AX89">
            <v>3600</v>
          </cell>
          <cell r="AY89">
            <v>174.64319999999998</v>
          </cell>
          <cell r="AZ89">
            <v>0.4700000000000002</v>
          </cell>
          <cell r="BA89">
            <v>0.26912012606273833</v>
          </cell>
          <cell r="BF89">
            <v>486</v>
          </cell>
          <cell r="BG89">
            <v>23.016960000000001</v>
          </cell>
          <cell r="BH89">
            <v>0.77100000000000002</v>
          </cell>
          <cell r="BL89">
            <v>972</v>
          </cell>
          <cell r="BM89">
            <v>46.033920000000002</v>
          </cell>
          <cell r="BN89">
            <v>1.99</v>
          </cell>
          <cell r="BR89">
            <v>972</v>
          </cell>
          <cell r="BS89">
            <v>46.033920000000002</v>
          </cell>
          <cell r="BT89">
            <v>2.2650000000000001</v>
          </cell>
          <cell r="BX89">
            <v>891</v>
          </cell>
          <cell r="BY89">
            <v>42.197760000000002</v>
          </cell>
          <cell r="BZ89">
            <v>2.38</v>
          </cell>
          <cell r="CD89">
            <v>891</v>
          </cell>
          <cell r="CE89">
            <v>42.197760000000002</v>
          </cell>
          <cell r="CF89">
            <v>2.532</v>
          </cell>
          <cell r="CJ89">
            <v>1188</v>
          </cell>
          <cell r="CK89">
            <v>56.263680000000001</v>
          </cell>
          <cell r="CL89">
            <v>3.504</v>
          </cell>
          <cell r="CP89">
            <v>5400</v>
          </cell>
          <cell r="CQ89">
            <v>255.744</v>
          </cell>
          <cell r="CR89">
            <v>13.442000000000002</v>
          </cell>
          <cell r="CS89">
            <v>5.2560372872872883</v>
          </cell>
          <cell r="CX89">
            <v>1980</v>
          </cell>
          <cell r="CY89">
            <v>96.053759999999997</v>
          </cell>
          <cell r="CZ89">
            <v>-2.246</v>
          </cell>
          <cell r="DA89">
            <v>-2.3382738999493617</v>
          </cell>
          <cell r="DF89">
            <v>1620</v>
          </cell>
          <cell r="DG89">
            <v>78.589439999999996</v>
          </cell>
          <cell r="DH89">
            <v>2.7160000000000002</v>
          </cell>
          <cell r="DI89">
            <v>3.4559350467441941</v>
          </cell>
          <cell r="DN89">
            <v>2430</v>
          </cell>
          <cell r="DO89">
            <v>115.0848</v>
          </cell>
          <cell r="DP89">
            <v>5.0259999999999998</v>
          </cell>
          <cell r="DQ89">
            <v>4.3672144366588812</v>
          </cell>
          <cell r="DV89">
            <v>2970</v>
          </cell>
          <cell r="DW89">
            <v>140.6592</v>
          </cell>
          <cell r="DX89">
            <v>8.4160000000000004</v>
          </cell>
          <cell r="DY89">
            <v>5.9832559832559831</v>
          </cell>
        </row>
        <row r="90">
          <cell r="F90">
            <v>205000</v>
          </cell>
          <cell r="G90">
            <v>6487.3422430000001</v>
          </cell>
          <cell r="H90">
            <v>-268.34300000000007</v>
          </cell>
          <cell r="I90">
            <v>-4.1364088705131703</v>
          </cell>
          <cell r="N90">
            <v>11675</v>
          </cell>
          <cell r="O90">
            <v>369.70036329999999</v>
          </cell>
          <cell r="P90">
            <v>-49.338999999999999</v>
          </cell>
          <cell r="T90">
            <v>13475</v>
          </cell>
          <cell r="U90">
            <v>439.20896330000005</v>
          </cell>
          <cell r="V90">
            <v>-26.405999999999999</v>
          </cell>
          <cell r="Z90">
            <v>15350</v>
          </cell>
          <cell r="AA90">
            <v>496.84072660000004</v>
          </cell>
          <cell r="AB90">
            <v>-28.662000000000006</v>
          </cell>
          <cell r="AF90">
            <v>15200</v>
          </cell>
          <cell r="AG90">
            <v>483.5757266</v>
          </cell>
          <cell r="AH90">
            <v>-26.712</v>
          </cell>
          <cell r="AL90">
            <v>15200</v>
          </cell>
          <cell r="AM90">
            <v>483.5757266</v>
          </cell>
          <cell r="AN90">
            <v>-24.213999999999999</v>
          </cell>
          <cell r="AR90">
            <v>15650</v>
          </cell>
          <cell r="AS90">
            <v>502.67732659999996</v>
          </cell>
          <cell r="AT90">
            <v>-18.135999999999999</v>
          </cell>
          <cell r="AX90">
            <v>86550</v>
          </cell>
          <cell r="AY90">
            <v>2775.578833</v>
          </cell>
          <cell r="AZ90">
            <v>-173.46900000000002</v>
          </cell>
          <cell r="BA90">
            <v>-6.2498314923559599</v>
          </cell>
          <cell r="BF90">
            <v>17437.5</v>
          </cell>
          <cell r="BG90">
            <v>540.93591150000009</v>
          </cell>
          <cell r="BH90">
            <v>-28.377999999999997</v>
          </cell>
          <cell r="BL90">
            <v>19787.5</v>
          </cell>
          <cell r="BM90">
            <v>622.77991149999991</v>
          </cell>
          <cell r="BN90">
            <v>-19.271000000000001</v>
          </cell>
          <cell r="BR90">
            <v>20372.5</v>
          </cell>
          <cell r="BS90">
            <v>639.58229969999991</v>
          </cell>
          <cell r="BT90">
            <v>-18.283999999999999</v>
          </cell>
          <cell r="BX90">
            <v>22487.5</v>
          </cell>
          <cell r="BY90">
            <v>697.46785250000005</v>
          </cell>
          <cell r="BZ90">
            <v>-4.8630000000000022</v>
          </cell>
          <cell r="CD90">
            <v>20440</v>
          </cell>
          <cell r="CE90">
            <v>638.65949380000006</v>
          </cell>
          <cell r="CF90">
            <v>-12.617000000000001</v>
          </cell>
          <cell r="CJ90">
            <v>17925</v>
          </cell>
          <cell r="CK90">
            <v>572.337941</v>
          </cell>
          <cell r="CL90">
            <v>-11.461</v>
          </cell>
          <cell r="CP90">
            <v>118450</v>
          </cell>
          <cell r="CQ90">
            <v>3711.76341</v>
          </cell>
          <cell r="CR90">
            <v>-94.873999999999995</v>
          </cell>
          <cell r="CS90">
            <v>-2.556035757677777</v>
          </cell>
          <cell r="CX90">
            <v>40500</v>
          </cell>
          <cell r="CY90">
            <v>1305.7500532000001</v>
          </cell>
          <cell r="CZ90">
            <v>-104.407</v>
          </cell>
          <cell r="DA90">
            <v>-7.9959407042817938</v>
          </cell>
          <cell r="DF90">
            <v>46050</v>
          </cell>
          <cell r="DG90">
            <v>1469.8287797999999</v>
          </cell>
          <cell r="DH90">
            <v>-69.062000000000012</v>
          </cell>
          <cell r="DI90">
            <v>-4.6986425187154994</v>
          </cell>
          <cell r="DN90">
            <v>57597.5</v>
          </cell>
          <cell r="DO90">
            <v>1803.2981227</v>
          </cell>
          <cell r="DP90">
            <v>-65.932999999999993</v>
          </cell>
          <cell r="DQ90">
            <v>-3.6562451416120467</v>
          </cell>
          <cell r="DV90">
            <v>60852.5</v>
          </cell>
          <cell r="DW90">
            <v>1908.4652873</v>
          </cell>
          <cell r="DX90">
            <v>-28.940999999999999</v>
          </cell>
          <cell r="DY90">
            <v>-1.516454094952089</v>
          </cell>
        </row>
        <row r="91">
          <cell r="F91">
            <v>163000</v>
          </cell>
          <cell r="G91">
            <v>10211.71132</v>
          </cell>
          <cell r="H91">
            <v>735.02799999999991</v>
          </cell>
          <cell r="I91">
            <v>7.1978924684290808</v>
          </cell>
          <cell r="N91">
            <v>10017</v>
          </cell>
          <cell r="O91">
            <v>631.61865999999998</v>
          </cell>
          <cell r="P91">
            <v>38.430999999999997</v>
          </cell>
          <cell r="T91">
            <v>10809</v>
          </cell>
          <cell r="U91">
            <v>687.44990800000005</v>
          </cell>
          <cell r="V91">
            <v>49.164000000000001</v>
          </cell>
          <cell r="Z91">
            <v>13034</v>
          </cell>
          <cell r="AA91">
            <v>828.14531999999997</v>
          </cell>
          <cell r="AB91">
            <v>58.957999999999998</v>
          </cell>
          <cell r="AF91">
            <v>12422</v>
          </cell>
          <cell r="AG91">
            <v>785.00299199999995</v>
          </cell>
          <cell r="AH91">
            <v>52.177999999999997</v>
          </cell>
          <cell r="AL91">
            <v>12422</v>
          </cell>
          <cell r="AM91">
            <v>785.00299199999995</v>
          </cell>
          <cell r="AN91">
            <v>52.387</v>
          </cell>
          <cell r="AR91">
            <v>12746</v>
          </cell>
          <cell r="AS91">
            <v>807.84304799999995</v>
          </cell>
          <cell r="AT91">
            <v>56.76</v>
          </cell>
          <cell r="AX91">
            <v>71450</v>
          </cell>
          <cell r="AY91">
            <v>4525.0629200000003</v>
          </cell>
          <cell r="AZ91">
            <v>307.87799999999999</v>
          </cell>
          <cell r="BA91">
            <v>6.8038390944628002</v>
          </cell>
          <cell r="BF91">
            <v>13384.5</v>
          </cell>
          <cell r="BG91">
            <v>826.60590000000002</v>
          </cell>
          <cell r="BH91">
            <v>39.920999999999999</v>
          </cell>
          <cell r="BL91">
            <v>16356.5</v>
          </cell>
          <cell r="BM91">
            <v>1014.85894</v>
          </cell>
          <cell r="BN91">
            <v>60.274999999999999</v>
          </cell>
          <cell r="BR91">
            <v>16811.5</v>
          </cell>
          <cell r="BS91">
            <v>1043.337988</v>
          </cell>
          <cell r="BT91">
            <v>70.438000000000002</v>
          </cell>
          <cell r="BX91">
            <v>18469.5</v>
          </cell>
          <cell r="BY91">
            <v>1146.1053400000001</v>
          </cell>
          <cell r="BZ91">
            <v>94.789000000000001</v>
          </cell>
          <cell r="CD91">
            <v>14877</v>
          </cell>
          <cell r="CE91">
            <v>925.06867199999999</v>
          </cell>
          <cell r="CF91">
            <v>84.986999999999995</v>
          </cell>
          <cell r="CJ91">
            <v>11651</v>
          </cell>
          <cell r="CK91">
            <v>730.67156</v>
          </cell>
          <cell r="CL91">
            <v>76.739999999999995</v>
          </cell>
          <cell r="CP91">
            <v>91550</v>
          </cell>
          <cell r="CQ91">
            <v>5686.6484</v>
          </cell>
          <cell r="CR91">
            <v>427.14999999999992</v>
          </cell>
          <cell r="CS91">
            <v>7.5114543744255382</v>
          </cell>
          <cell r="CX91">
            <v>33860</v>
          </cell>
          <cell r="CY91">
            <v>2147.2138880000002</v>
          </cell>
          <cell r="CZ91">
            <v>146.553</v>
          </cell>
          <cell r="DA91">
            <v>6.825263231531407</v>
          </cell>
          <cell r="DF91">
            <v>37590</v>
          </cell>
          <cell r="DG91">
            <v>2377.8490320000001</v>
          </cell>
          <cell r="DH91">
            <v>161.32499999999999</v>
          </cell>
          <cell r="DI91">
            <v>6.7844929526207185</v>
          </cell>
          <cell r="DN91">
            <v>46552.5</v>
          </cell>
          <cell r="DO91">
            <v>2884.8028279999999</v>
          </cell>
          <cell r="DP91">
            <v>170.63400000000001</v>
          </cell>
          <cell r="DQ91">
            <v>5.9149276457933375</v>
          </cell>
          <cell r="DV91">
            <v>44997.5</v>
          </cell>
          <cell r="DW91">
            <v>2801.8455720000002</v>
          </cell>
          <cell r="DX91">
            <v>256.51600000000002</v>
          </cell>
          <cell r="DY91">
            <v>9.1552511874126949</v>
          </cell>
        </row>
        <row r="92">
          <cell r="F92">
            <v>50000</v>
          </cell>
          <cell r="G92">
            <v>3180.1900000000005</v>
          </cell>
          <cell r="H92">
            <v>239.90199999999999</v>
          </cell>
          <cell r="I92">
            <v>7.5436373298450707</v>
          </cell>
          <cell r="N92">
            <v>3500</v>
          </cell>
          <cell r="O92">
            <v>225.505</v>
          </cell>
          <cell r="P92">
            <v>10.368</v>
          </cell>
          <cell r="T92">
            <v>3500</v>
          </cell>
          <cell r="U92">
            <v>225.505</v>
          </cell>
          <cell r="V92">
            <v>14.032</v>
          </cell>
          <cell r="Z92">
            <v>4000</v>
          </cell>
          <cell r="AA92">
            <v>257.72000000000003</v>
          </cell>
          <cell r="AB92">
            <v>14.932</v>
          </cell>
          <cell r="AF92">
            <v>4000</v>
          </cell>
          <cell r="AG92">
            <v>257.72000000000003</v>
          </cell>
          <cell r="AH92">
            <v>10.401</v>
          </cell>
          <cell r="AL92">
            <v>4000</v>
          </cell>
          <cell r="AM92">
            <v>257.72000000000003</v>
          </cell>
          <cell r="AN92">
            <v>14.138999999999999</v>
          </cell>
          <cell r="AR92">
            <v>4000</v>
          </cell>
          <cell r="AS92">
            <v>257.72000000000003</v>
          </cell>
          <cell r="AT92">
            <v>14.567</v>
          </cell>
          <cell r="AX92">
            <v>23000</v>
          </cell>
          <cell r="AY92">
            <v>1481.8900000000003</v>
          </cell>
          <cell r="AZ92">
            <v>78.438999999999993</v>
          </cell>
          <cell r="BA92">
            <v>5.2931729075707352</v>
          </cell>
          <cell r="BF92">
            <v>4000</v>
          </cell>
          <cell r="BG92">
            <v>251.6</v>
          </cell>
          <cell r="BH92">
            <v>21.51</v>
          </cell>
          <cell r="BL92">
            <v>4500</v>
          </cell>
          <cell r="BM92">
            <v>283.05</v>
          </cell>
          <cell r="BN92">
            <v>21.908000000000001</v>
          </cell>
          <cell r="BR92">
            <v>5000</v>
          </cell>
          <cell r="BS92">
            <v>314.5</v>
          </cell>
          <cell r="BT92">
            <v>26.728999999999999</v>
          </cell>
          <cell r="BX92">
            <v>5000</v>
          </cell>
          <cell r="BY92">
            <v>314.5</v>
          </cell>
          <cell r="BZ92">
            <v>36.177</v>
          </cell>
          <cell r="CD92">
            <v>4500</v>
          </cell>
          <cell r="CE92">
            <v>283.05</v>
          </cell>
          <cell r="CF92">
            <v>25.975999999999999</v>
          </cell>
          <cell r="CJ92">
            <v>4000</v>
          </cell>
          <cell r="CK92">
            <v>251.6</v>
          </cell>
          <cell r="CL92">
            <v>29.163</v>
          </cell>
          <cell r="CP92">
            <v>27000</v>
          </cell>
          <cell r="CQ92">
            <v>1698.3</v>
          </cell>
          <cell r="CR92">
            <v>161.46299999999999</v>
          </cell>
          <cell r="CS92">
            <v>9.5073308602720363</v>
          </cell>
          <cell r="CX92">
            <v>11000</v>
          </cell>
          <cell r="CY92">
            <v>708.73</v>
          </cell>
          <cell r="CZ92">
            <v>39.332000000000001</v>
          </cell>
          <cell r="DA92">
            <v>5.5496451398981277</v>
          </cell>
          <cell r="DF92">
            <v>12000</v>
          </cell>
          <cell r="DG92">
            <v>773.16000000000008</v>
          </cell>
          <cell r="DH92">
            <v>39.106999999999999</v>
          </cell>
          <cell r="DI92">
            <v>5.0580733612706288</v>
          </cell>
          <cell r="DN92">
            <v>13500</v>
          </cell>
          <cell r="DO92">
            <v>849.15</v>
          </cell>
          <cell r="DP92">
            <v>70.147000000000006</v>
          </cell>
          <cell r="DQ92">
            <v>8.2608490843784956</v>
          </cell>
          <cell r="DV92">
            <v>13500</v>
          </cell>
          <cell r="DW92">
            <v>849.15</v>
          </cell>
          <cell r="DX92">
            <v>91.316000000000003</v>
          </cell>
          <cell r="DY92">
            <v>10.753812636165577</v>
          </cell>
        </row>
        <row r="93">
          <cell r="F93">
            <v>34000</v>
          </cell>
          <cell r="G93">
            <v>2389.9179099999997</v>
          </cell>
          <cell r="H93">
            <v>201.85900000000001</v>
          </cell>
          <cell r="I93">
            <v>8.4462733701175541</v>
          </cell>
          <cell r="N93">
            <v>1553</v>
          </cell>
          <cell r="O93">
            <v>110.55240499999999</v>
          </cell>
          <cell r="P93">
            <v>-13.129</v>
          </cell>
          <cell r="T93">
            <v>2081</v>
          </cell>
          <cell r="U93">
            <v>150.97502900000001</v>
          </cell>
          <cell r="V93">
            <v>-4.1130000000000004</v>
          </cell>
          <cell r="Z93">
            <v>2606</v>
          </cell>
          <cell r="AA93">
            <v>186.99481</v>
          </cell>
          <cell r="AB93">
            <v>2.1739999999999999</v>
          </cell>
          <cell r="AF93">
            <v>2198</v>
          </cell>
          <cell r="AG93">
            <v>155.75914599999999</v>
          </cell>
          <cell r="AH93">
            <v>4.9539999999999997</v>
          </cell>
          <cell r="AL93">
            <v>2198</v>
          </cell>
          <cell r="AM93">
            <v>155.75914599999999</v>
          </cell>
          <cell r="AN93">
            <v>9.3879999999999999</v>
          </cell>
          <cell r="AR93">
            <v>2414</v>
          </cell>
          <cell r="AS93">
            <v>172.29567399999999</v>
          </cell>
          <cell r="AT93">
            <v>14.771000000000001</v>
          </cell>
          <cell r="AX93">
            <v>13050</v>
          </cell>
          <cell r="AY93">
            <v>932.33621000000005</v>
          </cell>
          <cell r="AZ93">
            <v>14.045</v>
          </cell>
          <cell r="BA93">
            <v>1.5064308185563231</v>
          </cell>
          <cell r="BF93">
            <v>2610.5</v>
          </cell>
          <cell r="BG93">
            <v>179.68957499999999</v>
          </cell>
          <cell r="BH93">
            <v>13.747</v>
          </cell>
          <cell r="BL93">
            <v>3258.5</v>
          </cell>
          <cell r="BM93">
            <v>228.121095</v>
          </cell>
          <cell r="BN93">
            <v>25.437000000000001</v>
          </cell>
          <cell r="BR93">
            <v>3953.5</v>
          </cell>
          <cell r="BS93">
            <v>274.482169</v>
          </cell>
          <cell r="BT93">
            <v>32.902999999999999</v>
          </cell>
          <cell r="BX93">
            <v>4625.5</v>
          </cell>
          <cell r="BY93">
            <v>318.65454499999998</v>
          </cell>
          <cell r="BZ93">
            <v>42.676000000000002</v>
          </cell>
          <cell r="CD93">
            <v>3443</v>
          </cell>
          <cell r="CE93">
            <v>239.64078600000002</v>
          </cell>
          <cell r="CF93">
            <v>35.473999999999997</v>
          </cell>
          <cell r="CJ93">
            <v>3059</v>
          </cell>
          <cell r="CK93">
            <v>216.99352999999999</v>
          </cell>
          <cell r="CL93">
            <v>37.576999999999998</v>
          </cell>
          <cell r="CP93">
            <v>20950</v>
          </cell>
          <cell r="CQ93">
            <v>1457.5816999999997</v>
          </cell>
          <cell r="CR93">
            <v>187.81400000000002</v>
          </cell>
          <cell r="CS93">
            <v>12.885315450928072</v>
          </cell>
          <cell r="CX93">
            <v>6240</v>
          </cell>
          <cell r="CY93">
            <v>448.522244</v>
          </cell>
          <cell r="CZ93">
            <v>-15.068000000000001</v>
          </cell>
          <cell r="DA93">
            <v>-3.3594766372389775</v>
          </cell>
          <cell r="DF93">
            <v>6810</v>
          </cell>
          <cell r="DG93">
            <v>483.81396599999994</v>
          </cell>
          <cell r="DH93">
            <v>29.113</v>
          </cell>
          <cell r="DI93">
            <v>6.017395537523611</v>
          </cell>
          <cell r="DN93">
            <v>9822.5</v>
          </cell>
          <cell r="DO93">
            <v>682.29283899999996</v>
          </cell>
          <cell r="DP93">
            <v>72.086999999999989</v>
          </cell>
          <cell r="DQ93">
            <v>10.565404746978444</v>
          </cell>
          <cell r="DV93">
            <v>11127.5</v>
          </cell>
          <cell r="DW93">
            <v>775.288861</v>
          </cell>
          <cell r="DX93">
            <v>115.727</v>
          </cell>
          <cell r="DY93">
            <v>14.926952497515632</v>
          </cell>
        </row>
        <row r="94">
          <cell r="F94">
            <v>33000</v>
          </cell>
          <cell r="G94">
            <v>2296.17</v>
          </cell>
          <cell r="H94">
            <v>196.065</v>
          </cell>
          <cell r="I94">
            <v>8.5387841492572409</v>
          </cell>
          <cell r="N94">
            <v>2500</v>
          </cell>
          <cell r="O94">
            <v>176.23500000000001</v>
          </cell>
          <cell r="P94">
            <v>11.673999999999999</v>
          </cell>
          <cell r="T94">
            <v>2500</v>
          </cell>
          <cell r="U94">
            <v>176.23500000000001</v>
          </cell>
          <cell r="V94">
            <v>14.349</v>
          </cell>
          <cell r="Z94">
            <v>2500</v>
          </cell>
          <cell r="AA94">
            <v>176.23500000000001</v>
          </cell>
          <cell r="AB94">
            <v>11.625999999999999</v>
          </cell>
          <cell r="AF94">
            <v>2500</v>
          </cell>
          <cell r="AG94">
            <v>176.23500000000001</v>
          </cell>
          <cell r="AH94">
            <v>8.9770000000000003</v>
          </cell>
          <cell r="AL94">
            <v>2500</v>
          </cell>
          <cell r="AM94">
            <v>176.23500000000001</v>
          </cell>
          <cell r="AN94">
            <v>11.327999999999999</v>
          </cell>
          <cell r="AR94">
            <v>2500</v>
          </cell>
          <cell r="AS94">
            <v>176.23500000000001</v>
          </cell>
          <cell r="AT94">
            <v>11.782999999999999</v>
          </cell>
          <cell r="AX94">
            <v>15000</v>
          </cell>
          <cell r="AY94">
            <v>1057.4100000000001</v>
          </cell>
          <cell r="AZ94">
            <v>69.736999999999995</v>
          </cell>
          <cell r="BA94">
            <v>6.5950766495493696</v>
          </cell>
          <cell r="BF94">
            <v>3000</v>
          </cell>
          <cell r="BG94">
            <v>206.46</v>
          </cell>
          <cell r="BH94">
            <v>19.102</v>
          </cell>
          <cell r="BL94">
            <v>3000</v>
          </cell>
          <cell r="BM94">
            <v>206.46</v>
          </cell>
          <cell r="BN94">
            <v>17.433</v>
          </cell>
          <cell r="BR94">
            <v>3000</v>
          </cell>
          <cell r="BS94">
            <v>206.46</v>
          </cell>
          <cell r="BT94">
            <v>19.248999999999999</v>
          </cell>
          <cell r="BX94">
            <v>3000</v>
          </cell>
          <cell r="BY94">
            <v>206.46</v>
          </cell>
          <cell r="BZ94">
            <v>24.94</v>
          </cell>
          <cell r="CD94">
            <v>3000</v>
          </cell>
          <cell r="CE94">
            <v>206.46</v>
          </cell>
          <cell r="CF94">
            <v>20.472999999999999</v>
          </cell>
          <cell r="CJ94">
            <v>3000</v>
          </cell>
          <cell r="CK94">
            <v>206.46</v>
          </cell>
          <cell r="CL94">
            <v>25.131</v>
          </cell>
          <cell r="CP94">
            <v>18000</v>
          </cell>
          <cell r="CQ94">
            <v>1238.76</v>
          </cell>
          <cell r="CR94">
            <v>126.328</v>
          </cell>
          <cell r="CS94">
            <v>10.19793987535923</v>
          </cell>
          <cell r="CX94">
            <v>7500</v>
          </cell>
          <cell r="CY94">
            <v>528.70500000000004</v>
          </cell>
          <cell r="CZ94">
            <v>37.649000000000001</v>
          </cell>
          <cell r="DA94">
            <v>7.12098429180734</v>
          </cell>
          <cell r="DF94">
            <v>7500</v>
          </cell>
          <cell r="DG94">
            <v>528.70500000000004</v>
          </cell>
          <cell r="DH94">
            <v>32.088000000000001</v>
          </cell>
          <cell r="DI94">
            <v>6.0691690072914</v>
          </cell>
          <cell r="DN94">
            <v>9000</v>
          </cell>
          <cell r="DO94">
            <v>619.38</v>
          </cell>
          <cell r="DP94">
            <v>55.783999999999992</v>
          </cell>
          <cell r="DQ94">
            <v>9.0064257806193275</v>
          </cell>
          <cell r="DV94">
            <v>9000</v>
          </cell>
          <cell r="DW94">
            <v>619.38</v>
          </cell>
          <cell r="DX94">
            <v>70.543999999999997</v>
          </cell>
          <cell r="DY94">
            <v>11.389453970099131</v>
          </cell>
        </row>
        <row r="95">
          <cell r="F95">
            <v>0</v>
          </cell>
          <cell r="G95">
            <v>0</v>
          </cell>
          <cell r="H95">
            <v>0</v>
          </cell>
          <cell r="I95">
            <v>0</v>
          </cell>
          <cell r="N95">
            <v>0</v>
          </cell>
          <cell r="O95">
            <v>0</v>
          </cell>
          <cell r="T95">
            <v>0</v>
          </cell>
          <cell r="U95">
            <v>0</v>
          </cell>
          <cell r="Z95">
            <v>0</v>
          </cell>
          <cell r="AA95">
            <v>0</v>
          </cell>
          <cell r="AF95">
            <v>0</v>
          </cell>
          <cell r="AG95">
            <v>0</v>
          </cell>
          <cell r="AL95">
            <v>0</v>
          </cell>
          <cell r="AM95">
            <v>0</v>
          </cell>
          <cell r="AR95">
            <v>0</v>
          </cell>
          <cell r="AS95">
            <v>0</v>
          </cell>
          <cell r="AX95">
            <v>0</v>
          </cell>
          <cell r="AY95">
            <v>0</v>
          </cell>
          <cell r="AZ95">
            <v>0</v>
          </cell>
          <cell r="BA95">
            <v>0</v>
          </cell>
          <cell r="BF95">
            <v>0</v>
          </cell>
          <cell r="BG95">
            <v>0</v>
          </cell>
          <cell r="BL95">
            <v>0</v>
          </cell>
          <cell r="BM95">
            <v>0</v>
          </cell>
          <cell r="BR95">
            <v>0</v>
          </cell>
          <cell r="BS95">
            <v>0</v>
          </cell>
          <cell r="BX95">
            <v>0</v>
          </cell>
          <cell r="BY95">
            <v>0</v>
          </cell>
          <cell r="CD95">
            <v>0</v>
          </cell>
          <cell r="CE95">
            <v>0</v>
          </cell>
          <cell r="CJ95">
            <v>0</v>
          </cell>
          <cell r="CK95">
            <v>0</v>
          </cell>
          <cell r="CP95">
            <v>0</v>
          </cell>
          <cell r="CQ95">
            <v>0</v>
          </cell>
          <cell r="CR95">
            <v>0</v>
          </cell>
          <cell r="CS95">
            <v>0</v>
          </cell>
          <cell r="CX95">
            <v>0</v>
          </cell>
          <cell r="CY95">
            <v>0</v>
          </cell>
          <cell r="CZ95">
            <v>0</v>
          </cell>
          <cell r="DA95">
            <v>0</v>
          </cell>
          <cell r="DF95">
            <v>0</v>
          </cell>
          <cell r="DG95">
            <v>0</v>
          </cell>
          <cell r="DH95">
            <v>0</v>
          </cell>
          <cell r="DI95">
            <v>0</v>
          </cell>
          <cell r="DN95">
            <v>0</v>
          </cell>
          <cell r="DO95">
            <v>0</v>
          </cell>
          <cell r="DP95">
            <v>0</v>
          </cell>
          <cell r="DQ95">
            <v>0</v>
          </cell>
          <cell r="DV95">
            <v>0</v>
          </cell>
          <cell r="DW95">
            <v>0</v>
          </cell>
          <cell r="DX95">
            <v>0</v>
          </cell>
          <cell r="DY95">
            <v>0</v>
          </cell>
        </row>
        <row r="96">
          <cell r="F96">
            <v>0</v>
          </cell>
          <cell r="G96">
            <v>0</v>
          </cell>
          <cell r="H96">
            <v>0</v>
          </cell>
          <cell r="I96">
            <v>0</v>
          </cell>
          <cell r="N96">
            <v>0</v>
          </cell>
          <cell r="O96">
            <v>0</v>
          </cell>
          <cell r="T96">
            <v>0</v>
          </cell>
          <cell r="U96">
            <v>0</v>
          </cell>
          <cell r="Z96">
            <v>0</v>
          </cell>
          <cell r="AA96">
            <v>0</v>
          </cell>
          <cell r="AF96">
            <v>0</v>
          </cell>
          <cell r="AG96">
            <v>0</v>
          </cell>
          <cell r="AL96">
            <v>0</v>
          </cell>
          <cell r="AM96">
            <v>0</v>
          </cell>
          <cell r="AR96">
            <v>0</v>
          </cell>
          <cell r="AS96">
            <v>0</v>
          </cell>
          <cell r="AX96">
            <v>0</v>
          </cell>
          <cell r="AY96">
            <v>0</v>
          </cell>
          <cell r="AZ96">
            <v>0</v>
          </cell>
          <cell r="BA96">
            <v>0</v>
          </cell>
          <cell r="BF96">
            <v>0</v>
          </cell>
          <cell r="BG96">
            <v>0</v>
          </cell>
          <cell r="BL96">
            <v>0</v>
          </cell>
          <cell r="BM96">
            <v>0</v>
          </cell>
          <cell r="BR96">
            <v>0</v>
          </cell>
          <cell r="BS96">
            <v>0</v>
          </cell>
          <cell r="BX96">
            <v>0</v>
          </cell>
          <cell r="BY96">
            <v>0</v>
          </cell>
          <cell r="CD96">
            <v>0</v>
          </cell>
          <cell r="CE96">
            <v>0</v>
          </cell>
          <cell r="CJ96">
            <v>0</v>
          </cell>
          <cell r="CK96">
            <v>0</v>
          </cell>
          <cell r="CP96">
            <v>0</v>
          </cell>
          <cell r="CQ96">
            <v>0</v>
          </cell>
          <cell r="CR96">
            <v>0</v>
          </cell>
          <cell r="CS96">
            <v>0</v>
          </cell>
          <cell r="CX96">
            <v>0</v>
          </cell>
          <cell r="CY96">
            <v>0</v>
          </cell>
          <cell r="CZ96">
            <v>0</v>
          </cell>
          <cell r="DA96">
            <v>0</v>
          </cell>
          <cell r="DF96">
            <v>0</v>
          </cell>
          <cell r="DG96">
            <v>0</v>
          </cell>
          <cell r="DH96">
            <v>0</v>
          </cell>
          <cell r="DI96">
            <v>0</v>
          </cell>
          <cell r="DN96">
            <v>0</v>
          </cell>
          <cell r="DO96">
            <v>0</v>
          </cell>
          <cell r="DP96">
            <v>0</v>
          </cell>
          <cell r="DQ96">
            <v>0</v>
          </cell>
          <cell r="DV96">
            <v>0</v>
          </cell>
          <cell r="DW96">
            <v>0</v>
          </cell>
          <cell r="DX96">
            <v>0</v>
          </cell>
          <cell r="DY96">
            <v>0</v>
          </cell>
        </row>
        <row r="97">
          <cell r="F97">
            <v>0</v>
          </cell>
          <cell r="G97">
            <v>0</v>
          </cell>
          <cell r="H97">
            <v>0</v>
          </cell>
          <cell r="I97">
            <v>0</v>
          </cell>
          <cell r="N97">
            <v>0</v>
          </cell>
          <cell r="O97">
            <v>0</v>
          </cell>
          <cell r="T97">
            <v>0</v>
          </cell>
          <cell r="U97">
            <v>0</v>
          </cell>
          <cell r="Z97">
            <v>0</v>
          </cell>
          <cell r="AA97">
            <v>0</v>
          </cell>
          <cell r="AF97">
            <v>0</v>
          </cell>
          <cell r="AG97">
            <v>0</v>
          </cell>
          <cell r="AL97">
            <v>0</v>
          </cell>
          <cell r="AM97">
            <v>0</v>
          </cell>
          <cell r="AR97">
            <v>0</v>
          </cell>
          <cell r="AS97">
            <v>0</v>
          </cell>
          <cell r="AX97">
            <v>0</v>
          </cell>
          <cell r="AY97">
            <v>0</v>
          </cell>
          <cell r="AZ97">
            <v>0</v>
          </cell>
          <cell r="BA97">
            <v>0</v>
          </cell>
          <cell r="BF97">
            <v>0</v>
          </cell>
          <cell r="BG97">
            <v>0</v>
          </cell>
          <cell r="BL97">
            <v>0</v>
          </cell>
          <cell r="BM97">
            <v>0</v>
          </cell>
          <cell r="BR97">
            <v>0</v>
          </cell>
          <cell r="BS97">
            <v>0</v>
          </cell>
          <cell r="BX97">
            <v>0</v>
          </cell>
          <cell r="BY97">
            <v>0</v>
          </cell>
          <cell r="CD97">
            <v>0</v>
          </cell>
          <cell r="CE97">
            <v>0</v>
          </cell>
          <cell r="CJ97">
            <v>0</v>
          </cell>
          <cell r="CK97">
            <v>0</v>
          </cell>
          <cell r="CP97">
            <v>0</v>
          </cell>
          <cell r="CQ97">
            <v>0</v>
          </cell>
          <cell r="CR97">
            <v>0</v>
          </cell>
          <cell r="CS97">
            <v>0</v>
          </cell>
          <cell r="CX97">
            <v>0</v>
          </cell>
          <cell r="CY97">
            <v>0</v>
          </cell>
          <cell r="CZ97">
            <v>0</v>
          </cell>
          <cell r="DA97">
            <v>0</v>
          </cell>
          <cell r="DF97">
            <v>0</v>
          </cell>
          <cell r="DG97">
            <v>0</v>
          </cell>
          <cell r="DH97">
            <v>0</v>
          </cell>
          <cell r="DI97">
            <v>0</v>
          </cell>
          <cell r="DN97">
            <v>0</v>
          </cell>
          <cell r="DO97">
            <v>0</v>
          </cell>
          <cell r="DP97">
            <v>0</v>
          </cell>
          <cell r="DQ97">
            <v>0</v>
          </cell>
          <cell r="DV97">
            <v>0</v>
          </cell>
          <cell r="DW97">
            <v>0</v>
          </cell>
          <cell r="DX97">
            <v>0</v>
          </cell>
          <cell r="DY97">
            <v>0</v>
          </cell>
        </row>
        <row r="98">
          <cell r="F98">
            <v>0</v>
          </cell>
          <cell r="G98">
            <v>0</v>
          </cell>
          <cell r="H98">
            <v>0</v>
          </cell>
          <cell r="I98">
            <v>0</v>
          </cell>
          <cell r="N98">
            <v>0</v>
          </cell>
          <cell r="O98">
            <v>0</v>
          </cell>
          <cell r="T98">
            <v>0</v>
          </cell>
          <cell r="U98">
            <v>0</v>
          </cell>
          <cell r="Z98">
            <v>0</v>
          </cell>
          <cell r="AA98">
            <v>0</v>
          </cell>
          <cell r="AF98">
            <v>0</v>
          </cell>
          <cell r="AG98">
            <v>0</v>
          </cell>
          <cell r="AL98">
            <v>0</v>
          </cell>
          <cell r="AM98">
            <v>0</v>
          </cell>
          <cell r="AR98">
            <v>0</v>
          </cell>
          <cell r="AS98">
            <v>0</v>
          </cell>
          <cell r="AX98">
            <v>0</v>
          </cell>
          <cell r="AY98">
            <v>0</v>
          </cell>
          <cell r="AZ98">
            <v>0</v>
          </cell>
          <cell r="BA98">
            <v>0</v>
          </cell>
          <cell r="BF98">
            <v>0</v>
          </cell>
          <cell r="BG98">
            <v>0</v>
          </cell>
          <cell r="BL98">
            <v>0</v>
          </cell>
          <cell r="BM98">
            <v>0</v>
          </cell>
          <cell r="BR98">
            <v>0</v>
          </cell>
          <cell r="BS98">
            <v>0</v>
          </cell>
          <cell r="BX98">
            <v>0</v>
          </cell>
          <cell r="BY98">
            <v>0</v>
          </cell>
          <cell r="CD98">
            <v>0</v>
          </cell>
          <cell r="CE98">
            <v>0</v>
          </cell>
          <cell r="CJ98">
            <v>0</v>
          </cell>
          <cell r="CK98">
            <v>0</v>
          </cell>
          <cell r="CP98">
            <v>0</v>
          </cell>
          <cell r="CQ98">
            <v>0</v>
          </cell>
          <cell r="CR98">
            <v>0</v>
          </cell>
          <cell r="CS98">
            <v>0</v>
          </cell>
          <cell r="CX98">
            <v>0</v>
          </cell>
          <cell r="CY98">
            <v>0</v>
          </cell>
          <cell r="CZ98">
            <v>0</v>
          </cell>
          <cell r="DA98">
            <v>0</v>
          </cell>
          <cell r="DF98">
            <v>0</v>
          </cell>
          <cell r="DG98">
            <v>0</v>
          </cell>
          <cell r="DH98">
            <v>0</v>
          </cell>
          <cell r="DI98">
            <v>0</v>
          </cell>
          <cell r="DN98">
            <v>0</v>
          </cell>
          <cell r="DO98">
            <v>0</v>
          </cell>
          <cell r="DP98">
            <v>0</v>
          </cell>
          <cell r="DQ98">
            <v>0</v>
          </cell>
          <cell r="DV98">
            <v>0</v>
          </cell>
          <cell r="DW98">
            <v>0</v>
          </cell>
          <cell r="DX98">
            <v>0</v>
          </cell>
          <cell r="DY98">
            <v>0</v>
          </cell>
        </row>
        <row r="99">
          <cell r="F99">
            <v>0</v>
          </cell>
          <cell r="G99">
            <v>0</v>
          </cell>
          <cell r="H99">
            <v>0</v>
          </cell>
          <cell r="I99">
            <v>0</v>
          </cell>
          <cell r="N99">
            <v>0</v>
          </cell>
          <cell r="O99">
            <v>0</v>
          </cell>
          <cell r="T99">
            <v>0</v>
          </cell>
          <cell r="U99">
            <v>0</v>
          </cell>
          <cell r="Z99">
            <v>0</v>
          </cell>
          <cell r="AA99">
            <v>0</v>
          </cell>
          <cell r="AF99">
            <v>0</v>
          </cell>
          <cell r="AG99">
            <v>0</v>
          </cell>
          <cell r="AL99">
            <v>0</v>
          </cell>
          <cell r="AM99">
            <v>0</v>
          </cell>
          <cell r="AR99">
            <v>0</v>
          </cell>
          <cell r="AS99">
            <v>0</v>
          </cell>
          <cell r="AX99">
            <v>0</v>
          </cell>
          <cell r="AY99">
            <v>0</v>
          </cell>
          <cell r="AZ99">
            <v>0</v>
          </cell>
          <cell r="BA99">
            <v>0</v>
          </cell>
          <cell r="BF99">
            <v>0</v>
          </cell>
          <cell r="BG99">
            <v>0</v>
          </cell>
          <cell r="BL99">
            <v>0</v>
          </cell>
          <cell r="BM99">
            <v>0</v>
          </cell>
          <cell r="BR99">
            <v>0</v>
          </cell>
          <cell r="BS99">
            <v>0</v>
          </cell>
          <cell r="BX99">
            <v>0</v>
          </cell>
          <cell r="BY99">
            <v>0</v>
          </cell>
          <cell r="CD99">
            <v>0</v>
          </cell>
          <cell r="CE99">
            <v>0</v>
          </cell>
          <cell r="CJ99">
            <v>0</v>
          </cell>
          <cell r="CK99">
            <v>0</v>
          </cell>
          <cell r="CP99">
            <v>0</v>
          </cell>
          <cell r="CQ99">
            <v>0</v>
          </cell>
          <cell r="CR99">
            <v>0</v>
          </cell>
          <cell r="CS99">
            <v>0</v>
          </cell>
          <cell r="CX99">
            <v>0</v>
          </cell>
          <cell r="CY99">
            <v>0</v>
          </cell>
          <cell r="CZ99">
            <v>0</v>
          </cell>
          <cell r="DA99">
            <v>0</v>
          </cell>
          <cell r="DF99">
            <v>0</v>
          </cell>
          <cell r="DG99">
            <v>0</v>
          </cell>
          <cell r="DH99">
            <v>0</v>
          </cell>
          <cell r="DI99">
            <v>0</v>
          </cell>
          <cell r="DN99">
            <v>0</v>
          </cell>
          <cell r="DO99">
            <v>0</v>
          </cell>
          <cell r="DP99">
            <v>0</v>
          </cell>
          <cell r="DQ99">
            <v>0</v>
          </cell>
          <cell r="DV99">
            <v>0</v>
          </cell>
          <cell r="DW99">
            <v>0</v>
          </cell>
          <cell r="DX99">
            <v>0</v>
          </cell>
          <cell r="DY99">
            <v>0</v>
          </cell>
        </row>
        <row r="100">
          <cell r="F100">
            <v>0</v>
          </cell>
          <cell r="G100">
            <v>0</v>
          </cell>
          <cell r="H100">
            <v>0</v>
          </cell>
          <cell r="I100">
            <v>0</v>
          </cell>
          <cell r="N100">
            <v>0</v>
          </cell>
          <cell r="O100">
            <v>0</v>
          </cell>
          <cell r="T100">
            <v>0</v>
          </cell>
          <cell r="U100">
            <v>0</v>
          </cell>
          <cell r="Z100">
            <v>0</v>
          </cell>
          <cell r="AA100">
            <v>0</v>
          </cell>
          <cell r="AF100">
            <v>0</v>
          </cell>
          <cell r="AG100">
            <v>0</v>
          </cell>
          <cell r="AL100">
            <v>0</v>
          </cell>
          <cell r="AM100">
            <v>0</v>
          </cell>
          <cell r="AR100">
            <v>0</v>
          </cell>
          <cell r="AS100">
            <v>0</v>
          </cell>
          <cell r="AX100">
            <v>0</v>
          </cell>
          <cell r="AY100">
            <v>0</v>
          </cell>
          <cell r="AZ100">
            <v>0</v>
          </cell>
          <cell r="BA100">
            <v>0</v>
          </cell>
          <cell r="BF100">
            <v>0</v>
          </cell>
          <cell r="BG100">
            <v>0</v>
          </cell>
          <cell r="BL100">
            <v>0</v>
          </cell>
          <cell r="BM100">
            <v>0</v>
          </cell>
          <cell r="BR100">
            <v>0</v>
          </cell>
          <cell r="BS100">
            <v>0</v>
          </cell>
          <cell r="BX100">
            <v>0</v>
          </cell>
          <cell r="BY100">
            <v>0</v>
          </cell>
          <cell r="CD100">
            <v>0</v>
          </cell>
          <cell r="CE100">
            <v>0</v>
          </cell>
          <cell r="CJ100">
            <v>0</v>
          </cell>
          <cell r="CK100">
            <v>0</v>
          </cell>
          <cell r="CP100">
            <v>0</v>
          </cell>
          <cell r="CQ100">
            <v>0</v>
          </cell>
          <cell r="CR100">
            <v>0</v>
          </cell>
          <cell r="CS100">
            <v>0</v>
          </cell>
          <cell r="CX100">
            <v>0</v>
          </cell>
          <cell r="CY100">
            <v>0</v>
          </cell>
          <cell r="CZ100">
            <v>0</v>
          </cell>
          <cell r="DA100">
            <v>0</v>
          </cell>
          <cell r="DF100">
            <v>0</v>
          </cell>
          <cell r="DG100">
            <v>0</v>
          </cell>
          <cell r="DH100">
            <v>0</v>
          </cell>
          <cell r="DI100">
            <v>0</v>
          </cell>
          <cell r="DN100">
            <v>0</v>
          </cell>
          <cell r="DO100">
            <v>0</v>
          </cell>
          <cell r="DP100">
            <v>0</v>
          </cell>
          <cell r="DQ100">
            <v>0</v>
          </cell>
          <cell r="DV100">
            <v>0</v>
          </cell>
          <cell r="DW100">
            <v>0</v>
          </cell>
          <cell r="DX100">
            <v>0</v>
          </cell>
          <cell r="DY100">
            <v>0</v>
          </cell>
        </row>
        <row r="101">
          <cell r="F101">
            <v>105000</v>
          </cell>
          <cell r="G101">
            <v>6084.4120000000003</v>
          </cell>
          <cell r="H101">
            <v>-34.176999999999992</v>
          </cell>
          <cell r="I101">
            <v>-0.56171409825633101</v>
          </cell>
          <cell r="N101">
            <v>7144</v>
          </cell>
          <cell r="O101">
            <v>414.80792000000002</v>
          </cell>
          <cell r="P101">
            <v>-35.484999999999999</v>
          </cell>
          <cell r="T101">
            <v>8288</v>
          </cell>
          <cell r="U101">
            <v>488.51583999999997</v>
          </cell>
          <cell r="V101">
            <v>-12.84</v>
          </cell>
          <cell r="Z101">
            <v>8288</v>
          </cell>
          <cell r="AA101">
            <v>488.51583999999997</v>
          </cell>
          <cell r="AB101">
            <v>-7.35</v>
          </cell>
          <cell r="AF101">
            <v>7404</v>
          </cell>
          <cell r="AG101">
            <v>431.55971999999997</v>
          </cell>
          <cell r="AH101">
            <v>-11.787000000000001</v>
          </cell>
          <cell r="AL101">
            <v>7404</v>
          </cell>
          <cell r="AM101">
            <v>431.55971999999997</v>
          </cell>
          <cell r="AN101">
            <v>-7.8179999999999996</v>
          </cell>
          <cell r="AR101">
            <v>7872</v>
          </cell>
          <cell r="AS101">
            <v>461.71296000000001</v>
          </cell>
          <cell r="AT101">
            <v>-2.0049999999999999</v>
          </cell>
          <cell r="AX101">
            <v>46400</v>
          </cell>
          <cell r="AY101">
            <v>2716.672</v>
          </cell>
          <cell r="AZ101">
            <v>-77.284999999999997</v>
          </cell>
          <cell r="BA101">
            <v>-2.8448410408028648</v>
          </cell>
          <cell r="BF101">
            <v>8404</v>
          </cell>
          <cell r="BG101">
            <v>476.8116</v>
          </cell>
          <cell r="BH101">
            <v>-10.441000000000001</v>
          </cell>
          <cell r="BL101">
            <v>9808</v>
          </cell>
          <cell r="BM101">
            <v>565.1232</v>
          </cell>
          <cell r="BN101">
            <v>2.173</v>
          </cell>
          <cell r="BR101">
            <v>9808</v>
          </cell>
          <cell r="BS101">
            <v>565.1232</v>
          </cell>
          <cell r="BT101">
            <v>5.5209999999999999</v>
          </cell>
          <cell r="BX101">
            <v>10574</v>
          </cell>
          <cell r="BY101">
            <v>605.90459999999996</v>
          </cell>
          <cell r="BZ101">
            <v>14.141999999999999</v>
          </cell>
          <cell r="CD101">
            <v>9574</v>
          </cell>
          <cell r="CE101">
            <v>550.40459999999996</v>
          </cell>
          <cell r="CF101">
            <v>13.497999999999999</v>
          </cell>
          <cell r="CJ101">
            <v>10432</v>
          </cell>
          <cell r="CK101">
            <v>604.37279999999998</v>
          </cell>
          <cell r="CL101">
            <v>18.215</v>
          </cell>
          <cell r="CP101">
            <v>58600</v>
          </cell>
          <cell r="CQ101">
            <v>3367.74</v>
          </cell>
          <cell r="CR101">
            <v>43.108000000000004</v>
          </cell>
          <cell r="CS101">
            <v>1.2800275555713923</v>
          </cell>
          <cell r="CX101">
            <v>23720</v>
          </cell>
          <cell r="CY101">
            <v>1391.8396</v>
          </cell>
          <cell r="CZ101">
            <v>-55.675000000000004</v>
          </cell>
          <cell r="DA101">
            <v>-4.0001017358609428</v>
          </cell>
          <cell r="DF101">
            <v>22680</v>
          </cell>
          <cell r="DG101">
            <v>1324.8324</v>
          </cell>
          <cell r="DH101">
            <v>-21.61</v>
          </cell>
          <cell r="DI101">
            <v>-1.6311497212779518</v>
          </cell>
          <cell r="DN101">
            <v>28020</v>
          </cell>
          <cell r="DO101">
            <v>1607.058</v>
          </cell>
          <cell r="DP101">
            <v>-2.7470000000000008</v>
          </cell>
          <cell r="DQ101">
            <v>-0.17093346973164633</v>
          </cell>
          <cell r="DV101">
            <v>30580</v>
          </cell>
          <cell r="DW101">
            <v>1760.6819999999998</v>
          </cell>
          <cell r="DX101">
            <v>45.855000000000004</v>
          </cell>
          <cell r="DY101">
            <v>2.6043885267186244</v>
          </cell>
        </row>
        <row r="102">
          <cell r="F102">
            <v>25000</v>
          </cell>
          <cell r="G102">
            <v>1693.3044</v>
          </cell>
          <cell r="H102">
            <v>122.69800000000001</v>
          </cell>
          <cell r="I102">
            <v>7.2460686926697884</v>
          </cell>
          <cell r="N102">
            <v>1336</v>
          </cell>
          <cell r="O102">
            <v>90.389983999999998</v>
          </cell>
          <cell r="P102">
            <v>-4.516</v>
          </cell>
          <cell r="T102">
            <v>2172</v>
          </cell>
          <cell r="U102">
            <v>149.322968</v>
          </cell>
          <cell r="V102">
            <v>3.8860000000000001</v>
          </cell>
          <cell r="Z102">
            <v>2172</v>
          </cell>
          <cell r="AA102">
            <v>149.322968</v>
          </cell>
          <cell r="AB102">
            <v>7.6139999999999999</v>
          </cell>
          <cell r="AF102">
            <v>1526</v>
          </cell>
          <cell r="AG102">
            <v>103.783844</v>
          </cell>
          <cell r="AH102">
            <v>5.2359999999999998</v>
          </cell>
          <cell r="AL102">
            <v>1526</v>
          </cell>
          <cell r="AM102">
            <v>103.783844</v>
          </cell>
          <cell r="AN102">
            <v>6.4450000000000003</v>
          </cell>
          <cell r="AR102">
            <v>1868</v>
          </cell>
          <cell r="AS102">
            <v>127.892792</v>
          </cell>
          <cell r="AT102">
            <v>9.8460000000000001</v>
          </cell>
          <cell r="AX102">
            <v>10600</v>
          </cell>
          <cell r="AY102">
            <v>724.49640000000011</v>
          </cell>
          <cell r="AZ102">
            <v>28.511000000000003</v>
          </cell>
          <cell r="BA102">
            <v>3.935285254695537</v>
          </cell>
          <cell r="BF102">
            <v>1526</v>
          </cell>
          <cell r="BG102">
            <v>101.31932</v>
          </cell>
          <cell r="BH102">
            <v>6.2389999999999999</v>
          </cell>
          <cell r="BL102">
            <v>2552</v>
          </cell>
          <cell r="BM102">
            <v>171.92864</v>
          </cell>
          <cell r="BN102">
            <v>14.749000000000001</v>
          </cell>
          <cell r="BR102">
            <v>2552</v>
          </cell>
          <cell r="BS102">
            <v>171.92864</v>
          </cell>
          <cell r="BT102">
            <v>16.035</v>
          </cell>
          <cell r="BX102">
            <v>2381</v>
          </cell>
          <cell r="BY102">
            <v>160.16041999999999</v>
          </cell>
          <cell r="BZ102">
            <v>16.942</v>
          </cell>
          <cell r="CD102">
            <v>2381</v>
          </cell>
          <cell r="CE102">
            <v>160.16041999999999</v>
          </cell>
          <cell r="CF102">
            <v>17.303000000000001</v>
          </cell>
          <cell r="CJ102">
            <v>3008</v>
          </cell>
          <cell r="CK102">
            <v>203.31056000000001</v>
          </cell>
          <cell r="CL102">
            <v>22.919</v>
          </cell>
          <cell r="CP102">
            <v>14400</v>
          </cell>
          <cell r="CQ102">
            <v>968.80799999999999</v>
          </cell>
          <cell r="CR102">
            <v>94.186999999999998</v>
          </cell>
          <cell r="CS102">
            <v>9.721946969884641</v>
          </cell>
          <cell r="CX102">
            <v>5680</v>
          </cell>
          <cell r="CY102">
            <v>389.03592000000003</v>
          </cell>
          <cell r="CZ102">
            <v>6.984</v>
          </cell>
          <cell r="DA102">
            <v>1.7952069824297971</v>
          </cell>
          <cell r="DF102">
            <v>4920</v>
          </cell>
          <cell r="DG102">
            <v>335.46048000000002</v>
          </cell>
          <cell r="DH102">
            <v>21.527000000000001</v>
          </cell>
          <cell r="DI102">
            <v>6.4171493464744334</v>
          </cell>
          <cell r="DN102">
            <v>6630</v>
          </cell>
          <cell r="DO102">
            <v>445.17660000000001</v>
          </cell>
          <cell r="DP102">
            <v>37.022999999999996</v>
          </cell>
          <cell r="DQ102">
            <v>8.3164748551473728</v>
          </cell>
          <cell r="DV102">
            <v>7770</v>
          </cell>
          <cell r="DW102">
            <v>523.63139999999999</v>
          </cell>
          <cell r="DX102">
            <v>57.164000000000001</v>
          </cell>
          <cell r="DY102">
            <v>10.916839593653094</v>
          </cell>
        </row>
        <row r="103">
          <cell r="F103">
            <v>3000</v>
          </cell>
          <cell r="G103">
            <v>202.76</v>
          </cell>
          <cell r="H103">
            <v>-61.558</v>
          </cell>
          <cell r="I103">
            <v>-30.360031564411127</v>
          </cell>
          <cell r="N103">
            <v>0</v>
          </cell>
          <cell r="O103">
            <v>0</v>
          </cell>
          <cell r="P103">
            <v>0</v>
          </cell>
          <cell r="T103">
            <v>0</v>
          </cell>
          <cell r="U103">
            <v>0</v>
          </cell>
          <cell r="V103">
            <v>0</v>
          </cell>
          <cell r="Z103">
            <v>0</v>
          </cell>
          <cell r="AA103">
            <v>0</v>
          </cell>
          <cell r="AB103">
            <v>0</v>
          </cell>
          <cell r="AF103">
            <v>0</v>
          </cell>
          <cell r="AG103">
            <v>0</v>
          </cell>
          <cell r="AH103">
            <v>0</v>
          </cell>
          <cell r="AL103">
            <v>0</v>
          </cell>
          <cell r="AM103">
            <v>0</v>
          </cell>
          <cell r="AN103">
            <v>0</v>
          </cell>
          <cell r="AR103">
            <v>0</v>
          </cell>
          <cell r="AS103">
            <v>0</v>
          </cell>
          <cell r="AT103">
            <v>0</v>
          </cell>
          <cell r="AX103">
            <v>0</v>
          </cell>
          <cell r="AY103">
            <v>0</v>
          </cell>
          <cell r="AZ103">
            <v>0</v>
          </cell>
          <cell r="BA103">
            <v>0</v>
          </cell>
          <cell r="BF103">
            <v>0</v>
          </cell>
          <cell r="BG103">
            <v>0</v>
          </cell>
          <cell r="BH103">
            <v>0</v>
          </cell>
          <cell r="BL103">
            <v>0</v>
          </cell>
          <cell r="BM103">
            <v>0</v>
          </cell>
          <cell r="BN103">
            <v>0</v>
          </cell>
          <cell r="BR103">
            <v>0</v>
          </cell>
          <cell r="BS103">
            <v>0</v>
          </cell>
          <cell r="BT103">
            <v>0</v>
          </cell>
          <cell r="BX103">
            <v>0</v>
          </cell>
          <cell r="BY103">
            <v>0</v>
          </cell>
          <cell r="BZ103">
            <v>0</v>
          </cell>
          <cell r="CD103">
            <v>0</v>
          </cell>
          <cell r="CE103">
            <v>0</v>
          </cell>
          <cell r="CF103">
            <v>0</v>
          </cell>
          <cell r="CJ103">
            <v>3000</v>
          </cell>
          <cell r="CK103">
            <v>202.76</v>
          </cell>
          <cell r="CL103">
            <v>-61.558</v>
          </cell>
          <cell r="CP103">
            <v>3000</v>
          </cell>
          <cell r="CQ103">
            <v>202.76</v>
          </cell>
          <cell r="CR103">
            <v>-61.558</v>
          </cell>
          <cell r="CS103">
            <v>-30.360031564411127</v>
          </cell>
          <cell r="CX103">
            <v>0</v>
          </cell>
          <cell r="CY103">
            <v>0</v>
          </cell>
          <cell r="CZ103">
            <v>0</v>
          </cell>
          <cell r="DA103">
            <v>0</v>
          </cell>
          <cell r="DF103">
            <v>0</v>
          </cell>
          <cell r="DG103">
            <v>0</v>
          </cell>
          <cell r="DH103">
            <v>0</v>
          </cell>
          <cell r="DI103">
            <v>0</v>
          </cell>
          <cell r="DN103">
            <v>0</v>
          </cell>
          <cell r="DO103">
            <v>0</v>
          </cell>
          <cell r="DP103">
            <v>0</v>
          </cell>
          <cell r="DQ103">
            <v>0</v>
          </cell>
          <cell r="DV103">
            <v>3000</v>
          </cell>
          <cell r="DW103">
            <v>202.76</v>
          </cell>
          <cell r="DX103">
            <v>-61.558</v>
          </cell>
          <cell r="DY103">
            <v>-30.360031564411127</v>
          </cell>
        </row>
        <row r="104">
          <cell r="F104">
            <v>0</v>
          </cell>
          <cell r="G104">
            <v>0</v>
          </cell>
          <cell r="H104">
            <v>0</v>
          </cell>
          <cell r="I104">
            <v>0</v>
          </cell>
          <cell r="N104">
            <v>0</v>
          </cell>
          <cell r="O104">
            <v>0</v>
          </cell>
          <cell r="T104">
            <v>0</v>
          </cell>
          <cell r="U104">
            <v>0</v>
          </cell>
          <cell r="Z104">
            <v>0</v>
          </cell>
          <cell r="AA104">
            <v>0</v>
          </cell>
          <cell r="AF104">
            <v>0</v>
          </cell>
          <cell r="AG104">
            <v>0</v>
          </cell>
          <cell r="AL104">
            <v>0</v>
          </cell>
          <cell r="AM104">
            <v>0</v>
          </cell>
          <cell r="AR104">
            <v>0</v>
          </cell>
          <cell r="AS104">
            <v>0</v>
          </cell>
          <cell r="AX104">
            <v>0</v>
          </cell>
          <cell r="AY104">
            <v>0</v>
          </cell>
          <cell r="AZ104">
            <v>0</v>
          </cell>
          <cell r="BA104">
            <v>0</v>
          </cell>
          <cell r="BF104">
            <v>0</v>
          </cell>
          <cell r="BG104">
            <v>0</v>
          </cell>
          <cell r="BL104">
            <v>0</v>
          </cell>
          <cell r="BM104">
            <v>0</v>
          </cell>
          <cell r="BR104">
            <v>0</v>
          </cell>
          <cell r="BS104">
            <v>0</v>
          </cell>
          <cell r="BX104">
            <v>0</v>
          </cell>
          <cell r="BY104">
            <v>0</v>
          </cell>
          <cell r="CD104">
            <v>0</v>
          </cell>
          <cell r="CE104">
            <v>0</v>
          </cell>
          <cell r="CJ104">
            <v>0</v>
          </cell>
          <cell r="CK104">
            <v>0</v>
          </cell>
          <cell r="CP104">
            <v>0</v>
          </cell>
          <cell r="CQ104">
            <v>0</v>
          </cell>
          <cell r="CR104">
            <v>0</v>
          </cell>
          <cell r="CS104">
            <v>0</v>
          </cell>
          <cell r="CX104">
            <v>0</v>
          </cell>
          <cell r="CY104">
            <v>0</v>
          </cell>
          <cell r="CZ104">
            <v>0</v>
          </cell>
          <cell r="DA104">
            <v>0</v>
          </cell>
          <cell r="DF104">
            <v>0</v>
          </cell>
          <cell r="DG104">
            <v>0</v>
          </cell>
          <cell r="DH104">
            <v>0</v>
          </cell>
          <cell r="DI104">
            <v>0</v>
          </cell>
          <cell r="DN104">
            <v>0</v>
          </cell>
          <cell r="DO104">
            <v>0</v>
          </cell>
          <cell r="DP104">
            <v>0</v>
          </cell>
          <cell r="DQ104">
            <v>0</v>
          </cell>
          <cell r="DV104">
            <v>0</v>
          </cell>
          <cell r="DW104">
            <v>0</v>
          </cell>
          <cell r="DX104">
            <v>0</v>
          </cell>
          <cell r="DY104">
            <v>0</v>
          </cell>
        </row>
        <row r="105">
          <cell r="F105">
            <v>4000</v>
          </cell>
          <cell r="G105">
            <v>288.23</v>
          </cell>
          <cell r="H105">
            <v>-77.409000000000006</v>
          </cell>
          <cell r="I105">
            <v>-26.85667695937272</v>
          </cell>
          <cell r="N105">
            <v>0</v>
          </cell>
          <cell r="O105">
            <v>0</v>
          </cell>
          <cell r="P105">
            <v>0</v>
          </cell>
          <cell r="T105">
            <v>0</v>
          </cell>
          <cell r="U105">
            <v>0</v>
          </cell>
          <cell r="V105">
            <v>0</v>
          </cell>
          <cell r="Z105">
            <v>0</v>
          </cell>
          <cell r="AA105">
            <v>0</v>
          </cell>
          <cell r="AB105">
            <v>0</v>
          </cell>
          <cell r="AF105">
            <v>0</v>
          </cell>
          <cell r="AG105">
            <v>0</v>
          </cell>
          <cell r="AH105">
            <v>0</v>
          </cell>
          <cell r="AL105">
            <v>0</v>
          </cell>
          <cell r="AM105">
            <v>0</v>
          </cell>
          <cell r="AN105">
            <v>0</v>
          </cell>
          <cell r="AR105">
            <v>0</v>
          </cell>
          <cell r="AS105">
            <v>0</v>
          </cell>
          <cell r="AT105">
            <v>0</v>
          </cell>
          <cell r="AX105">
            <v>0</v>
          </cell>
          <cell r="AY105">
            <v>0</v>
          </cell>
          <cell r="AZ105">
            <v>0</v>
          </cell>
          <cell r="BA105">
            <v>0</v>
          </cell>
          <cell r="BF105">
            <v>0</v>
          </cell>
          <cell r="BG105">
            <v>0</v>
          </cell>
          <cell r="BH105">
            <v>0</v>
          </cell>
          <cell r="BL105">
            <v>0</v>
          </cell>
          <cell r="BM105">
            <v>0</v>
          </cell>
          <cell r="BN105">
            <v>0</v>
          </cell>
          <cell r="BR105">
            <v>0</v>
          </cell>
          <cell r="BS105">
            <v>0</v>
          </cell>
          <cell r="BT105">
            <v>0</v>
          </cell>
          <cell r="BX105">
            <v>0</v>
          </cell>
          <cell r="BY105">
            <v>0</v>
          </cell>
          <cell r="BZ105">
            <v>0</v>
          </cell>
          <cell r="CD105">
            <v>0</v>
          </cell>
          <cell r="CE105">
            <v>0</v>
          </cell>
          <cell r="CF105">
            <v>0</v>
          </cell>
          <cell r="CJ105">
            <v>4000</v>
          </cell>
          <cell r="CK105">
            <v>288.23</v>
          </cell>
          <cell r="CL105">
            <v>-77.409000000000006</v>
          </cell>
          <cell r="CP105">
            <v>4000</v>
          </cell>
          <cell r="CQ105">
            <v>288.23</v>
          </cell>
          <cell r="CR105">
            <v>-77.409000000000006</v>
          </cell>
          <cell r="CS105">
            <v>-26.85667695937272</v>
          </cell>
          <cell r="CX105">
            <v>0</v>
          </cell>
          <cell r="CY105">
            <v>0</v>
          </cell>
          <cell r="CZ105">
            <v>0</v>
          </cell>
          <cell r="DA105">
            <v>0</v>
          </cell>
          <cell r="DF105">
            <v>0</v>
          </cell>
          <cell r="DG105">
            <v>0</v>
          </cell>
          <cell r="DH105">
            <v>0</v>
          </cell>
          <cell r="DI105">
            <v>0</v>
          </cell>
          <cell r="DN105">
            <v>0</v>
          </cell>
          <cell r="DO105">
            <v>0</v>
          </cell>
          <cell r="DP105">
            <v>0</v>
          </cell>
          <cell r="DQ105">
            <v>0</v>
          </cell>
          <cell r="DV105">
            <v>4000</v>
          </cell>
          <cell r="DW105">
            <v>288.23</v>
          </cell>
          <cell r="DX105">
            <v>-77.409000000000006</v>
          </cell>
          <cell r="DY105">
            <v>-26.85667695937272</v>
          </cell>
        </row>
        <row r="106">
          <cell r="F106">
            <v>3000</v>
          </cell>
          <cell r="G106">
            <v>297.48</v>
          </cell>
          <cell r="H106">
            <v>8.8970000000000002</v>
          </cell>
          <cell r="I106">
            <v>2.9907892967594458</v>
          </cell>
          <cell r="N106">
            <v>0</v>
          </cell>
          <cell r="O106">
            <v>0</v>
          </cell>
          <cell r="P106">
            <v>0</v>
          </cell>
          <cell r="T106">
            <v>0</v>
          </cell>
          <cell r="U106">
            <v>0</v>
          </cell>
          <cell r="V106">
            <v>0</v>
          </cell>
          <cell r="Z106">
            <v>0</v>
          </cell>
          <cell r="AA106">
            <v>0</v>
          </cell>
          <cell r="AB106">
            <v>0</v>
          </cell>
          <cell r="AF106">
            <v>0</v>
          </cell>
          <cell r="AG106">
            <v>0</v>
          </cell>
          <cell r="AH106">
            <v>0</v>
          </cell>
          <cell r="AL106">
            <v>0</v>
          </cell>
          <cell r="AM106">
            <v>0</v>
          </cell>
          <cell r="AN106">
            <v>0</v>
          </cell>
          <cell r="AR106">
            <v>0</v>
          </cell>
          <cell r="AS106">
            <v>0</v>
          </cell>
          <cell r="AT106">
            <v>0</v>
          </cell>
          <cell r="AX106">
            <v>0</v>
          </cell>
          <cell r="AY106">
            <v>0</v>
          </cell>
          <cell r="AZ106">
            <v>0</v>
          </cell>
          <cell r="BA106">
            <v>0</v>
          </cell>
          <cell r="BF106">
            <v>0</v>
          </cell>
          <cell r="BG106">
            <v>0</v>
          </cell>
          <cell r="BH106">
            <v>0</v>
          </cell>
          <cell r="BL106">
            <v>0</v>
          </cell>
          <cell r="BM106">
            <v>0</v>
          </cell>
          <cell r="BN106">
            <v>0</v>
          </cell>
          <cell r="BR106">
            <v>0</v>
          </cell>
          <cell r="BS106">
            <v>0</v>
          </cell>
          <cell r="BT106">
            <v>0</v>
          </cell>
          <cell r="BX106">
            <v>0</v>
          </cell>
          <cell r="BY106">
            <v>0</v>
          </cell>
          <cell r="BZ106">
            <v>0</v>
          </cell>
          <cell r="CD106">
            <v>0</v>
          </cell>
          <cell r="CE106">
            <v>0</v>
          </cell>
          <cell r="CF106">
            <v>0</v>
          </cell>
          <cell r="CJ106">
            <v>3000</v>
          </cell>
          <cell r="CK106">
            <v>297.48</v>
          </cell>
          <cell r="CL106">
            <v>8.8970000000000002</v>
          </cell>
          <cell r="CP106">
            <v>3000</v>
          </cell>
          <cell r="CQ106">
            <v>297.48</v>
          </cell>
          <cell r="CR106">
            <v>8.8970000000000002</v>
          </cell>
          <cell r="CS106">
            <v>2.9907892967594458</v>
          </cell>
          <cell r="CX106">
            <v>0</v>
          </cell>
          <cell r="CY106">
            <v>0</v>
          </cell>
          <cell r="CZ106">
            <v>0</v>
          </cell>
          <cell r="DA106">
            <v>0</v>
          </cell>
          <cell r="DF106">
            <v>0</v>
          </cell>
          <cell r="DG106">
            <v>0</v>
          </cell>
          <cell r="DH106">
            <v>0</v>
          </cell>
          <cell r="DI106">
            <v>0</v>
          </cell>
          <cell r="DN106">
            <v>0</v>
          </cell>
          <cell r="DO106">
            <v>0</v>
          </cell>
          <cell r="DP106">
            <v>0</v>
          </cell>
          <cell r="DQ106">
            <v>0</v>
          </cell>
          <cell r="DV106">
            <v>3000</v>
          </cell>
          <cell r="DW106">
            <v>297.48</v>
          </cell>
          <cell r="DX106">
            <v>8.8970000000000002</v>
          </cell>
          <cell r="DY106">
            <v>2.9907892967594458</v>
          </cell>
        </row>
        <row r="107">
          <cell r="F107">
            <v>27000</v>
          </cell>
          <cell r="G107">
            <v>1911.2914000000001</v>
          </cell>
          <cell r="H107">
            <v>-1.0469999999999988</v>
          </cell>
          <cell r="I107">
            <v>-5.4779715955400557E-2</v>
          </cell>
          <cell r="N107">
            <v>849</v>
          </cell>
          <cell r="O107">
            <v>61.159987999999998</v>
          </cell>
          <cell r="P107">
            <v>-4.9139999999999997</v>
          </cell>
          <cell r="T107">
            <v>893</v>
          </cell>
          <cell r="U107">
            <v>64.962115999999995</v>
          </cell>
          <cell r="V107">
            <v>-2.0379999999999998</v>
          </cell>
          <cell r="Z107">
            <v>2198</v>
          </cell>
          <cell r="AA107">
            <v>158.32497599999999</v>
          </cell>
          <cell r="AB107">
            <v>0.38900000000000001</v>
          </cell>
          <cell r="AF107">
            <v>1664</v>
          </cell>
          <cell r="AG107">
            <v>119.381968</v>
          </cell>
          <cell r="AH107">
            <v>-0.23400000000000001</v>
          </cell>
          <cell r="AL107">
            <v>2164</v>
          </cell>
          <cell r="AM107">
            <v>155.386968</v>
          </cell>
          <cell r="AN107">
            <v>0.6</v>
          </cell>
          <cell r="AR107">
            <v>1682</v>
          </cell>
          <cell r="AS107">
            <v>120.93738399999999</v>
          </cell>
          <cell r="AT107">
            <v>1.419</v>
          </cell>
          <cell r="AX107">
            <v>9450</v>
          </cell>
          <cell r="AY107">
            <v>680.15340000000003</v>
          </cell>
          <cell r="AZ107">
            <v>-4.7779999999999987</v>
          </cell>
          <cell r="BA107">
            <v>-0.70248858566317518</v>
          </cell>
          <cell r="BF107">
            <v>2796.5</v>
          </cell>
          <cell r="BG107">
            <v>195.69373999999999</v>
          </cell>
          <cell r="BH107">
            <v>-2.702</v>
          </cell>
          <cell r="BL107">
            <v>2350.5</v>
          </cell>
          <cell r="BM107">
            <v>165.09917999999999</v>
          </cell>
          <cell r="BN107">
            <v>-1.4319999999999999</v>
          </cell>
          <cell r="BR107">
            <v>3149.5</v>
          </cell>
          <cell r="BS107">
            <v>221.04761999999999</v>
          </cell>
          <cell r="BT107">
            <v>-1.2310000000000001</v>
          </cell>
          <cell r="BX107">
            <v>4336.5</v>
          </cell>
          <cell r="BY107">
            <v>303.48214000000002</v>
          </cell>
          <cell r="BZ107">
            <v>5.827</v>
          </cell>
          <cell r="CD107">
            <v>2790</v>
          </cell>
          <cell r="CE107">
            <v>195.5376</v>
          </cell>
          <cell r="CF107">
            <v>-0.156</v>
          </cell>
          <cell r="CJ107">
            <v>2127</v>
          </cell>
          <cell r="CK107">
            <v>150.27771999999999</v>
          </cell>
          <cell r="CL107">
            <v>3.4249999999999998</v>
          </cell>
          <cell r="CP107">
            <v>17550</v>
          </cell>
          <cell r="CQ107">
            <v>1231.1379999999999</v>
          </cell>
          <cell r="CR107">
            <v>3.7309999999999999</v>
          </cell>
          <cell r="CS107">
            <v>0.30305294776052727</v>
          </cell>
          <cell r="CX107">
            <v>3940</v>
          </cell>
          <cell r="CY107">
            <v>284.44707999999997</v>
          </cell>
          <cell r="CZ107">
            <v>-6.5629999999999997</v>
          </cell>
          <cell r="DA107">
            <v>-2.3072833090780893</v>
          </cell>
          <cell r="DF107">
            <v>5510</v>
          </cell>
          <cell r="DG107">
            <v>395.70632000000001</v>
          </cell>
          <cell r="DH107">
            <v>1.7850000000000001</v>
          </cell>
          <cell r="DI107">
            <v>0.45109211295892371</v>
          </cell>
          <cell r="DN107">
            <v>8296.5</v>
          </cell>
          <cell r="DO107">
            <v>581.84053999999992</v>
          </cell>
          <cell r="DP107">
            <v>-5.3650000000000002</v>
          </cell>
          <cell r="DQ107">
            <v>-0.9220739414273198</v>
          </cell>
          <cell r="DV107">
            <v>9253.5</v>
          </cell>
          <cell r="DW107">
            <v>649.29746</v>
          </cell>
          <cell r="DX107">
            <v>9.0960000000000001</v>
          </cell>
          <cell r="DY107">
            <v>1.400898749858039</v>
          </cell>
        </row>
        <row r="108">
          <cell r="F108">
            <v>9000</v>
          </cell>
          <cell r="G108">
            <v>673.56</v>
          </cell>
          <cell r="H108">
            <v>29.809000000000005</v>
          </cell>
          <cell r="I108">
            <v>4.4255894055466491</v>
          </cell>
          <cell r="N108">
            <v>700</v>
          </cell>
          <cell r="O108">
            <v>53.06</v>
          </cell>
          <cell r="P108">
            <v>0.57299999999999995</v>
          </cell>
          <cell r="T108">
            <v>700</v>
          </cell>
          <cell r="U108">
            <v>53.06</v>
          </cell>
          <cell r="V108">
            <v>1.913</v>
          </cell>
          <cell r="Z108">
            <v>700</v>
          </cell>
          <cell r="AA108">
            <v>53.06</v>
          </cell>
          <cell r="AB108">
            <v>2.254</v>
          </cell>
          <cell r="AF108">
            <v>700</v>
          </cell>
          <cell r="AG108">
            <v>53.06</v>
          </cell>
          <cell r="AH108">
            <v>2.1619999999999999</v>
          </cell>
          <cell r="AL108">
            <v>700</v>
          </cell>
          <cell r="AM108">
            <v>53.06</v>
          </cell>
          <cell r="AN108">
            <v>2.2669999999999999</v>
          </cell>
          <cell r="AR108">
            <v>700</v>
          </cell>
          <cell r="AS108">
            <v>53.06</v>
          </cell>
          <cell r="AT108">
            <v>2.778</v>
          </cell>
          <cell r="AX108">
            <v>4200</v>
          </cell>
          <cell r="AY108">
            <v>318.36</v>
          </cell>
          <cell r="AZ108">
            <v>11.947000000000001</v>
          </cell>
          <cell r="BA108">
            <v>3.7526699334087201</v>
          </cell>
          <cell r="BF108">
            <v>800</v>
          </cell>
          <cell r="BG108">
            <v>59.2</v>
          </cell>
          <cell r="BH108">
            <v>1.4690000000000001</v>
          </cell>
          <cell r="BL108">
            <v>800</v>
          </cell>
          <cell r="BM108">
            <v>59.2</v>
          </cell>
          <cell r="BN108">
            <v>3.0390000000000001</v>
          </cell>
          <cell r="BR108">
            <v>800</v>
          </cell>
          <cell r="BS108">
            <v>59.2</v>
          </cell>
          <cell r="BT108">
            <v>3.1749999999999998</v>
          </cell>
          <cell r="BX108">
            <v>800</v>
          </cell>
          <cell r="BY108">
            <v>59.2</v>
          </cell>
          <cell r="BZ108">
            <v>3.5739999999999998</v>
          </cell>
          <cell r="CD108">
            <v>800</v>
          </cell>
          <cell r="CE108">
            <v>59.2</v>
          </cell>
          <cell r="CF108">
            <v>3.13</v>
          </cell>
          <cell r="CJ108">
            <v>800</v>
          </cell>
          <cell r="CK108">
            <v>59.2</v>
          </cell>
          <cell r="CL108">
            <v>3.4750000000000001</v>
          </cell>
          <cell r="CP108">
            <v>4800</v>
          </cell>
          <cell r="CQ108">
            <v>355.2</v>
          </cell>
          <cell r="CR108">
            <v>17.862000000000002</v>
          </cell>
          <cell r="CS108">
            <v>5.0287162162162167</v>
          </cell>
          <cell r="CX108">
            <v>2100</v>
          </cell>
          <cell r="CY108">
            <v>159.18</v>
          </cell>
          <cell r="CZ108">
            <v>4.74</v>
          </cell>
          <cell r="DA108">
            <v>2.9777610252544289</v>
          </cell>
          <cell r="DF108">
            <v>2100</v>
          </cell>
          <cell r="DG108">
            <v>159.18</v>
          </cell>
          <cell r="DH108">
            <v>7.2070000000000007</v>
          </cell>
          <cell r="DI108">
            <v>4.5275788415630105</v>
          </cell>
          <cell r="DN108">
            <v>2400</v>
          </cell>
          <cell r="DO108">
            <v>177.60000000000002</v>
          </cell>
          <cell r="DP108">
            <v>7.6829999999999998</v>
          </cell>
          <cell r="DQ108">
            <v>4.3260135135135132</v>
          </cell>
          <cell r="DV108">
            <v>2400</v>
          </cell>
          <cell r="DW108">
            <v>177.60000000000002</v>
          </cell>
          <cell r="DX108">
            <v>10.179</v>
          </cell>
          <cell r="DY108">
            <v>5.7314189189189184</v>
          </cell>
        </row>
        <row r="109">
          <cell r="F109">
            <v>3000</v>
          </cell>
          <cell r="G109">
            <v>245.45240000000001</v>
          </cell>
          <cell r="H109">
            <v>-7.415</v>
          </cell>
          <cell r="I109">
            <v>-3.0209523312870434</v>
          </cell>
          <cell r="N109">
            <v>144</v>
          </cell>
          <cell r="O109">
            <v>11.876344</v>
          </cell>
          <cell r="P109">
            <v>-4.2450000000000001</v>
          </cell>
          <cell r="T109">
            <v>288</v>
          </cell>
          <cell r="U109">
            <v>23.752687999999999</v>
          </cell>
          <cell r="V109">
            <v>-2.258</v>
          </cell>
          <cell r="Z109">
            <v>188</v>
          </cell>
          <cell r="AA109">
            <v>15.945288</v>
          </cell>
          <cell r="AB109">
            <v>-2.5000000000000001E-2</v>
          </cell>
          <cell r="AF109">
            <v>254</v>
          </cell>
          <cell r="AG109">
            <v>20.608504</v>
          </cell>
          <cell r="AH109">
            <v>-0.54900000000000004</v>
          </cell>
          <cell r="AL109">
            <v>254</v>
          </cell>
          <cell r="AM109">
            <v>20.608504</v>
          </cell>
          <cell r="AN109">
            <v>-0.29199999999999998</v>
          </cell>
          <cell r="AR109">
            <v>272</v>
          </cell>
          <cell r="AS109">
            <v>22.273071999999999</v>
          </cell>
          <cell r="AT109">
            <v>0.315</v>
          </cell>
          <cell r="AX109">
            <v>1400</v>
          </cell>
          <cell r="AY109">
            <v>115.06439999999999</v>
          </cell>
          <cell r="AZ109">
            <v>-7.0540000000000003</v>
          </cell>
          <cell r="BA109">
            <v>-6.1304799746924337</v>
          </cell>
          <cell r="BF109">
            <v>154</v>
          </cell>
          <cell r="BG109">
            <v>12.497120000000001</v>
          </cell>
          <cell r="BH109">
            <v>-0.38300000000000001</v>
          </cell>
          <cell r="BL109">
            <v>308</v>
          </cell>
          <cell r="BM109">
            <v>24.994240000000001</v>
          </cell>
          <cell r="BN109">
            <v>-1.026</v>
          </cell>
          <cell r="BR109">
            <v>308</v>
          </cell>
          <cell r="BS109">
            <v>24.994240000000001</v>
          </cell>
          <cell r="BT109">
            <v>-0.51500000000000001</v>
          </cell>
          <cell r="BX109">
            <v>299</v>
          </cell>
          <cell r="BY109">
            <v>24.181719999999999</v>
          </cell>
          <cell r="BZ109">
            <v>1.085</v>
          </cell>
          <cell r="CD109">
            <v>299</v>
          </cell>
          <cell r="CE109">
            <v>24.181719999999999</v>
          </cell>
          <cell r="CF109">
            <v>-0.26500000000000001</v>
          </cell>
          <cell r="CJ109">
            <v>232</v>
          </cell>
          <cell r="CK109">
            <v>19.538959999999999</v>
          </cell>
          <cell r="CL109">
            <v>0.74299999999999999</v>
          </cell>
          <cell r="CP109">
            <v>1600</v>
          </cell>
          <cell r="CQ109">
            <v>130.38800000000001</v>
          </cell>
          <cell r="CR109">
            <v>-0.36099999999999999</v>
          </cell>
          <cell r="CS109">
            <v>-0.2768659692609749</v>
          </cell>
          <cell r="CX109">
            <v>620</v>
          </cell>
          <cell r="CY109">
            <v>51.574319999999993</v>
          </cell>
          <cell r="CZ109">
            <v>-6.5280000000000005</v>
          </cell>
          <cell r="DA109">
            <v>-12.657462085782228</v>
          </cell>
          <cell r="DF109">
            <v>780</v>
          </cell>
          <cell r="DG109">
            <v>63.490079999999999</v>
          </cell>
          <cell r="DH109">
            <v>-0.52600000000000002</v>
          </cell>
          <cell r="DI109">
            <v>-0.82847588158654084</v>
          </cell>
          <cell r="DN109">
            <v>770</v>
          </cell>
          <cell r="DO109">
            <v>62.485600000000005</v>
          </cell>
          <cell r="DP109">
            <v>-1.9239999999999999</v>
          </cell>
          <cell r="DQ109">
            <v>-3.0791094268119372</v>
          </cell>
          <cell r="DV109">
            <v>830</v>
          </cell>
          <cell r="DW109">
            <v>67.9024</v>
          </cell>
          <cell r="DX109">
            <v>1.5629999999999999</v>
          </cell>
          <cell r="DY109">
            <v>2.3018332194443789</v>
          </cell>
        </row>
        <row r="110">
          <cell r="F110">
            <v>6000</v>
          </cell>
          <cell r="G110">
            <v>485.35200000000009</v>
          </cell>
          <cell r="H110">
            <v>3.6089999999999995</v>
          </cell>
          <cell r="I110">
            <v>0.74358403797656114</v>
          </cell>
          <cell r="N110">
            <v>500</v>
          </cell>
          <cell r="O110">
            <v>40.932000000000002</v>
          </cell>
          <cell r="P110">
            <v>-2.3050000000000002</v>
          </cell>
          <cell r="T110">
            <v>500</v>
          </cell>
          <cell r="U110">
            <v>40.932000000000002</v>
          </cell>
          <cell r="V110">
            <v>-0.96399999999999997</v>
          </cell>
          <cell r="Z110">
            <v>500</v>
          </cell>
          <cell r="AA110">
            <v>40.932000000000002</v>
          </cell>
          <cell r="AB110">
            <v>0.55000000000000004</v>
          </cell>
          <cell r="AF110">
            <v>500</v>
          </cell>
          <cell r="AG110">
            <v>40.932000000000002</v>
          </cell>
          <cell r="AH110">
            <v>0.252</v>
          </cell>
          <cell r="AL110">
            <v>500</v>
          </cell>
          <cell r="AM110">
            <v>40.932000000000002</v>
          </cell>
          <cell r="AN110">
            <v>0.47599999999999998</v>
          </cell>
          <cell r="AR110">
            <v>500</v>
          </cell>
          <cell r="AS110">
            <v>40.932000000000002</v>
          </cell>
          <cell r="AT110">
            <v>0.96</v>
          </cell>
          <cell r="AX110">
            <v>3000</v>
          </cell>
          <cell r="AY110">
            <v>245.59200000000004</v>
          </cell>
          <cell r="AZ110">
            <v>-1.0310000000000001</v>
          </cell>
          <cell r="BA110">
            <v>-0.41980194794618719</v>
          </cell>
          <cell r="BF110">
            <v>500</v>
          </cell>
          <cell r="BG110">
            <v>39.96</v>
          </cell>
          <cell r="BH110">
            <v>0.42699999999999999</v>
          </cell>
          <cell r="BL110">
            <v>500</v>
          </cell>
          <cell r="BM110">
            <v>39.96</v>
          </cell>
          <cell r="BN110">
            <v>0.107</v>
          </cell>
          <cell r="BR110">
            <v>500</v>
          </cell>
          <cell r="BS110">
            <v>39.96</v>
          </cell>
          <cell r="BT110">
            <v>0.53500000000000003</v>
          </cell>
          <cell r="BX110">
            <v>500</v>
          </cell>
          <cell r="BY110">
            <v>39.96</v>
          </cell>
          <cell r="BZ110">
            <v>1.5329999999999999</v>
          </cell>
          <cell r="CD110">
            <v>500</v>
          </cell>
          <cell r="CE110">
            <v>39.96</v>
          </cell>
          <cell r="CF110">
            <v>0.68100000000000005</v>
          </cell>
          <cell r="CJ110">
            <v>500</v>
          </cell>
          <cell r="CK110">
            <v>39.96</v>
          </cell>
          <cell r="CL110">
            <v>1.357</v>
          </cell>
          <cell r="CP110">
            <v>3000</v>
          </cell>
          <cell r="CQ110">
            <v>239.76000000000002</v>
          </cell>
          <cell r="CR110">
            <v>4.6399999999999997</v>
          </cell>
          <cell r="CS110">
            <v>1.9352686019352683</v>
          </cell>
          <cell r="CX110">
            <v>1500</v>
          </cell>
          <cell r="CY110">
            <v>122.79600000000001</v>
          </cell>
          <cell r="CZ110">
            <v>-2.7190000000000003</v>
          </cell>
          <cell r="DA110">
            <v>-2.2142415062379883</v>
          </cell>
          <cell r="DF110">
            <v>1500</v>
          </cell>
          <cell r="DG110">
            <v>122.79600000000001</v>
          </cell>
          <cell r="DH110">
            <v>1.6879999999999999</v>
          </cell>
          <cell r="DI110">
            <v>1.3746376103456137</v>
          </cell>
          <cell r="DN110">
            <v>1500</v>
          </cell>
          <cell r="DO110">
            <v>119.88</v>
          </cell>
          <cell r="DP110">
            <v>1.069</v>
          </cell>
          <cell r="DQ110">
            <v>0.89172505839172511</v>
          </cell>
          <cell r="DV110">
            <v>1500</v>
          </cell>
          <cell r="DW110">
            <v>119.88</v>
          </cell>
          <cell r="DX110">
            <v>3.5709999999999997</v>
          </cell>
          <cell r="DY110">
            <v>2.9788121454788121</v>
          </cell>
        </row>
        <row r="111">
          <cell r="F111">
            <v>60000</v>
          </cell>
          <cell r="G111">
            <v>5614.125</v>
          </cell>
          <cell r="H111">
            <v>955.35199999999998</v>
          </cell>
          <cell r="I111">
            <v>17.01693496315098</v>
          </cell>
          <cell r="N111">
            <v>4500</v>
          </cell>
          <cell r="O111">
            <v>426.375</v>
          </cell>
          <cell r="P111">
            <v>43.978000000000002</v>
          </cell>
          <cell r="T111">
            <v>4500</v>
          </cell>
          <cell r="U111">
            <v>426.375</v>
          </cell>
          <cell r="V111">
            <v>50.67</v>
          </cell>
          <cell r="Z111">
            <v>4500</v>
          </cell>
          <cell r="AA111">
            <v>426.375</v>
          </cell>
          <cell r="AB111">
            <v>56.924999999999997</v>
          </cell>
          <cell r="AF111">
            <v>5000</v>
          </cell>
          <cell r="AG111">
            <v>473.75</v>
          </cell>
          <cell r="AH111">
            <v>64.381</v>
          </cell>
          <cell r="AL111">
            <v>5000</v>
          </cell>
          <cell r="AM111">
            <v>473.75</v>
          </cell>
          <cell r="AN111">
            <v>71.957999999999998</v>
          </cell>
          <cell r="AR111">
            <v>5000</v>
          </cell>
          <cell r="AS111">
            <v>473.75</v>
          </cell>
          <cell r="AT111">
            <v>74.933000000000007</v>
          </cell>
          <cell r="AX111">
            <v>28500</v>
          </cell>
          <cell r="AY111">
            <v>2700.375</v>
          </cell>
          <cell r="AZ111">
            <v>362.84500000000003</v>
          </cell>
          <cell r="BA111">
            <v>13.436837476276445</v>
          </cell>
          <cell r="BF111">
            <v>5000</v>
          </cell>
          <cell r="BG111">
            <v>462.5</v>
          </cell>
          <cell r="BH111">
            <v>77.134</v>
          </cell>
          <cell r="BL111">
            <v>5000</v>
          </cell>
          <cell r="BM111">
            <v>462.5</v>
          </cell>
          <cell r="BN111">
            <v>88.460999999999999</v>
          </cell>
          <cell r="BR111">
            <v>5500</v>
          </cell>
          <cell r="BS111">
            <v>508.75</v>
          </cell>
          <cell r="BT111">
            <v>102.05800000000001</v>
          </cell>
          <cell r="BX111">
            <v>5500</v>
          </cell>
          <cell r="BY111">
            <v>508.75</v>
          </cell>
          <cell r="BZ111">
            <v>111.586</v>
          </cell>
          <cell r="CD111">
            <v>5500</v>
          </cell>
          <cell r="CE111">
            <v>508.75</v>
          </cell>
          <cell r="CF111">
            <v>108.134</v>
          </cell>
          <cell r="CJ111">
            <v>5000</v>
          </cell>
          <cell r="CK111">
            <v>462.5</v>
          </cell>
          <cell r="CL111">
            <v>105.134</v>
          </cell>
          <cell r="CP111">
            <v>31500</v>
          </cell>
          <cell r="CQ111">
            <v>2913.75</v>
          </cell>
          <cell r="CR111">
            <v>592.50699999999995</v>
          </cell>
          <cell r="CS111">
            <v>20.334860574860571</v>
          </cell>
          <cell r="CX111">
            <v>13500</v>
          </cell>
          <cell r="CY111">
            <v>1279.125</v>
          </cell>
          <cell r="CZ111">
            <v>151.57299999999998</v>
          </cell>
          <cell r="DA111">
            <v>11.849741033909899</v>
          </cell>
          <cell r="DF111">
            <v>15000</v>
          </cell>
          <cell r="DG111">
            <v>1421.25</v>
          </cell>
          <cell r="DH111">
            <v>211.27199999999999</v>
          </cell>
          <cell r="DI111">
            <v>14.865224274406334</v>
          </cell>
          <cell r="DN111">
            <v>15500</v>
          </cell>
          <cell r="DO111">
            <v>1433.75</v>
          </cell>
          <cell r="DP111">
            <v>267.65300000000002</v>
          </cell>
          <cell r="DQ111">
            <v>18.668038360941587</v>
          </cell>
          <cell r="DV111">
            <v>16000</v>
          </cell>
          <cell r="DW111">
            <v>1480</v>
          </cell>
          <cell r="DX111">
            <v>324.85399999999998</v>
          </cell>
          <cell r="DY111">
            <v>21.949594594594593</v>
          </cell>
        </row>
        <row r="112">
          <cell r="F112">
            <v>0</v>
          </cell>
          <cell r="G112">
            <v>0</v>
          </cell>
          <cell r="H112">
            <v>0</v>
          </cell>
          <cell r="I112">
            <v>0</v>
          </cell>
          <cell r="N112">
            <v>0</v>
          </cell>
          <cell r="O112">
            <v>0</v>
          </cell>
          <cell r="T112">
            <v>0</v>
          </cell>
          <cell r="U112">
            <v>0</v>
          </cell>
          <cell r="Z112">
            <v>0</v>
          </cell>
          <cell r="AA112">
            <v>0</v>
          </cell>
          <cell r="AF112">
            <v>0</v>
          </cell>
          <cell r="AG112">
            <v>0</v>
          </cell>
          <cell r="AL112">
            <v>0</v>
          </cell>
          <cell r="AM112">
            <v>0</v>
          </cell>
          <cell r="AR112">
            <v>0</v>
          </cell>
          <cell r="AS112">
            <v>0</v>
          </cell>
          <cell r="AX112">
            <v>0</v>
          </cell>
          <cell r="AY112">
            <v>0</v>
          </cell>
          <cell r="AZ112">
            <v>0</v>
          </cell>
          <cell r="BA112">
            <v>0</v>
          </cell>
          <cell r="BF112">
            <v>0</v>
          </cell>
          <cell r="BG112">
            <v>0</v>
          </cell>
          <cell r="BL112">
            <v>0</v>
          </cell>
          <cell r="BM112">
            <v>0</v>
          </cell>
          <cell r="BR112">
            <v>0</v>
          </cell>
          <cell r="BS112">
            <v>0</v>
          </cell>
          <cell r="BX112">
            <v>0</v>
          </cell>
          <cell r="BY112">
            <v>0</v>
          </cell>
          <cell r="CD112">
            <v>0</v>
          </cell>
          <cell r="CE112">
            <v>0</v>
          </cell>
          <cell r="CJ112">
            <v>0</v>
          </cell>
          <cell r="CK112">
            <v>0</v>
          </cell>
          <cell r="CP112">
            <v>0</v>
          </cell>
          <cell r="CQ112">
            <v>0</v>
          </cell>
          <cell r="CR112">
            <v>0</v>
          </cell>
          <cell r="CS112">
            <v>0</v>
          </cell>
          <cell r="CX112">
            <v>0</v>
          </cell>
          <cell r="CY112">
            <v>0</v>
          </cell>
          <cell r="CZ112">
            <v>0</v>
          </cell>
          <cell r="DA112">
            <v>0</v>
          </cell>
          <cell r="DF112">
            <v>0</v>
          </cell>
          <cell r="DG112">
            <v>0</v>
          </cell>
          <cell r="DH112">
            <v>0</v>
          </cell>
          <cell r="DI112">
            <v>0</v>
          </cell>
          <cell r="DN112">
            <v>0</v>
          </cell>
          <cell r="DO112">
            <v>0</v>
          </cell>
          <cell r="DP112">
            <v>0</v>
          </cell>
          <cell r="DQ112">
            <v>0</v>
          </cell>
          <cell r="DV112">
            <v>0</v>
          </cell>
          <cell r="DW112">
            <v>0</v>
          </cell>
          <cell r="DX112">
            <v>0</v>
          </cell>
          <cell r="DY112">
            <v>0</v>
          </cell>
        </row>
        <row r="113">
          <cell r="F113">
            <v>59000</v>
          </cell>
          <cell r="G113">
            <v>5959.71</v>
          </cell>
          <cell r="H113">
            <v>1137.78</v>
          </cell>
          <cell r="I113">
            <v>19.091197390477053</v>
          </cell>
          <cell r="N113">
            <v>4000</v>
          </cell>
          <cell r="O113">
            <v>409.32</v>
          </cell>
          <cell r="P113">
            <v>52.935000000000002</v>
          </cell>
          <cell r="T113">
            <v>4000</v>
          </cell>
          <cell r="U113">
            <v>409.32</v>
          </cell>
          <cell r="V113">
            <v>59.780999999999999</v>
          </cell>
          <cell r="Z113">
            <v>4000</v>
          </cell>
          <cell r="AA113">
            <v>409.32</v>
          </cell>
          <cell r="AB113">
            <v>68.248999999999995</v>
          </cell>
          <cell r="AF113">
            <v>5000</v>
          </cell>
          <cell r="AG113">
            <v>511.65</v>
          </cell>
          <cell r="AH113">
            <v>74.397000000000006</v>
          </cell>
          <cell r="AL113">
            <v>5000</v>
          </cell>
          <cell r="AM113">
            <v>511.65</v>
          </cell>
          <cell r="AN113">
            <v>85.337999999999994</v>
          </cell>
          <cell r="AR113">
            <v>5000</v>
          </cell>
          <cell r="AS113">
            <v>511.65</v>
          </cell>
          <cell r="AT113">
            <v>88.614000000000004</v>
          </cell>
          <cell r="AX113">
            <v>27000</v>
          </cell>
          <cell r="AY113">
            <v>2762.91</v>
          </cell>
          <cell r="AZ113">
            <v>429.31399999999996</v>
          </cell>
          <cell r="BA113">
            <v>15.538472118165267</v>
          </cell>
          <cell r="BF113">
            <v>5000</v>
          </cell>
          <cell r="BG113">
            <v>499.5</v>
          </cell>
          <cell r="BH113">
            <v>101.727</v>
          </cell>
          <cell r="BL113">
            <v>5000</v>
          </cell>
          <cell r="BM113">
            <v>499.5</v>
          </cell>
          <cell r="BN113">
            <v>104.58199999999999</v>
          </cell>
          <cell r="BR113">
            <v>6000</v>
          </cell>
          <cell r="BS113">
            <v>599.4</v>
          </cell>
          <cell r="BT113">
            <v>129.08199999999999</v>
          </cell>
          <cell r="BX113">
            <v>6000</v>
          </cell>
          <cell r="BY113">
            <v>599.4</v>
          </cell>
          <cell r="BZ113">
            <v>142.52600000000001</v>
          </cell>
          <cell r="CD113">
            <v>5000</v>
          </cell>
          <cell r="CE113">
            <v>499.5</v>
          </cell>
          <cell r="CF113">
            <v>108.801</v>
          </cell>
          <cell r="CJ113">
            <v>5000</v>
          </cell>
          <cell r="CK113">
            <v>499.5</v>
          </cell>
          <cell r="CL113">
            <v>121.748</v>
          </cell>
          <cell r="CP113">
            <v>32000</v>
          </cell>
          <cell r="CQ113">
            <v>3196.8</v>
          </cell>
          <cell r="CR113">
            <v>708.46600000000001</v>
          </cell>
          <cell r="CS113">
            <v>22.161724224224223</v>
          </cell>
          <cell r="CX113">
            <v>12000</v>
          </cell>
          <cell r="CY113">
            <v>1227.96</v>
          </cell>
          <cell r="CZ113">
            <v>180.965</v>
          </cell>
          <cell r="DA113">
            <v>14.737043551907227</v>
          </cell>
          <cell r="DF113">
            <v>15000</v>
          </cell>
          <cell r="DG113">
            <v>1534.9499999999998</v>
          </cell>
          <cell r="DH113">
            <v>248.34900000000002</v>
          </cell>
          <cell r="DI113">
            <v>16.179614971171702</v>
          </cell>
          <cell r="DN113">
            <v>16000</v>
          </cell>
          <cell r="DO113">
            <v>1598.4</v>
          </cell>
          <cell r="DP113">
            <v>335.39099999999996</v>
          </cell>
          <cell r="DQ113">
            <v>20.982920420420417</v>
          </cell>
          <cell r="DV113">
            <v>16000</v>
          </cell>
          <cell r="DW113">
            <v>1598.4</v>
          </cell>
          <cell r="DX113">
            <v>373.07499999999999</v>
          </cell>
          <cell r="DY113">
            <v>23.340528028028025</v>
          </cell>
        </row>
        <row r="114">
          <cell r="F114">
            <v>50000</v>
          </cell>
          <cell r="G114">
            <v>5155.68</v>
          </cell>
          <cell r="H114">
            <v>1060.904</v>
          </cell>
          <cell r="I114">
            <v>20.577382614902398</v>
          </cell>
          <cell r="N114">
            <v>2200</v>
          </cell>
          <cell r="O114">
            <v>230.12879999999998</v>
          </cell>
          <cell r="P114">
            <v>31.35</v>
          </cell>
          <cell r="T114">
            <v>4400</v>
          </cell>
          <cell r="U114">
            <v>460.25759999999997</v>
          </cell>
          <cell r="V114">
            <v>65.63</v>
          </cell>
          <cell r="Z114">
            <v>4400</v>
          </cell>
          <cell r="AA114">
            <v>460.25759999999997</v>
          </cell>
          <cell r="AB114">
            <v>69.875</v>
          </cell>
          <cell r="AF114">
            <v>2700</v>
          </cell>
          <cell r="AG114">
            <v>282.43079999999998</v>
          </cell>
          <cell r="AH114">
            <v>44.472999999999999</v>
          </cell>
          <cell r="AL114">
            <v>2700</v>
          </cell>
          <cell r="AM114">
            <v>282.43079999999998</v>
          </cell>
          <cell r="AN114">
            <v>48.645000000000003</v>
          </cell>
          <cell r="AR114">
            <v>3600</v>
          </cell>
          <cell r="AS114">
            <v>376.57439999999997</v>
          </cell>
          <cell r="AT114">
            <v>68.569000000000003</v>
          </cell>
          <cell r="AX114">
            <v>20000</v>
          </cell>
          <cell r="AY114">
            <v>2092.08</v>
          </cell>
          <cell r="AZ114">
            <v>328.54200000000003</v>
          </cell>
          <cell r="BA114">
            <v>15.704083973844215</v>
          </cell>
          <cell r="BF114">
            <v>2700</v>
          </cell>
          <cell r="BG114">
            <v>275.72399999999999</v>
          </cell>
          <cell r="BH114">
            <v>51.029000000000003</v>
          </cell>
          <cell r="BL114">
            <v>5400</v>
          </cell>
          <cell r="BM114">
            <v>551.44799999999998</v>
          </cell>
          <cell r="BN114">
            <v>117.08799999999999</v>
          </cell>
          <cell r="BR114">
            <v>5400</v>
          </cell>
          <cell r="BS114">
            <v>551.44799999999998</v>
          </cell>
          <cell r="BT114">
            <v>125.12</v>
          </cell>
          <cell r="BX114">
            <v>4950</v>
          </cell>
          <cell r="BY114">
            <v>505.49399999999997</v>
          </cell>
          <cell r="BZ114">
            <v>125.85899999999999</v>
          </cell>
          <cell r="CD114">
            <v>4950</v>
          </cell>
          <cell r="CE114">
            <v>505.49399999999997</v>
          </cell>
          <cell r="CF114">
            <v>128.524</v>
          </cell>
          <cell r="CJ114">
            <v>6600</v>
          </cell>
          <cell r="CK114">
            <v>673.99199999999996</v>
          </cell>
          <cell r="CL114">
            <v>184.74199999999999</v>
          </cell>
          <cell r="CP114">
            <v>30000</v>
          </cell>
          <cell r="CQ114">
            <v>3063.6</v>
          </cell>
          <cell r="CR114">
            <v>732.36199999999985</v>
          </cell>
          <cell r="CS114">
            <v>23.905274840057444</v>
          </cell>
          <cell r="CX114">
            <v>11000</v>
          </cell>
          <cell r="CY114">
            <v>1150.644</v>
          </cell>
          <cell r="CZ114">
            <v>166.85499999999999</v>
          </cell>
          <cell r="DA114">
            <v>14.501009869255824</v>
          </cell>
          <cell r="DF114">
            <v>9000</v>
          </cell>
          <cell r="DG114">
            <v>941.43599999999992</v>
          </cell>
          <cell r="DH114">
            <v>161.68700000000001</v>
          </cell>
          <cell r="DI114">
            <v>17.174507879452243</v>
          </cell>
          <cell r="DN114">
            <v>13500</v>
          </cell>
          <cell r="DO114">
            <v>1378.62</v>
          </cell>
          <cell r="DP114">
            <v>293.23699999999997</v>
          </cell>
          <cell r="DQ114">
            <v>21.270328299313807</v>
          </cell>
          <cell r="DV114">
            <v>16500</v>
          </cell>
          <cell r="DW114">
            <v>1684.98</v>
          </cell>
          <cell r="DX114">
            <v>439.125</v>
          </cell>
          <cell r="DY114">
            <v>26.061140191574971</v>
          </cell>
        </row>
        <row r="115">
          <cell r="F115">
            <v>0</v>
          </cell>
          <cell r="G115">
            <v>0</v>
          </cell>
          <cell r="H115">
            <v>0</v>
          </cell>
          <cell r="I115">
            <v>0</v>
          </cell>
          <cell r="N115">
            <v>0</v>
          </cell>
          <cell r="O115">
            <v>0</v>
          </cell>
          <cell r="T115">
            <v>0</v>
          </cell>
          <cell r="U115">
            <v>0</v>
          </cell>
          <cell r="Z115">
            <v>0</v>
          </cell>
          <cell r="AA115">
            <v>0</v>
          </cell>
          <cell r="AF115">
            <v>0</v>
          </cell>
          <cell r="AG115">
            <v>0</v>
          </cell>
          <cell r="AL115">
            <v>0</v>
          </cell>
          <cell r="AM115">
            <v>0</v>
          </cell>
          <cell r="AR115">
            <v>0</v>
          </cell>
          <cell r="AS115">
            <v>0</v>
          </cell>
          <cell r="AX115">
            <v>0</v>
          </cell>
          <cell r="AY115">
            <v>0</v>
          </cell>
          <cell r="AZ115">
            <v>0</v>
          </cell>
          <cell r="BA115">
            <v>0</v>
          </cell>
          <cell r="BF115">
            <v>0</v>
          </cell>
          <cell r="BG115">
            <v>0</v>
          </cell>
          <cell r="BL115">
            <v>0</v>
          </cell>
          <cell r="BM115">
            <v>0</v>
          </cell>
          <cell r="BR115">
            <v>0</v>
          </cell>
          <cell r="BS115">
            <v>0</v>
          </cell>
          <cell r="BX115">
            <v>0</v>
          </cell>
          <cell r="BY115">
            <v>0</v>
          </cell>
          <cell r="CD115">
            <v>0</v>
          </cell>
          <cell r="CE115">
            <v>0</v>
          </cell>
          <cell r="CJ115">
            <v>0</v>
          </cell>
          <cell r="CK115">
            <v>0</v>
          </cell>
          <cell r="CP115">
            <v>0</v>
          </cell>
          <cell r="CQ115">
            <v>0</v>
          </cell>
          <cell r="CR115">
            <v>0</v>
          </cell>
          <cell r="CS115">
            <v>0</v>
          </cell>
          <cell r="CX115">
            <v>0</v>
          </cell>
          <cell r="CY115">
            <v>0</v>
          </cell>
          <cell r="CZ115">
            <v>0</v>
          </cell>
          <cell r="DA115">
            <v>0</v>
          </cell>
          <cell r="DF115">
            <v>0</v>
          </cell>
          <cell r="DG115">
            <v>0</v>
          </cell>
          <cell r="DH115">
            <v>0</v>
          </cell>
          <cell r="DI115">
            <v>0</v>
          </cell>
          <cell r="DN115">
            <v>0</v>
          </cell>
          <cell r="DO115">
            <v>0</v>
          </cell>
          <cell r="DP115">
            <v>0</v>
          </cell>
          <cell r="DQ115">
            <v>0</v>
          </cell>
          <cell r="DV115">
            <v>0</v>
          </cell>
          <cell r="DW115">
            <v>0</v>
          </cell>
          <cell r="DX115">
            <v>0</v>
          </cell>
          <cell r="DY115">
            <v>0</v>
          </cell>
        </row>
        <row r="116">
          <cell r="F116">
            <v>126000</v>
          </cell>
          <cell r="G116">
            <v>12385.948000000002</v>
          </cell>
          <cell r="H116">
            <v>924.92499999999995</v>
          </cell>
          <cell r="I116">
            <v>7.4675349839996086</v>
          </cell>
          <cell r="N116">
            <v>22000</v>
          </cell>
          <cell r="O116">
            <v>2142.1080000000002</v>
          </cell>
          <cell r="P116">
            <v>36.283999999999999</v>
          </cell>
          <cell r="T116">
            <v>22000</v>
          </cell>
          <cell r="U116">
            <v>2142.1080000000002</v>
          </cell>
          <cell r="V116">
            <v>78.537000000000006</v>
          </cell>
          <cell r="Z116">
            <v>22000</v>
          </cell>
          <cell r="AA116">
            <v>2142.1080000000002</v>
          </cell>
          <cell r="AB116">
            <v>132.23500000000001</v>
          </cell>
          <cell r="AF116">
            <v>12000</v>
          </cell>
          <cell r="AG116">
            <v>1179.4480000000001</v>
          </cell>
          <cell r="AH116">
            <v>63.052999999999997</v>
          </cell>
          <cell r="AL116">
            <v>12000</v>
          </cell>
          <cell r="AM116">
            <v>1179.4480000000001</v>
          </cell>
          <cell r="AN116">
            <v>88.281999999999996</v>
          </cell>
          <cell r="AR116">
            <v>12000</v>
          </cell>
          <cell r="AS116">
            <v>1179.4480000000001</v>
          </cell>
          <cell r="AT116">
            <v>100.779</v>
          </cell>
          <cell r="AX116">
            <v>102000</v>
          </cell>
          <cell r="AY116">
            <v>9964.6680000000015</v>
          </cell>
          <cell r="AZ116">
            <v>499.16999999999996</v>
          </cell>
          <cell r="BA116">
            <v>5.0093992092862489</v>
          </cell>
          <cell r="BF116">
            <v>12100</v>
          </cell>
          <cell r="BG116">
            <v>1162.0219999999999</v>
          </cell>
          <cell r="BH116">
            <v>135.68</v>
          </cell>
          <cell r="BL116">
            <v>2200</v>
          </cell>
          <cell r="BM116">
            <v>232.804</v>
          </cell>
          <cell r="BN116">
            <v>47.878999999999998</v>
          </cell>
          <cell r="BR116">
            <v>2200</v>
          </cell>
          <cell r="BS116">
            <v>232.804</v>
          </cell>
          <cell r="BT116">
            <v>49.814999999999998</v>
          </cell>
          <cell r="BX116">
            <v>2700</v>
          </cell>
          <cell r="BY116">
            <v>285.714</v>
          </cell>
          <cell r="BZ116">
            <v>67.786000000000001</v>
          </cell>
          <cell r="CD116">
            <v>2700</v>
          </cell>
          <cell r="CE116">
            <v>285.714</v>
          </cell>
          <cell r="CF116">
            <v>67.703000000000003</v>
          </cell>
          <cell r="CJ116">
            <v>2100</v>
          </cell>
          <cell r="CK116">
            <v>222.22200000000001</v>
          </cell>
          <cell r="CL116">
            <v>56.892000000000003</v>
          </cell>
          <cell r="CP116">
            <v>24000</v>
          </cell>
          <cell r="CQ116">
            <v>2421.2800000000002</v>
          </cell>
          <cell r="CR116">
            <v>425.755</v>
          </cell>
          <cell r="CS116">
            <v>17.583881252891032</v>
          </cell>
          <cell r="CX116">
            <v>66000</v>
          </cell>
          <cell r="CY116">
            <v>6426.3240000000005</v>
          </cell>
          <cell r="CZ116">
            <v>247.05600000000001</v>
          </cell>
          <cell r="DA116">
            <v>3.8444373486304149</v>
          </cell>
          <cell r="DF116">
            <v>36000</v>
          </cell>
          <cell r="DG116">
            <v>3538.3440000000001</v>
          </cell>
          <cell r="DH116">
            <v>252.11399999999998</v>
          </cell>
          <cell r="DI116">
            <v>7.1251975500403573</v>
          </cell>
          <cell r="DN116">
            <v>16500</v>
          </cell>
          <cell r="DO116">
            <v>1627.63</v>
          </cell>
          <cell r="DP116">
            <v>233.374</v>
          </cell>
          <cell r="DQ116">
            <v>14.338270982962959</v>
          </cell>
          <cell r="DV116">
            <v>7500</v>
          </cell>
          <cell r="DW116">
            <v>793.65</v>
          </cell>
          <cell r="DX116">
            <v>192.381</v>
          </cell>
          <cell r="DY116">
            <v>24.24003024003024</v>
          </cell>
        </row>
        <row r="117">
          <cell r="F117">
            <v>93000</v>
          </cell>
          <cell r="G117">
            <v>8877.0400000000009</v>
          </cell>
          <cell r="H117">
            <v>-180.25400000000002</v>
          </cell>
          <cell r="I117">
            <v>-2.0305642421347656</v>
          </cell>
          <cell r="N117">
            <v>0</v>
          </cell>
          <cell r="O117">
            <v>0</v>
          </cell>
          <cell r="P117">
            <v>0</v>
          </cell>
          <cell r="T117">
            <v>0</v>
          </cell>
          <cell r="U117">
            <v>0</v>
          </cell>
          <cell r="V117">
            <v>0</v>
          </cell>
          <cell r="Z117">
            <v>0</v>
          </cell>
          <cell r="AA117">
            <v>0</v>
          </cell>
          <cell r="AB117">
            <v>0</v>
          </cell>
          <cell r="AF117">
            <v>0</v>
          </cell>
          <cell r="AG117">
            <v>0</v>
          </cell>
          <cell r="AH117">
            <v>0</v>
          </cell>
          <cell r="AL117">
            <v>0</v>
          </cell>
          <cell r="AM117">
            <v>0</v>
          </cell>
          <cell r="AN117">
            <v>0</v>
          </cell>
          <cell r="AR117">
            <v>0</v>
          </cell>
          <cell r="AS117">
            <v>0</v>
          </cell>
          <cell r="AT117">
            <v>0</v>
          </cell>
          <cell r="AX117">
            <v>0</v>
          </cell>
          <cell r="AY117">
            <v>0</v>
          </cell>
          <cell r="AZ117">
            <v>0</v>
          </cell>
          <cell r="BA117">
            <v>0</v>
          </cell>
          <cell r="BF117">
            <v>6670</v>
          </cell>
          <cell r="BG117">
            <v>624.29359999999997</v>
          </cell>
          <cell r="BH117">
            <v>-186.92400000000001</v>
          </cell>
          <cell r="BL117">
            <v>11840</v>
          </cell>
          <cell r="BM117">
            <v>1132.0372</v>
          </cell>
          <cell r="BN117">
            <v>-46.442</v>
          </cell>
          <cell r="BR117">
            <v>18440</v>
          </cell>
          <cell r="BS117">
            <v>1763.2572</v>
          </cell>
          <cell r="BT117">
            <v>52.523000000000003</v>
          </cell>
          <cell r="BX117">
            <v>21645</v>
          </cell>
          <cell r="BY117">
            <v>2055.0466000000001</v>
          </cell>
          <cell r="BZ117">
            <v>175.19399999999999</v>
          </cell>
          <cell r="CD117">
            <v>18545</v>
          </cell>
          <cell r="CE117">
            <v>1769.7765999999999</v>
          </cell>
          <cell r="CF117">
            <v>102.366</v>
          </cell>
          <cell r="CJ117">
            <v>15860</v>
          </cell>
          <cell r="CK117">
            <v>1532.6288</v>
          </cell>
          <cell r="CL117">
            <v>-276.971</v>
          </cell>
          <cell r="CP117">
            <v>93000</v>
          </cell>
          <cell r="CQ117">
            <v>8877.0400000000009</v>
          </cell>
          <cell r="CR117">
            <v>-180.25400000000002</v>
          </cell>
          <cell r="CS117">
            <v>-2.0305642421347656</v>
          </cell>
          <cell r="CX117">
            <v>0</v>
          </cell>
          <cell r="CY117">
            <v>0</v>
          </cell>
          <cell r="CZ117">
            <v>0</v>
          </cell>
          <cell r="DA117">
            <v>0</v>
          </cell>
          <cell r="DF117">
            <v>0</v>
          </cell>
          <cell r="DG117">
            <v>0</v>
          </cell>
          <cell r="DH117">
            <v>0</v>
          </cell>
          <cell r="DI117">
            <v>0</v>
          </cell>
          <cell r="DN117">
            <v>36950</v>
          </cell>
          <cell r="DO117">
            <v>3519.5879999999997</v>
          </cell>
          <cell r="DP117">
            <v>-180.84300000000002</v>
          </cell>
          <cell r="DQ117">
            <v>-5.1381866286622193</v>
          </cell>
          <cell r="DV117">
            <v>56050</v>
          </cell>
          <cell r="DW117">
            <v>5357.4519999999993</v>
          </cell>
          <cell r="DX117">
            <v>0.58899999999999864</v>
          </cell>
          <cell r="DY117">
            <v>1.0994032237712979E-2</v>
          </cell>
        </row>
        <row r="118">
          <cell r="F118">
            <v>7000</v>
          </cell>
          <cell r="G118">
            <v>777</v>
          </cell>
          <cell r="H118">
            <v>57.501000000000005</v>
          </cell>
          <cell r="I118">
            <v>7.4003861003861013</v>
          </cell>
          <cell r="N118">
            <v>0</v>
          </cell>
          <cell r="O118">
            <v>0</v>
          </cell>
          <cell r="P118">
            <v>0</v>
          </cell>
          <cell r="T118">
            <v>0</v>
          </cell>
          <cell r="U118">
            <v>0</v>
          </cell>
          <cell r="V118">
            <v>0</v>
          </cell>
          <cell r="Z118">
            <v>0</v>
          </cell>
          <cell r="AA118">
            <v>0</v>
          </cell>
          <cell r="AB118">
            <v>0</v>
          </cell>
          <cell r="AF118">
            <v>0</v>
          </cell>
          <cell r="AG118">
            <v>0</v>
          </cell>
          <cell r="AH118">
            <v>0</v>
          </cell>
          <cell r="AL118">
            <v>0</v>
          </cell>
          <cell r="AM118">
            <v>0</v>
          </cell>
          <cell r="AN118">
            <v>0</v>
          </cell>
          <cell r="AR118">
            <v>0</v>
          </cell>
          <cell r="AS118">
            <v>0</v>
          </cell>
          <cell r="AT118">
            <v>0</v>
          </cell>
          <cell r="AX118">
            <v>0</v>
          </cell>
          <cell r="AY118">
            <v>0</v>
          </cell>
          <cell r="AZ118">
            <v>0</v>
          </cell>
          <cell r="BA118">
            <v>0</v>
          </cell>
          <cell r="BF118">
            <v>630</v>
          </cell>
          <cell r="BG118">
            <v>69.930000000000007</v>
          </cell>
          <cell r="BH118">
            <v>-13.047000000000001</v>
          </cell>
          <cell r="BL118">
            <v>1260</v>
          </cell>
          <cell r="BM118">
            <v>139.86000000000001</v>
          </cell>
          <cell r="BN118">
            <v>-1.153</v>
          </cell>
          <cell r="BR118">
            <v>1260</v>
          </cell>
          <cell r="BS118">
            <v>139.86000000000001</v>
          </cell>
          <cell r="BT118">
            <v>6.9710000000000001</v>
          </cell>
          <cell r="BX118">
            <v>1155</v>
          </cell>
          <cell r="BY118">
            <v>128.20500000000001</v>
          </cell>
          <cell r="BZ118">
            <v>19.068999999999999</v>
          </cell>
          <cell r="CD118">
            <v>1155</v>
          </cell>
          <cell r="CE118">
            <v>128.20500000000001</v>
          </cell>
          <cell r="CF118">
            <v>17.433</v>
          </cell>
          <cell r="CJ118">
            <v>1540</v>
          </cell>
          <cell r="CK118">
            <v>170.94</v>
          </cell>
          <cell r="CL118">
            <v>28.228000000000002</v>
          </cell>
          <cell r="CP118">
            <v>7000</v>
          </cell>
          <cell r="CQ118">
            <v>777</v>
          </cell>
          <cell r="CR118">
            <v>57.501000000000005</v>
          </cell>
          <cell r="CS118">
            <v>7.4003861003861013</v>
          </cell>
          <cell r="CX118">
            <v>0</v>
          </cell>
          <cell r="CY118">
            <v>0</v>
          </cell>
          <cell r="CZ118">
            <v>0</v>
          </cell>
          <cell r="DA118">
            <v>0</v>
          </cell>
          <cell r="DF118">
            <v>0</v>
          </cell>
          <cell r="DG118">
            <v>0</v>
          </cell>
          <cell r="DH118">
            <v>0</v>
          </cell>
          <cell r="DI118">
            <v>0</v>
          </cell>
          <cell r="DN118">
            <v>3150</v>
          </cell>
          <cell r="DO118">
            <v>349.65000000000003</v>
          </cell>
          <cell r="DP118">
            <v>-7.229000000000001</v>
          </cell>
          <cell r="DQ118">
            <v>-2.0674960674960676</v>
          </cell>
          <cell r="DV118">
            <v>3850</v>
          </cell>
          <cell r="DW118">
            <v>427.35</v>
          </cell>
          <cell r="DX118">
            <v>64.72999999999999</v>
          </cell>
          <cell r="DY118">
            <v>15.146835146835144</v>
          </cell>
        </row>
        <row r="119">
          <cell r="F119">
            <v>133000</v>
          </cell>
          <cell r="G119">
            <v>12116.940419999999</v>
          </cell>
          <cell r="H119">
            <v>817.11200000000008</v>
          </cell>
          <cell r="I119">
            <v>6.7435505307205279</v>
          </cell>
          <cell r="N119">
            <v>7172</v>
          </cell>
          <cell r="O119">
            <v>668.84024999999997</v>
          </cell>
          <cell r="P119">
            <v>-64.153000000000006</v>
          </cell>
          <cell r="T119">
            <v>7744</v>
          </cell>
          <cell r="U119">
            <v>724.33797800000002</v>
          </cell>
          <cell r="V119">
            <v>-30.382000000000001</v>
          </cell>
          <cell r="Z119">
            <v>9844</v>
          </cell>
          <cell r="AA119">
            <v>911.30549999999994</v>
          </cell>
          <cell r="AB119">
            <v>21.571999999999999</v>
          </cell>
          <cell r="AF119">
            <v>9902</v>
          </cell>
          <cell r="AG119">
            <v>915.79589199999998</v>
          </cell>
          <cell r="AH119">
            <v>3.6659999999999999</v>
          </cell>
          <cell r="AL119">
            <v>9902</v>
          </cell>
          <cell r="AM119">
            <v>915.79589199999998</v>
          </cell>
          <cell r="AN119">
            <v>19.506</v>
          </cell>
          <cell r="AR119">
            <v>10136</v>
          </cell>
          <cell r="AS119">
            <v>938.49950799999999</v>
          </cell>
          <cell r="AT119">
            <v>28.818999999999999</v>
          </cell>
          <cell r="AX119">
            <v>54700</v>
          </cell>
          <cell r="AY119">
            <v>5074.5750200000002</v>
          </cell>
          <cell r="AZ119">
            <v>-20.972000000000008</v>
          </cell>
          <cell r="BA119">
            <v>-0.41327598700077955</v>
          </cell>
          <cell r="BF119">
            <v>11552</v>
          </cell>
          <cell r="BG119">
            <v>1037.46335</v>
          </cell>
          <cell r="BH119">
            <v>91.641999999999996</v>
          </cell>
          <cell r="BL119">
            <v>12254</v>
          </cell>
          <cell r="BM119">
            <v>1103.95679</v>
          </cell>
          <cell r="BN119">
            <v>124.20399999999999</v>
          </cell>
          <cell r="BR119">
            <v>13534</v>
          </cell>
          <cell r="BS119">
            <v>1218.002778</v>
          </cell>
          <cell r="BT119">
            <v>137.59899999999999</v>
          </cell>
          <cell r="BX119">
            <v>16537</v>
          </cell>
          <cell r="BY119">
            <v>1478.1044899999999</v>
          </cell>
          <cell r="BZ119">
            <v>206.649</v>
          </cell>
          <cell r="CD119">
            <v>13807</v>
          </cell>
          <cell r="CE119">
            <v>1240.818532</v>
          </cell>
          <cell r="CF119">
            <v>137.28200000000001</v>
          </cell>
          <cell r="CJ119">
            <v>10616</v>
          </cell>
          <cell r="CK119">
            <v>964.01945999999998</v>
          </cell>
          <cell r="CL119">
            <v>140.708</v>
          </cell>
          <cell r="CP119">
            <v>78300</v>
          </cell>
          <cell r="CQ119">
            <v>7042.3653999999997</v>
          </cell>
          <cell r="CR119">
            <v>838.08400000000006</v>
          </cell>
          <cell r="CS119">
            <v>11.900603737488545</v>
          </cell>
          <cell r="CX119">
            <v>24760</v>
          </cell>
          <cell r="CY119">
            <v>2304.4837280000002</v>
          </cell>
          <cell r="CZ119">
            <v>-72.963000000000008</v>
          </cell>
          <cell r="DA119">
            <v>-3.1661321411595575</v>
          </cell>
          <cell r="DF119">
            <v>29940</v>
          </cell>
          <cell r="DG119">
            <v>2770.0912920000001</v>
          </cell>
          <cell r="DH119">
            <v>51.991</v>
          </cell>
          <cell r="DI119">
            <v>1.8768695512003362</v>
          </cell>
          <cell r="DN119">
            <v>37340</v>
          </cell>
          <cell r="DO119">
            <v>3359.4229180000002</v>
          </cell>
          <cell r="DP119">
            <v>353.44499999999999</v>
          </cell>
          <cell r="DQ119">
            <v>10.52100341717083</v>
          </cell>
          <cell r="DV119">
            <v>40960</v>
          </cell>
          <cell r="DW119">
            <v>3682.9424819999999</v>
          </cell>
          <cell r="DX119">
            <v>484.63900000000001</v>
          </cell>
          <cell r="DY119">
            <v>13.159016258565615</v>
          </cell>
        </row>
        <row r="120">
          <cell r="F120">
            <v>48000</v>
          </cell>
          <cell r="G120">
            <v>4849.875</v>
          </cell>
          <cell r="H120">
            <v>485.13900000000001</v>
          </cell>
          <cell r="I120">
            <v>10.003123791850307</v>
          </cell>
          <cell r="N120">
            <v>3500</v>
          </cell>
          <cell r="O120">
            <v>358.15499999999997</v>
          </cell>
          <cell r="P120">
            <v>-16.239000000000001</v>
          </cell>
          <cell r="T120">
            <v>3500</v>
          </cell>
          <cell r="U120">
            <v>358.15499999999997</v>
          </cell>
          <cell r="V120">
            <v>0.52</v>
          </cell>
          <cell r="Z120">
            <v>3500</v>
          </cell>
          <cell r="AA120">
            <v>358.15499999999997</v>
          </cell>
          <cell r="AB120">
            <v>25.382999999999999</v>
          </cell>
          <cell r="AF120">
            <v>4000</v>
          </cell>
          <cell r="AG120">
            <v>409.32</v>
          </cell>
          <cell r="AH120">
            <v>18.155999999999999</v>
          </cell>
          <cell r="AL120">
            <v>4000</v>
          </cell>
          <cell r="AM120">
            <v>409.32</v>
          </cell>
          <cell r="AN120">
            <v>24.611999999999998</v>
          </cell>
          <cell r="AR120">
            <v>4000</v>
          </cell>
          <cell r="AS120">
            <v>409.32</v>
          </cell>
          <cell r="AT120">
            <v>29.838000000000001</v>
          </cell>
          <cell r="AX120">
            <v>22500</v>
          </cell>
          <cell r="AY120">
            <v>2302.4250000000002</v>
          </cell>
          <cell r="AZ120">
            <v>82.269999999999982</v>
          </cell>
          <cell r="BA120">
            <v>3.5731891375397664</v>
          </cell>
          <cell r="BF120">
            <v>4000</v>
          </cell>
          <cell r="BG120">
            <v>399.6</v>
          </cell>
          <cell r="BH120">
            <v>55.652999999999999</v>
          </cell>
          <cell r="BL120">
            <v>4000</v>
          </cell>
          <cell r="BM120">
            <v>399.6</v>
          </cell>
          <cell r="BN120">
            <v>58.476999999999997</v>
          </cell>
          <cell r="BR120">
            <v>4500</v>
          </cell>
          <cell r="BS120">
            <v>449.55</v>
          </cell>
          <cell r="BT120">
            <v>68.617999999999995</v>
          </cell>
          <cell r="BX120">
            <v>4500</v>
          </cell>
          <cell r="BY120">
            <v>449.55</v>
          </cell>
          <cell r="BZ120">
            <v>82.29</v>
          </cell>
          <cell r="CD120">
            <v>4500</v>
          </cell>
          <cell r="CE120">
            <v>449.55</v>
          </cell>
          <cell r="CF120">
            <v>67.489000000000004</v>
          </cell>
          <cell r="CJ120">
            <v>4000</v>
          </cell>
          <cell r="CK120">
            <v>399.6</v>
          </cell>
          <cell r="CL120">
            <v>70.341999999999999</v>
          </cell>
          <cell r="CP120">
            <v>25500</v>
          </cell>
          <cell r="CQ120">
            <v>2547.4499999999998</v>
          </cell>
          <cell r="CR120">
            <v>402.86900000000003</v>
          </cell>
          <cell r="CS120">
            <v>15.814598912638131</v>
          </cell>
          <cell r="CX120">
            <v>10500</v>
          </cell>
          <cell r="CY120">
            <v>1074.4649999999999</v>
          </cell>
          <cell r="CZ120">
            <v>9.6639999999999979</v>
          </cell>
          <cell r="DA120">
            <v>0.89942436468381937</v>
          </cell>
          <cell r="DF120">
            <v>12000</v>
          </cell>
          <cell r="DG120">
            <v>1227.96</v>
          </cell>
          <cell r="DH120">
            <v>72.605999999999995</v>
          </cell>
          <cell r="DI120">
            <v>5.9127333137887224</v>
          </cell>
          <cell r="DN120">
            <v>12500</v>
          </cell>
          <cell r="DO120">
            <v>1248.75</v>
          </cell>
          <cell r="DP120">
            <v>182.74799999999999</v>
          </cell>
          <cell r="DQ120">
            <v>14.634474474474473</v>
          </cell>
          <cell r="DV120">
            <v>13000</v>
          </cell>
          <cell r="DW120">
            <v>1298.7</v>
          </cell>
          <cell r="DX120">
            <v>220.12099999999998</v>
          </cell>
          <cell r="DY120">
            <v>16.949333949333948</v>
          </cell>
        </row>
        <row r="121">
          <cell r="F121">
            <v>7000</v>
          </cell>
          <cell r="G121">
            <v>711.33440000000007</v>
          </cell>
          <cell r="H121">
            <v>18.639999999999997</v>
          </cell>
          <cell r="I121">
            <v>2.6204271858636381</v>
          </cell>
          <cell r="N121">
            <v>308</v>
          </cell>
          <cell r="O121">
            <v>31.751103999999998</v>
          </cell>
          <cell r="P121">
            <v>-3.1419999999999999</v>
          </cell>
          <cell r="T121">
            <v>616</v>
          </cell>
          <cell r="U121">
            <v>63.502207999999996</v>
          </cell>
          <cell r="V121">
            <v>-4.5049999999999999</v>
          </cell>
          <cell r="Z121">
            <v>616</v>
          </cell>
          <cell r="AA121">
            <v>63.502207999999996</v>
          </cell>
          <cell r="AB121">
            <v>-2.15</v>
          </cell>
          <cell r="AF121">
            <v>378</v>
          </cell>
          <cell r="AG121">
            <v>38.967264</v>
          </cell>
          <cell r="AH121">
            <v>-0.59399999999999997</v>
          </cell>
          <cell r="AL121">
            <v>378</v>
          </cell>
          <cell r="AM121">
            <v>38.967264</v>
          </cell>
          <cell r="AN121">
            <v>0.16200000000000001</v>
          </cell>
          <cell r="AR121">
            <v>504</v>
          </cell>
          <cell r="AS121">
            <v>51.956352000000003</v>
          </cell>
          <cell r="AT121">
            <v>1.046</v>
          </cell>
          <cell r="AX121">
            <v>2800</v>
          </cell>
          <cell r="AY121">
            <v>288.64640000000003</v>
          </cell>
          <cell r="AZ121">
            <v>-9.1829999999999998</v>
          </cell>
          <cell r="BA121">
            <v>-3.181401188443715</v>
          </cell>
          <cell r="BF121">
            <v>378</v>
          </cell>
          <cell r="BG121">
            <v>38.041919999999998</v>
          </cell>
          <cell r="BH121">
            <v>0.57499999999999996</v>
          </cell>
          <cell r="BL121">
            <v>756</v>
          </cell>
          <cell r="BM121">
            <v>76.083839999999995</v>
          </cell>
          <cell r="BN121">
            <v>2.875</v>
          </cell>
          <cell r="BR121">
            <v>756</v>
          </cell>
          <cell r="BS121">
            <v>76.083839999999995</v>
          </cell>
          <cell r="BT121">
            <v>3.6379999999999999</v>
          </cell>
          <cell r="BX121">
            <v>693</v>
          </cell>
          <cell r="BY121">
            <v>69.743520000000004</v>
          </cell>
          <cell r="BZ121">
            <v>5.0069999999999997</v>
          </cell>
          <cell r="CD121">
            <v>693</v>
          </cell>
          <cell r="CE121">
            <v>69.743520000000004</v>
          </cell>
          <cell r="CF121">
            <v>6.0110000000000001</v>
          </cell>
          <cell r="CJ121">
            <v>924</v>
          </cell>
          <cell r="CK121">
            <v>92.99136</v>
          </cell>
          <cell r="CL121">
            <v>9.7170000000000005</v>
          </cell>
          <cell r="CP121">
            <v>4200</v>
          </cell>
          <cell r="CQ121">
            <v>422.68800000000005</v>
          </cell>
          <cell r="CR121">
            <v>27.822999999999997</v>
          </cell>
          <cell r="CS121">
            <v>6.5823964721023529</v>
          </cell>
          <cell r="CX121">
            <v>1540</v>
          </cell>
          <cell r="CY121">
            <v>158.75551999999999</v>
          </cell>
          <cell r="CZ121">
            <v>-9.7970000000000006</v>
          </cell>
          <cell r="DA121">
            <v>-6.1711240024913785</v>
          </cell>
          <cell r="DF121">
            <v>1260</v>
          </cell>
          <cell r="DG121">
            <v>129.89088000000001</v>
          </cell>
          <cell r="DH121">
            <v>0.6140000000000001</v>
          </cell>
          <cell r="DI121">
            <v>0.47270447317009479</v>
          </cell>
          <cell r="DN121">
            <v>1890</v>
          </cell>
          <cell r="DO121">
            <v>190.20959999999997</v>
          </cell>
          <cell r="DP121">
            <v>7.0880000000000001</v>
          </cell>
          <cell r="DQ121">
            <v>3.7264154911213745</v>
          </cell>
          <cell r="DV121">
            <v>2310</v>
          </cell>
          <cell r="DW121">
            <v>232.47840000000002</v>
          </cell>
          <cell r="DX121">
            <v>20.734999999999999</v>
          </cell>
          <cell r="DY121">
            <v>8.919108183814064</v>
          </cell>
        </row>
        <row r="122">
          <cell r="F122">
            <v>92000</v>
          </cell>
          <cell r="G122">
            <v>9509.1782080000012</v>
          </cell>
          <cell r="H122">
            <v>518.65300000000002</v>
          </cell>
          <cell r="I122">
            <v>5.4542357778473551</v>
          </cell>
          <cell r="N122">
            <v>7416</v>
          </cell>
          <cell r="O122">
            <v>775.11260800000002</v>
          </cell>
          <cell r="P122">
            <v>-66.834000000000003</v>
          </cell>
          <cell r="T122">
            <v>7416</v>
          </cell>
          <cell r="U122">
            <v>775.11260800000002</v>
          </cell>
          <cell r="V122">
            <v>-30.353999999999999</v>
          </cell>
          <cell r="Z122">
            <v>7416</v>
          </cell>
          <cell r="AA122">
            <v>775.11260800000002</v>
          </cell>
          <cell r="AB122">
            <v>22.5</v>
          </cell>
          <cell r="AF122">
            <v>7416</v>
          </cell>
          <cell r="AG122">
            <v>775.11260800000002</v>
          </cell>
          <cell r="AH122">
            <v>-4.51</v>
          </cell>
          <cell r="AL122">
            <v>7416</v>
          </cell>
          <cell r="AM122">
            <v>775.11260800000002</v>
          </cell>
          <cell r="AN122">
            <v>11.939</v>
          </cell>
          <cell r="AR122">
            <v>7416</v>
          </cell>
          <cell r="AS122">
            <v>775.11260800000002</v>
          </cell>
          <cell r="AT122">
            <v>24.699000000000002</v>
          </cell>
          <cell r="AX122">
            <v>44496</v>
          </cell>
          <cell r="AY122">
            <v>4650.6756480000004</v>
          </cell>
          <cell r="AZ122">
            <v>-42.559999999999995</v>
          </cell>
          <cell r="BA122">
            <v>-0.9151358473752671</v>
          </cell>
          <cell r="BF122">
            <v>7916</v>
          </cell>
          <cell r="BG122">
            <v>809.61623999999995</v>
          </cell>
          <cell r="BH122">
            <v>74.525000000000006</v>
          </cell>
          <cell r="BL122">
            <v>7916</v>
          </cell>
          <cell r="BM122">
            <v>809.61623999999995</v>
          </cell>
          <cell r="BN122">
            <v>82.944000000000003</v>
          </cell>
          <cell r="BR122">
            <v>7916</v>
          </cell>
          <cell r="BS122">
            <v>809.61623999999995</v>
          </cell>
          <cell r="BT122">
            <v>90.852999999999994</v>
          </cell>
          <cell r="BX122">
            <v>7916</v>
          </cell>
          <cell r="BY122">
            <v>809.61623999999995</v>
          </cell>
          <cell r="BZ122">
            <v>114.075</v>
          </cell>
          <cell r="CD122">
            <v>7916</v>
          </cell>
          <cell r="CE122">
            <v>809.61623999999995</v>
          </cell>
          <cell r="CF122">
            <v>88.602999999999994</v>
          </cell>
          <cell r="CJ122">
            <v>7924</v>
          </cell>
          <cell r="CK122">
            <v>810.42135999999994</v>
          </cell>
          <cell r="CL122">
            <v>110.21299999999999</v>
          </cell>
          <cell r="CP122">
            <v>47504</v>
          </cell>
          <cell r="CQ122">
            <v>4858.5025599999999</v>
          </cell>
          <cell r="CR122">
            <v>561.21299999999997</v>
          </cell>
          <cell r="CS122">
            <v>11.551151678306413</v>
          </cell>
          <cell r="CX122">
            <v>22248</v>
          </cell>
          <cell r="CY122">
            <v>2325.3378240000002</v>
          </cell>
          <cell r="CZ122">
            <v>-74.688000000000002</v>
          </cell>
          <cell r="DA122">
            <v>-3.2119204026674795</v>
          </cell>
          <cell r="DF122">
            <v>22248</v>
          </cell>
          <cell r="DG122">
            <v>2325.3378240000002</v>
          </cell>
          <cell r="DH122">
            <v>32.128</v>
          </cell>
          <cell r="DI122">
            <v>1.3816487079169448</v>
          </cell>
          <cell r="DN122">
            <v>23748</v>
          </cell>
          <cell r="DO122">
            <v>2428.84872</v>
          </cell>
          <cell r="DP122">
            <v>248.322</v>
          </cell>
          <cell r="DQ122">
            <v>10.223856181541024</v>
          </cell>
          <cell r="DV122">
            <v>23756</v>
          </cell>
          <cell r="DW122">
            <v>2429.6538399999999</v>
          </cell>
          <cell r="DX122">
            <v>312.89099999999996</v>
          </cell>
          <cell r="DY122">
            <v>12.878007346099968</v>
          </cell>
        </row>
        <row r="123">
          <cell r="F123">
            <v>61000</v>
          </cell>
          <cell r="G123">
            <v>4814.12</v>
          </cell>
          <cell r="H123">
            <v>443.74199999999996</v>
          </cell>
          <cell r="I123">
            <v>9.2175101576196674</v>
          </cell>
          <cell r="N123">
            <v>3528</v>
          </cell>
          <cell r="O123">
            <v>280.24775999999997</v>
          </cell>
          <cell r="P123">
            <v>-12.401</v>
          </cell>
          <cell r="T123">
            <v>4056</v>
          </cell>
          <cell r="U123">
            <v>326.27352000000002</v>
          </cell>
          <cell r="V123">
            <v>-0.72599999999999998</v>
          </cell>
          <cell r="Z123">
            <v>6056</v>
          </cell>
          <cell r="AA123">
            <v>482.42151999999999</v>
          </cell>
          <cell r="AB123">
            <v>10.284000000000001</v>
          </cell>
          <cell r="AF123">
            <v>5648</v>
          </cell>
          <cell r="AG123">
            <v>446.85615999999999</v>
          </cell>
          <cell r="AH123">
            <v>16.591999999999999</v>
          </cell>
          <cell r="AL123">
            <v>5648</v>
          </cell>
          <cell r="AM123">
            <v>446.85615999999999</v>
          </cell>
          <cell r="AN123">
            <v>23.991</v>
          </cell>
          <cell r="AR123">
            <v>5864</v>
          </cell>
          <cell r="AS123">
            <v>465.68488000000002</v>
          </cell>
          <cell r="AT123">
            <v>33.011000000000003</v>
          </cell>
          <cell r="AX123">
            <v>30800</v>
          </cell>
          <cell r="AY123">
            <v>2448.34</v>
          </cell>
          <cell r="AZ123">
            <v>70.751000000000005</v>
          </cell>
          <cell r="BA123">
            <v>2.8897538740534401</v>
          </cell>
          <cell r="BF123">
            <v>4648</v>
          </cell>
          <cell r="BG123">
            <v>360.02479999999997</v>
          </cell>
          <cell r="BH123">
            <v>46.993000000000002</v>
          </cell>
          <cell r="BL123">
            <v>4296</v>
          </cell>
          <cell r="BM123">
            <v>338.94959999999998</v>
          </cell>
          <cell r="BN123">
            <v>51.709000000000003</v>
          </cell>
          <cell r="BR123">
            <v>5296</v>
          </cell>
          <cell r="BS123">
            <v>415.1696</v>
          </cell>
          <cell r="BT123">
            <v>63.695</v>
          </cell>
          <cell r="BX123">
            <v>6188</v>
          </cell>
          <cell r="BY123">
            <v>482.19880000000001</v>
          </cell>
          <cell r="BZ123">
            <v>76.781000000000006</v>
          </cell>
          <cell r="CD123">
            <v>5188</v>
          </cell>
          <cell r="CE123">
            <v>405.97879999999998</v>
          </cell>
          <cell r="CF123">
            <v>67.503</v>
          </cell>
          <cell r="CJ123">
            <v>4584</v>
          </cell>
          <cell r="CK123">
            <v>363.45839999999998</v>
          </cell>
          <cell r="CL123">
            <v>66.31</v>
          </cell>
          <cell r="CP123">
            <v>30200</v>
          </cell>
          <cell r="CQ123">
            <v>2365.7799999999997</v>
          </cell>
          <cell r="CR123">
            <v>372.99099999999999</v>
          </cell>
          <cell r="CS123">
            <v>15.766089830838034</v>
          </cell>
          <cell r="CX123">
            <v>13640</v>
          </cell>
          <cell r="CY123">
            <v>1088.9427999999998</v>
          </cell>
          <cell r="CZ123">
            <v>-2.8429999999999982</v>
          </cell>
          <cell r="DA123">
            <v>-0.26107891066454536</v>
          </cell>
          <cell r="DF123">
            <v>17160</v>
          </cell>
          <cell r="DG123">
            <v>1359.3971999999999</v>
          </cell>
          <cell r="DH123">
            <v>73.593999999999994</v>
          </cell>
          <cell r="DI123">
            <v>5.4137230825545322</v>
          </cell>
          <cell r="DN123">
            <v>14240</v>
          </cell>
          <cell r="DO123">
            <v>1114.144</v>
          </cell>
          <cell r="DP123">
            <v>162.39699999999999</v>
          </cell>
          <cell r="DQ123">
            <v>14.575943504609818</v>
          </cell>
          <cell r="DV123">
            <v>15960</v>
          </cell>
          <cell r="DW123">
            <v>1251.636</v>
          </cell>
          <cell r="DX123">
            <v>210.59399999999999</v>
          </cell>
          <cell r="DY123">
            <v>16.825498787187328</v>
          </cell>
        </row>
        <row r="124">
          <cell r="F124">
            <v>4000</v>
          </cell>
          <cell r="G124">
            <v>329.16399999999999</v>
          </cell>
          <cell r="H124">
            <v>46.225000000000001</v>
          </cell>
          <cell r="I124">
            <v>14.043151741988796</v>
          </cell>
          <cell r="N124">
            <v>300</v>
          </cell>
          <cell r="O124">
            <v>25.013999999999999</v>
          </cell>
          <cell r="P124">
            <v>2.9710000000000001</v>
          </cell>
          <cell r="T124">
            <v>300</v>
          </cell>
          <cell r="U124">
            <v>25.013999999999999</v>
          </cell>
          <cell r="V124">
            <v>2.9950000000000001</v>
          </cell>
          <cell r="Z124">
            <v>300</v>
          </cell>
          <cell r="AA124">
            <v>25.013999999999999</v>
          </cell>
          <cell r="AB124">
            <v>3.0169999999999999</v>
          </cell>
          <cell r="AF124">
            <v>300</v>
          </cell>
          <cell r="AG124">
            <v>25.013999999999999</v>
          </cell>
          <cell r="AH124">
            <v>2.5910000000000002</v>
          </cell>
          <cell r="AL124">
            <v>300</v>
          </cell>
          <cell r="AM124">
            <v>25.013999999999999</v>
          </cell>
          <cell r="AN124">
            <v>2.5019999999999998</v>
          </cell>
          <cell r="AR124">
            <v>300</v>
          </cell>
          <cell r="AS124">
            <v>25.013999999999999</v>
          </cell>
          <cell r="AT124">
            <v>2.6829999999999998</v>
          </cell>
          <cell r="AX124">
            <v>1800</v>
          </cell>
          <cell r="AY124">
            <v>150.084</v>
          </cell>
          <cell r="AZ124">
            <v>16.759</v>
          </cell>
          <cell r="BA124">
            <v>11.166413475120599</v>
          </cell>
          <cell r="BF124">
            <v>400</v>
          </cell>
          <cell r="BG124">
            <v>32.56</v>
          </cell>
          <cell r="BH124">
            <v>5.266</v>
          </cell>
          <cell r="BL124">
            <v>400</v>
          </cell>
          <cell r="BM124">
            <v>32.56</v>
          </cell>
          <cell r="BN124">
            <v>4.9369999999999994</v>
          </cell>
          <cell r="BR124">
            <v>400</v>
          </cell>
          <cell r="BS124">
            <v>32.56</v>
          </cell>
          <cell r="BT124">
            <v>5.1509999999999998</v>
          </cell>
          <cell r="BX124">
            <v>400</v>
          </cell>
          <cell r="BY124">
            <v>32.56</v>
          </cell>
          <cell r="BZ124">
            <v>5.8580000000000005</v>
          </cell>
          <cell r="CD124">
            <v>300</v>
          </cell>
          <cell r="CE124">
            <v>24.42</v>
          </cell>
          <cell r="CF124">
            <v>3.9260000000000002</v>
          </cell>
          <cell r="CJ124">
            <v>300</v>
          </cell>
          <cell r="CK124">
            <v>24.42</v>
          </cell>
          <cell r="CL124">
            <v>4.3280000000000003</v>
          </cell>
          <cell r="CP124">
            <v>2200</v>
          </cell>
          <cell r="CQ124">
            <v>179.08</v>
          </cell>
          <cell r="CR124">
            <v>29.466000000000001</v>
          </cell>
          <cell r="CS124">
            <v>16.454098726826</v>
          </cell>
          <cell r="CX124">
            <v>900</v>
          </cell>
          <cell r="CY124">
            <v>75.042000000000002</v>
          </cell>
          <cell r="CZ124">
            <v>8.9830000000000005</v>
          </cell>
          <cell r="DA124">
            <v>11.970629780656166</v>
          </cell>
          <cell r="DF124">
            <v>900</v>
          </cell>
          <cell r="DG124">
            <v>75.042000000000002</v>
          </cell>
          <cell r="DH124">
            <v>7.7759999999999998</v>
          </cell>
          <cell r="DI124">
            <v>10.362197169585032</v>
          </cell>
          <cell r="DN124">
            <v>1200</v>
          </cell>
          <cell r="DO124">
            <v>97.68</v>
          </cell>
          <cell r="DP124">
            <v>15.353999999999999</v>
          </cell>
          <cell r="DQ124">
            <v>15.718673218673217</v>
          </cell>
          <cell r="DV124">
            <v>1000</v>
          </cell>
          <cell r="DW124">
            <v>81.400000000000006</v>
          </cell>
          <cell r="DX124">
            <v>14.112000000000002</v>
          </cell>
          <cell r="DY124">
            <v>17.336609336609339</v>
          </cell>
        </row>
        <row r="125">
          <cell r="F125">
            <v>12000</v>
          </cell>
          <cell r="G125">
            <v>1093.9007999999999</v>
          </cell>
          <cell r="H125">
            <v>221.31800000000001</v>
          </cell>
          <cell r="I125">
            <v>20.231999099004227</v>
          </cell>
          <cell r="N125">
            <v>484</v>
          </cell>
          <cell r="O125">
            <v>45.125256</v>
          </cell>
          <cell r="P125">
            <v>3.508</v>
          </cell>
          <cell r="T125">
            <v>968</v>
          </cell>
          <cell r="U125">
            <v>90.250512000000001</v>
          </cell>
          <cell r="V125">
            <v>10.63</v>
          </cell>
          <cell r="Z125">
            <v>1068</v>
          </cell>
          <cell r="AA125">
            <v>98.664311999999995</v>
          </cell>
          <cell r="AB125">
            <v>13.576000000000001</v>
          </cell>
          <cell r="AF125">
            <v>694</v>
          </cell>
          <cell r="AG125">
            <v>63.794795999999998</v>
          </cell>
          <cell r="AH125">
            <v>9.6180000000000003</v>
          </cell>
          <cell r="AL125">
            <v>694</v>
          </cell>
          <cell r="AM125">
            <v>63.794795999999998</v>
          </cell>
          <cell r="AN125">
            <v>10.433</v>
          </cell>
          <cell r="AR125">
            <v>892</v>
          </cell>
          <cell r="AS125">
            <v>82.255127999999999</v>
          </cell>
          <cell r="AT125">
            <v>14.446</v>
          </cell>
          <cell r="AX125">
            <v>4800</v>
          </cell>
          <cell r="AY125">
            <v>443.88479999999998</v>
          </cell>
          <cell r="AZ125">
            <v>62.211000000000006</v>
          </cell>
          <cell r="BA125">
            <v>14.015122842683509</v>
          </cell>
          <cell r="BF125">
            <v>694</v>
          </cell>
          <cell r="BG125">
            <v>62.279879999999999</v>
          </cell>
          <cell r="BH125">
            <v>14.138999999999999</v>
          </cell>
          <cell r="BL125">
            <v>1288</v>
          </cell>
          <cell r="BM125">
            <v>116.34576</v>
          </cell>
          <cell r="BN125">
            <v>27.56</v>
          </cell>
          <cell r="BR125">
            <v>1288</v>
          </cell>
          <cell r="BS125">
            <v>116.34576</v>
          </cell>
          <cell r="BT125">
            <v>28.031999999999996</v>
          </cell>
          <cell r="BX125">
            <v>1189</v>
          </cell>
          <cell r="BY125">
            <v>107.33477999999999</v>
          </cell>
          <cell r="BZ125">
            <v>26.63</v>
          </cell>
          <cell r="CD125">
            <v>1189</v>
          </cell>
          <cell r="CE125">
            <v>107.33477999999999</v>
          </cell>
          <cell r="CF125">
            <v>26.817</v>
          </cell>
          <cell r="CJ125">
            <v>1552</v>
          </cell>
          <cell r="CK125">
            <v>140.37503999999998</v>
          </cell>
          <cell r="CL125">
            <v>35.929000000000002</v>
          </cell>
          <cell r="CP125">
            <v>7200</v>
          </cell>
          <cell r="CQ125">
            <v>650.01599999999996</v>
          </cell>
          <cell r="CR125">
            <v>159.107</v>
          </cell>
          <cell r="CS125">
            <v>24.477397479446662</v>
          </cell>
          <cell r="CX125">
            <v>2520</v>
          </cell>
          <cell r="CY125">
            <v>234.04007999999999</v>
          </cell>
          <cell r="CZ125">
            <v>27.714000000000002</v>
          </cell>
          <cell r="DA125">
            <v>11.841561496646216</v>
          </cell>
          <cell r="DF125">
            <v>2280</v>
          </cell>
          <cell r="DG125">
            <v>209.84472</v>
          </cell>
          <cell r="DH125">
            <v>34.497</v>
          </cell>
          <cell r="DI125">
            <v>16.439298544180669</v>
          </cell>
          <cell r="DN125">
            <v>3270</v>
          </cell>
          <cell r="DO125">
            <v>294.97140000000002</v>
          </cell>
          <cell r="DP125">
            <v>69.730999999999995</v>
          </cell>
          <cell r="DQ125">
            <v>23.639918988756197</v>
          </cell>
          <cell r="DV125">
            <v>3930</v>
          </cell>
          <cell r="DW125">
            <v>355.04459999999995</v>
          </cell>
          <cell r="DX125">
            <v>89.376000000000005</v>
          </cell>
          <cell r="DY125">
            <v>25.17317542641122</v>
          </cell>
        </row>
        <row r="126">
          <cell r="F126">
            <v>4000</v>
          </cell>
          <cell r="G126">
            <v>353.10320000000002</v>
          </cell>
          <cell r="H126">
            <v>54.566000000000003</v>
          </cell>
          <cell r="I126">
            <v>15.453272584332286</v>
          </cell>
          <cell r="N126">
            <v>300</v>
          </cell>
          <cell r="O126">
            <v>26.833200000000001</v>
          </cell>
          <cell r="P126">
            <v>2.7149999999999999</v>
          </cell>
          <cell r="T126">
            <v>300</v>
          </cell>
          <cell r="U126">
            <v>26.833200000000001</v>
          </cell>
          <cell r="V126">
            <v>3.3809999999999998</v>
          </cell>
          <cell r="Z126">
            <v>300</v>
          </cell>
          <cell r="AA126">
            <v>26.833200000000001</v>
          </cell>
          <cell r="AB126">
            <v>3.5840000000000001</v>
          </cell>
          <cell r="AF126">
            <v>300</v>
          </cell>
          <cell r="AG126">
            <v>26.833200000000001</v>
          </cell>
          <cell r="AH126">
            <v>3.323</v>
          </cell>
          <cell r="AL126">
            <v>300</v>
          </cell>
          <cell r="AM126">
            <v>26.833200000000001</v>
          </cell>
          <cell r="AN126">
            <v>3.1989999999999998</v>
          </cell>
          <cell r="AR126">
            <v>300</v>
          </cell>
          <cell r="AS126">
            <v>26.833200000000001</v>
          </cell>
          <cell r="AT126">
            <v>3.3090000000000002</v>
          </cell>
          <cell r="AX126">
            <v>1800</v>
          </cell>
          <cell r="AY126">
            <v>160.9992</v>
          </cell>
          <cell r="AZ126">
            <v>19.510999999999999</v>
          </cell>
          <cell r="BA126">
            <v>12.118693757484508</v>
          </cell>
          <cell r="BF126">
            <v>400</v>
          </cell>
          <cell r="BG126">
            <v>34.927999999999997</v>
          </cell>
          <cell r="BH126">
            <v>6.24</v>
          </cell>
          <cell r="BL126">
            <v>400</v>
          </cell>
          <cell r="BM126">
            <v>34.927999999999997</v>
          </cell>
          <cell r="BN126">
            <v>6</v>
          </cell>
          <cell r="BR126">
            <v>400</v>
          </cell>
          <cell r="BS126">
            <v>34.927999999999997</v>
          </cell>
          <cell r="BT126">
            <v>6.1680000000000001</v>
          </cell>
          <cell r="BX126">
            <v>400</v>
          </cell>
          <cell r="BY126">
            <v>34.927999999999997</v>
          </cell>
          <cell r="BZ126">
            <v>6.7840000000000007</v>
          </cell>
          <cell r="CD126">
            <v>300</v>
          </cell>
          <cell r="CE126">
            <v>26.195999999999998</v>
          </cell>
          <cell r="CF126">
            <v>4.8130000000000006</v>
          </cell>
          <cell r="CJ126">
            <v>300</v>
          </cell>
          <cell r="CK126">
            <v>26.195999999999998</v>
          </cell>
          <cell r="CL126">
            <v>5.05</v>
          </cell>
          <cell r="CP126">
            <v>2200</v>
          </cell>
          <cell r="CQ126">
            <v>192.10399999999998</v>
          </cell>
          <cell r="CR126">
            <v>35.055</v>
          </cell>
          <cell r="CS126">
            <v>18.247928205555326</v>
          </cell>
          <cell r="CX126">
            <v>900</v>
          </cell>
          <cell r="CY126">
            <v>80.499600000000001</v>
          </cell>
          <cell r="CZ126">
            <v>9.68</v>
          </cell>
          <cell r="DA126">
            <v>12.024904471575013</v>
          </cell>
          <cell r="DF126">
            <v>900</v>
          </cell>
          <cell r="DG126">
            <v>80.499600000000001</v>
          </cell>
          <cell r="DH126">
            <v>9.8309999999999995</v>
          </cell>
          <cell r="DI126">
            <v>12.212483043394004</v>
          </cell>
          <cell r="DN126">
            <v>1200</v>
          </cell>
          <cell r="DO126">
            <v>104.78399999999999</v>
          </cell>
          <cell r="DP126">
            <v>18.408000000000001</v>
          </cell>
          <cell r="DQ126">
            <v>17.567567567567572</v>
          </cell>
          <cell r="DV126">
            <v>1000</v>
          </cell>
          <cell r="DW126">
            <v>87.32</v>
          </cell>
          <cell r="DX126">
            <v>16.647000000000002</v>
          </cell>
          <cell r="DY126">
            <v>19.064360971140637</v>
          </cell>
        </row>
        <row r="127">
          <cell r="F127">
            <v>75000</v>
          </cell>
          <cell r="G127">
            <v>8820.2890599999992</v>
          </cell>
          <cell r="H127">
            <v>1308.2</v>
          </cell>
          <cell r="I127">
            <v>14.831713463141311</v>
          </cell>
          <cell r="N127">
            <v>4465</v>
          </cell>
          <cell r="O127">
            <v>529.47588599999995</v>
          </cell>
          <cell r="P127">
            <v>47.396999999999998</v>
          </cell>
          <cell r="T127">
            <v>4905</v>
          </cell>
          <cell r="U127">
            <v>582.83908599999995</v>
          </cell>
          <cell r="V127">
            <v>63.639000000000003</v>
          </cell>
          <cell r="Z127">
            <v>5930</v>
          </cell>
          <cell r="AA127">
            <v>706.48177199999998</v>
          </cell>
          <cell r="AB127">
            <v>79.099000000000004</v>
          </cell>
          <cell r="AF127">
            <v>5590</v>
          </cell>
          <cell r="AG127">
            <v>665.24657200000001</v>
          </cell>
          <cell r="AH127">
            <v>72.128</v>
          </cell>
          <cell r="AL127">
            <v>5590</v>
          </cell>
          <cell r="AM127">
            <v>665.24657200000001</v>
          </cell>
          <cell r="AN127">
            <v>79.597999999999999</v>
          </cell>
          <cell r="AR127">
            <v>5770</v>
          </cell>
          <cell r="AS127">
            <v>687.07697199999996</v>
          </cell>
          <cell r="AT127">
            <v>84.885999999999996</v>
          </cell>
          <cell r="AX127">
            <v>32250</v>
          </cell>
          <cell r="AY127">
            <v>3836.3668600000001</v>
          </cell>
          <cell r="AZ127">
            <v>426.74699999999996</v>
          </cell>
          <cell r="BA127">
            <v>11.123727619730298</v>
          </cell>
          <cell r="BF127">
            <v>6002.5</v>
          </cell>
          <cell r="BG127">
            <v>699.22933</v>
          </cell>
          <cell r="BH127">
            <v>109.28700000000001</v>
          </cell>
          <cell r="BL127">
            <v>7042.5</v>
          </cell>
          <cell r="BM127">
            <v>820.51532999999995</v>
          </cell>
          <cell r="BN127">
            <v>135.12899999999999</v>
          </cell>
          <cell r="BR127">
            <v>7237.5</v>
          </cell>
          <cell r="BS127">
            <v>844.047774</v>
          </cell>
          <cell r="BT127">
            <v>140.84399999999999</v>
          </cell>
          <cell r="BX127">
            <v>8427.5</v>
          </cell>
          <cell r="BY127">
            <v>984.87154999999996</v>
          </cell>
          <cell r="BZ127">
            <v>192.06399999999999</v>
          </cell>
          <cell r="CD127">
            <v>7745</v>
          </cell>
          <cell r="CE127">
            <v>902.50799599999993</v>
          </cell>
          <cell r="CF127">
            <v>161.18</v>
          </cell>
          <cell r="CJ127">
            <v>6295</v>
          </cell>
          <cell r="CK127">
            <v>732.75022000000001</v>
          </cell>
          <cell r="CL127">
            <v>142.94900000000001</v>
          </cell>
          <cell r="CP127">
            <v>42750</v>
          </cell>
          <cell r="CQ127">
            <v>4983.9222</v>
          </cell>
          <cell r="CR127">
            <v>881.45300000000009</v>
          </cell>
          <cell r="CS127">
            <v>17.685930169616213</v>
          </cell>
          <cell r="CX127">
            <v>15300</v>
          </cell>
          <cell r="CY127">
            <v>1818.7967439999998</v>
          </cell>
          <cell r="CZ127">
            <v>190.13499999999999</v>
          </cell>
          <cell r="DA127">
            <v>10.45388939842967</v>
          </cell>
          <cell r="DF127">
            <v>16950</v>
          </cell>
          <cell r="DG127">
            <v>2017.5701159999999</v>
          </cell>
          <cell r="DH127">
            <v>236.61199999999999</v>
          </cell>
          <cell r="DI127">
            <v>11.727572594557602</v>
          </cell>
          <cell r="DN127">
            <v>20282.5</v>
          </cell>
          <cell r="DO127">
            <v>2363.792434</v>
          </cell>
          <cell r="DP127">
            <v>385.26</v>
          </cell>
          <cell r="DQ127">
            <v>16.298385359837393</v>
          </cell>
          <cell r="DV127">
            <v>22467.5</v>
          </cell>
          <cell r="DW127">
            <v>2620.129766</v>
          </cell>
          <cell r="DX127">
            <v>496.19300000000004</v>
          </cell>
          <cell r="DY127">
            <v>18.937726155354095</v>
          </cell>
        </row>
        <row r="128">
          <cell r="F128">
            <v>15000</v>
          </cell>
          <cell r="G128">
            <v>1870.9935</v>
          </cell>
          <cell r="H128">
            <v>254.673</v>
          </cell>
          <cell r="I128">
            <v>13.611645363813397</v>
          </cell>
          <cell r="N128">
            <v>615</v>
          </cell>
          <cell r="O128">
            <v>77.918610000000001</v>
          </cell>
          <cell r="P128">
            <v>7.2249999999999996</v>
          </cell>
          <cell r="T128">
            <v>1055</v>
          </cell>
          <cell r="U128">
            <v>133.94997000000001</v>
          </cell>
          <cell r="V128">
            <v>14.821999999999999</v>
          </cell>
          <cell r="Z128">
            <v>1230</v>
          </cell>
          <cell r="AA128">
            <v>155.83722</v>
          </cell>
          <cell r="AB128">
            <v>17.731999999999999</v>
          </cell>
          <cell r="AF128">
            <v>890</v>
          </cell>
          <cell r="AG128">
            <v>112.54026</v>
          </cell>
          <cell r="AH128">
            <v>12.727</v>
          </cell>
          <cell r="AL128">
            <v>890</v>
          </cell>
          <cell r="AM128">
            <v>112.54026</v>
          </cell>
          <cell r="AN128">
            <v>13.401</v>
          </cell>
          <cell r="AR128">
            <v>1070</v>
          </cell>
          <cell r="AS128">
            <v>135.46217999999999</v>
          </cell>
          <cell r="AT128">
            <v>16.79</v>
          </cell>
          <cell r="AX128">
            <v>5750</v>
          </cell>
          <cell r="AY128">
            <v>728.24849999999992</v>
          </cell>
          <cell r="AZ128">
            <v>82.696999999999989</v>
          </cell>
          <cell r="BA128">
            <v>11.355601830968412</v>
          </cell>
          <cell r="BF128">
            <v>1027.5</v>
          </cell>
          <cell r="BG128">
            <v>126.65655</v>
          </cell>
          <cell r="BH128">
            <v>14.537000000000001</v>
          </cell>
          <cell r="BL128">
            <v>1567.5</v>
          </cell>
          <cell r="BM128">
            <v>193.78934999999998</v>
          </cell>
          <cell r="BN128">
            <v>25.297999999999998</v>
          </cell>
          <cell r="BR128">
            <v>1632.5</v>
          </cell>
          <cell r="BS128">
            <v>201.72585000000001</v>
          </cell>
          <cell r="BT128">
            <v>28.457999999999998</v>
          </cell>
          <cell r="BX128">
            <v>1802.5</v>
          </cell>
          <cell r="BY128">
            <v>222.28305</v>
          </cell>
          <cell r="BZ128">
            <v>34.823</v>
          </cell>
          <cell r="CD128">
            <v>1575</v>
          </cell>
          <cell r="CE128">
            <v>194.50530000000001</v>
          </cell>
          <cell r="CF128">
            <v>32.082000000000001</v>
          </cell>
          <cell r="CJ128">
            <v>1645</v>
          </cell>
          <cell r="CK128">
            <v>203.78489999999999</v>
          </cell>
          <cell r="CL128">
            <v>36.777999999999999</v>
          </cell>
          <cell r="CP128">
            <v>9250</v>
          </cell>
          <cell r="CQ128">
            <v>1142.7450000000001</v>
          </cell>
          <cell r="CR128">
            <v>171.976</v>
          </cell>
          <cell r="CS128">
            <v>15.049376720090656</v>
          </cell>
          <cell r="CX128">
            <v>2900</v>
          </cell>
          <cell r="CY128">
            <v>367.70580000000001</v>
          </cell>
          <cell r="CZ128">
            <v>39.778999999999996</v>
          </cell>
          <cell r="DA128">
            <v>10.81815951774489</v>
          </cell>
          <cell r="DF128">
            <v>2850</v>
          </cell>
          <cell r="DG128">
            <v>360.54269999999997</v>
          </cell>
          <cell r="DH128">
            <v>42.917999999999999</v>
          </cell>
          <cell r="DI128">
            <v>11.903721806044055</v>
          </cell>
          <cell r="DN128">
            <v>4227.5</v>
          </cell>
          <cell r="DO128">
            <v>522.17174999999997</v>
          </cell>
          <cell r="DP128">
            <v>68.293000000000006</v>
          </cell>
          <cell r="DQ128">
            <v>13.078647016044053</v>
          </cell>
          <cell r="DV128">
            <v>5022.5</v>
          </cell>
          <cell r="DW128">
            <v>620.57325000000003</v>
          </cell>
          <cell r="DX128">
            <v>103.68299999999999</v>
          </cell>
          <cell r="DY128">
            <v>16.707616707616705</v>
          </cell>
        </row>
        <row r="129">
          <cell r="F129">
            <v>72000</v>
          </cell>
          <cell r="G129">
            <v>7700.2403999999997</v>
          </cell>
          <cell r="H129">
            <v>357.39299999999992</v>
          </cell>
          <cell r="I129">
            <v>4.6413226267585088</v>
          </cell>
          <cell r="N129">
            <v>0</v>
          </cell>
          <cell r="O129">
            <v>0</v>
          </cell>
          <cell r="P129">
            <v>0</v>
          </cell>
          <cell r="T129">
            <v>0</v>
          </cell>
          <cell r="U129">
            <v>0</v>
          </cell>
          <cell r="V129">
            <v>0</v>
          </cell>
          <cell r="Z129">
            <v>0</v>
          </cell>
          <cell r="AA129">
            <v>0</v>
          </cell>
          <cell r="AB129">
            <v>0</v>
          </cell>
          <cell r="AF129">
            <v>0</v>
          </cell>
          <cell r="AG129">
            <v>0</v>
          </cell>
          <cell r="AH129">
            <v>0</v>
          </cell>
          <cell r="AL129">
            <v>2160</v>
          </cell>
          <cell r="AM129">
            <v>236.0412</v>
          </cell>
          <cell r="AN129">
            <v>-123.059</v>
          </cell>
          <cell r="AR129">
            <v>5160</v>
          </cell>
          <cell r="AS129">
            <v>565.77120000000002</v>
          </cell>
          <cell r="AT129">
            <v>-112.267</v>
          </cell>
          <cell r="AX129">
            <v>7320</v>
          </cell>
          <cell r="AY129">
            <v>801.81240000000003</v>
          </cell>
          <cell r="AZ129">
            <v>-235.32599999999999</v>
          </cell>
          <cell r="BA129">
            <v>-29.349259253161957</v>
          </cell>
          <cell r="BF129">
            <v>9230</v>
          </cell>
          <cell r="BG129">
            <v>983.053</v>
          </cell>
          <cell r="BH129">
            <v>7.0359999999999996</v>
          </cell>
          <cell r="BL129">
            <v>11330</v>
          </cell>
          <cell r="BM129">
            <v>1209.8630000000001</v>
          </cell>
          <cell r="BN129">
            <v>85.575999999999993</v>
          </cell>
          <cell r="BR129">
            <v>11870</v>
          </cell>
          <cell r="BS129">
            <v>1266.473</v>
          </cell>
          <cell r="BT129">
            <v>101.545</v>
          </cell>
          <cell r="BX129">
            <v>14040</v>
          </cell>
          <cell r="BY129">
            <v>1494.134</v>
          </cell>
          <cell r="BZ129">
            <v>170.78899999999999</v>
          </cell>
          <cell r="CD129">
            <v>10150</v>
          </cell>
          <cell r="CE129">
            <v>1081.3989999999999</v>
          </cell>
          <cell r="CF129">
            <v>112.176</v>
          </cell>
          <cell r="CJ129">
            <v>8060</v>
          </cell>
          <cell r="CK129">
            <v>863.50599999999997</v>
          </cell>
          <cell r="CL129">
            <v>115.59699999999999</v>
          </cell>
          <cell r="CP129">
            <v>64680</v>
          </cell>
          <cell r="CQ129">
            <v>6898.4279999999999</v>
          </cell>
          <cell r="CR129">
            <v>592.71899999999994</v>
          </cell>
          <cell r="CS129">
            <v>8.5920879365559788</v>
          </cell>
          <cell r="CX129">
            <v>0</v>
          </cell>
          <cell r="CY129">
            <v>0</v>
          </cell>
          <cell r="CZ129">
            <v>0</v>
          </cell>
          <cell r="DA129">
            <v>0</v>
          </cell>
          <cell r="DF129">
            <v>7320</v>
          </cell>
          <cell r="DG129">
            <v>801.81240000000003</v>
          </cell>
          <cell r="DH129">
            <v>-235.32599999999999</v>
          </cell>
          <cell r="DI129">
            <v>-29.349259253161957</v>
          </cell>
          <cell r="DN129">
            <v>32430</v>
          </cell>
          <cell r="DO129">
            <v>3459.3890000000001</v>
          </cell>
          <cell r="DP129">
            <v>194.15699999999998</v>
          </cell>
          <cell r="DQ129">
            <v>5.6124650913788532</v>
          </cell>
          <cell r="DV129">
            <v>32250</v>
          </cell>
          <cell r="DW129">
            <v>3439.0389999999998</v>
          </cell>
          <cell r="DX129">
            <v>398.56199999999995</v>
          </cell>
          <cell r="DY129">
            <v>11.589342255205597</v>
          </cell>
        </row>
        <row r="130">
          <cell r="F130">
            <v>0</v>
          </cell>
          <cell r="G130">
            <v>0</v>
          </cell>
          <cell r="H130">
            <v>0</v>
          </cell>
          <cell r="I130">
            <v>0</v>
          </cell>
          <cell r="N130">
            <v>0</v>
          </cell>
          <cell r="O130">
            <v>0</v>
          </cell>
          <cell r="P130">
            <v>0</v>
          </cell>
          <cell r="T130">
            <v>0</v>
          </cell>
          <cell r="U130">
            <v>0</v>
          </cell>
          <cell r="V130">
            <v>0</v>
          </cell>
          <cell r="Z130">
            <v>0</v>
          </cell>
          <cell r="AA130">
            <v>0</v>
          </cell>
          <cell r="AB130">
            <v>0</v>
          </cell>
          <cell r="AF130">
            <v>0</v>
          </cell>
          <cell r="AG130">
            <v>0</v>
          </cell>
          <cell r="AH130">
            <v>0</v>
          </cell>
          <cell r="AL130">
            <v>0</v>
          </cell>
          <cell r="AM130">
            <v>0</v>
          </cell>
          <cell r="AN130">
            <v>0</v>
          </cell>
          <cell r="AR130">
            <v>0</v>
          </cell>
          <cell r="AS130">
            <v>0</v>
          </cell>
          <cell r="AT130">
            <v>0</v>
          </cell>
          <cell r="AX130">
            <v>0</v>
          </cell>
          <cell r="AY130">
            <v>0</v>
          </cell>
          <cell r="AZ130">
            <v>0</v>
          </cell>
          <cell r="BA130">
            <v>0</v>
          </cell>
          <cell r="BF130">
            <v>0</v>
          </cell>
          <cell r="BG130">
            <v>0</v>
          </cell>
          <cell r="BH130">
            <v>0</v>
          </cell>
          <cell r="BL130">
            <v>0</v>
          </cell>
          <cell r="BM130">
            <v>0</v>
          </cell>
          <cell r="BN130">
            <v>0</v>
          </cell>
          <cell r="BR130">
            <v>0</v>
          </cell>
          <cell r="BS130">
            <v>0</v>
          </cell>
          <cell r="BT130">
            <v>0</v>
          </cell>
          <cell r="BX130">
            <v>0</v>
          </cell>
          <cell r="BY130">
            <v>0</v>
          </cell>
          <cell r="BZ130">
            <v>0</v>
          </cell>
          <cell r="CD130">
            <v>0</v>
          </cell>
          <cell r="CE130">
            <v>0</v>
          </cell>
          <cell r="CF130">
            <v>0</v>
          </cell>
          <cell r="CJ130">
            <v>0</v>
          </cell>
          <cell r="CK130">
            <v>0</v>
          </cell>
          <cell r="CL130">
            <v>0</v>
          </cell>
          <cell r="CP130">
            <v>0</v>
          </cell>
          <cell r="CQ130">
            <v>0</v>
          </cell>
          <cell r="CR130">
            <v>0</v>
          </cell>
          <cell r="CS130">
            <v>0</v>
          </cell>
          <cell r="CX130">
            <v>0</v>
          </cell>
          <cell r="CY130">
            <v>0</v>
          </cell>
          <cell r="CZ130">
            <v>0</v>
          </cell>
          <cell r="DA130">
            <v>0</v>
          </cell>
          <cell r="DF130">
            <v>0</v>
          </cell>
          <cell r="DG130">
            <v>0</v>
          </cell>
          <cell r="DH130">
            <v>0</v>
          </cell>
          <cell r="DI130">
            <v>0</v>
          </cell>
          <cell r="DN130">
            <v>0</v>
          </cell>
          <cell r="DO130">
            <v>0</v>
          </cell>
          <cell r="DP130">
            <v>0</v>
          </cell>
          <cell r="DQ130">
            <v>0</v>
          </cell>
          <cell r="DV130">
            <v>0</v>
          </cell>
          <cell r="DW130">
            <v>0</v>
          </cell>
          <cell r="DX130">
            <v>0</v>
          </cell>
          <cell r="DY130">
            <v>0</v>
          </cell>
        </row>
        <row r="131">
          <cell r="F131">
            <v>3000</v>
          </cell>
          <cell r="G131">
            <v>385.55471999999997</v>
          </cell>
          <cell r="H131">
            <v>67.569000000000003</v>
          </cell>
          <cell r="I131">
            <v>17.52513884410493</v>
          </cell>
          <cell r="N131">
            <v>0</v>
          </cell>
          <cell r="O131">
            <v>0</v>
          </cell>
          <cell r="P131">
            <v>0</v>
          </cell>
          <cell r="T131">
            <v>0</v>
          </cell>
          <cell r="U131">
            <v>0</v>
          </cell>
          <cell r="V131">
            <v>0</v>
          </cell>
          <cell r="Z131">
            <v>0</v>
          </cell>
          <cell r="AA131">
            <v>0</v>
          </cell>
          <cell r="AB131">
            <v>0</v>
          </cell>
          <cell r="AF131">
            <v>0</v>
          </cell>
          <cell r="AG131">
            <v>0</v>
          </cell>
          <cell r="AH131">
            <v>0</v>
          </cell>
          <cell r="AL131">
            <v>240</v>
          </cell>
          <cell r="AM131">
            <v>31.472159999999999</v>
          </cell>
          <cell r="AN131">
            <v>-8.6509999999999998</v>
          </cell>
          <cell r="AR131">
            <v>240</v>
          </cell>
          <cell r="AS131">
            <v>31.472159999999999</v>
          </cell>
          <cell r="AT131">
            <v>0.223</v>
          </cell>
          <cell r="AX131">
            <v>480</v>
          </cell>
          <cell r="AY131">
            <v>62.944319999999998</v>
          </cell>
          <cell r="AZ131">
            <v>-8.427999999999999</v>
          </cell>
          <cell r="BA131">
            <v>-13.389611644068916</v>
          </cell>
          <cell r="BF131">
            <v>270</v>
          </cell>
          <cell r="BG131">
            <v>34.565399999999997</v>
          </cell>
          <cell r="BH131">
            <v>5.9349999999999996</v>
          </cell>
          <cell r="BL131">
            <v>420</v>
          </cell>
          <cell r="BM131">
            <v>53.7684</v>
          </cell>
          <cell r="BN131">
            <v>12.127000000000001</v>
          </cell>
          <cell r="BR131">
            <v>420</v>
          </cell>
          <cell r="BS131">
            <v>53.7684</v>
          </cell>
          <cell r="BT131">
            <v>12.135999999999999</v>
          </cell>
          <cell r="BX131">
            <v>435</v>
          </cell>
          <cell r="BY131">
            <v>55.688699999999997</v>
          </cell>
          <cell r="BZ131">
            <v>13.916</v>
          </cell>
          <cell r="CD131">
            <v>435</v>
          </cell>
          <cell r="CE131">
            <v>55.688699999999997</v>
          </cell>
          <cell r="CF131">
            <v>13.715</v>
          </cell>
          <cell r="CJ131">
            <v>540</v>
          </cell>
          <cell r="CK131">
            <v>69.130799999999994</v>
          </cell>
          <cell r="CL131">
            <v>18.167999999999999</v>
          </cell>
          <cell r="CP131">
            <v>2520</v>
          </cell>
          <cell r="CQ131">
            <v>322.61039999999997</v>
          </cell>
          <cell r="CR131">
            <v>75.997</v>
          </cell>
          <cell r="CS131">
            <v>23.556897111810411</v>
          </cell>
          <cell r="CX131">
            <v>0</v>
          </cell>
          <cell r="CY131">
            <v>0</v>
          </cell>
          <cell r="CZ131">
            <v>0</v>
          </cell>
          <cell r="DA131">
            <v>0</v>
          </cell>
          <cell r="DF131">
            <v>480</v>
          </cell>
          <cell r="DG131">
            <v>62.944319999999998</v>
          </cell>
          <cell r="DH131">
            <v>-8.427999999999999</v>
          </cell>
          <cell r="DI131">
            <v>-13.389611644068916</v>
          </cell>
          <cell r="DN131">
            <v>1110</v>
          </cell>
          <cell r="DO131">
            <v>142.10219999999998</v>
          </cell>
          <cell r="DP131">
            <v>30.198</v>
          </cell>
          <cell r="DQ131">
            <v>21.250902519454311</v>
          </cell>
          <cell r="DV131">
            <v>1410</v>
          </cell>
          <cell r="DW131">
            <v>180.50819999999999</v>
          </cell>
          <cell r="DX131">
            <v>45.798999999999999</v>
          </cell>
          <cell r="DY131">
            <v>25.372254556856699</v>
          </cell>
        </row>
        <row r="132">
          <cell r="F132">
            <v>25000</v>
          </cell>
          <cell r="G132">
            <v>3154.18</v>
          </cell>
          <cell r="H132">
            <v>461.46800000000002</v>
          </cell>
          <cell r="I132">
            <v>14.630363517617893</v>
          </cell>
          <cell r="N132">
            <v>0</v>
          </cell>
          <cell r="O132">
            <v>0</v>
          </cell>
          <cell r="P132">
            <v>0</v>
          </cell>
          <cell r="T132">
            <v>0</v>
          </cell>
          <cell r="U132">
            <v>0</v>
          </cell>
          <cell r="V132">
            <v>0</v>
          </cell>
          <cell r="Z132">
            <v>0</v>
          </cell>
          <cell r="AA132">
            <v>0</v>
          </cell>
          <cell r="AB132">
            <v>0</v>
          </cell>
          <cell r="AF132">
            <v>0</v>
          </cell>
          <cell r="AG132">
            <v>0</v>
          </cell>
          <cell r="AH132">
            <v>0</v>
          </cell>
          <cell r="AL132">
            <v>0</v>
          </cell>
          <cell r="AM132">
            <v>0</v>
          </cell>
          <cell r="AN132">
            <v>0</v>
          </cell>
          <cell r="AR132">
            <v>3000</v>
          </cell>
          <cell r="AS132">
            <v>386.58</v>
          </cell>
          <cell r="AT132">
            <v>-22.001000000000001</v>
          </cell>
          <cell r="AX132">
            <v>3000</v>
          </cell>
          <cell r="AY132">
            <v>386.58</v>
          </cell>
          <cell r="AZ132">
            <v>-22.001000000000001</v>
          </cell>
          <cell r="BA132">
            <v>-5.6911894045217037</v>
          </cell>
          <cell r="BF132">
            <v>3000</v>
          </cell>
          <cell r="BG132">
            <v>377.4</v>
          </cell>
          <cell r="BH132">
            <v>45.002000000000002</v>
          </cell>
          <cell r="BL132">
            <v>3000</v>
          </cell>
          <cell r="BM132">
            <v>377.4</v>
          </cell>
          <cell r="BN132">
            <v>61.057000000000002</v>
          </cell>
          <cell r="BR132">
            <v>4000</v>
          </cell>
          <cell r="BS132">
            <v>503.2</v>
          </cell>
          <cell r="BT132">
            <v>83.876000000000005</v>
          </cell>
          <cell r="BX132">
            <v>4000</v>
          </cell>
          <cell r="BY132">
            <v>503.2</v>
          </cell>
          <cell r="BZ132">
            <v>96.587000000000003</v>
          </cell>
          <cell r="CD132">
            <v>4000</v>
          </cell>
          <cell r="CE132">
            <v>503.2</v>
          </cell>
          <cell r="CF132">
            <v>93.691999999999993</v>
          </cell>
          <cell r="CJ132">
            <v>4000</v>
          </cell>
          <cell r="CK132">
            <v>503.2</v>
          </cell>
          <cell r="CL132">
            <v>103.255</v>
          </cell>
          <cell r="CP132">
            <v>22000</v>
          </cell>
          <cell r="CQ132">
            <v>2767.6</v>
          </cell>
          <cell r="CR132">
            <v>483.46899999999999</v>
          </cell>
          <cell r="CS132">
            <v>17.468890013007659</v>
          </cell>
          <cell r="CX132">
            <v>0</v>
          </cell>
          <cell r="CY132">
            <v>0</v>
          </cell>
          <cell r="CZ132">
            <v>0</v>
          </cell>
          <cell r="DA132">
            <v>0</v>
          </cell>
          <cell r="DF132">
            <v>3000</v>
          </cell>
          <cell r="DG132">
            <v>386.58</v>
          </cell>
          <cell r="DH132">
            <v>-22.001000000000001</v>
          </cell>
          <cell r="DI132">
            <v>-5.6911894045217037</v>
          </cell>
          <cell r="DN132">
            <v>10000</v>
          </cell>
          <cell r="DO132">
            <v>1258</v>
          </cell>
          <cell r="DP132">
            <v>189.935</v>
          </cell>
          <cell r="DQ132">
            <v>15.098171701112879</v>
          </cell>
          <cell r="DV132">
            <v>12000</v>
          </cell>
          <cell r="DW132">
            <v>1509.6</v>
          </cell>
          <cell r="DX132">
            <v>293.53399999999999</v>
          </cell>
          <cell r="DY132">
            <v>19.444488606253312</v>
          </cell>
        </row>
        <row r="133">
          <cell r="F133">
            <v>1411000</v>
          </cell>
          <cell r="G133">
            <v>124438.20813799999</v>
          </cell>
          <cell r="H133">
            <v>10367.167000000003</v>
          </cell>
          <cell r="I133">
            <v>8.3311766981592825</v>
          </cell>
          <cell r="N133">
            <v>89031</v>
          </cell>
          <cell r="O133">
            <v>7842.5427750000008</v>
          </cell>
          <cell r="P133">
            <v>62.045999999999985</v>
          </cell>
          <cell r="T133">
            <v>97491</v>
          </cell>
          <cell r="U133">
            <v>8605.0392309999988</v>
          </cell>
          <cell r="V133">
            <v>345.76900000000001</v>
          </cell>
          <cell r="Z133">
            <v>107346</v>
          </cell>
          <cell r="AA133">
            <v>9396.5841419999979</v>
          </cell>
          <cell r="AB133">
            <v>613.00300000000004</v>
          </cell>
          <cell r="AF133">
            <v>92986</v>
          </cell>
          <cell r="AG133">
            <v>8070.8027259999999</v>
          </cell>
          <cell r="AH133">
            <v>451.59099999999995</v>
          </cell>
          <cell r="AL133">
            <v>95886</v>
          </cell>
          <cell r="AM133">
            <v>8374.3210859999999</v>
          </cell>
          <cell r="AN133">
            <v>440.77600000000001</v>
          </cell>
          <cell r="AR133">
            <v>104806</v>
          </cell>
          <cell r="AS133">
            <v>9363.3625179999999</v>
          </cell>
          <cell r="AT133">
            <v>549.57099999999991</v>
          </cell>
          <cell r="AX133">
            <v>587546</v>
          </cell>
          <cell r="AY133">
            <v>51652.652478000018</v>
          </cell>
          <cell r="AZ133">
            <v>2462.7560000000003</v>
          </cell>
          <cell r="BA133">
            <v>4.7679177774054127</v>
          </cell>
          <cell r="BF133">
            <v>118793.5</v>
          </cell>
          <cell r="BG133">
            <v>10439.225324999999</v>
          </cell>
          <cell r="BH133">
            <v>731.31799999999998</v>
          </cell>
          <cell r="BL133">
            <v>128803.5</v>
          </cell>
          <cell r="BM133">
            <v>11344.320804999999</v>
          </cell>
          <cell r="BN133">
            <v>1130.9709999999998</v>
          </cell>
          <cell r="BR133">
            <v>143932.5</v>
          </cell>
          <cell r="BS133">
            <v>12738.024299000001</v>
          </cell>
          <cell r="BT133">
            <v>1409.021</v>
          </cell>
          <cell r="BX133">
            <v>158463.5</v>
          </cell>
          <cell r="BY133">
            <v>13985.431494999997</v>
          </cell>
          <cell r="BZ133">
            <v>1915.9580000000001</v>
          </cell>
          <cell r="CD133">
            <v>137812</v>
          </cell>
          <cell r="CE133">
            <v>12252.062266000003</v>
          </cell>
          <cell r="CF133">
            <v>1549.3509999999999</v>
          </cell>
          <cell r="CJ133">
            <v>135649</v>
          </cell>
          <cell r="CK133">
            <v>12026.491470000003</v>
          </cell>
          <cell r="CL133">
            <v>1167.7919999999999</v>
          </cell>
          <cell r="CP133">
            <v>823454</v>
          </cell>
          <cell r="CQ133">
            <v>72785.555660000013</v>
          </cell>
          <cell r="CR133">
            <v>7904.411000000001</v>
          </cell>
          <cell r="CS133">
            <v>10.859862136552932</v>
          </cell>
          <cell r="CX133">
            <v>293868</v>
          </cell>
          <cell r="CY133">
            <v>25844.166148</v>
          </cell>
          <cell r="CZ133">
            <v>1020.8180000000001</v>
          </cell>
          <cell r="DA133">
            <v>3.9498972191795714</v>
          </cell>
          <cell r="DF133">
            <v>293678</v>
          </cell>
          <cell r="DG133">
            <v>25808.486329999992</v>
          </cell>
          <cell r="DH133">
            <v>1441.9379999999999</v>
          </cell>
          <cell r="DI133">
            <v>5.5870692359198131</v>
          </cell>
          <cell r="DN133">
            <v>391529.5</v>
          </cell>
          <cell r="DO133">
            <v>34521.570429000007</v>
          </cell>
          <cell r="DP133">
            <v>3271.309999999999</v>
          </cell>
          <cell r="DQ133">
            <v>9.4761332098956892</v>
          </cell>
          <cell r="DV133">
            <v>431924.5</v>
          </cell>
          <cell r="DW133">
            <v>38263.985230999991</v>
          </cell>
          <cell r="DX133">
            <v>4633.1010000000006</v>
          </cell>
          <cell r="DY133">
            <v>12.108255248453426</v>
          </cell>
        </row>
        <row r="134">
          <cell r="F134">
            <v>0</v>
          </cell>
          <cell r="G134">
            <v>0</v>
          </cell>
          <cell r="H134">
            <v>0</v>
          </cell>
          <cell r="I134">
            <v>0</v>
          </cell>
          <cell r="AX134">
            <v>0</v>
          </cell>
          <cell r="AY134">
            <v>0</v>
          </cell>
          <cell r="AZ134">
            <v>0</v>
          </cell>
          <cell r="BA134">
            <v>0</v>
          </cell>
          <cell r="CP134">
            <v>0</v>
          </cell>
          <cell r="CQ134">
            <v>0</v>
          </cell>
          <cell r="CR134">
            <v>0</v>
          </cell>
          <cell r="CS134">
            <v>0</v>
          </cell>
          <cell r="CX134">
            <v>0</v>
          </cell>
          <cell r="CY134">
            <v>0</v>
          </cell>
          <cell r="CZ134">
            <v>0</v>
          </cell>
          <cell r="DA134">
            <v>0</v>
          </cell>
          <cell r="DF134">
            <v>0</v>
          </cell>
          <cell r="DG134">
            <v>0</v>
          </cell>
          <cell r="DH134">
            <v>0</v>
          </cell>
          <cell r="DI134">
            <v>0</v>
          </cell>
          <cell r="DN134">
            <v>0</v>
          </cell>
          <cell r="DO134">
            <v>0</v>
          </cell>
          <cell r="DP134">
            <v>0</v>
          </cell>
          <cell r="DQ134">
            <v>0</v>
          </cell>
          <cell r="DV134">
            <v>0</v>
          </cell>
          <cell r="DW134">
            <v>0</v>
          </cell>
          <cell r="DX134">
            <v>0</v>
          </cell>
          <cell r="DY134">
            <v>0</v>
          </cell>
        </row>
        <row r="135">
          <cell r="F135">
            <v>0</v>
          </cell>
          <cell r="G135">
            <v>0</v>
          </cell>
          <cell r="H135">
            <v>0</v>
          </cell>
          <cell r="I135">
            <v>0</v>
          </cell>
          <cell r="AX135">
            <v>0</v>
          </cell>
          <cell r="AY135">
            <v>0</v>
          </cell>
          <cell r="AZ135">
            <v>0</v>
          </cell>
          <cell r="BA135">
            <v>0</v>
          </cell>
          <cell r="CP135">
            <v>0</v>
          </cell>
          <cell r="CQ135">
            <v>0</v>
          </cell>
          <cell r="CR135">
            <v>0</v>
          </cell>
          <cell r="CS135">
            <v>0</v>
          </cell>
          <cell r="CX135">
            <v>0</v>
          </cell>
          <cell r="CY135">
            <v>0</v>
          </cell>
          <cell r="CZ135">
            <v>0</v>
          </cell>
          <cell r="DA135">
            <v>0</v>
          </cell>
          <cell r="DF135">
            <v>0</v>
          </cell>
          <cell r="DG135">
            <v>0</v>
          </cell>
          <cell r="DH135">
            <v>0</v>
          </cell>
          <cell r="DI135">
            <v>0</v>
          </cell>
          <cell r="DN135">
            <v>0</v>
          </cell>
          <cell r="DO135">
            <v>0</v>
          </cell>
          <cell r="DP135">
            <v>0</v>
          </cell>
          <cell r="DQ135">
            <v>0</v>
          </cell>
          <cell r="DV135">
            <v>0</v>
          </cell>
          <cell r="DW135">
            <v>0</v>
          </cell>
          <cell r="DX135">
            <v>0</v>
          </cell>
          <cell r="DY135">
            <v>0</v>
          </cell>
        </row>
        <row r="136">
          <cell r="F136">
            <v>0</v>
          </cell>
          <cell r="G136">
            <v>0</v>
          </cell>
          <cell r="H136">
            <v>0</v>
          </cell>
          <cell r="I136">
            <v>0</v>
          </cell>
          <cell r="N136">
            <v>0</v>
          </cell>
          <cell r="O136">
            <v>0</v>
          </cell>
          <cell r="P136">
            <v>0</v>
          </cell>
          <cell r="T136">
            <v>0</v>
          </cell>
          <cell r="U136">
            <v>0</v>
          </cell>
          <cell r="V136">
            <v>0</v>
          </cell>
          <cell r="Z136">
            <v>0</v>
          </cell>
          <cell r="AA136">
            <v>0</v>
          </cell>
          <cell r="AB136">
            <v>0</v>
          </cell>
          <cell r="AF136">
            <v>0</v>
          </cell>
          <cell r="AG136">
            <v>0</v>
          </cell>
          <cell r="AH136">
            <v>0</v>
          </cell>
          <cell r="AL136">
            <v>0</v>
          </cell>
          <cell r="AM136">
            <v>0</v>
          </cell>
          <cell r="AN136">
            <v>0</v>
          </cell>
          <cell r="AR136">
            <v>0</v>
          </cell>
          <cell r="AS136">
            <v>0</v>
          </cell>
          <cell r="AT136">
            <v>0</v>
          </cell>
          <cell r="AX136">
            <v>0</v>
          </cell>
          <cell r="AY136">
            <v>0</v>
          </cell>
          <cell r="AZ136">
            <v>0</v>
          </cell>
          <cell r="BA136">
            <v>0</v>
          </cell>
          <cell r="BF136">
            <v>0</v>
          </cell>
          <cell r="BG136">
            <v>0</v>
          </cell>
          <cell r="BH136">
            <v>0</v>
          </cell>
          <cell r="BL136">
            <v>0</v>
          </cell>
          <cell r="BM136">
            <v>0</v>
          </cell>
          <cell r="BN136">
            <v>0</v>
          </cell>
          <cell r="BR136">
            <v>0</v>
          </cell>
          <cell r="BS136">
            <v>0</v>
          </cell>
          <cell r="BT136">
            <v>0</v>
          </cell>
          <cell r="BX136">
            <v>0</v>
          </cell>
          <cell r="BY136">
            <v>0</v>
          </cell>
          <cell r="BZ136">
            <v>0</v>
          </cell>
          <cell r="CD136">
            <v>0</v>
          </cell>
          <cell r="CE136">
            <v>0</v>
          </cell>
          <cell r="CF136">
            <v>0</v>
          </cell>
          <cell r="CJ136">
            <v>0</v>
          </cell>
          <cell r="CK136">
            <v>0</v>
          </cell>
          <cell r="CL136">
            <v>0</v>
          </cell>
          <cell r="CP136">
            <v>0</v>
          </cell>
          <cell r="CQ136">
            <v>0</v>
          </cell>
          <cell r="CR136">
            <v>0</v>
          </cell>
          <cell r="CS136">
            <v>0</v>
          </cell>
          <cell r="CX136">
            <v>0</v>
          </cell>
          <cell r="CY136">
            <v>0</v>
          </cell>
          <cell r="CZ136">
            <v>0</v>
          </cell>
          <cell r="DA136">
            <v>0</v>
          </cell>
          <cell r="DF136">
            <v>0</v>
          </cell>
          <cell r="DG136">
            <v>0</v>
          </cell>
          <cell r="DH136">
            <v>0</v>
          </cell>
          <cell r="DI136">
            <v>0</v>
          </cell>
          <cell r="DN136">
            <v>0</v>
          </cell>
          <cell r="DO136">
            <v>0</v>
          </cell>
          <cell r="DP136">
            <v>0</v>
          </cell>
          <cell r="DQ136">
            <v>0</v>
          </cell>
          <cell r="DV136">
            <v>0</v>
          </cell>
          <cell r="DW136">
            <v>0</v>
          </cell>
          <cell r="DX136">
            <v>0</v>
          </cell>
          <cell r="DY136">
            <v>0</v>
          </cell>
        </row>
        <row r="137">
          <cell r="F137">
            <v>0</v>
          </cell>
          <cell r="G137">
            <v>0</v>
          </cell>
          <cell r="H137">
            <v>0</v>
          </cell>
          <cell r="I137">
            <v>0</v>
          </cell>
          <cell r="N137">
            <v>0</v>
          </cell>
          <cell r="O137">
            <v>0</v>
          </cell>
          <cell r="T137">
            <v>0</v>
          </cell>
          <cell r="U137">
            <v>0</v>
          </cell>
          <cell r="Z137">
            <v>0</v>
          </cell>
          <cell r="AA137">
            <v>0</v>
          </cell>
          <cell r="AF137">
            <v>0</v>
          </cell>
          <cell r="AG137">
            <v>0</v>
          </cell>
          <cell r="AL137">
            <v>0</v>
          </cell>
          <cell r="AM137">
            <v>0</v>
          </cell>
          <cell r="AR137">
            <v>0</v>
          </cell>
          <cell r="AS137">
            <v>0</v>
          </cell>
          <cell r="AX137">
            <v>0</v>
          </cell>
          <cell r="AY137">
            <v>0</v>
          </cell>
          <cell r="AZ137">
            <v>0</v>
          </cell>
          <cell r="BA137">
            <v>0</v>
          </cell>
          <cell r="BF137">
            <v>0</v>
          </cell>
          <cell r="BG137">
            <v>0</v>
          </cell>
          <cell r="BL137">
            <v>0</v>
          </cell>
          <cell r="BM137">
            <v>0</v>
          </cell>
          <cell r="BR137">
            <v>0</v>
          </cell>
          <cell r="BS137">
            <v>0</v>
          </cell>
          <cell r="BX137">
            <v>0</v>
          </cell>
          <cell r="BY137">
            <v>0</v>
          </cell>
          <cell r="CD137">
            <v>0</v>
          </cell>
          <cell r="CE137">
            <v>0</v>
          </cell>
          <cell r="CJ137">
            <v>0</v>
          </cell>
          <cell r="CK137">
            <v>0</v>
          </cell>
          <cell r="CP137">
            <v>0</v>
          </cell>
          <cell r="CQ137">
            <v>0</v>
          </cell>
          <cell r="CR137">
            <v>0</v>
          </cell>
          <cell r="CS137">
            <v>0</v>
          </cell>
          <cell r="CX137">
            <v>0</v>
          </cell>
          <cell r="CY137">
            <v>0</v>
          </cell>
          <cell r="CZ137">
            <v>0</v>
          </cell>
          <cell r="DA137">
            <v>0</v>
          </cell>
          <cell r="DF137">
            <v>0</v>
          </cell>
          <cell r="DG137">
            <v>0</v>
          </cell>
          <cell r="DH137">
            <v>0</v>
          </cell>
          <cell r="DI137">
            <v>0</v>
          </cell>
          <cell r="DN137">
            <v>0</v>
          </cell>
          <cell r="DO137">
            <v>0</v>
          </cell>
          <cell r="DP137">
            <v>0</v>
          </cell>
          <cell r="DQ137">
            <v>0</v>
          </cell>
          <cell r="DV137">
            <v>0</v>
          </cell>
          <cell r="DW137">
            <v>0</v>
          </cell>
          <cell r="DX137">
            <v>0</v>
          </cell>
          <cell r="DY137">
            <v>0</v>
          </cell>
        </row>
        <row r="138">
          <cell r="F138">
            <v>0</v>
          </cell>
          <cell r="G138">
            <v>0</v>
          </cell>
          <cell r="H138">
            <v>0</v>
          </cell>
          <cell r="I138">
            <v>0</v>
          </cell>
          <cell r="N138">
            <v>0</v>
          </cell>
          <cell r="O138">
            <v>0</v>
          </cell>
          <cell r="T138">
            <v>0</v>
          </cell>
          <cell r="U138">
            <v>0</v>
          </cell>
          <cell r="Z138">
            <v>0</v>
          </cell>
          <cell r="AA138">
            <v>0</v>
          </cell>
          <cell r="AF138">
            <v>0</v>
          </cell>
          <cell r="AG138">
            <v>0</v>
          </cell>
          <cell r="AL138">
            <v>0</v>
          </cell>
          <cell r="AM138">
            <v>0</v>
          </cell>
          <cell r="AR138">
            <v>0</v>
          </cell>
          <cell r="AS138">
            <v>0</v>
          </cell>
          <cell r="AX138">
            <v>0</v>
          </cell>
          <cell r="AY138">
            <v>0</v>
          </cell>
          <cell r="AZ138">
            <v>0</v>
          </cell>
          <cell r="BA138">
            <v>0</v>
          </cell>
          <cell r="BF138">
            <v>0</v>
          </cell>
          <cell r="BG138">
            <v>0</v>
          </cell>
          <cell r="BL138">
            <v>0</v>
          </cell>
          <cell r="BM138">
            <v>0</v>
          </cell>
          <cell r="BR138">
            <v>0</v>
          </cell>
          <cell r="BS138">
            <v>0</v>
          </cell>
          <cell r="BX138">
            <v>0</v>
          </cell>
          <cell r="BY138">
            <v>0</v>
          </cell>
          <cell r="CD138">
            <v>0</v>
          </cell>
          <cell r="CE138">
            <v>0</v>
          </cell>
          <cell r="CJ138">
            <v>0</v>
          </cell>
          <cell r="CK138">
            <v>0</v>
          </cell>
          <cell r="CP138">
            <v>0</v>
          </cell>
          <cell r="CQ138">
            <v>0</v>
          </cell>
          <cell r="CR138">
            <v>0</v>
          </cell>
          <cell r="CS138">
            <v>0</v>
          </cell>
          <cell r="CX138">
            <v>0</v>
          </cell>
          <cell r="CY138">
            <v>0</v>
          </cell>
          <cell r="CZ138">
            <v>0</v>
          </cell>
          <cell r="DA138">
            <v>0</v>
          </cell>
          <cell r="DF138">
            <v>0</v>
          </cell>
          <cell r="DG138">
            <v>0</v>
          </cell>
          <cell r="DH138">
            <v>0</v>
          </cell>
          <cell r="DI138">
            <v>0</v>
          </cell>
          <cell r="DN138">
            <v>0</v>
          </cell>
          <cell r="DO138">
            <v>0</v>
          </cell>
          <cell r="DP138">
            <v>0</v>
          </cell>
          <cell r="DQ138">
            <v>0</v>
          </cell>
          <cell r="DV138">
            <v>0</v>
          </cell>
          <cell r="DW138">
            <v>0</v>
          </cell>
          <cell r="DX138">
            <v>0</v>
          </cell>
          <cell r="DY138">
            <v>0</v>
          </cell>
        </row>
        <row r="139">
          <cell r="F139">
            <v>0</v>
          </cell>
          <cell r="G139">
            <v>0</v>
          </cell>
          <cell r="H139">
            <v>0</v>
          </cell>
          <cell r="I139">
            <v>0</v>
          </cell>
          <cell r="N139">
            <v>0</v>
          </cell>
          <cell r="O139">
            <v>0</v>
          </cell>
          <cell r="P139">
            <v>0</v>
          </cell>
          <cell r="T139">
            <v>0</v>
          </cell>
          <cell r="U139">
            <v>0</v>
          </cell>
          <cell r="V139">
            <v>0</v>
          </cell>
          <cell r="Z139">
            <v>0</v>
          </cell>
          <cell r="AA139">
            <v>0</v>
          </cell>
          <cell r="AB139">
            <v>0</v>
          </cell>
          <cell r="AF139">
            <v>0</v>
          </cell>
          <cell r="AG139">
            <v>0</v>
          </cell>
          <cell r="AH139">
            <v>0</v>
          </cell>
          <cell r="AL139">
            <v>0</v>
          </cell>
          <cell r="AM139">
            <v>0</v>
          </cell>
          <cell r="AN139">
            <v>0</v>
          </cell>
          <cell r="AR139">
            <v>0</v>
          </cell>
          <cell r="AS139">
            <v>0</v>
          </cell>
          <cell r="AT139">
            <v>0</v>
          </cell>
          <cell r="AX139">
            <v>0</v>
          </cell>
          <cell r="AY139">
            <v>0</v>
          </cell>
          <cell r="AZ139">
            <v>0</v>
          </cell>
          <cell r="BA139">
            <v>0</v>
          </cell>
          <cell r="BF139">
            <v>0</v>
          </cell>
          <cell r="BG139">
            <v>0</v>
          </cell>
          <cell r="BH139">
            <v>0</v>
          </cell>
          <cell r="BL139">
            <v>0</v>
          </cell>
          <cell r="BM139">
            <v>0</v>
          </cell>
          <cell r="BN139">
            <v>0</v>
          </cell>
          <cell r="BR139">
            <v>0</v>
          </cell>
          <cell r="BS139">
            <v>0</v>
          </cell>
          <cell r="BT139">
            <v>0</v>
          </cell>
          <cell r="BX139">
            <v>0</v>
          </cell>
          <cell r="BY139">
            <v>0</v>
          </cell>
          <cell r="BZ139">
            <v>0</v>
          </cell>
          <cell r="CD139">
            <v>0</v>
          </cell>
          <cell r="CE139">
            <v>0</v>
          </cell>
          <cell r="CF139">
            <v>0</v>
          </cell>
          <cell r="CJ139">
            <v>0</v>
          </cell>
          <cell r="CK139">
            <v>0</v>
          </cell>
          <cell r="CL139">
            <v>0</v>
          </cell>
          <cell r="CP139">
            <v>0</v>
          </cell>
          <cell r="CQ139">
            <v>0</v>
          </cell>
          <cell r="CR139">
            <v>0</v>
          </cell>
          <cell r="CS139">
            <v>0</v>
          </cell>
          <cell r="CX139">
            <v>0</v>
          </cell>
          <cell r="CY139">
            <v>0</v>
          </cell>
          <cell r="CZ139">
            <v>0</v>
          </cell>
          <cell r="DA139">
            <v>0</v>
          </cell>
          <cell r="DF139">
            <v>0</v>
          </cell>
          <cell r="DG139">
            <v>0</v>
          </cell>
          <cell r="DH139">
            <v>0</v>
          </cell>
          <cell r="DI139">
            <v>0</v>
          </cell>
          <cell r="DN139">
            <v>0</v>
          </cell>
          <cell r="DO139">
            <v>0</v>
          </cell>
          <cell r="DP139">
            <v>0</v>
          </cell>
          <cell r="DQ139">
            <v>0</v>
          </cell>
          <cell r="DV139">
            <v>0</v>
          </cell>
          <cell r="DW139">
            <v>0</v>
          </cell>
          <cell r="DX139">
            <v>0</v>
          </cell>
          <cell r="DY139">
            <v>0</v>
          </cell>
        </row>
        <row r="140">
          <cell r="F140">
            <v>0</v>
          </cell>
          <cell r="G140">
            <v>0</v>
          </cell>
          <cell r="H140">
            <v>0</v>
          </cell>
          <cell r="I140">
            <v>0</v>
          </cell>
          <cell r="AX140">
            <v>0</v>
          </cell>
          <cell r="AY140">
            <v>0</v>
          </cell>
          <cell r="AZ140">
            <v>0</v>
          </cell>
          <cell r="BA140">
            <v>0</v>
          </cell>
          <cell r="CP140">
            <v>0</v>
          </cell>
          <cell r="CQ140">
            <v>0</v>
          </cell>
          <cell r="CR140">
            <v>0</v>
          </cell>
          <cell r="CS140">
            <v>0</v>
          </cell>
          <cell r="CX140">
            <v>0</v>
          </cell>
          <cell r="CY140">
            <v>0</v>
          </cell>
          <cell r="CZ140">
            <v>0</v>
          </cell>
          <cell r="DA140">
            <v>0</v>
          </cell>
          <cell r="DF140">
            <v>0</v>
          </cell>
          <cell r="DG140">
            <v>0</v>
          </cell>
          <cell r="DH140">
            <v>0</v>
          </cell>
          <cell r="DI140">
            <v>0</v>
          </cell>
          <cell r="DN140">
            <v>0</v>
          </cell>
          <cell r="DO140">
            <v>0</v>
          </cell>
          <cell r="DP140">
            <v>0</v>
          </cell>
          <cell r="DQ140">
            <v>0</v>
          </cell>
          <cell r="DV140">
            <v>0</v>
          </cell>
          <cell r="DW140">
            <v>0</v>
          </cell>
          <cell r="DX140">
            <v>0</v>
          </cell>
          <cell r="DY140">
            <v>0</v>
          </cell>
        </row>
        <row r="141">
          <cell r="F141">
            <v>1616000</v>
          </cell>
          <cell r="G141">
            <v>130925.55038099999</v>
          </cell>
          <cell r="H141">
            <v>10098.824000000002</v>
          </cell>
          <cell r="I141">
            <v>7.7134096214313494</v>
          </cell>
          <cell r="N141">
            <v>100706</v>
          </cell>
          <cell r="O141">
            <v>8212.2431383000003</v>
          </cell>
          <cell r="P141">
            <v>12.706999999999987</v>
          </cell>
          <cell r="T141">
            <v>110966</v>
          </cell>
          <cell r="U141">
            <v>9044.2481942999984</v>
          </cell>
          <cell r="V141">
            <v>319.363</v>
          </cell>
          <cell r="Z141">
            <v>122696</v>
          </cell>
          <cell r="AA141">
            <v>9893.4248685999974</v>
          </cell>
          <cell r="AB141">
            <v>584.34100000000001</v>
          </cell>
          <cell r="AF141">
            <v>108186</v>
          </cell>
          <cell r="AG141">
            <v>8554.3784525999999</v>
          </cell>
          <cell r="AH141">
            <v>424.87899999999996</v>
          </cell>
          <cell r="AL141">
            <v>111086</v>
          </cell>
          <cell r="AM141">
            <v>8857.8968126</v>
          </cell>
          <cell r="AN141">
            <v>416.56200000000001</v>
          </cell>
          <cell r="AR141">
            <v>120456</v>
          </cell>
          <cell r="AS141">
            <v>9866.0398445999999</v>
          </cell>
          <cell r="AT141">
            <v>531.43499999999995</v>
          </cell>
          <cell r="AX141">
            <v>674096</v>
          </cell>
          <cell r="AY141">
            <v>54428.231311000018</v>
          </cell>
          <cell r="AZ141">
            <v>2289.2870000000003</v>
          </cell>
          <cell r="BA141">
            <v>4.2060653908063559</v>
          </cell>
          <cell r="BF141">
            <v>136231</v>
          </cell>
          <cell r="BG141">
            <v>10980.1612365</v>
          </cell>
          <cell r="BH141">
            <v>702.93999999999994</v>
          </cell>
          <cell r="BL141">
            <v>148591</v>
          </cell>
          <cell r="BM141">
            <v>11967.100716499999</v>
          </cell>
          <cell r="BN141">
            <v>1111.6999999999998</v>
          </cell>
          <cell r="BR141">
            <v>164305</v>
          </cell>
          <cell r="BS141">
            <v>13377.6065987</v>
          </cell>
          <cell r="BT141">
            <v>1390.7369999999999</v>
          </cell>
          <cell r="BX141">
            <v>180951</v>
          </cell>
          <cell r="BY141">
            <v>14682.899347499997</v>
          </cell>
          <cell r="BZ141">
            <v>1911.095</v>
          </cell>
          <cell r="CD141">
            <v>158252</v>
          </cell>
          <cell r="CE141">
            <v>12890.721759800002</v>
          </cell>
          <cell r="CF141">
            <v>1536.7339999999999</v>
          </cell>
          <cell r="CJ141">
            <v>153574</v>
          </cell>
          <cell r="CK141">
            <v>12598.829411000002</v>
          </cell>
          <cell r="CL141">
            <v>1156.3309999999999</v>
          </cell>
          <cell r="CP141">
            <v>941904</v>
          </cell>
          <cell r="CQ141">
            <v>76497.319070000012</v>
          </cell>
          <cell r="CR141">
            <v>7809.5370000000012</v>
          </cell>
          <cell r="CS141">
            <v>10.208902867372082</v>
          </cell>
          <cell r="CX141">
            <v>334368</v>
          </cell>
          <cell r="CY141">
            <v>27149.916201200002</v>
          </cell>
          <cell r="CZ141">
            <v>916.41100000000006</v>
          </cell>
          <cell r="DA141">
            <v>3.3753732173931925</v>
          </cell>
          <cell r="DF141">
            <v>339728</v>
          </cell>
          <cell r="DG141">
            <v>27278.315109799991</v>
          </cell>
          <cell r="DH141">
            <v>1372.8759999999997</v>
          </cell>
          <cell r="DI141">
            <v>5.0328474998325001</v>
          </cell>
          <cell r="DN141">
            <v>449127</v>
          </cell>
          <cell r="DO141">
            <v>36324.868551700005</v>
          </cell>
          <cell r="DP141">
            <v>3205.376999999999</v>
          </cell>
          <cell r="DQ141">
            <v>8.8241943544486325</v>
          </cell>
          <cell r="DV141">
            <v>492777</v>
          </cell>
          <cell r="DW141">
            <v>40172.450518299993</v>
          </cell>
          <cell r="DX141">
            <v>4604.1600000000008</v>
          </cell>
          <cell r="DY141">
            <v>11.460988664116073</v>
          </cell>
        </row>
        <row r="142">
          <cell r="F142">
            <v>75380</v>
          </cell>
          <cell r="G142">
            <v>1609.9449999999997</v>
          </cell>
          <cell r="H142">
            <v>203.49099999999999</v>
          </cell>
          <cell r="I142">
            <v>12.63962433499281</v>
          </cell>
          <cell r="N142">
            <v>4800</v>
          </cell>
          <cell r="O142">
            <v>101.6478</v>
          </cell>
          <cell r="P142">
            <v>10.705</v>
          </cell>
          <cell r="T142">
            <v>5300</v>
          </cell>
          <cell r="U142">
            <v>113.43469999999999</v>
          </cell>
          <cell r="V142">
            <v>12.343</v>
          </cell>
          <cell r="Z142">
            <v>4800</v>
          </cell>
          <cell r="AA142">
            <v>101.6478</v>
          </cell>
          <cell r="AB142">
            <v>10.696999999999999</v>
          </cell>
          <cell r="AF142">
            <v>8800</v>
          </cell>
          <cell r="AG142">
            <v>204.73580000000001</v>
          </cell>
          <cell r="AH142">
            <v>38.192999999999998</v>
          </cell>
          <cell r="AL142">
            <v>4800</v>
          </cell>
          <cell r="AM142">
            <v>101.6478</v>
          </cell>
          <cell r="AN142">
            <v>10.696999999999999</v>
          </cell>
          <cell r="AR142">
            <v>4620</v>
          </cell>
          <cell r="AS142">
            <v>96.152299999999997</v>
          </cell>
          <cell r="AT142">
            <v>11.074</v>
          </cell>
          <cell r="AX142">
            <v>33120</v>
          </cell>
          <cell r="AY142">
            <v>719.26619999999991</v>
          </cell>
          <cell r="AZ142">
            <v>93.709000000000003</v>
          </cell>
          <cell r="BA142">
            <v>13.028417017232286</v>
          </cell>
          <cell r="BF142">
            <v>5300</v>
          </cell>
          <cell r="BG142">
            <v>106.264</v>
          </cell>
          <cell r="BH142">
            <v>8.8119999999999994</v>
          </cell>
          <cell r="BL142">
            <v>5300</v>
          </cell>
          <cell r="BM142">
            <v>106.264</v>
          </cell>
          <cell r="BN142">
            <v>8.82</v>
          </cell>
          <cell r="BR142">
            <v>14137</v>
          </cell>
          <cell r="BS142">
            <v>324.11629999999997</v>
          </cell>
          <cell r="BT142">
            <v>60.786000000000001</v>
          </cell>
          <cell r="BX142">
            <v>5600</v>
          </cell>
          <cell r="BY142">
            <v>110.482</v>
          </cell>
          <cell r="BZ142">
            <v>9.0890000000000004</v>
          </cell>
          <cell r="CD142">
            <v>5300</v>
          </cell>
          <cell r="CE142">
            <v>106.264</v>
          </cell>
          <cell r="CF142">
            <v>8.8119999999999994</v>
          </cell>
          <cell r="CJ142">
            <v>6623</v>
          </cell>
          <cell r="CK142">
            <v>137.2885</v>
          </cell>
          <cell r="CL142">
            <v>13.462999999999999</v>
          </cell>
          <cell r="CP142">
            <v>42260</v>
          </cell>
          <cell r="CQ142">
            <v>890.67879999999991</v>
          </cell>
          <cell r="CR142">
            <v>109.782</v>
          </cell>
          <cell r="CS142">
            <v>12.325655443915361</v>
          </cell>
          <cell r="CX142">
            <v>14900</v>
          </cell>
          <cell r="CY142">
            <v>316.7303</v>
          </cell>
          <cell r="CZ142">
            <v>33.745000000000005</v>
          </cell>
          <cell r="DA142">
            <v>10.654174861072656</v>
          </cell>
          <cell r="DF142">
            <v>18220</v>
          </cell>
          <cell r="DG142">
            <v>402.53589999999997</v>
          </cell>
          <cell r="DH142">
            <v>59.963999999999999</v>
          </cell>
          <cell r="DI142">
            <v>14.896559536677351</v>
          </cell>
          <cell r="DN142">
            <v>24737</v>
          </cell>
          <cell r="DO142">
            <v>536.64429999999993</v>
          </cell>
          <cell r="DP142">
            <v>78.418000000000006</v>
          </cell>
          <cell r="DQ142">
            <v>14.612658701489984</v>
          </cell>
          <cell r="DV142">
            <v>17523</v>
          </cell>
          <cell r="DW142">
            <v>354.03449999999998</v>
          </cell>
          <cell r="DX142">
            <v>31.363999999999997</v>
          </cell>
          <cell r="DY142">
            <v>8.8590236262285167</v>
          </cell>
        </row>
        <row r="143">
          <cell r="F143">
            <v>0</v>
          </cell>
          <cell r="G143">
            <v>14849.68</v>
          </cell>
          <cell r="H143">
            <v>3160.3109999999997</v>
          </cell>
          <cell r="I143">
            <v>21.282014157880841</v>
          </cell>
          <cell r="O143">
            <v>1262.3610000000001</v>
          </cell>
          <cell r="P143">
            <v>199.696</v>
          </cell>
          <cell r="U143">
            <v>1247.3329999999999</v>
          </cell>
          <cell r="V143">
            <v>204.28899999999999</v>
          </cell>
          <cell r="AA143">
            <v>1247.3329999999999</v>
          </cell>
          <cell r="AB143">
            <v>213.59200000000001</v>
          </cell>
          <cell r="AG143">
            <v>1262.3610000000001</v>
          </cell>
          <cell r="AH143">
            <v>211.678</v>
          </cell>
          <cell r="AM143">
            <v>1247.3329999999999</v>
          </cell>
          <cell r="AN143">
            <v>211.50699999999998</v>
          </cell>
          <cell r="AS143">
            <v>1247.3329999999999</v>
          </cell>
          <cell r="AT143">
            <v>219.84799999999998</v>
          </cell>
          <cell r="AX143">
            <v>0</v>
          </cell>
          <cell r="AY143">
            <v>7514.0539999999992</v>
          </cell>
          <cell r="AZ143">
            <v>1260.6099999999997</v>
          </cell>
          <cell r="BA143">
            <v>16.776696041843721</v>
          </cell>
          <cell r="BG143">
            <v>1232.385</v>
          </cell>
          <cell r="BH143">
            <v>314.98</v>
          </cell>
          <cell r="BM143">
            <v>1217.7139999999999</v>
          </cell>
          <cell r="BN143">
            <v>313.08799999999997</v>
          </cell>
          <cell r="BS143">
            <v>1217.7139999999999</v>
          </cell>
          <cell r="BT143">
            <v>313.86700000000002</v>
          </cell>
          <cell r="BY143">
            <v>1232.385</v>
          </cell>
          <cell r="BZ143">
            <v>321.63499999999999</v>
          </cell>
          <cell r="CE143">
            <v>1217.7139999999999</v>
          </cell>
          <cell r="CF143">
            <v>316.09100000000001</v>
          </cell>
          <cell r="CK143">
            <v>1217.7139999999999</v>
          </cell>
          <cell r="CL143">
            <v>320.04000000000002</v>
          </cell>
          <cell r="CP143">
            <v>0</v>
          </cell>
          <cell r="CQ143">
            <v>7335.6260000000002</v>
          </cell>
          <cell r="CR143">
            <v>1899.701</v>
          </cell>
          <cell r="CS143">
            <v>25.896917318303853</v>
          </cell>
          <cell r="CX143">
            <v>0</v>
          </cell>
          <cell r="CY143">
            <v>3757.027</v>
          </cell>
          <cell r="CZ143">
            <v>617.577</v>
          </cell>
          <cell r="DA143">
            <v>16.437917534263129</v>
          </cell>
          <cell r="DF143">
            <v>0</v>
          </cell>
          <cell r="DG143">
            <v>3757.027</v>
          </cell>
          <cell r="DH143">
            <v>643.0329999999999</v>
          </cell>
          <cell r="DI143">
            <v>17.115474549424317</v>
          </cell>
          <cell r="DN143">
            <v>0</v>
          </cell>
          <cell r="DO143">
            <v>3667.8130000000001</v>
          </cell>
          <cell r="DP143">
            <v>941.93499999999995</v>
          </cell>
          <cell r="DQ143">
            <v>25.681107515568542</v>
          </cell>
          <cell r="DV143">
            <v>0</v>
          </cell>
          <cell r="DW143">
            <v>3667.8130000000001</v>
          </cell>
          <cell r="DX143">
            <v>957.76600000000008</v>
          </cell>
          <cell r="DY143">
            <v>26.112727121039157</v>
          </cell>
        </row>
        <row r="144">
          <cell r="F144">
            <v>0</v>
          </cell>
          <cell r="G144">
            <v>11978.117999999999</v>
          </cell>
          <cell r="H144">
            <v>1399.5530000000003</v>
          </cell>
          <cell r="I144">
            <v>11.684247892699009</v>
          </cell>
          <cell r="O144">
            <v>425.80699999999979</v>
          </cell>
          <cell r="P144">
            <v>34.009000000000015</v>
          </cell>
          <cell r="U144">
            <v>425.80700000000002</v>
          </cell>
          <cell r="V144">
            <v>37.194000000000017</v>
          </cell>
          <cell r="AA144">
            <v>851.61300000000006</v>
          </cell>
          <cell r="AB144">
            <v>90.107999999999976</v>
          </cell>
          <cell r="AG144">
            <v>851.6129999999996</v>
          </cell>
          <cell r="AH144">
            <v>85.373000000000047</v>
          </cell>
          <cell r="AM144">
            <v>851.61300000000006</v>
          </cell>
          <cell r="AN144">
            <v>98.433000000000021</v>
          </cell>
          <cell r="AS144">
            <v>851.61300000000006</v>
          </cell>
          <cell r="AT144">
            <v>103.69200000000004</v>
          </cell>
          <cell r="AX144">
            <v>0</v>
          </cell>
          <cell r="AY144">
            <v>4258.0659999999998</v>
          </cell>
          <cell r="AZ144">
            <v>448.80900000000014</v>
          </cell>
          <cell r="BA144">
            <v>10.540207690533688</v>
          </cell>
          <cell r="BG144">
            <v>1158.008</v>
          </cell>
          <cell r="BH144">
            <v>127.06900000000002</v>
          </cell>
          <cell r="BM144">
            <v>1158.0079999999998</v>
          </cell>
          <cell r="BN144">
            <v>138.79600000000005</v>
          </cell>
          <cell r="BS144">
            <v>1312.4090000000001</v>
          </cell>
          <cell r="BT144">
            <v>148.947</v>
          </cell>
          <cell r="BY144">
            <v>1930.0130000000001</v>
          </cell>
          <cell r="BZ144">
            <v>257.48500000000001</v>
          </cell>
          <cell r="CE144">
            <v>1389.6090000000004</v>
          </cell>
          <cell r="CF144">
            <v>183.34800000000007</v>
          </cell>
          <cell r="CK144">
            <v>772.005</v>
          </cell>
          <cell r="CL144">
            <v>95.09899999999999</v>
          </cell>
          <cell r="CP144">
            <v>0</v>
          </cell>
          <cell r="CQ144">
            <v>7720.0519999999997</v>
          </cell>
          <cell r="CR144">
            <v>950.74400000000014</v>
          </cell>
          <cell r="CS144">
            <v>12.315253835077797</v>
          </cell>
          <cell r="CX144">
            <v>0</v>
          </cell>
          <cell r="CY144">
            <v>1703.2269999999999</v>
          </cell>
          <cell r="CZ144">
            <v>161.31100000000001</v>
          </cell>
          <cell r="DA144">
            <v>9.4709043480405146</v>
          </cell>
          <cell r="DF144">
            <v>0</v>
          </cell>
          <cell r="DG144">
            <v>2554.8389999999999</v>
          </cell>
          <cell r="DH144">
            <v>287.4980000000001</v>
          </cell>
          <cell r="DI144">
            <v>11.253077004069537</v>
          </cell>
          <cell r="DN144">
            <v>0</v>
          </cell>
          <cell r="DO144">
            <v>3628.4249999999997</v>
          </cell>
          <cell r="DP144">
            <v>414.81200000000007</v>
          </cell>
          <cell r="DQ144">
            <v>11.432288113988855</v>
          </cell>
          <cell r="DV144">
            <v>0</v>
          </cell>
          <cell r="DW144">
            <v>4091.6270000000004</v>
          </cell>
          <cell r="DX144">
            <v>535.93200000000002</v>
          </cell>
          <cell r="DY144">
            <v>13.098261400660421</v>
          </cell>
        </row>
        <row r="145">
          <cell r="F145">
            <v>0</v>
          </cell>
          <cell r="G145">
            <v>26827.797999999999</v>
          </cell>
          <cell r="H145">
            <v>4559.8639999999996</v>
          </cell>
          <cell r="I145">
            <v>16.996788182168359</v>
          </cell>
          <cell r="N145">
            <v>0</v>
          </cell>
          <cell r="O145">
            <v>1688.1679999999999</v>
          </cell>
          <cell r="P145">
            <v>233.70500000000001</v>
          </cell>
          <cell r="T145">
            <v>0</v>
          </cell>
          <cell r="U145">
            <v>1673.1399999999999</v>
          </cell>
          <cell r="V145">
            <v>241.483</v>
          </cell>
          <cell r="Z145">
            <v>0</v>
          </cell>
          <cell r="AA145">
            <v>2098.9459999999999</v>
          </cell>
          <cell r="AB145">
            <v>303.7</v>
          </cell>
          <cell r="AF145">
            <v>0</v>
          </cell>
          <cell r="AG145">
            <v>2113.9739999999997</v>
          </cell>
          <cell r="AH145">
            <v>297.05100000000004</v>
          </cell>
          <cell r="AL145">
            <v>0</v>
          </cell>
          <cell r="AM145">
            <v>2098.9459999999999</v>
          </cell>
          <cell r="AN145">
            <v>309.94</v>
          </cell>
          <cell r="AR145">
            <v>0</v>
          </cell>
          <cell r="AS145">
            <v>2098.9459999999999</v>
          </cell>
          <cell r="AT145">
            <v>323.54000000000002</v>
          </cell>
          <cell r="AX145">
            <v>0</v>
          </cell>
          <cell r="AY145">
            <v>11772.119999999999</v>
          </cell>
          <cell r="AZ145">
            <v>1709.4189999999999</v>
          </cell>
          <cell r="BA145">
            <v>14.520910422251898</v>
          </cell>
          <cell r="BF145">
            <v>0</v>
          </cell>
          <cell r="BG145">
            <v>2390.393</v>
          </cell>
          <cell r="BH145">
            <v>442.04900000000004</v>
          </cell>
          <cell r="BL145">
            <v>0</v>
          </cell>
          <cell r="BM145">
            <v>2375.7219999999998</v>
          </cell>
          <cell r="BN145">
            <v>451.88400000000001</v>
          </cell>
          <cell r="BR145">
            <v>0</v>
          </cell>
          <cell r="BS145">
            <v>2530.123</v>
          </cell>
          <cell r="BT145">
            <v>462.81400000000002</v>
          </cell>
          <cell r="BX145">
            <v>0</v>
          </cell>
          <cell r="BY145">
            <v>3162.3980000000001</v>
          </cell>
          <cell r="BZ145">
            <v>579.12</v>
          </cell>
          <cell r="CD145">
            <v>0</v>
          </cell>
          <cell r="CE145">
            <v>2607.3230000000003</v>
          </cell>
          <cell r="CF145">
            <v>499.43900000000008</v>
          </cell>
          <cell r="CJ145">
            <v>0</v>
          </cell>
          <cell r="CK145">
            <v>1989.7190000000001</v>
          </cell>
          <cell r="CL145">
            <v>415.13900000000001</v>
          </cell>
          <cell r="CP145">
            <v>0</v>
          </cell>
          <cell r="CQ145">
            <v>15055.678</v>
          </cell>
          <cell r="CR145">
            <v>2850.4450000000002</v>
          </cell>
          <cell r="CS145">
            <v>18.932691041878023</v>
          </cell>
          <cell r="CX145">
            <v>0</v>
          </cell>
          <cell r="CY145">
            <v>5460.2539999999999</v>
          </cell>
          <cell r="CZ145">
            <v>778.88800000000003</v>
          </cell>
          <cell r="DA145">
            <v>14.264684390140092</v>
          </cell>
          <cell r="DF145">
            <v>0</v>
          </cell>
          <cell r="DG145">
            <v>6311.866</v>
          </cell>
          <cell r="DH145">
            <v>930.53099999999995</v>
          </cell>
          <cell r="DI145">
            <v>14.742565827601537</v>
          </cell>
          <cell r="DN145">
            <v>0</v>
          </cell>
          <cell r="DO145">
            <v>7296.2379999999994</v>
          </cell>
          <cell r="DP145">
            <v>1356.7470000000001</v>
          </cell>
          <cell r="DQ145">
            <v>18.595158217152459</v>
          </cell>
          <cell r="DV145">
            <v>0</v>
          </cell>
          <cell r="DW145">
            <v>7759.4400000000005</v>
          </cell>
          <cell r="DX145">
            <v>1493.6980000000001</v>
          </cell>
          <cell r="DY145">
            <v>19.2500747476622</v>
          </cell>
        </row>
        <row r="146">
          <cell r="F146">
            <v>0</v>
          </cell>
          <cell r="G146">
            <v>758</v>
          </cell>
          <cell r="H146">
            <v>378.24200000000002</v>
          </cell>
          <cell r="I146">
            <v>49.9</v>
          </cell>
          <cell r="O146">
            <v>0</v>
          </cell>
          <cell r="P146">
            <v>0</v>
          </cell>
          <cell r="U146">
            <v>0</v>
          </cell>
          <cell r="V146">
            <v>0</v>
          </cell>
          <cell r="AA146">
            <v>0</v>
          </cell>
          <cell r="AB146">
            <v>0</v>
          </cell>
          <cell r="AG146">
            <v>0</v>
          </cell>
          <cell r="AH146">
            <v>0</v>
          </cell>
          <cell r="AM146">
            <v>0</v>
          </cell>
          <cell r="AN146">
            <v>0</v>
          </cell>
          <cell r="AS146">
            <v>758</v>
          </cell>
          <cell r="AT146">
            <v>378.24200000000002</v>
          </cell>
          <cell r="AX146">
            <v>0</v>
          </cell>
          <cell r="AY146">
            <v>758</v>
          </cell>
          <cell r="AZ146">
            <v>378.24200000000002</v>
          </cell>
          <cell r="BA146">
            <v>49.9</v>
          </cell>
          <cell r="BG146">
            <v>0</v>
          </cell>
          <cell r="BH146">
            <v>0</v>
          </cell>
          <cell r="BM146">
            <v>0</v>
          </cell>
          <cell r="BN146">
            <v>0</v>
          </cell>
          <cell r="BS146">
            <v>0</v>
          </cell>
          <cell r="BT146">
            <v>0</v>
          </cell>
          <cell r="BY146">
            <v>0</v>
          </cell>
          <cell r="BZ146">
            <v>0</v>
          </cell>
          <cell r="CE146">
            <v>0</v>
          </cell>
          <cell r="CF146">
            <v>0</v>
          </cell>
          <cell r="CK146">
            <v>0</v>
          </cell>
          <cell r="CL146">
            <v>0</v>
          </cell>
          <cell r="CP146">
            <v>0</v>
          </cell>
          <cell r="CQ146">
            <v>0</v>
          </cell>
          <cell r="CR146">
            <v>0</v>
          </cell>
          <cell r="CS146">
            <v>0</v>
          </cell>
          <cell r="CX146">
            <v>0</v>
          </cell>
          <cell r="CY146">
            <v>0</v>
          </cell>
          <cell r="CZ146">
            <v>0</v>
          </cell>
          <cell r="DA146">
            <v>0</v>
          </cell>
          <cell r="DF146">
            <v>0</v>
          </cell>
          <cell r="DG146">
            <v>758</v>
          </cell>
          <cell r="DH146">
            <v>378.24200000000002</v>
          </cell>
          <cell r="DI146">
            <v>49.9</v>
          </cell>
          <cell r="DN146">
            <v>0</v>
          </cell>
          <cell r="DO146">
            <v>0</v>
          </cell>
          <cell r="DP146">
            <v>0</v>
          </cell>
          <cell r="DQ146">
            <v>0</v>
          </cell>
          <cell r="DV146">
            <v>0</v>
          </cell>
          <cell r="DW146">
            <v>0</v>
          </cell>
          <cell r="DX146">
            <v>0</v>
          </cell>
          <cell r="DY146">
            <v>0</v>
          </cell>
        </row>
        <row r="147">
          <cell r="F147">
            <v>0</v>
          </cell>
          <cell r="G147">
            <v>0</v>
          </cell>
          <cell r="H147">
            <v>637.91699999999992</v>
          </cell>
          <cell r="I147">
            <v>0</v>
          </cell>
          <cell r="P147">
            <v>19.02</v>
          </cell>
          <cell r="V147">
            <v>19.02</v>
          </cell>
          <cell r="AB147">
            <v>33.218000000000004</v>
          </cell>
          <cell r="AH147">
            <v>33.218000000000004</v>
          </cell>
          <cell r="AN147">
            <v>38.549999999999997</v>
          </cell>
          <cell r="AT147">
            <v>38.549999999999997</v>
          </cell>
          <cell r="AX147">
            <v>0</v>
          </cell>
          <cell r="AY147">
            <v>0</v>
          </cell>
          <cell r="AZ147">
            <v>181.57600000000002</v>
          </cell>
          <cell r="BA147">
            <v>0</v>
          </cell>
          <cell r="BH147">
            <v>69.713999999999999</v>
          </cell>
          <cell r="BN147">
            <v>69.713999999999999</v>
          </cell>
          <cell r="BT147">
            <v>77.382999999999996</v>
          </cell>
          <cell r="BZ147">
            <v>111.032</v>
          </cell>
          <cell r="CF147">
            <v>80.120999999999995</v>
          </cell>
          <cell r="CL147">
            <v>48.377000000000002</v>
          </cell>
          <cell r="CP147">
            <v>0</v>
          </cell>
          <cell r="CQ147">
            <v>0</v>
          </cell>
          <cell r="CR147">
            <v>456.34099999999995</v>
          </cell>
          <cell r="CS147">
            <v>0</v>
          </cell>
          <cell r="CX147">
            <v>0</v>
          </cell>
          <cell r="CY147">
            <v>0</v>
          </cell>
          <cell r="CZ147">
            <v>71.25800000000001</v>
          </cell>
          <cell r="DA147">
            <v>0</v>
          </cell>
          <cell r="DF147">
            <v>0</v>
          </cell>
          <cell r="DG147">
            <v>0</v>
          </cell>
          <cell r="DH147">
            <v>110.318</v>
          </cell>
          <cell r="DI147">
            <v>0</v>
          </cell>
          <cell r="DN147">
            <v>0</v>
          </cell>
          <cell r="DO147">
            <v>0</v>
          </cell>
          <cell r="DP147">
            <v>216.81099999999998</v>
          </cell>
          <cell r="DQ147">
            <v>0</v>
          </cell>
          <cell r="DV147">
            <v>0</v>
          </cell>
          <cell r="DW147">
            <v>0</v>
          </cell>
          <cell r="DX147">
            <v>239.53</v>
          </cell>
          <cell r="DY147">
            <v>0</v>
          </cell>
        </row>
        <row r="148">
          <cell r="F148">
            <v>0</v>
          </cell>
          <cell r="G148">
            <v>0</v>
          </cell>
          <cell r="H148">
            <v>0</v>
          </cell>
          <cell r="I148">
            <v>0</v>
          </cell>
          <cell r="AX148">
            <v>0</v>
          </cell>
          <cell r="AY148">
            <v>0</v>
          </cell>
          <cell r="AZ148">
            <v>0</v>
          </cell>
          <cell r="BA148">
            <v>0</v>
          </cell>
          <cell r="CP148">
            <v>0</v>
          </cell>
          <cell r="CQ148">
            <v>0</v>
          </cell>
          <cell r="CR148">
            <v>0</v>
          </cell>
          <cell r="CS148">
            <v>0</v>
          </cell>
          <cell r="CX148">
            <v>0</v>
          </cell>
          <cell r="CY148">
            <v>0</v>
          </cell>
          <cell r="CZ148">
            <v>0</v>
          </cell>
          <cell r="DA148">
            <v>0</v>
          </cell>
          <cell r="DF148">
            <v>0</v>
          </cell>
          <cell r="DG148">
            <v>0</v>
          </cell>
          <cell r="DH148">
            <v>0</v>
          </cell>
          <cell r="DI148">
            <v>0</v>
          </cell>
          <cell r="DN148">
            <v>0</v>
          </cell>
          <cell r="DO148">
            <v>0</v>
          </cell>
          <cell r="DP148">
            <v>0</v>
          </cell>
          <cell r="DQ148">
            <v>0</v>
          </cell>
          <cell r="DV148">
            <v>0</v>
          </cell>
          <cell r="DW148">
            <v>0</v>
          </cell>
          <cell r="DX148">
            <v>0</v>
          </cell>
          <cell r="DY148">
            <v>0</v>
          </cell>
        </row>
        <row r="149">
          <cell r="F149">
            <v>0</v>
          </cell>
          <cell r="G149">
            <v>0</v>
          </cell>
          <cell r="H149">
            <v>0</v>
          </cell>
          <cell r="I149">
            <v>0</v>
          </cell>
          <cell r="N149">
            <v>0</v>
          </cell>
          <cell r="AR149">
            <v>0</v>
          </cell>
          <cell r="AX149">
            <v>0</v>
          </cell>
          <cell r="AY149">
            <v>0</v>
          </cell>
          <cell r="AZ149">
            <v>0</v>
          </cell>
          <cell r="BA149">
            <v>0</v>
          </cell>
          <cell r="BF149">
            <v>0</v>
          </cell>
          <cell r="BL149">
            <v>0</v>
          </cell>
          <cell r="BR149">
            <v>0</v>
          </cell>
          <cell r="BX149">
            <v>0</v>
          </cell>
          <cell r="CD149">
            <v>0</v>
          </cell>
          <cell r="CJ149">
            <v>0</v>
          </cell>
          <cell r="CP149">
            <v>0</v>
          </cell>
          <cell r="CQ149">
            <v>0</v>
          </cell>
          <cell r="CR149">
            <v>0</v>
          </cell>
          <cell r="CS149">
            <v>0</v>
          </cell>
          <cell r="CX149">
            <v>0</v>
          </cell>
          <cell r="CY149">
            <v>0</v>
          </cell>
          <cell r="CZ149">
            <v>0</v>
          </cell>
          <cell r="DA149">
            <v>0</v>
          </cell>
          <cell r="DF149">
            <v>0</v>
          </cell>
          <cell r="DG149">
            <v>0</v>
          </cell>
          <cell r="DH149">
            <v>0</v>
          </cell>
          <cell r="DI149">
            <v>0</v>
          </cell>
          <cell r="DN149">
            <v>0</v>
          </cell>
          <cell r="DO149">
            <v>0</v>
          </cell>
          <cell r="DP149">
            <v>0</v>
          </cell>
          <cell r="DQ149">
            <v>0</v>
          </cell>
          <cell r="DV149">
            <v>0</v>
          </cell>
          <cell r="DW149">
            <v>0</v>
          </cell>
          <cell r="DX149">
            <v>0</v>
          </cell>
          <cell r="DY149">
            <v>0</v>
          </cell>
        </row>
        <row r="150">
          <cell r="F150">
            <v>0</v>
          </cell>
          <cell r="G150">
            <v>0</v>
          </cell>
          <cell r="H150">
            <v>0</v>
          </cell>
          <cell r="I150">
            <v>0</v>
          </cell>
          <cell r="N150">
            <v>0</v>
          </cell>
          <cell r="AR150">
            <v>0</v>
          </cell>
          <cell r="AX150">
            <v>0</v>
          </cell>
          <cell r="AY150">
            <v>0</v>
          </cell>
          <cell r="AZ150">
            <v>0</v>
          </cell>
          <cell r="BA150">
            <v>0</v>
          </cell>
          <cell r="BF150">
            <v>0</v>
          </cell>
          <cell r="BL150">
            <v>0</v>
          </cell>
          <cell r="BR150">
            <v>0</v>
          </cell>
          <cell r="BX150">
            <v>0</v>
          </cell>
          <cell r="CD150">
            <v>0</v>
          </cell>
          <cell r="CJ150">
            <v>0</v>
          </cell>
          <cell r="CP150">
            <v>0</v>
          </cell>
          <cell r="CQ150">
            <v>0</v>
          </cell>
          <cell r="CR150">
            <v>0</v>
          </cell>
          <cell r="CS150">
            <v>0</v>
          </cell>
          <cell r="CX150">
            <v>0</v>
          </cell>
          <cell r="CY150">
            <v>0</v>
          </cell>
          <cell r="CZ150">
            <v>0</v>
          </cell>
          <cell r="DA150">
            <v>0</v>
          </cell>
          <cell r="DF150">
            <v>0</v>
          </cell>
          <cell r="DG150">
            <v>0</v>
          </cell>
          <cell r="DH150">
            <v>0</v>
          </cell>
          <cell r="DI150">
            <v>0</v>
          </cell>
          <cell r="DN150">
            <v>0</v>
          </cell>
          <cell r="DO150">
            <v>0</v>
          </cell>
          <cell r="DP150">
            <v>0</v>
          </cell>
          <cell r="DQ150">
            <v>0</v>
          </cell>
          <cell r="DV150">
            <v>0</v>
          </cell>
          <cell r="DW150">
            <v>0</v>
          </cell>
          <cell r="DX150">
            <v>0</v>
          </cell>
          <cell r="DY150">
            <v>0</v>
          </cell>
        </row>
        <row r="151">
          <cell r="F151">
            <v>1616000</v>
          </cell>
          <cell r="G151">
            <v>160121.293381</v>
          </cell>
          <cell r="H151">
            <v>15878.338000000002</v>
          </cell>
          <cell r="I151">
            <v>9.9164437563081318</v>
          </cell>
          <cell r="N151">
            <v>100706</v>
          </cell>
          <cell r="O151">
            <v>10002.058938300001</v>
          </cell>
          <cell r="P151">
            <v>276.137</v>
          </cell>
          <cell r="T151">
            <v>110966</v>
          </cell>
          <cell r="U151">
            <v>10830.822894299998</v>
          </cell>
          <cell r="V151">
            <v>592.20900000000006</v>
          </cell>
          <cell r="Z151">
            <v>122696</v>
          </cell>
          <cell r="AA151">
            <v>12094.018668599998</v>
          </cell>
          <cell r="AB151">
            <v>931.95600000000002</v>
          </cell>
          <cell r="AF151">
            <v>108186</v>
          </cell>
          <cell r="AG151">
            <v>10873.0882526</v>
          </cell>
          <cell r="AH151">
            <v>793.34100000000001</v>
          </cell>
          <cell r="AL151">
            <v>111086</v>
          </cell>
          <cell r="AM151">
            <v>11058.490612600001</v>
          </cell>
          <cell r="AN151">
            <v>775.74900000000002</v>
          </cell>
          <cell r="AR151">
            <v>120456</v>
          </cell>
          <cell r="AS151">
            <v>12819.1381446</v>
          </cell>
          <cell r="AT151">
            <v>1282.8409999999999</v>
          </cell>
          <cell r="AX151">
            <v>674096</v>
          </cell>
          <cell r="AY151">
            <v>67677.617511000019</v>
          </cell>
          <cell r="AZ151">
            <v>4652.2330000000002</v>
          </cell>
          <cell r="BA151">
            <v>6.8741087099347826</v>
          </cell>
          <cell r="BF151">
            <v>136231</v>
          </cell>
          <cell r="BG151">
            <v>13476.818236499999</v>
          </cell>
          <cell r="BH151">
            <v>1223.5149999999999</v>
          </cell>
          <cell r="BL151">
            <v>148591</v>
          </cell>
          <cell r="BM151">
            <v>14449.086716499998</v>
          </cell>
          <cell r="BN151">
            <v>1642.1179999999997</v>
          </cell>
          <cell r="BR151">
            <v>164305</v>
          </cell>
          <cell r="BS151">
            <v>16231.845898699999</v>
          </cell>
          <cell r="BT151">
            <v>1991.72</v>
          </cell>
          <cell r="BX151">
            <v>180951</v>
          </cell>
          <cell r="BY151">
            <v>17955.779347499996</v>
          </cell>
          <cell r="BZ151">
            <v>2610.3360000000002</v>
          </cell>
          <cell r="CD151">
            <v>158252</v>
          </cell>
          <cell r="CE151">
            <v>15604.308759800002</v>
          </cell>
          <cell r="CF151">
            <v>2125.1059999999998</v>
          </cell>
          <cell r="CJ151">
            <v>153574</v>
          </cell>
          <cell r="CK151">
            <v>14725.836911000002</v>
          </cell>
          <cell r="CL151">
            <v>1633.31</v>
          </cell>
          <cell r="CP151">
            <v>941904</v>
          </cell>
          <cell r="CQ151">
            <v>92443.675870000006</v>
          </cell>
          <cell r="CR151">
            <v>11226.105000000001</v>
          </cell>
          <cell r="CS151">
            <v>12.143724158899568</v>
          </cell>
          <cell r="CX151">
            <v>334368</v>
          </cell>
          <cell r="CY151">
            <v>32926.900501199998</v>
          </cell>
          <cell r="CZ151">
            <v>1800.3020000000001</v>
          </cell>
          <cell r="DA151">
            <v>5.4675720234717788</v>
          </cell>
          <cell r="DF151">
            <v>339728</v>
          </cell>
          <cell r="DG151">
            <v>34750.717009799992</v>
          </cell>
          <cell r="DH151">
            <v>2851.931</v>
          </cell>
          <cell r="DI151">
            <v>8.2068263489231938</v>
          </cell>
          <cell r="DN151">
            <v>449127</v>
          </cell>
          <cell r="DO151">
            <v>44157.750851700002</v>
          </cell>
          <cell r="DP151">
            <v>4857.3529999999992</v>
          </cell>
          <cell r="DQ151">
            <v>11.000000920139707</v>
          </cell>
          <cell r="DV151">
            <v>492777</v>
          </cell>
          <cell r="DW151">
            <v>48285.925018299997</v>
          </cell>
          <cell r="DX151">
            <v>6368.7520000000004</v>
          </cell>
          <cell r="DY151">
            <v>13.189665513472699</v>
          </cell>
        </row>
        <row r="152">
          <cell r="F152">
            <v>2045978</v>
          </cell>
          <cell r="G152">
            <v>241183.69338099999</v>
          </cell>
          <cell r="H152">
            <v>56196.996000000006</v>
          </cell>
          <cell r="I152">
            <v>23.300495656323299</v>
          </cell>
          <cell r="N152">
            <v>129316</v>
          </cell>
          <cell r="O152">
            <v>15082.258938300001</v>
          </cell>
          <cell r="P152">
            <v>2683.636</v>
          </cell>
          <cell r="T152">
            <v>150826</v>
          </cell>
          <cell r="U152">
            <v>17810.822894299999</v>
          </cell>
          <cell r="V152">
            <v>4038.2289999999994</v>
          </cell>
          <cell r="Z152">
            <v>158566</v>
          </cell>
          <cell r="AA152">
            <v>18574.018668599998</v>
          </cell>
          <cell r="AB152">
            <v>4134.5450000000001</v>
          </cell>
          <cell r="AF152">
            <v>146506</v>
          </cell>
          <cell r="AG152">
            <v>17855.088252599999</v>
          </cell>
          <cell r="AH152">
            <v>4256.8560000000007</v>
          </cell>
          <cell r="AL152">
            <v>152656</v>
          </cell>
          <cell r="AM152">
            <v>18640.490612599999</v>
          </cell>
          <cell r="AN152">
            <v>4578.7240000000002</v>
          </cell>
          <cell r="AR152">
            <v>158226</v>
          </cell>
          <cell r="AS152">
            <v>19731.138144600001</v>
          </cell>
          <cell r="AT152">
            <v>4743.9779999999992</v>
          </cell>
          <cell r="AX152">
            <v>896096</v>
          </cell>
          <cell r="AY152">
            <v>107693.81751100002</v>
          </cell>
          <cell r="AZ152">
            <v>24435.967999999997</v>
          </cell>
          <cell r="BA152">
            <v>22.690223603136801</v>
          </cell>
          <cell r="BF152">
            <v>173731</v>
          </cell>
          <cell r="BG152">
            <v>20687.0182365</v>
          </cell>
          <cell r="BH152">
            <v>4785.7970000000005</v>
          </cell>
          <cell r="BL152">
            <v>183366</v>
          </cell>
          <cell r="BM152">
            <v>21259.086716499998</v>
          </cell>
          <cell r="BN152">
            <v>5031.741</v>
          </cell>
          <cell r="BR152">
            <v>200082</v>
          </cell>
          <cell r="BS152">
            <v>23141.845898699998</v>
          </cell>
          <cell r="BT152">
            <v>5442.835</v>
          </cell>
          <cell r="BX152">
            <v>216677</v>
          </cell>
          <cell r="BY152">
            <v>24965.779347499996</v>
          </cell>
          <cell r="BZ152">
            <v>6169.6940000000004</v>
          </cell>
          <cell r="CD152">
            <v>191178</v>
          </cell>
          <cell r="CE152">
            <v>22220.308759800002</v>
          </cell>
          <cell r="CF152">
            <v>5486.277</v>
          </cell>
          <cell r="CJ152">
            <v>184848</v>
          </cell>
          <cell r="CK152">
            <v>21215.836911000002</v>
          </cell>
          <cell r="CL152">
            <v>4844.6839999999993</v>
          </cell>
          <cell r="CP152">
            <v>1149882</v>
          </cell>
          <cell r="CQ152">
            <v>133489.87586999999</v>
          </cell>
          <cell r="CR152">
            <v>31761.028000000006</v>
          </cell>
          <cell r="CS152">
            <v>23.792836567569136</v>
          </cell>
          <cell r="CX152">
            <v>438708</v>
          </cell>
          <cell r="CY152">
            <v>51467.100501199995</v>
          </cell>
          <cell r="CZ152">
            <v>10856.41</v>
          </cell>
          <cell r="DA152">
            <v>21.09388307147179</v>
          </cell>
          <cell r="DF152">
            <v>457388</v>
          </cell>
          <cell r="DG152">
            <v>56226.717009799992</v>
          </cell>
          <cell r="DH152">
            <v>13579.557999999999</v>
          </cell>
          <cell r="DI152">
            <v>24.15143320146748</v>
          </cell>
          <cell r="DN152">
            <v>557179</v>
          </cell>
          <cell r="DO152">
            <v>65087.950851700007</v>
          </cell>
          <cell r="DP152">
            <v>15260.372999999998</v>
          </cell>
          <cell r="DQ152">
            <v>23.445772681905559</v>
          </cell>
          <cell r="DV152">
            <v>592703</v>
          </cell>
          <cell r="DW152">
            <v>68401.925018299997</v>
          </cell>
          <cell r="DX152">
            <v>16500.655000000002</v>
          </cell>
          <cell r="DY152">
            <v>24.123085710797582</v>
          </cell>
        </row>
        <row r="153">
          <cell r="F153">
            <v>124</v>
          </cell>
          <cell r="G153">
            <v>3224</v>
          </cell>
          <cell r="H153">
            <v>788.22900000000004</v>
          </cell>
          <cell r="I153">
            <v>24.448790322580646</v>
          </cell>
          <cell r="N153">
            <v>7</v>
          </cell>
          <cell r="O153">
            <v>182</v>
          </cell>
          <cell r="P153">
            <v>44.768999999999998</v>
          </cell>
          <cell r="T153">
            <v>6</v>
          </cell>
          <cell r="U153">
            <v>156</v>
          </cell>
          <cell r="V153">
            <v>35.017000000000003</v>
          </cell>
          <cell r="Z153">
            <v>11</v>
          </cell>
          <cell r="AA153">
            <v>286</v>
          </cell>
          <cell r="AB153">
            <v>58.518000000000001</v>
          </cell>
          <cell r="AF153">
            <v>12</v>
          </cell>
          <cell r="AG153">
            <v>312</v>
          </cell>
          <cell r="AH153">
            <v>65.576999999999998</v>
          </cell>
          <cell r="AL153">
            <v>11</v>
          </cell>
          <cell r="AM153">
            <v>286</v>
          </cell>
          <cell r="AN153">
            <v>62.517000000000003</v>
          </cell>
          <cell r="AR153">
            <v>11</v>
          </cell>
          <cell r="AS153">
            <v>286</v>
          </cell>
          <cell r="AT153">
            <v>67.072999999999993</v>
          </cell>
          <cell r="AX153">
            <v>58</v>
          </cell>
          <cell r="AY153">
            <v>1508</v>
          </cell>
          <cell r="AZ153">
            <v>333.471</v>
          </cell>
          <cell r="BA153">
            <v>22.113461538461536</v>
          </cell>
          <cell r="BF153">
            <v>11</v>
          </cell>
          <cell r="BG153">
            <v>286</v>
          </cell>
          <cell r="BH153">
            <v>72.480999999999995</v>
          </cell>
          <cell r="BL153">
            <v>12</v>
          </cell>
          <cell r="BM153">
            <v>312</v>
          </cell>
          <cell r="BN153">
            <v>83.338999999999999</v>
          </cell>
          <cell r="BR153">
            <v>12</v>
          </cell>
          <cell r="BS153">
            <v>312</v>
          </cell>
          <cell r="BT153">
            <v>83.873000000000005</v>
          </cell>
          <cell r="BX153">
            <v>12</v>
          </cell>
          <cell r="BY153">
            <v>312</v>
          </cell>
          <cell r="BZ153">
            <v>84.143000000000001</v>
          </cell>
          <cell r="CD153">
            <v>9</v>
          </cell>
          <cell r="CE153">
            <v>234</v>
          </cell>
          <cell r="CF153">
            <v>62.097000000000001</v>
          </cell>
          <cell r="CJ153">
            <v>10</v>
          </cell>
          <cell r="CK153">
            <v>260</v>
          </cell>
          <cell r="CL153">
            <v>68.825000000000003</v>
          </cell>
          <cell r="CP153">
            <v>66</v>
          </cell>
          <cell r="CQ153">
            <v>1716</v>
          </cell>
          <cell r="CR153">
            <v>454.75799999999998</v>
          </cell>
          <cell r="CS153">
            <v>26.501048951048951</v>
          </cell>
          <cell r="CX153">
            <v>24</v>
          </cell>
          <cell r="CY153">
            <v>624</v>
          </cell>
          <cell r="CZ153">
            <v>138.304</v>
          </cell>
          <cell r="DA153">
            <v>22.164102564102564</v>
          </cell>
          <cell r="DF153">
            <v>34</v>
          </cell>
          <cell r="DG153">
            <v>884</v>
          </cell>
          <cell r="DH153">
            <v>195.16699999999997</v>
          </cell>
          <cell r="DI153">
            <v>22.077714932126693</v>
          </cell>
          <cell r="DN153">
            <v>35</v>
          </cell>
          <cell r="DO153">
            <v>910</v>
          </cell>
          <cell r="DP153">
            <v>239.69299999999998</v>
          </cell>
          <cell r="DQ153">
            <v>26.339890109890106</v>
          </cell>
          <cell r="DV153">
            <v>31</v>
          </cell>
          <cell r="DW153">
            <v>806</v>
          </cell>
          <cell r="DX153">
            <v>215.065</v>
          </cell>
          <cell r="DY153">
            <v>26.683002481389579</v>
          </cell>
        </row>
        <row r="154">
          <cell r="F154">
            <v>30</v>
          </cell>
          <cell r="G154">
            <v>360</v>
          </cell>
          <cell r="H154">
            <v>90</v>
          </cell>
          <cell r="I154">
            <v>25</v>
          </cell>
          <cell r="N154">
            <v>2</v>
          </cell>
          <cell r="O154">
            <v>24</v>
          </cell>
          <cell r="P154">
            <v>6</v>
          </cell>
          <cell r="T154">
            <v>2</v>
          </cell>
          <cell r="U154">
            <v>24</v>
          </cell>
          <cell r="V154">
            <v>6</v>
          </cell>
          <cell r="Z154">
            <v>2</v>
          </cell>
          <cell r="AA154">
            <v>24</v>
          </cell>
          <cell r="AB154">
            <v>6</v>
          </cell>
          <cell r="AF154">
            <v>3</v>
          </cell>
          <cell r="AG154">
            <v>36</v>
          </cell>
          <cell r="AH154">
            <v>9</v>
          </cell>
          <cell r="AL154">
            <v>3</v>
          </cell>
          <cell r="AM154">
            <v>36</v>
          </cell>
          <cell r="AN154">
            <v>9</v>
          </cell>
          <cell r="AR154">
            <v>3</v>
          </cell>
          <cell r="AS154">
            <v>36</v>
          </cell>
          <cell r="AT154">
            <v>9</v>
          </cell>
          <cell r="AX154">
            <v>15</v>
          </cell>
          <cell r="AY154">
            <v>180</v>
          </cell>
          <cell r="AZ154">
            <v>45</v>
          </cell>
          <cell r="BA154">
            <v>25</v>
          </cell>
          <cell r="BF154">
            <v>3</v>
          </cell>
          <cell r="BG154">
            <v>36</v>
          </cell>
          <cell r="BH154">
            <v>9</v>
          </cell>
          <cell r="BL154">
            <v>3</v>
          </cell>
          <cell r="BM154">
            <v>36</v>
          </cell>
          <cell r="BN154">
            <v>9</v>
          </cell>
          <cell r="BR154">
            <v>3</v>
          </cell>
          <cell r="BS154">
            <v>36</v>
          </cell>
          <cell r="BT154">
            <v>9</v>
          </cell>
          <cell r="BX154">
            <v>2</v>
          </cell>
          <cell r="BY154">
            <v>24</v>
          </cell>
          <cell r="BZ154">
            <v>6</v>
          </cell>
          <cell r="CD154">
            <v>2</v>
          </cell>
          <cell r="CE154">
            <v>24</v>
          </cell>
          <cell r="CF154">
            <v>6</v>
          </cell>
          <cell r="CJ154">
            <v>2</v>
          </cell>
          <cell r="CK154">
            <v>24</v>
          </cell>
          <cell r="CL154">
            <v>6</v>
          </cell>
          <cell r="CP154">
            <v>15</v>
          </cell>
          <cell r="CQ154">
            <v>180</v>
          </cell>
          <cell r="CR154">
            <v>45</v>
          </cell>
          <cell r="CS154">
            <v>25</v>
          </cell>
          <cell r="CX154">
            <v>6</v>
          </cell>
          <cell r="CY154">
            <v>72</v>
          </cell>
          <cell r="CZ154">
            <v>18</v>
          </cell>
          <cell r="DA154">
            <v>25</v>
          </cell>
          <cell r="DF154">
            <v>9</v>
          </cell>
          <cell r="DG154">
            <v>108</v>
          </cell>
          <cell r="DH154">
            <v>27</v>
          </cell>
          <cell r="DI154">
            <v>25</v>
          </cell>
          <cell r="DN154">
            <v>9</v>
          </cell>
          <cell r="DO154">
            <v>108</v>
          </cell>
          <cell r="DP154">
            <v>27</v>
          </cell>
          <cell r="DQ154">
            <v>25</v>
          </cell>
          <cell r="DV154">
            <v>6</v>
          </cell>
          <cell r="DW154">
            <v>72</v>
          </cell>
          <cell r="DX154">
            <v>18</v>
          </cell>
          <cell r="DY154">
            <v>25</v>
          </cell>
        </row>
        <row r="155">
          <cell r="F155">
            <v>80</v>
          </cell>
          <cell r="G155">
            <v>3040</v>
          </cell>
          <cell r="H155">
            <v>620.55799999999999</v>
          </cell>
          <cell r="I155">
            <v>20.413092105263157</v>
          </cell>
          <cell r="N155">
            <v>7</v>
          </cell>
          <cell r="O155">
            <v>266</v>
          </cell>
          <cell r="P155">
            <v>49.918999999999997</v>
          </cell>
          <cell r="T155">
            <v>7</v>
          </cell>
          <cell r="U155">
            <v>266</v>
          </cell>
          <cell r="V155">
            <v>48.822000000000003</v>
          </cell>
          <cell r="Z155">
            <v>7</v>
          </cell>
          <cell r="AA155">
            <v>266</v>
          </cell>
          <cell r="AB155">
            <v>46.414000000000001</v>
          </cell>
          <cell r="AF155">
            <v>7</v>
          </cell>
          <cell r="AG155">
            <v>266</v>
          </cell>
          <cell r="AH155">
            <v>47.085999999999999</v>
          </cell>
          <cell r="AL155">
            <v>7</v>
          </cell>
          <cell r="AM155">
            <v>266</v>
          </cell>
          <cell r="AN155">
            <v>48.427999999999997</v>
          </cell>
          <cell r="AR155">
            <v>7</v>
          </cell>
          <cell r="AS155">
            <v>266</v>
          </cell>
          <cell r="AT155">
            <v>54.02</v>
          </cell>
          <cell r="AX155">
            <v>42</v>
          </cell>
          <cell r="AY155">
            <v>1596</v>
          </cell>
          <cell r="AZ155">
            <v>294.68899999999996</v>
          </cell>
          <cell r="BA155">
            <v>18.464223057644109</v>
          </cell>
          <cell r="BF155">
            <v>8</v>
          </cell>
          <cell r="BG155">
            <v>304</v>
          </cell>
          <cell r="BH155">
            <v>65.738</v>
          </cell>
          <cell r="BL155">
            <v>8</v>
          </cell>
          <cell r="BM155">
            <v>304</v>
          </cell>
          <cell r="BN155">
            <v>69.733000000000004</v>
          </cell>
          <cell r="BR155">
            <v>7</v>
          </cell>
          <cell r="BS155">
            <v>266</v>
          </cell>
          <cell r="BT155">
            <v>61.655999999999999</v>
          </cell>
          <cell r="BX155">
            <v>6</v>
          </cell>
          <cell r="BY155">
            <v>228</v>
          </cell>
          <cell r="BZ155">
            <v>52.491</v>
          </cell>
          <cell r="CD155">
            <v>5</v>
          </cell>
          <cell r="CE155">
            <v>190</v>
          </cell>
          <cell r="CF155">
            <v>42.570999999999998</v>
          </cell>
          <cell r="CJ155">
            <v>4</v>
          </cell>
          <cell r="CK155">
            <v>152</v>
          </cell>
          <cell r="CL155">
            <v>33.68</v>
          </cell>
          <cell r="CP155">
            <v>38</v>
          </cell>
          <cell r="CQ155">
            <v>1444</v>
          </cell>
          <cell r="CR155">
            <v>325.86900000000003</v>
          </cell>
          <cell r="CS155">
            <v>22.567105263157895</v>
          </cell>
          <cell r="CX155">
            <v>21</v>
          </cell>
          <cell r="CY155">
            <v>798</v>
          </cell>
          <cell r="CZ155">
            <v>145.155</v>
          </cell>
          <cell r="DA155">
            <v>18.189849624060152</v>
          </cell>
          <cell r="DF155">
            <v>21</v>
          </cell>
          <cell r="DG155">
            <v>798</v>
          </cell>
          <cell r="DH155">
            <v>149.53399999999999</v>
          </cell>
          <cell r="DI155">
            <v>18.738596491228069</v>
          </cell>
          <cell r="DN155">
            <v>23</v>
          </cell>
          <cell r="DO155">
            <v>874</v>
          </cell>
          <cell r="DP155">
            <v>197.12700000000001</v>
          </cell>
          <cell r="DQ155">
            <v>22.554576659038901</v>
          </cell>
          <cell r="DV155">
            <v>15</v>
          </cell>
          <cell r="DW155">
            <v>570</v>
          </cell>
          <cell r="DX155">
            <v>128.74199999999999</v>
          </cell>
          <cell r="DY155">
            <v>22.586315789473684</v>
          </cell>
        </row>
        <row r="156">
          <cell r="F156">
            <v>174</v>
          </cell>
          <cell r="G156">
            <v>2088</v>
          </cell>
          <cell r="H156">
            <v>1105.77</v>
          </cell>
          <cell r="I156">
            <v>52.958333333333329</v>
          </cell>
          <cell r="N156">
            <v>12</v>
          </cell>
          <cell r="O156">
            <v>144</v>
          </cell>
          <cell r="P156">
            <v>76.260000000000005</v>
          </cell>
          <cell r="T156">
            <v>11</v>
          </cell>
          <cell r="U156">
            <v>132</v>
          </cell>
          <cell r="V156">
            <v>69.905000000000001</v>
          </cell>
          <cell r="Z156">
            <v>16</v>
          </cell>
          <cell r="AA156">
            <v>192</v>
          </cell>
          <cell r="AB156">
            <v>101.68</v>
          </cell>
          <cell r="AF156">
            <v>16</v>
          </cell>
          <cell r="AG156">
            <v>192</v>
          </cell>
          <cell r="AH156">
            <v>101.68</v>
          </cell>
          <cell r="AL156">
            <v>15</v>
          </cell>
          <cell r="AM156">
            <v>180</v>
          </cell>
          <cell r="AN156">
            <v>95.325000000000003</v>
          </cell>
          <cell r="AR156">
            <v>15</v>
          </cell>
          <cell r="AS156">
            <v>180</v>
          </cell>
          <cell r="AT156">
            <v>95.325000000000003</v>
          </cell>
          <cell r="AX156">
            <v>85</v>
          </cell>
          <cell r="AY156">
            <v>1020</v>
          </cell>
          <cell r="AZ156">
            <v>540.17500000000007</v>
          </cell>
          <cell r="BA156">
            <v>52.958333333333343</v>
          </cell>
          <cell r="BF156">
            <v>16</v>
          </cell>
          <cell r="BG156">
            <v>192</v>
          </cell>
          <cell r="BH156">
            <v>101.68</v>
          </cell>
          <cell r="BL156">
            <v>17</v>
          </cell>
          <cell r="BM156">
            <v>204</v>
          </cell>
          <cell r="BN156">
            <v>108.035</v>
          </cell>
          <cell r="BR156">
            <v>16</v>
          </cell>
          <cell r="BS156">
            <v>192</v>
          </cell>
          <cell r="BT156">
            <v>101.68</v>
          </cell>
          <cell r="BX156">
            <v>16</v>
          </cell>
          <cell r="BY156">
            <v>192</v>
          </cell>
          <cell r="BZ156">
            <v>101.68</v>
          </cell>
          <cell r="CD156">
            <v>12</v>
          </cell>
          <cell r="CE156">
            <v>144</v>
          </cell>
          <cell r="CF156">
            <v>76.260000000000005</v>
          </cell>
          <cell r="CJ156">
            <v>12</v>
          </cell>
          <cell r="CK156">
            <v>144</v>
          </cell>
          <cell r="CL156">
            <v>76.260000000000005</v>
          </cell>
          <cell r="CP156">
            <v>89</v>
          </cell>
          <cell r="CQ156">
            <v>1068</v>
          </cell>
          <cell r="CR156">
            <v>565.59500000000003</v>
          </cell>
          <cell r="CS156">
            <v>52.958333333333343</v>
          </cell>
          <cell r="CX156">
            <v>39</v>
          </cell>
          <cell r="CY156">
            <v>468</v>
          </cell>
          <cell r="CZ156">
            <v>247.84500000000003</v>
          </cell>
          <cell r="DA156">
            <v>52.958333333333343</v>
          </cell>
          <cell r="DF156">
            <v>46</v>
          </cell>
          <cell r="DG156">
            <v>552</v>
          </cell>
          <cell r="DH156">
            <v>292.33</v>
          </cell>
          <cell r="DI156">
            <v>52.958333333333329</v>
          </cell>
          <cell r="DN156">
            <v>49</v>
          </cell>
          <cell r="DO156">
            <v>588</v>
          </cell>
          <cell r="DP156">
            <v>311.39499999999998</v>
          </cell>
          <cell r="DQ156">
            <v>52.958333333333329</v>
          </cell>
          <cell r="DV156">
            <v>40</v>
          </cell>
          <cell r="DW156">
            <v>480</v>
          </cell>
          <cell r="DX156">
            <v>254.2</v>
          </cell>
          <cell r="DY156">
            <v>52.958333333333329</v>
          </cell>
        </row>
        <row r="157">
          <cell r="F157">
            <v>24</v>
          </cell>
          <cell r="G157">
            <v>384</v>
          </cell>
          <cell r="H157">
            <v>168</v>
          </cell>
          <cell r="I157">
            <v>43.75</v>
          </cell>
          <cell r="N157">
            <v>2</v>
          </cell>
          <cell r="O157">
            <v>32</v>
          </cell>
          <cell r="P157">
            <v>14</v>
          </cell>
          <cell r="T157">
            <v>2</v>
          </cell>
          <cell r="U157">
            <v>32</v>
          </cell>
          <cell r="V157">
            <v>14</v>
          </cell>
          <cell r="Z157">
            <v>2</v>
          </cell>
          <cell r="AA157">
            <v>32</v>
          </cell>
          <cell r="AB157">
            <v>14</v>
          </cell>
          <cell r="AF157">
            <v>2</v>
          </cell>
          <cell r="AG157">
            <v>32</v>
          </cell>
          <cell r="AH157">
            <v>14</v>
          </cell>
          <cell r="AL157">
            <v>2</v>
          </cell>
          <cell r="AM157">
            <v>32</v>
          </cell>
          <cell r="AN157">
            <v>14</v>
          </cell>
          <cell r="AR157">
            <v>2</v>
          </cell>
          <cell r="AS157">
            <v>32</v>
          </cell>
          <cell r="AT157">
            <v>14</v>
          </cell>
          <cell r="AX157">
            <v>12</v>
          </cell>
          <cell r="AY157">
            <v>192</v>
          </cell>
          <cell r="AZ157">
            <v>84</v>
          </cell>
          <cell r="BA157">
            <v>43.75</v>
          </cell>
          <cell r="BF157">
            <v>2</v>
          </cell>
          <cell r="BG157">
            <v>32</v>
          </cell>
          <cell r="BH157">
            <v>14</v>
          </cell>
          <cell r="BL157">
            <v>2</v>
          </cell>
          <cell r="BM157">
            <v>32</v>
          </cell>
          <cell r="BN157">
            <v>14</v>
          </cell>
          <cell r="BR157">
            <v>2</v>
          </cell>
          <cell r="BS157">
            <v>32</v>
          </cell>
          <cell r="BT157">
            <v>14</v>
          </cell>
          <cell r="BX157">
            <v>2</v>
          </cell>
          <cell r="BY157">
            <v>32</v>
          </cell>
          <cell r="BZ157">
            <v>14</v>
          </cell>
          <cell r="CD157">
            <v>2</v>
          </cell>
          <cell r="CE157">
            <v>32</v>
          </cell>
          <cell r="CF157">
            <v>14</v>
          </cell>
          <cell r="CJ157">
            <v>2</v>
          </cell>
          <cell r="CK157">
            <v>32</v>
          </cell>
          <cell r="CL157">
            <v>14</v>
          </cell>
          <cell r="CP157">
            <v>12</v>
          </cell>
          <cell r="CQ157">
            <v>192</v>
          </cell>
          <cell r="CR157">
            <v>84</v>
          </cell>
          <cell r="CS157">
            <v>43.75</v>
          </cell>
          <cell r="CX157">
            <v>6</v>
          </cell>
          <cell r="CY157">
            <v>96</v>
          </cell>
          <cell r="CZ157">
            <v>42</v>
          </cell>
          <cell r="DA157">
            <v>43.75</v>
          </cell>
          <cell r="DF157">
            <v>6</v>
          </cell>
          <cell r="DG157">
            <v>96</v>
          </cell>
          <cell r="DH157">
            <v>42</v>
          </cell>
          <cell r="DI157">
            <v>43.75</v>
          </cell>
          <cell r="DN157">
            <v>6</v>
          </cell>
          <cell r="DO157">
            <v>96</v>
          </cell>
          <cell r="DP157">
            <v>42</v>
          </cell>
          <cell r="DQ157">
            <v>43.75</v>
          </cell>
          <cell r="DV157">
            <v>6</v>
          </cell>
          <cell r="DW157">
            <v>96</v>
          </cell>
          <cell r="DX157">
            <v>42</v>
          </cell>
          <cell r="DY157">
            <v>43.75</v>
          </cell>
        </row>
        <row r="158">
          <cell r="F158">
            <v>24</v>
          </cell>
          <cell r="G158">
            <v>192</v>
          </cell>
          <cell r="H158">
            <v>72</v>
          </cell>
          <cell r="I158">
            <v>37.5</v>
          </cell>
          <cell r="N158">
            <v>2</v>
          </cell>
          <cell r="O158">
            <v>16</v>
          </cell>
          <cell r="P158">
            <v>6</v>
          </cell>
          <cell r="T158">
            <v>2</v>
          </cell>
          <cell r="U158">
            <v>16</v>
          </cell>
          <cell r="V158">
            <v>6</v>
          </cell>
          <cell r="Z158">
            <v>2</v>
          </cell>
          <cell r="AA158">
            <v>16</v>
          </cell>
          <cell r="AB158">
            <v>6</v>
          </cell>
          <cell r="AF158">
            <v>2</v>
          </cell>
          <cell r="AG158">
            <v>16</v>
          </cell>
          <cell r="AH158">
            <v>6</v>
          </cell>
          <cell r="AL158">
            <v>2</v>
          </cell>
          <cell r="AM158">
            <v>16</v>
          </cell>
          <cell r="AN158">
            <v>6</v>
          </cell>
          <cell r="AR158">
            <v>2</v>
          </cell>
          <cell r="AS158">
            <v>16</v>
          </cell>
          <cell r="AT158">
            <v>6</v>
          </cell>
          <cell r="AX158">
            <v>12</v>
          </cell>
          <cell r="AY158">
            <v>96</v>
          </cell>
          <cell r="AZ158">
            <v>36</v>
          </cell>
          <cell r="BA158">
            <v>37.5</v>
          </cell>
          <cell r="BF158">
            <v>2</v>
          </cell>
          <cell r="BG158">
            <v>16</v>
          </cell>
          <cell r="BH158">
            <v>6</v>
          </cell>
          <cell r="BL158">
            <v>2</v>
          </cell>
          <cell r="BM158">
            <v>16</v>
          </cell>
          <cell r="BN158">
            <v>6</v>
          </cell>
          <cell r="BR158">
            <v>2</v>
          </cell>
          <cell r="BS158">
            <v>16</v>
          </cell>
          <cell r="BT158">
            <v>6</v>
          </cell>
          <cell r="BX158">
            <v>2</v>
          </cell>
          <cell r="BY158">
            <v>16</v>
          </cell>
          <cell r="BZ158">
            <v>6</v>
          </cell>
          <cell r="CD158">
            <v>2</v>
          </cell>
          <cell r="CE158">
            <v>16</v>
          </cell>
          <cell r="CF158">
            <v>6</v>
          </cell>
          <cell r="CJ158">
            <v>2</v>
          </cell>
          <cell r="CK158">
            <v>16</v>
          </cell>
          <cell r="CL158">
            <v>6</v>
          </cell>
          <cell r="CP158">
            <v>12</v>
          </cell>
          <cell r="CQ158">
            <v>96</v>
          </cell>
          <cell r="CR158">
            <v>36</v>
          </cell>
          <cell r="CS158">
            <v>37.5</v>
          </cell>
          <cell r="CX158">
            <v>6</v>
          </cell>
          <cell r="CY158">
            <v>48</v>
          </cell>
          <cell r="CZ158">
            <v>18</v>
          </cell>
          <cell r="DA158">
            <v>37.5</v>
          </cell>
          <cell r="DF158">
            <v>6</v>
          </cell>
          <cell r="DG158">
            <v>48</v>
          </cell>
          <cell r="DH158">
            <v>18</v>
          </cell>
          <cell r="DI158">
            <v>37.5</v>
          </cell>
          <cell r="DN158">
            <v>6</v>
          </cell>
          <cell r="DO158">
            <v>48</v>
          </cell>
          <cell r="DP158">
            <v>18</v>
          </cell>
          <cell r="DQ158">
            <v>37.5</v>
          </cell>
          <cell r="DV158">
            <v>6</v>
          </cell>
          <cell r="DW158">
            <v>48</v>
          </cell>
          <cell r="DX158">
            <v>18</v>
          </cell>
          <cell r="DY158">
            <v>37.5</v>
          </cell>
        </row>
        <row r="159">
          <cell r="F159">
            <v>0</v>
          </cell>
          <cell r="G159">
            <v>100</v>
          </cell>
          <cell r="H159">
            <v>42.36</v>
          </cell>
          <cell r="I159">
            <v>42.36</v>
          </cell>
          <cell r="N159">
            <v>0</v>
          </cell>
          <cell r="O159">
            <v>5</v>
          </cell>
          <cell r="P159">
            <v>2.09</v>
          </cell>
          <cell r="T159">
            <v>0</v>
          </cell>
          <cell r="U159">
            <v>5</v>
          </cell>
          <cell r="V159">
            <v>2.0569999999999999</v>
          </cell>
          <cell r="Z159">
            <v>0</v>
          </cell>
          <cell r="AA159">
            <v>10</v>
          </cell>
          <cell r="AB159">
            <v>4.1079999999999997</v>
          </cell>
          <cell r="AF159">
            <v>0</v>
          </cell>
          <cell r="AG159">
            <v>10</v>
          </cell>
          <cell r="AH159">
            <v>4.1890000000000001</v>
          </cell>
          <cell r="AL159">
            <v>0</v>
          </cell>
          <cell r="AM159">
            <v>10</v>
          </cell>
          <cell r="AN159">
            <v>4.093</v>
          </cell>
          <cell r="AR159">
            <v>0</v>
          </cell>
          <cell r="AS159">
            <v>10</v>
          </cell>
          <cell r="AT159">
            <v>4.2770000000000001</v>
          </cell>
          <cell r="AX159">
            <v>0</v>
          </cell>
          <cell r="AY159">
            <v>50</v>
          </cell>
          <cell r="AZ159">
            <v>20.814</v>
          </cell>
          <cell r="BA159">
            <v>41.628</v>
          </cell>
          <cell r="BF159">
            <v>0</v>
          </cell>
          <cell r="BG159">
            <v>10</v>
          </cell>
          <cell r="BH159">
            <v>4.34</v>
          </cell>
          <cell r="BL159">
            <v>0</v>
          </cell>
          <cell r="BM159">
            <v>10</v>
          </cell>
          <cell r="BN159">
            <v>4.3079999999999998</v>
          </cell>
          <cell r="BR159">
            <v>0</v>
          </cell>
          <cell r="BS159">
            <v>10</v>
          </cell>
          <cell r="BT159">
            <v>4.3</v>
          </cell>
          <cell r="BX159">
            <v>0</v>
          </cell>
          <cell r="BY159">
            <v>10</v>
          </cell>
          <cell r="BZ159">
            <v>4.306</v>
          </cell>
          <cell r="CD159">
            <v>0</v>
          </cell>
          <cell r="CE159">
            <v>5</v>
          </cell>
          <cell r="CF159">
            <v>2.1389999999999998</v>
          </cell>
          <cell r="CJ159">
            <v>0</v>
          </cell>
          <cell r="CK159">
            <v>5</v>
          </cell>
          <cell r="CL159">
            <v>2.153</v>
          </cell>
          <cell r="CP159">
            <v>0</v>
          </cell>
          <cell r="CQ159">
            <v>50</v>
          </cell>
          <cell r="CR159">
            <v>21.545999999999999</v>
          </cell>
          <cell r="CS159">
            <v>43.091999999999999</v>
          </cell>
          <cell r="CX159">
            <v>0</v>
          </cell>
          <cell r="CY159">
            <v>20</v>
          </cell>
          <cell r="CZ159">
            <v>8.254999999999999</v>
          </cell>
          <cell r="DA159">
            <v>41.274999999999991</v>
          </cell>
          <cell r="DF159">
            <v>0</v>
          </cell>
          <cell r="DG159">
            <v>30</v>
          </cell>
          <cell r="DH159">
            <v>12.559000000000001</v>
          </cell>
          <cell r="DI159">
            <v>41.863333333333337</v>
          </cell>
          <cell r="DN159">
            <v>0</v>
          </cell>
          <cell r="DO159">
            <v>30</v>
          </cell>
          <cell r="DP159">
            <v>12.948</v>
          </cell>
          <cell r="DQ159">
            <v>43.160000000000004</v>
          </cell>
          <cell r="DV159">
            <v>0</v>
          </cell>
          <cell r="DW159">
            <v>20</v>
          </cell>
          <cell r="DX159">
            <v>8.5980000000000008</v>
          </cell>
          <cell r="DY159">
            <v>42.990000000000009</v>
          </cell>
        </row>
        <row r="160">
          <cell r="F160">
            <v>456</v>
          </cell>
          <cell r="G160">
            <v>9388</v>
          </cell>
          <cell r="H160">
            <v>2886.9169999999999</v>
          </cell>
          <cell r="I160">
            <v>30.751139752876011</v>
          </cell>
          <cell r="N160">
            <v>32</v>
          </cell>
          <cell r="O160">
            <v>669</v>
          </cell>
          <cell r="P160">
            <v>199.03799999999998</v>
          </cell>
          <cell r="T160">
            <v>30</v>
          </cell>
          <cell r="U160">
            <v>631</v>
          </cell>
          <cell r="V160">
            <v>181.80099999999999</v>
          </cell>
          <cell r="Z160">
            <v>40</v>
          </cell>
          <cell r="AA160">
            <v>826</v>
          </cell>
          <cell r="AB160">
            <v>236.72000000000003</v>
          </cell>
          <cell r="AF160">
            <v>42</v>
          </cell>
          <cell r="AG160">
            <v>864</v>
          </cell>
          <cell r="AH160">
            <v>247.53200000000001</v>
          </cell>
          <cell r="AL160">
            <v>40</v>
          </cell>
          <cell r="AM160">
            <v>826</v>
          </cell>
          <cell r="AN160">
            <v>239.36299999999997</v>
          </cell>
          <cell r="AR160">
            <v>40</v>
          </cell>
          <cell r="AS160">
            <v>826</v>
          </cell>
          <cell r="AT160">
            <v>249.69499999999999</v>
          </cell>
          <cell r="AX160">
            <v>224</v>
          </cell>
          <cell r="AY160">
            <v>4642</v>
          </cell>
          <cell r="AZ160">
            <v>1354.1490000000001</v>
          </cell>
          <cell r="BA160">
            <v>29.17167169323568</v>
          </cell>
          <cell r="BF160">
            <v>42</v>
          </cell>
          <cell r="BG160">
            <v>876</v>
          </cell>
          <cell r="BH160">
            <v>273.23899999999998</v>
          </cell>
          <cell r="BL160">
            <v>44</v>
          </cell>
          <cell r="BM160">
            <v>914</v>
          </cell>
          <cell r="BN160">
            <v>294.41499999999996</v>
          </cell>
          <cell r="BR160">
            <v>42</v>
          </cell>
          <cell r="BS160">
            <v>864</v>
          </cell>
          <cell r="BT160">
            <v>280.50900000000001</v>
          </cell>
          <cell r="BX160">
            <v>40</v>
          </cell>
          <cell r="BY160">
            <v>814</v>
          </cell>
          <cell r="BZ160">
            <v>268.62</v>
          </cell>
          <cell r="CD160">
            <v>32</v>
          </cell>
          <cell r="CE160">
            <v>645</v>
          </cell>
          <cell r="CF160">
            <v>209.06700000000001</v>
          </cell>
          <cell r="CJ160">
            <v>32</v>
          </cell>
          <cell r="CK160">
            <v>633</v>
          </cell>
          <cell r="CL160">
            <v>206.91799999999998</v>
          </cell>
          <cell r="CP160">
            <v>232</v>
          </cell>
          <cell r="CQ160">
            <v>4746</v>
          </cell>
          <cell r="CR160">
            <v>1532.768</v>
          </cell>
          <cell r="CS160">
            <v>32.295996628739992</v>
          </cell>
          <cell r="CX160">
            <v>102</v>
          </cell>
          <cell r="CY160">
            <v>2126</v>
          </cell>
          <cell r="CZ160">
            <v>617.55900000000008</v>
          </cell>
          <cell r="DA160">
            <v>29.047930385700848</v>
          </cell>
          <cell r="DF160">
            <v>122</v>
          </cell>
          <cell r="DG160">
            <v>2516</v>
          </cell>
          <cell r="DH160">
            <v>736.58999999999992</v>
          </cell>
          <cell r="DI160">
            <v>29.276232114467405</v>
          </cell>
          <cell r="DN160">
            <v>128</v>
          </cell>
          <cell r="DO160">
            <v>2654</v>
          </cell>
          <cell r="DP160">
            <v>848.1629999999999</v>
          </cell>
          <cell r="DQ160">
            <v>31.957912584777691</v>
          </cell>
          <cell r="DV160">
            <v>104</v>
          </cell>
          <cell r="DW160">
            <v>2092</v>
          </cell>
          <cell r="DX160">
            <v>684.60500000000002</v>
          </cell>
          <cell r="DY160">
            <v>32.724904397705544</v>
          </cell>
        </row>
        <row r="161">
          <cell r="F161">
            <v>2500</v>
          </cell>
          <cell r="G161">
            <v>400</v>
          </cell>
          <cell r="H161">
            <v>156.57300000000001</v>
          </cell>
          <cell r="I161">
            <v>39.143250000000002</v>
          </cell>
          <cell r="N161">
            <v>150</v>
          </cell>
          <cell r="O161">
            <v>24</v>
          </cell>
          <cell r="P161">
            <v>2.0089999999999999</v>
          </cell>
          <cell r="T161">
            <v>150</v>
          </cell>
          <cell r="U161">
            <v>24</v>
          </cell>
          <cell r="V161">
            <v>3.3639999999999999</v>
          </cell>
          <cell r="Z161">
            <v>200</v>
          </cell>
          <cell r="AA161">
            <v>32</v>
          </cell>
          <cell r="AB161">
            <v>7.68</v>
          </cell>
          <cell r="AF161">
            <v>200</v>
          </cell>
          <cell r="AG161">
            <v>32</v>
          </cell>
          <cell r="AH161">
            <v>9.7089999999999996</v>
          </cell>
          <cell r="AL161">
            <v>200</v>
          </cell>
          <cell r="AM161">
            <v>32</v>
          </cell>
          <cell r="AN161">
            <v>11.867000000000001</v>
          </cell>
          <cell r="AR161">
            <v>200</v>
          </cell>
          <cell r="AS161">
            <v>32</v>
          </cell>
          <cell r="AT161">
            <v>13.491</v>
          </cell>
          <cell r="AX161">
            <v>1100</v>
          </cell>
          <cell r="AY161">
            <v>176</v>
          </cell>
          <cell r="AZ161">
            <v>48.12</v>
          </cell>
          <cell r="BA161">
            <v>27.340909090909086</v>
          </cell>
          <cell r="BF161">
            <v>300</v>
          </cell>
          <cell r="BG161">
            <v>48</v>
          </cell>
          <cell r="BH161">
            <v>21.582999999999998</v>
          </cell>
          <cell r="BL161">
            <v>200</v>
          </cell>
          <cell r="BM161">
            <v>32</v>
          </cell>
          <cell r="BN161">
            <v>14.843999999999999</v>
          </cell>
          <cell r="BR161">
            <v>200</v>
          </cell>
          <cell r="BS161">
            <v>32</v>
          </cell>
          <cell r="BT161">
            <v>15.617000000000001</v>
          </cell>
          <cell r="BX161">
            <v>300</v>
          </cell>
          <cell r="BY161">
            <v>48</v>
          </cell>
          <cell r="BZ161">
            <v>23.943000000000001</v>
          </cell>
          <cell r="CD161">
            <v>250</v>
          </cell>
          <cell r="CE161">
            <v>40</v>
          </cell>
          <cell r="CF161">
            <v>20.173999999999999</v>
          </cell>
          <cell r="CJ161">
            <v>150</v>
          </cell>
          <cell r="CK161">
            <v>24</v>
          </cell>
          <cell r="CL161">
            <v>12.292</v>
          </cell>
          <cell r="CP161">
            <v>1400</v>
          </cell>
          <cell r="CQ161">
            <v>224</v>
          </cell>
          <cell r="CR161">
            <v>108.453</v>
          </cell>
          <cell r="CS161">
            <v>48.416517857142857</v>
          </cell>
          <cell r="CX161">
            <v>500</v>
          </cell>
          <cell r="CY161">
            <v>80</v>
          </cell>
          <cell r="CZ161">
            <v>13.052999999999999</v>
          </cell>
          <cell r="DA161">
            <v>16.31625</v>
          </cell>
          <cell r="DF161">
            <v>600</v>
          </cell>
          <cell r="DG161">
            <v>96</v>
          </cell>
          <cell r="DH161">
            <v>35.067</v>
          </cell>
          <cell r="DI161">
            <v>36.528125000000003</v>
          </cell>
          <cell r="DN161">
            <v>700</v>
          </cell>
          <cell r="DO161">
            <v>112</v>
          </cell>
          <cell r="DP161">
            <v>52.043999999999997</v>
          </cell>
          <cell r="DQ161">
            <v>46.467857142857142</v>
          </cell>
          <cell r="DV161">
            <v>700</v>
          </cell>
          <cell r="DW161">
            <v>112</v>
          </cell>
          <cell r="DX161">
            <v>56.409000000000006</v>
          </cell>
          <cell r="DY161">
            <v>50.365178571428579</v>
          </cell>
        </row>
        <row r="162">
          <cell r="F162">
            <v>0</v>
          </cell>
          <cell r="G162">
            <v>0</v>
          </cell>
          <cell r="H162">
            <v>0</v>
          </cell>
          <cell r="I162">
            <v>0</v>
          </cell>
          <cell r="N162">
            <v>0</v>
          </cell>
          <cell r="O162">
            <v>0</v>
          </cell>
          <cell r="T162">
            <v>0</v>
          </cell>
          <cell r="U162">
            <v>0</v>
          </cell>
          <cell r="Z162">
            <v>0</v>
          </cell>
          <cell r="AA162">
            <v>0</v>
          </cell>
          <cell r="AF162">
            <v>0</v>
          </cell>
          <cell r="AG162">
            <v>0</v>
          </cell>
          <cell r="AL162">
            <v>0</v>
          </cell>
          <cell r="AM162">
            <v>0</v>
          </cell>
          <cell r="AR162">
            <v>0</v>
          </cell>
          <cell r="AS162">
            <v>0</v>
          </cell>
          <cell r="AX162">
            <v>0</v>
          </cell>
          <cell r="AY162">
            <v>0</v>
          </cell>
          <cell r="AZ162">
            <v>0</v>
          </cell>
          <cell r="BA162">
            <v>0</v>
          </cell>
          <cell r="BF162">
            <v>0</v>
          </cell>
          <cell r="BG162">
            <v>0</v>
          </cell>
          <cell r="BL162">
            <v>0</v>
          </cell>
          <cell r="BM162">
            <v>0</v>
          </cell>
          <cell r="BR162">
            <v>0</v>
          </cell>
          <cell r="BS162">
            <v>0</v>
          </cell>
          <cell r="BX162">
            <v>0</v>
          </cell>
          <cell r="BY162">
            <v>0</v>
          </cell>
          <cell r="CD162">
            <v>0</v>
          </cell>
          <cell r="CE162">
            <v>0</v>
          </cell>
          <cell r="CJ162">
            <v>0</v>
          </cell>
          <cell r="CK162">
            <v>0</v>
          </cell>
          <cell r="CP162">
            <v>0</v>
          </cell>
          <cell r="CQ162">
            <v>0</v>
          </cell>
          <cell r="CR162">
            <v>0</v>
          </cell>
          <cell r="CS162">
            <v>0</v>
          </cell>
          <cell r="CX162">
            <v>0</v>
          </cell>
          <cell r="CY162">
            <v>0</v>
          </cell>
          <cell r="CZ162">
            <v>0</v>
          </cell>
          <cell r="DA162">
            <v>0</v>
          </cell>
          <cell r="DF162">
            <v>0</v>
          </cell>
          <cell r="DG162">
            <v>0</v>
          </cell>
          <cell r="DH162">
            <v>0</v>
          </cell>
          <cell r="DI162">
            <v>0</v>
          </cell>
          <cell r="DN162">
            <v>0</v>
          </cell>
          <cell r="DO162">
            <v>0</v>
          </cell>
          <cell r="DP162">
            <v>0</v>
          </cell>
          <cell r="DQ162">
            <v>0</v>
          </cell>
          <cell r="DV162">
            <v>0</v>
          </cell>
          <cell r="DW162">
            <v>0</v>
          </cell>
          <cell r="DX162">
            <v>0</v>
          </cell>
          <cell r="DY162">
            <v>0</v>
          </cell>
        </row>
        <row r="163">
          <cell r="F163">
            <v>0</v>
          </cell>
          <cell r="G163">
            <v>0</v>
          </cell>
          <cell r="H163">
            <v>0</v>
          </cell>
          <cell r="I163">
            <v>0</v>
          </cell>
          <cell r="N163">
            <v>0</v>
          </cell>
          <cell r="O163">
            <v>0</v>
          </cell>
          <cell r="T163">
            <v>0</v>
          </cell>
          <cell r="U163">
            <v>0</v>
          </cell>
          <cell r="Z163">
            <v>0</v>
          </cell>
          <cell r="AA163">
            <v>0</v>
          </cell>
          <cell r="AF163">
            <v>0</v>
          </cell>
          <cell r="AG163">
            <v>0</v>
          </cell>
          <cell r="AL163">
            <v>0</v>
          </cell>
          <cell r="AM163">
            <v>0</v>
          </cell>
          <cell r="AR163">
            <v>0</v>
          </cell>
          <cell r="AS163">
            <v>0</v>
          </cell>
          <cell r="AX163">
            <v>0</v>
          </cell>
          <cell r="AY163">
            <v>0</v>
          </cell>
          <cell r="AZ163">
            <v>0</v>
          </cell>
          <cell r="BA163">
            <v>0</v>
          </cell>
          <cell r="BF163">
            <v>0</v>
          </cell>
          <cell r="BG163">
            <v>0</v>
          </cell>
          <cell r="BL163">
            <v>0</v>
          </cell>
          <cell r="BM163">
            <v>0</v>
          </cell>
          <cell r="BR163">
            <v>0</v>
          </cell>
          <cell r="BS163">
            <v>0</v>
          </cell>
          <cell r="BX163">
            <v>0</v>
          </cell>
          <cell r="BY163">
            <v>0</v>
          </cell>
          <cell r="CD163">
            <v>0</v>
          </cell>
          <cell r="CE163">
            <v>0</v>
          </cell>
          <cell r="CJ163">
            <v>0</v>
          </cell>
          <cell r="CK163">
            <v>0</v>
          </cell>
          <cell r="CP163">
            <v>0</v>
          </cell>
          <cell r="CQ163">
            <v>0</v>
          </cell>
          <cell r="CR163">
            <v>0</v>
          </cell>
          <cell r="CS163">
            <v>0</v>
          </cell>
          <cell r="CX163">
            <v>0</v>
          </cell>
          <cell r="CY163">
            <v>0</v>
          </cell>
          <cell r="CZ163">
            <v>0</v>
          </cell>
          <cell r="DA163">
            <v>0</v>
          </cell>
          <cell r="DF163">
            <v>0</v>
          </cell>
          <cell r="DG163">
            <v>0</v>
          </cell>
          <cell r="DH163">
            <v>0</v>
          </cell>
          <cell r="DI163">
            <v>0</v>
          </cell>
          <cell r="DN163">
            <v>0</v>
          </cell>
          <cell r="DO163">
            <v>0</v>
          </cell>
          <cell r="DP163">
            <v>0</v>
          </cell>
          <cell r="DQ163">
            <v>0</v>
          </cell>
          <cell r="DV163">
            <v>0</v>
          </cell>
          <cell r="DW163">
            <v>0</v>
          </cell>
          <cell r="DX163">
            <v>0</v>
          </cell>
          <cell r="DY163">
            <v>0</v>
          </cell>
        </row>
        <row r="164">
          <cell r="F164">
            <v>0</v>
          </cell>
          <cell r="G164">
            <v>0</v>
          </cell>
          <cell r="H164">
            <v>0</v>
          </cell>
          <cell r="I164">
            <v>0</v>
          </cell>
          <cell r="N164">
            <v>0</v>
          </cell>
          <cell r="O164">
            <v>0</v>
          </cell>
          <cell r="T164">
            <v>0</v>
          </cell>
          <cell r="U164">
            <v>0</v>
          </cell>
          <cell r="Z164">
            <v>0</v>
          </cell>
          <cell r="AA164">
            <v>0</v>
          </cell>
          <cell r="AF164">
            <v>0</v>
          </cell>
          <cell r="AG164">
            <v>0</v>
          </cell>
          <cell r="AL164">
            <v>0</v>
          </cell>
          <cell r="AM164">
            <v>0</v>
          </cell>
          <cell r="AR164">
            <v>0</v>
          </cell>
          <cell r="AS164">
            <v>0</v>
          </cell>
          <cell r="AX164">
            <v>0</v>
          </cell>
          <cell r="AY164">
            <v>0</v>
          </cell>
          <cell r="AZ164">
            <v>0</v>
          </cell>
          <cell r="BA164">
            <v>0</v>
          </cell>
          <cell r="BF164">
            <v>0</v>
          </cell>
          <cell r="BG164">
            <v>0</v>
          </cell>
          <cell r="BL164">
            <v>0</v>
          </cell>
          <cell r="BM164">
            <v>0</v>
          </cell>
          <cell r="BR164">
            <v>0</v>
          </cell>
          <cell r="BS164">
            <v>0</v>
          </cell>
          <cell r="BX164">
            <v>0</v>
          </cell>
          <cell r="BY164">
            <v>0</v>
          </cell>
          <cell r="CD164">
            <v>0</v>
          </cell>
          <cell r="CE164">
            <v>0</v>
          </cell>
          <cell r="CJ164">
            <v>0</v>
          </cell>
          <cell r="CK164">
            <v>0</v>
          </cell>
          <cell r="CP164">
            <v>0</v>
          </cell>
          <cell r="CQ164">
            <v>0</v>
          </cell>
          <cell r="CR164">
            <v>0</v>
          </cell>
          <cell r="CS164">
            <v>0</v>
          </cell>
          <cell r="CX164">
            <v>0</v>
          </cell>
          <cell r="CY164">
            <v>0</v>
          </cell>
          <cell r="CZ164">
            <v>0</v>
          </cell>
          <cell r="DA164">
            <v>0</v>
          </cell>
          <cell r="DF164">
            <v>0</v>
          </cell>
          <cell r="DG164">
            <v>0</v>
          </cell>
          <cell r="DH164">
            <v>0</v>
          </cell>
          <cell r="DI164">
            <v>0</v>
          </cell>
          <cell r="DN164">
            <v>0</v>
          </cell>
          <cell r="DO164">
            <v>0</v>
          </cell>
          <cell r="DP164">
            <v>0</v>
          </cell>
          <cell r="DQ164">
            <v>0</v>
          </cell>
          <cell r="DV164">
            <v>0</v>
          </cell>
          <cell r="DW164">
            <v>0</v>
          </cell>
          <cell r="DX164">
            <v>0</v>
          </cell>
          <cell r="DY164">
            <v>0</v>
          </cell>
        </row>
        <row r="165">
          <cell r="F165">
            <v>0</v>
          </cell>
          <cell r="G165">
            <v>0</v>
          </cell>
          <cell r="H165">
            <v>0</v>
          </cell>
          <cell r="I165">
            <v>0</v>
          </cell>
          <cell r="N165">
            <v>0</v>
          </cell>
          <cell r="O165">
            <v>0</v>
          </cell>
          <cell r="T165">
            <v>0</v>
          </cell>
          <cell r="U165">
            <v>0</v>
          </cell>
          <cell r="Z165">
            <v>0</v>
          </cell>
          <cell r="AA165">
            <v>0</v>
          </cell>
          <cell r="AF165">
            <v>0</v>
          </cell>
          <cell r="AG165">
            <v>0</v>
          </cell>
          <cell r="AL165">
            <v>0</v>
          </cell>
          <cell r="AM165">
            <v>0</v>
          </cell>
          <cell r="AR165">
            <v>0</v>
          </cell>
          <cell r="AS165">
            <v>0</v>
          </cell>
          <cell r="AX165">
            <v>0</v>
          </cell>
          <cell r="AY165">
            <v>0</v>
          </cell>
          <cell r="AZ165">
            <v>0</v>
          </cell>
          <cell r="BA165">
            <v>0</v>
          </cell>
          <cell r="BF165">
            <v>0</v>
          </cell>
          <cell r="BG165">
            <v>0</v>
          </cell>
          <cell r="BL165">
            <v>0</v>
          </cell>
          <cell r="BM165">
            <v>0</v>
          </cell>
          <cell r="BR165">
            <v>0</v>
          </cell>
          <cell r="BS165">
            <v>0</v>
          </cell>
          <cell r="BX165">
            <v>0</v>
          </cell>
          <cell r="BY165">
            <v>0</v>
          </cell>
          <cell r="CD165">
            <v>0</v>
          </cell>
          <cell r="CE165">
            <v>0</v>
          </cell>
          <cell r="CJ165">
            <v>0</v>
          </cell>
          <cell r="CK165">
            <v>0</v>
          </cell>
          <cell r="CP165">
            <v>0</v>
          </cell>
          <cell r="CQ165">
            <v>0</v>
          </cell>
          <cell r="CR165">
            <v>0</v>
          </cell>
          <cell r="CS165">
            <v>0</v>
          </cell>
          <cell r="CX165">
            <v>0</v>
          </cell>
          <cell r="CY165">
            <v>0</v>
          </cell>
          <cell r="CZ165">
            <v>0</v>
          </cell>
          <cell r="DA165">
            <v>0</v>
          </cell>
          <cell r="DF165">
            <v>0</v>
          </cell>
          <cell r="DG165">
            <v>0</v>
          </cell>
          <cell r="DH165">
            <v>0</v>
          </cell>
          <cell r="DI165">
            <v>0</v>
          </cell>
          <cell r="DN165">
            <v>0</v>
          </cell>
          <cell r="DO165">
            <v>0</v>
          </cell>
          <cell r="DP165">
            <v>0</v>
          </cell>
          <cell r="DQ165">
            <v>0</v>
          </cell>
          <cell r="DV165">
            <v>0</v>
          </cell>
          <cell r="DW165">
            <v>0</v>
          </cell>
          <cell r="DX165">
            <v>0</v>
          </cell>
          <cell r="DY165">
            <v>0</v>
          </cell>
        </row>
        <row r="166">
          <cell r="F166">
            <v>0</v>
          </cell>
          <cell r="G166">
            <v>0</v>
          </cell>
          <cell r="H166">
            <v>0</v>
          </cell>
          <cell r="I166">
            <v>0</v>
          </cell>
          <cell r="N166">
            <v>0</v>
          </cell>
          <cell r="O166">
            <v>0</v>
          </cell>
          <cell r="T166">
            <v>0</v>
          </cell>
          <cell r="U166">
            <v>0</v>
          </cell>
          <cell r="Z166">
            <v>0</v>
          </cell>
          <cell r="AA166">
            <v>0</v>
          </cell>
          <cell r="AF166">
            <v>0</v>
          </cell>
          <cell r="AG166">
            <v>0</v>
          </cell>
          <cell r="AL166">
            <v>0</v>
          </cell>
          <cell r="AM166">
            <v>0</v>
          </cell>
          <cell r="AR166">
            <v>0</v>
          </cell>
          <cell r="AS166">
            <v>0</v>
          </cell>
          <cell r="AX166">
            <v>0</v>
          </cell>
          <cell r="AY166">
            <v>0</v>
          </cell>
          <cell r="AZ166">
            <v>0</v>
          </cell>
          <cell r="BA166">
            <v>0</v>
          </cell>
          <cell r="BF166">
            <v>0</v>
          </cell>
          <cell r="BG166">
            <v>0</v>
          </cell>
          <cell r="BL166">
            <v>0</v>
          </cell>
          <cell r="BM166">
            <v>0</v>
          </cell>
          <cell r="BR166">
            <v>0</v>
          </cell>
          <cell r="BS166">
            <v>0</v>
          </cell>
          <cell r="BX166">
            <v>0</v>
          </cell>
          <cell r="BY166">
            <v>0</v>
          </cell>
          <cell r="CD166">
            <v>0</v>
          </cell>
          <cell r="CE166">
            <v>0</v>
          </cell>
          <cell r="CJ166">
            <v>0</v>
          </cell>
          <cell r="CK166">
            <v>0</v>
          </cell>
          <cell r="CP166">
            <v>0</v>
          </cell>
          <cell r="CQ166">
            <v>0</v>
          </cell>
          <cell r="CR166">
            <v>0</v>
          </cell>
          <cell r="CS166">
            <v>0</v>
          </cell>
          <cell r="CX166">
            <v>0</v>
          </cell>
          <cell r="CY166">
            <v>0</v>
          </cell>
          <cell r="CZ166">
            <v>0</v>
          </cell>
          <cell r="DA166">
            <v>0</v>
          </cell>
          <cell r="DF166">
            <v>0</v>
          </cell>
          <cell r="DG166">
            <v>0</v>
          </cell>
          <cell r="DH166">
            <v>0</v>
          </cell>
          <cell r="DI166">
            <v>0</v>
          </cell>
          <cell r="DN166">
            <v>0</v>
          </cell>
          <cell r="DO166">
            <v>0</v>
          </cell>
          <cell r="DP166">
            <v>0</v>
          </cell>
          <cell r="DQ166">
            <v>0</v>
          </cell>
          <cell r="DV166">
            <v>0</v>
          </cell>
          <cell r="DW166">
            <v>0</v>
          </cell>
          <cell r="DX166">
            <v>0</v>
          </cell>
          <cell r="DY166">
            <v>0</v>
          </cell>
        </row>
        <row r="167">
          <cell r="F167">
            <v>0</v>
          </cell>
          <cell r="G167">
            <v>0</v>
          </cell>
          <cell r="H167">
            <v>0</v>
          </cell>
          <cell r="I167">
            <v>0</v>
          </cell>
          <cell r="N167">
            <v>0</v>
          </cell>
          <cell r="O167">
            <v>0</v>
          </cell>
          <cell r="T167">
            <v>0</v>
          </cell>
          <cell r="U167">
            <v>0</v>
          </cell>
          <cell r="Z167">
            <v>0</v>
          </cell>
          <cell r="AA167">
            <v>0</v>
          </cell>
          <cell r="AF167">
            <v>0</v>
          </cell>
          <cell r="AG167">
            <v>0</v>
          </cell>
          <cell r="AL167">
            <v>0</v>
          </cell>
          <cell r="AM167">
            <v>0</v>
          </cell>
          <cell r="AR167">
            <v>0</v>
          </cell>
          <cell r="AS167">
            <v>0</v>
          </cell>
          <cell r="AX167">
            <v>0</v>
          </cell>
          <cell r="AY167">
            <v>0</v>
          </cell>
          <cell r="AZ167">
            <v>0</v>
          </cell>
          <cell r="BA167">
            <v>0</v>
          </cell>
          <cell r="BF167">
            <v>0</v>
          </cell>
          <cell r="BG167">
            <v>0</v>
          </cell>
          <cell r="BL167">
            <v>0</v>
          </cell>
          <cell r="BM167">
            <v>0</v>
          </cell>
          <cell r="BR167">
            <v>0</v>
          </cell>
          <cell r="BS167">
            <v>0</v>
          </cell>
          <cell r="BX167">
            <v>0</v>
          </cell>
          <cell r="BY167">
            <v>0</v>
          </cell>
          <cell r="CD167">
            <v>0</v>
          </cell>
          <cell r="CE167">
            <v>0</v>
          </cell>
          <cell r="CJ167">
            <v>0</v>
          </cell>
          <cell r="CK167">
            <v>0</v>
          </cell>
          <cell r="CP167">
            <v>0</v>
          </cell>
          <cell r="CQ167">
            <v>0</v>
          </cell>
          <cell r="CR167">
            <v>0</v>
          </cell>
          <cell r="CS167">
            <v>0</v>
          </cell>
          <cell r="CX167">
            <v>0</v>
          </cell>
          <cell r="CY167">
            <v>0</v>
          </cell>
          <cell r="CZ167">
            <v>0</v>
          </cell>
          <cell r="DA167">
            <v>0</v>
          </cell>
          <cell r="DF167">
            <v>0</v>
          </cell>
          <cell r="DG167">
            <v>0</v>
          </cell>
          <cell r="DH167">
            <v>0</v>
          </cell>
          <cell r="DI167">
            <v>0</v>
          </cell>
          <cell r="DN167">
            <v>0</v>
          </cell>
          <cell r="DO167">
            <v>0</v>
          </cell>
          <cell r="DP167">
            <v>0</v>
          </cell>
          <cell r="DQ167">
            <v>0</v>
          </cell>
          <cell r="DV167">
            <v>0</v>
          </cell>
          <cell r="DW167">
            <v>0</v>
          </cell>
          <cell r="DX167">
            <v>0</v>
          </cell>
          <cell r="DY167">
            <v>0</v>
          </cell>
        </row>
        <row r="168">
          <cell r="F168">
            <v>4500</v>
          </cell>
          <cell r="G168">
            <v>362</v>
          </cell>
          <cell r="H168">
            <v>108.08</v>
          </cell>
          <cell r="I168">
            <v>29.856353591160222</v>
          </cell>
          <cell r="N168">
            <v>300</v>
          </cell>
          <cell r="O168">
            <v>24</v>
          </cell>
          <cell r="P168">
            <v>-2.8580000000000001</v>
          </cell>
          <cell r="T168">
            <v>300</v>
          </cell>
          <cell r="U168">
            <v>24</v>
          </cell>
          <cell r="V168">
            <v>1.5820000000000001</v>
          </cell>
          <cell r="Z168">
            <v>350</v>
          </cell>
          <cell r="AA168">
            <v>28</v>
          </cell>
          <cell r="AB168">
            <v>4.8719999999999999</v>
          </cell>
          <cell r="AF168">
            <v>350</v>
          </cell>
          <cell r="AG168">
            <v>28</v>
          </cell>
          <cell r="AH168">
            <v>6.657</v>
          </cell>
          <cell r="AL168">
            <v>400</v>
          </cell>
          <cell r="AM168">
            <v>32</v>
          </cell>
          <cell r="AN168">
            <v>9.5220000000000002</v>
          </cell>
          <cell r="AR168">
            <v>400</v>
          </cell>
          <cell r="AS168">
            <v>32</v>
          </cell>
          <cell r="AT168">
            <v>10.752000000000001</v>
          </cell>
          <cell r="AX168">
            <v>2100</v>
          </cell>
          <cell r="AY168">
            <v>168</v>
          </cell>
          <cell r="AZ168">
            <v>30.526999999999997</v>
          </cell>
          <cell r="BA168">
            <v>18.170833333333331</v>
          </cell>
          <cell r="BF168">
            <v>420</v>
          </cell>
          <cell r="BG168">
            <v>34</v>
          </cell>
          <cell r="BH168">
            <v>12.677</v>
          </cell>
          <cell r="BL168">
            <v>370</v>
          </cell>
          <cell r="BM168">
            <v>30</v>
          </cell>
          <cell r="BN168">
            <v>11.519</v>
          </cell>
          <cell r="BR168">
            <v>370</v>
          </cell>
          <cell r="BS168">
            <v>30</v>
          </cell>
          <cell r="BT168">
            <v>12.096</v>
          </cell>
          <cell r="BX168">
            <v>470</v>
          </cell>
          <cell r="BY168">
            <v>38</v>
          </cell>
          <cell r="BZ168">
            <v>15.557</v>
          </cell>
          <cell r="CD168">
            <v>420</v>
          </cell>
          <cell r="CE168">
            <v>34</v>
          </cell>
          <cell r="CF168">
            <v>14.108000000000001</v>
          </cell>
          <cell r="CJ168">
            <v>350</v>
          </cell>
          <cell r="CK168">
            <v>28</v>
          </cell>
          <cell r="CL168">
            <v>11.596</v>
          </cell>
          <cell r="CP168">
            <v>2400</v>
          </cell>
          <cell r="CQ168">
            <v>194</v>
          </cell>
          <cell r="CR168">
            <v>77.552999999999997</v>
          </cell>
          <cell r="CS168">
            <v>39.975773195876286</v>
          </cell>
          <cell r="CX168">
            <v>950</v>
          </cell>
          <cell r="CY168">
            <v>76</v>
          </cell>
          <cell r="CZ168">
            <v>3.5960000000000001</v>
          </cell>
          <cell r="DA168">
            <v>4.7315789473684218</v>
          </cell>
          <cell r="DF168">
            <v>1150</v>
          </cell>
          <cell r="DG168">
            <v>92</v>
          </cell>
          <cell r="DH168">
            <v>26.931000000000004</v>
          </cell>
          <cell r="DI168">
            <v>29.272826086956528</v>
          </cell>
          <cell r="DN168">
            <v>1160</v>
          </cell>
          <cell r="DO168">
            <v>94</v>
          </cell>
          <cell r="DP168">
            <v>36.292000000000002</v>
          </cell>
          <cell r="DQ168">
            <v>38.608510638297872</v>
          </cell>
          <cell r="DV168">
            <v>1240</v>
          </cell>
          <cell r="DW168">
            <v>100</v>
          </cell>
          <cell r="DX168">
            <v>41.260999999999996</v>
          </cell>
          <cell r="DY168">
            <v>41.260999999999996</v>
          </cell>
        </row>
        <row r="169">
          <cell r="F169">
            <v>1000</v>
          </cell>
          <cell r="G169">
            <v>152</v>
          </cell>
          <cell r="H169">
            <v>67.215000000000003</v>
          </cell>
          <cell r="I169">
            <v>44.220394736842103</v>
          </cell>
          <cell r="N169">
            <v>50</v>
          </cell>
          <cell r="O169">
            <v>8</v>
          </cell>
          <cell r="P169">
            <v>1.2769999999999999</v>
          </cell>
          <cell r="T169">
            <v>80</v>
          </cell>
          <cell r="U169">
            <v>12</v>
          </cell>
          <cell r="V169">
            <v>2.4830000000000001</v>
          </cell>
          <cell r="Z169">
            <v>90</v>
          </cell>
          <cell r="AA169">
            <v>14</v>
          </cell>
          <cell r="AB169">
            <v>5.0149999999999997</v>
          </cell>
          <cell r="AF169">
            <v>100</v>
          </cell>
          <cell r="AG169">
            <v>15</v>
          </cell>
          <cell r="AH169">
            <v>5.9349999999999996</v>
          </cell>
          <cell r="AL169">
            <v>100</v>
          </cell>
          <cell r="AM169">
            <v>15</v>
          </cell>
          <cell r="AN169">
            <v>6.7350000000000003</v>
          </cell>
          <cell r="AR169">
            <v>100</v>
          </cell>
          <cell r="AS169">
            <v>15</v>
          </cell>
          <cell r="AT169">
            <v>7.2590000000000003</v>
          </cell>
          <cell r="AX169">
            <v>520</v>
          </cell>
          <cell r="AY169">
            <v>79</v>
          </cell>
          <cell r="AZ169">
            <v>28.704000000000001</v>
          </cell>
          <cell r="BA169">
            <v>36.334177215189875</v>
          </cell>
          <cell r="BF169">
            <v>120</v>
          </cell>
          <cell r="BG169">
            <v>18</v>
          </cell>
          <cell r="BH169">
            <v>8.9749999999999996</v>
          </cell>
          <cell r="BL169">
            <v>60</v>
          </cell>
          <cell r="BM169">
            <v>9</v>
          </cell>
          <cell r="BN169">
            <v>4.5810000000000004</v>
          </cell>
          <cell r="BR169">
            <v>60</v>
          </cell>
          <cell r="BS169">
            <v>9</v>
          </cell>
          <cell r="BT169">
            <v>4.734</v>
          </cell>
          <cell r="BX169">
            <v>100</v>
          </cell>
          <cell r="BY169">
            <v>15</v>
          </cell>
          <cell r="BZ169">
            <v>7.9740000000000002</v>
          </cell>
          <cell r="CD169">
            <v>90</v>
          </cell>
          <cell r="CE169">
            <v>14</v>
          </cell>
          <cell r="CF169">
            <v>7.71</v>
          </cell>
          <cell r="CJ169">
            <v>50</v>
          </cell>
          <cell r="CK169">
            <v>8</v>
          </cell>
          <cell r="CL169">
            <v>4.5369999999999999</v>
          </cell>
          <cell r="CP169">
            <v>480</v>
          </cell>
          <cell r="CQ169">
            <v>73</v>
          </cell>
          <cell r="CR169">
            <v>38.510999999999996</v>
          </cell>
          <cell r="CS169">
            <v>52.754794520547946</v>
          </cell>
          <cell r="CX169">
            <v>220</v>
          </cell>
          <cell r="CY169">
            <v>34</v>
          </cell>
          <cell r="CZ169">
            <v>8.7749999999999986</v>
          </cell>
          <cell r="DA169">
            <v>25.808823529411761</v>
          </cell>
          <cell r="DF169">
            <v>300</v>
          </cell>
          <cell r="DG169">
            <v>45</v>
          </cell>
          <cell r="DH169">
            <v>19.929000000000002</v>
          </cell>
          <cell r="DI169">
            <v>44.286666666666669</v>
          </cell>
          <cell r="DN169">
            <v>240</v>
          </cell>
          <cell r="DO169">
            <v>36</v>
          </cell>
          <cell r="DP169">
            <v>18.29</v>
          </cell>
          <cell r="DQ169">
            <v>50.80555555555555</v>
          </cell>
          <cell r="DV169">
            <v>240</v>
          </cell>
          <cell r="DW169">
            <v>37</v>
          </cell>
          <cell r="DX169">
            <v>20.221</v>
          </cell>
          <cell r="DY169">
            <v>54.651351351351352</v>
          </cell>
        </row>
        <row r="170">
          <cell r="F170">
            <v>1000</v>
          </cell>
          <cell r="G170">
            <v>453</v>
          </cell>
          <cell r="H170">
            <v>278.44</v>
          </cell>
          <cell r="I170">
            <v>61.46578366445916</v>
          </cell>
          <cell r="N170">
            <v>50</v>
          </cell>
          <cell r="O170">
            <v>23</v>
          </cell>
          <cell r="P170">
            <v>0.23200000000000001</v>
          </cell>
          <cell r="T170">
            <v>70</v>
          </cell>
          <cell r="U170">
            <v>32</v>
          </cell>
          <cell r="V170">
            <v>11.78</v>
          </cell>
          <cell r="Z170">
            <v>90</v>
          </cell>
          <cell r="AA170">
            <v>41</v>
          </cell>
          <cell r="AB170">
            <v>21.295000000000002</v>
          </cell>
          <cell r="AF170">
            <v>100</v>
          </cell>
          <cell r="AG170">
            <v>45</v>
          </cell>
          <cell r="AH170">
            <v>27.097000000000001</v>
          </cell>
          <cell r="AL170">
            <v>100</v>
          </cell>
          <cell r="AM170">
            <v>45</v>
          </cell>
          <cell r="AN170">
            <v>29.405999999999999</v>
          </cell>
          <cell r="AR170">
            <v>100</v>
          </cell>
          <cell r="AS170">
            <v>45</v>
          </cell>
          <cell r="AT170">
            <v>30.568000000000001</v>
          </cell>
          <cell r="AX170">
            <v>510</v>
          </cell>
          <cell r="AY170">
            <v>231</v>
          </cell>
          <cell r="AZ170">
            <v>120.378</v>
          </cell>
          <cell r="BA170">
            <v>52.111688311688312</v>
          </cell>
          <cell r="BF170">
            <v>110</v>
          </cell>
          <cell r="BG170">
            <v>50</v>
          </cell>
          <cell r="BH170">
            <v>34.86</v>
          </cell>
          <cell r="BL170">
            <v>60</v>
          </cell>
          <cell r="BM170">
            <v>27</v>
          </cell>
          <cell r="BN170">
            <v>18.933</v>
          </cell>
          <cell r="BR170">
            <v>60</v>
          </cell>
          <cell r="BS170">
            <v>27</v>
          </cell>
          <cell r="BT170">
            <v>19.254999999999999</v>
          </cell>
          <cell r="BX170">
            <v>110</v>
          </cell>
          <cell r="BY170">
            <v>50</v>
          </cell>
          <cell r="BZ170">
            <v>35.96</v>
          </cell>
          <cell r="CD170">
            <v>90</v>
          </cell>
          <cell r="CE170">
            <v>41</v>
          </cell>
          <cell r="CF170">
            <v>29.591999999999999</v>
          </cell>
          <cell r="CJ170">
            <v>60</v>
          </cell>
          <cell r="CK170">
            <v>27</v>
          </cell>
          <cell r="CL170">
            <v>19.462</v>
          </cell>
          <cell r="CP170">
            <v>490</v>
          </cell>
          <cell r="CQ170">
            <v>222</v>
          </cell>
          <cell r="CR170">
            <v>158.06200000000001</v>
          </cell>
          <cell r="CS170">
            <v>71.199099099099101</v>
          </cell>
          <cell r="CX170">
            <v>210</v>
          </cell>
          <cell r="CY170">
            <v>96</v>
          </cell>
          <cell r="CZ170">
            <v>33.307000000000002</v>
          </cell>
          <cell r="DA170">
            <v>34.694791666666667</v>
          </cell>
          <cell r="DF170">
            <v>300</v>
          </cell>
          <cell r="DG170">
            <v>135</v>
          </cell>
          <cell r="DH170">
            <v>87.070999999999998</v>
          </cell>
          <cell r="DI170">
            <v>64.497037037037032</v>
          </cell>
          <cell r="DN170">
            <v>230</v>
          </cell>
          <cell r="DO170">
            <v>104</v>
          </cell>
          <cell r="DP170">
            <v>73.048000000000002</v>
          </cell>
          <cell r="DQ170">
            <v>70.238461538461536</v>
          </cell>
          <cell r="DV170">
            <v>260</v>
          </cell>
          <cell r="DW170">
            <v>118</v>
          </cell>
          <cell r="DX170">
            <v>85.013999999999996</v>
          </cell>
          <cell r="DY170">
            <v>72.045762711864398</v>
          </cell>
        </row>
        <row r="171">
          <cell r="F171">
            <v>500</v>
          </cell>
          <cell r="G171">
            <v>300</v>
          </cell>
          <cell r="H171">
            <v>140.85399999999998</v>
          </cell>
          <cell r="I171">
            <v>46.951333333333331</v>
          </cell>
          <cell r="N171">
            <v>0</v>
          </cell>
          <cell r="O171">
            <v>0</v>
          </cell>
          <cell r="P171">
            <v>0</v>
          </cell>
          <cell r="T171">
            <v>0</v>
          </cell>
          <cell r="U171">
            <v>0</v>
          </cell>
          <cell r="V171">
            <v>0</v>
          </cell>
          <cell r="Z171">
            <v>0</v>
          </cell>
          <cell r="AA171">
            <v>0</v>
          </cell>
          <cell r="AB171">
            <v>0</v>
          </cell>
          <cell r="AF171">
            <v>20</v>
          </cell>
          <cell r="AG171">
            <v>12</v>
          </cell>
          <cell r="AH171">
            <v>5.3150000000000004</v>
          </cell>
          <cell r="AL171">
            <v>30</v>
          </cell>
          <cell r="AM171">
            <v>18</v>
          </cell>
          <cell r="AN171">
            <v>8.2309999999999999</v>
          </cell>
          <cell r="AR171">
            <v>50</v>
          </cell>
          <cell r="AS171">
            <v>30</v>
          </cell>
          <cell r="AT171">
            <v>13.891</v>
          </cell>
          <cell r="AX171">
            <v>100</v>
          </cell>
          <cell r="AY171">
            <v>60</v>
          </cell>
          <cell r="AZ171">
            <v>27.437000000000001</v>
          </cell>
          <cell r="BA171">
            <v>45.728333333333339</v>
          </cell>
          <cell r="BF171">
            <v>80</v>
          </cell>
          <cell r="BG171">
            <v>48</v>
          </cell>
          <cell r="BH171">
            <v>22.431000000000001</v>
          </cell>
          <cell r="BL171">
            <v>50</v>
          </cell>
          <cell r="BM171">
            <v>30</v>
          </cell>
          <cell r="BN171">
            <v>14.045999999999999</v>
          </cell>
          <cell r="BR171">
            <v>60</v>
          </cell>
          <cell r="BS171">
            <v>36</v>
          </cell>
          <cell r="BT171">
            <v>17.015000000000001</v>
          </cell>
          <cell r="BX171">
            <v>90</v>
          </cell>
          <cell r="BY171">
            <v>54</v>
          </cell>
          <cell r="BZ171">
            <v>25.631</v>
          </cell>
          <cell r="CD171">
            <v>80</v>
          </cell>
          <cell r="CE171">
            <v>48</v>
          </cell>
          <cell r="CF171">
            <v>22.834</v>
          </cell>
          <cell r="CJ171">
            <v>40</v>
          </cell>
          <cell r="CK171">
            <v>24</v>
          </cell>
          <cell r="CL171">
            <v>11.46</v>
          </cell>
          <cell r="CP171">
            <v>400</v>
          </cell>
          <cell r="CQ171">
            <v>240</v>
          </cell>
          <cell r="CR171">
            <v>113.41699999999999</v>
          </cell>
          <cell r="CS171">
            <v>47.257083333333327</v>
          </cell>
          <cell r="CX171">
            <v>0</v>
          </cell>
          <cell r="CY171">
            <v>0</v>
          </cell>
          <cell r="CZ171">
            <v>0</v>
          </cell>
          <cell r="DA171">
            <v>0</v>
          </cell>
          <cell r="DF171">
            <v>100</v>
          </cell>
          <cell r="DG171">
            <v>60</v>
          </cell>
          <cell r="DH171">
            <v>27.436999999999998</v>
          </cell>
          <cell r="DI171">
            <v>45.728333333333332</v>
          </cell>
          <cell r="DN171">
            <v>190</v>
          </cell>
          <cell r="DO171">
            <v>114</v>
          </cell>
          <cell r="DP171">
            <v>53.492000000000004</v>
          </cell>
          <cell r="DQ171">
            <v>46.922807017543867</v>
          </cell>
          <cell r="DV171">
            <v>210</v>
          </cell>
          <cell r="DW171">
            <v>126</v>
          </cell>
          <cell r="DX171">
            <v>59.925000000000004</v>
          </cell>
          <cell r="DY171">
            <v>47.55952380952381</v>
          </cell>
        </row>
        <row r="172">
          <cell r="F172">
            <v>0</v>
          </cell>
          <cell r="G172">
            <v>0</v>
          </cell>
          <cell r="H172">
            <v>0</v>
          </cell>
          <cell r="I172">
            <v>0</v>
          </cell>
          <cell r="N172">
            <v>0</v>
          </cell>
          <cell r="O172">
            <v>0</v>
          </cell>
          <cell r="T172">
            <v>0</v>
          </cell>
          <cell r="U172">
            <v>0</v>
          </cell>
          <cell r="Z172">
            <v>0</v>
          </cell>
          <cell r="AA172">
            <v>0</v>
          </cell>
          <cell r="AF172">
            <v>0</v>
          </cell>
          <cell r="AG172">
            <v>0</v>
          </cell>
          <cell r="AL172">
            <v>0</v>
          </cell>
          <cell r="AM172">
            <v>0</v>
          </cell>
          <cell r="AR172">
            <v>0</v>
          </cell>
          <cell r="AS172">
            <v>0</v>
          </cell>
          <cell r="AX172">
            <v>0</v>
          </cell>
          <cell r="AY172">
            <v>0</v>
          </cell>
          <cell r="AZ172">
            <v>0</v>
          </cell>
          <cell r="BA172">
            <v>0</v>
          </cell>
          <cell r="BF172">
            <v>0</v>
          </cell>
          <cell r="BG172">
            <v>0</v>
          </cell>
          <cell r="BL172">
            <v>0</v>
          </cell>
          <cell r="BM172">
            <v>0</v>
          </cell>
          <cell r="BR172">
            <v>0</v>
          </cell>
          <cell r="BS172">
            <v>0</v>
          </cell>
          <cell r="BX172">
            <v>0</v>
          </cell>
          <cell r="BY172">
            <v>0</v>
          </cell>
          <cell r="CD172">
            <v>0</v>
          </cell>
          <cell r="CE172">
            <v>0</v>
          </cell>
          <cell r="CJ172">
            <v>0</v>
          </cell>
          <cell r="CK172">
            <v>0</v>
          </cell>
          <cell r="CP172">
            <v>0</v>
          </cell>
          <cell r="CQ172">
            <v>0</v>
          </cell>
          <cell r="CR172">
            <v>0</v>
          </cell>
          <cell r="CS172">
            <v>0</v>
          </cell>
          <cell r="CX172">
            <v>0</v>
          </cell>
          <cell r="CY172">
            <v>0</v>
          </cell>
          <cell r="CZ172">
            <v>0</v>
          </cell>
          <cell r="DA172">
            <v>0</v>
          </cell>
          <cell r="DF172">
            <v>0</v>
          </cell>
          <cell r="DG172">
            <v>0</v>
          </cell>
          <cell r="DH172">
            <v>0</v>
          </cell>
          <cell r="DI172">
            <v>0</v>
          </cell>
          <cell r="DN172">
            <v>0</v>
          </cell>
          <cell r="DO172">
            <v>0</v>
          </cell>
          <cell r="DP172">
            <v>0</v>
          </cell>
          <cell r="DQ172">
            <v>0</v>
          </cell>
          <cell r="DV172">
            <v>0</v>
          </cell>
          <cell r="DW172">
            <v>0</v>
          </cell>
          <cell r="DX172">
            <v>0</v>
          </cell>
          <cell r="DY172">
            <v>0</v>
          </cell>
        </row>
        <row r="173">
          <cell r="F173">
            <v>0</v>
          </cell>
          <cell r="G173">
            <v>0</v>
          </cell>
          <cell r="H173">
            <v>0</v>
          </cell>
          <cell r="I173">
            <v>0</v>
          </cell>
          <cell r="N173">
            <v>0</v>
          </cell>
          <cell r="O173">
            <v>0</v>
          </cell>
          <cell r="T173">
            <v>0</v>
          </cell>
          <cell r="U173">
            <v>0</v>
          </cell>
          <cell r="Z173">
            <v>0</v>
          </cell>
          <cell r="AA173">
            <v>0</v>
          </cell>
          <cell r="AF173">
            <v>0</v>
          </cell>
          <cell r="AG173">
            <v>0</v>
          </cell>
          <cell r="AL173">
            <v>0</v>
          </cell>
          <cell r="AM173">
            <v>0</v>
          </cell>
          <cell r="AR173">
            <v>0</v>
          </cell>
          <cell r="AS173">
            <v>0</v>
          </cell>
          <cell r="AX173">
            <v>0</v>
          </cell>
          <cell r="AY173">
            <v>0</v>
          </cell>
          <cell r="AZ173">
            <v>0</v>
          </cell>
          <cell r="BA173">
            <v>0</v>
          </cell>
          <cell r="BF173">
            <v>0</v>
          </cell>
          <cell r="BG173">
            <v>0</v>
          </cell>
          <cell r="BL173">
            <v>0</v>
          </cell>
          <cell r="BM173">
            <v>0</v>
          </cell>
          <cell r="BR173">
            <v>0</v>
          </cell>
          <cell r="BS173">
            <v>0</v>
          </cell>
          <cell r="BX173">
            <v>0</v>
          </cell>
          <cell r="BY173">
            <v>0</v>
          </cell>
          <cell r="CD173">
            <v>0</v>
          </cell>
          <cell r="CE173">
            <v>0</v>
          </cell>
          <cell r="CJ173">
            <v>0</v>
          </cell>
          <cell r="CK173">
            <v>0</v>
          </cell>
          <cell r="CP173">
            <v>0</v>
          </cell>
          <cell r="CQ173">
            <v>0</v>
          </cell>
          <cell r="CR173">
            <v>0</v>
          </cell>
          <cell r="CS173">
            <v>0</v>
          </cell>
          <cell r="CX173">
            <v>0</v>
          </cell>
          <cell r="CY173">
            <v>0</v>
          </cell>
          <cell r="CZ173">
            <v>0</v>
          </cell>
          <cell r="DA173">
            <v>0</v>
          </cell>
          <cell r="DF173">
            <v>0</v>
          </cell>
          <cell r="DG173">
            <v>0</v>
          </cell>
          <cell r="DH173">
            <v>0</v>
          </cell>
          <cell r="DI173">
            <v>0</v>
          </cell>
          <cell r="DN173">
            <v>0</v>
          </cell>
          <cell r="DO173">
            <v>0</v>
          </cell>
          <cell r="DP173">
            <v>0</v>
          </cell>
          <cell r="DQ173">
            <v>0</v>
          </cell>
          <cell r="DV173">
            <v>0</v>
          </cell>
          <cell r="DW173">
            <v>0</v>
          </cell>
          <cell r="DX173">
            <v>0</v>
          </cell>
          <cell r="DY173">
            <v>0</v>
          </cell>
        </row>
        <row r="174">
          <cell r="F174">
            <v>9500</v>
          </cell>
          <cell r="G174">
            <v>1667</v>
          </cell>
          <cell r="H174">
            <v>751.16200000000003</v>
          </cell>
          <cell r="I174">
            <v>45.060707858428316</v>
          </cell>
          <cell r="N174">
            <v>550</v>
          </cell>
          <cell r="O174">
            <v>79</v>
          </cell>
          <cell r="P174">
            <v>0.6599999999999997</v>
          </cell>
          <cell r="T174">
            <v>600</v>
          </cell>
          <cell r="U174">
            <v>92</v>
          </cell>
          <cell r="V174">
            <v>19.209</v>
          </cell>
          <cell r="Z174">
            <v>730</v>
          </cell>
          <cell r="AA174">
            <v>115</v>
          </cell>
          <cell r="AB174">
            <v>38.862000000000002</v>
          </cell>
          <cell r="AF174">
            <v>770</v>
          </cell>
          <cell r="AG174">
            <v>132</v>
          </cell>
          <cell r="AH174">
            <v>54.712999999999994</v>
          </cell>
          <cell r="AL174">
            <v>830</v>
          </cell>
          <cell r="AM174">
            <v>142</v>
          </cell>
          <cell r="AN174">
            <v>65.760999999999996</v>
          </cell>
          <cell r="AR174">
            <v>850</v>
          </cell>
          <cell r="AS174">
            <v>154</v>
          </cell>
          <cell r="AT174">
            <v>75.961000000000013</v>
          </cell>
          <cell r="AX174">
            <v>4330</v>
          </cell>
          <cell r="AY174">
            <v>714</v>
          </cell>
          <cell r="AZ174">
            <v>255.166</v>
          </cell>
          <cell r="BA174">
            <v>35.737535014005601</v>
          </cell>
          <cell r="BF174">
            <v>1030</v>
          </cell>
          <cell r="BG174">
            <v>198</v>
          </cell>
          <cell r="BH174">
            <v>100.526</v>
          </cell>
          <cell r="BL174">
            <v>740</v>
          </cell>
          <cell r="BM174">
            <v>128</v>
          </cell>
          <cell r="BN174">
            <v>63.922999999999995</v>
          </cell>
          <cell r="BR174">
            <v>750</v>
          </cell>
          <cell r="BS174">
            <v>134</v>
          </cell>
          <cell r="BT174">
            <v>68.716999999999999</v>
          </cell>
          <cell r="BX174">
            <v>1070</v>
          </cell>
          <cell r="BY174">
            <v>205</v>
          </cell>
          <cell r="BZ174">
            <v>109.065</v>
          </cell>
          <cell r="CD174">
            <v>930</v>
          </cell>
          <cell r="CE174">
            <v>177</v>
          </cell>
          <cell r="CF174">
            <v>94.418000000000006</v>
          </cell>
          <cell r="CJ174">
            <v>650</v>
          </cell>
          <cell r="CK174">
            <v>111</v>
          </cell>
          <cell r="CL174">
            <v>59.347000000000001</v>
          </cell>
          <cell r="CP174">
            <v>5170</v>
          </cell>
          <cell r="CQ174">
            <v>953</v>
          </cell>
          <cell r="CR174">
            <v>495.99599999999998</v>
          </cell>
          <cell r="CS174">
            <v>52.045750262329484</v>
          </cell>
          <cell r="CX174">
            <v>1880</v>
          </cell>
          <cell r="CY174">
            <v>286</v>
          </cell>
          <cell r="CZ174">
            <v>58.731000000000002</v>
          </cell>
          <cell r="DA174">
            <v>20.535314685314685</v>
          </cell>
          <cell r="DF174">
            <v>2450</v>
          </cell>
          <cell r="DG174">
            <v>428</v>
          </cell>
          <cell r="DH174">
            <v>196.435</v>
          </cell>
          <cell r="DI174">
            <v>45.896028037383182</v>
          </cell>
          <cell r="DN174">
            <v>2520</v>
          </cell>
          <cell r="DO174">
            <v>460</v>
          </cell>
          <cell r="DP174">
            <v>233.166</v>
          </cell>
          <cell r="DQ174">
            <v>50.688260869565212</v>
          </cell>
          <cell r="DV174">
            <v>2650</v>
          </cell>
          <cell r="DW174">
            <v>493</v>
          </cell>
          <cell r="DX174">
            <v>262.83</v>
          </cell>
          <cell r="DY174">
            <v>53.312373225152129</v>
          </cell>
        </row>
        <row r="175">
          <cell r="F175">
            <v>6000</v>
          </cell>
          <cell r="G175">
            <v>1920</v>
          </cell>
          <cell r="H175">
            <v>594.56900000000007</v>
          </cell>
          <cell r="I175">
            <v>30.967135416666668</v>
          </cell>
          <cell r="N175">
            <v>400</v>
          </cell>
          <cell r="O175">
            <v>128</v>
          </cell>
          <cell r="P175">
            <v>22.385999999999999</v>
          </cell>
          <cell r="T175">
            <v>400</v>
          </cell>
          <cell r="U175">
            <v>128</v>
          </cell>
          <cell r="V175">
            <v>20.143999999999998</v>
          </cell>
          <cell r="Z175">
            <v>500</v>
          </cell>
          <cell r="AA175">
            <v>160</v>
          </cell>
          <cell r="AB175">
            <v>32.790999999999997</v>
          </cell>
          <cell r="AF175">
            <v>500</v>
          </cell>
          <cell r="AG175">
            <v>160</v>
          </cell>
          <cell r="AH175">
            <v>39.252000000000002</v>
          </cell>
          <cell r="AL175">
            <v>500</v>
          </cell>
          <cell r="AM175">
            <v>160</v>
          </cell>
          <cell r="AN175">
            <v>47.521999999999998</v>
          </cell>
          <cell r="AR175">
            <v>500</v>
          </cell>
          <cell r="AS175">
            <v>160</v>
          </cell>
          <cell r="AT175">
            <v>52.423000000000002</v>
          </cell>
          <cell r="AX175">
            <v>2800</v>
          </cell>
          <cell r="AY175">
            <v>896</v>
          </cell>
          <cell r="AZ175">
            <v>214.518</v>
          </cell>
          <cell r="BA175">
            <v>23.94174107142857</v>
          </cell>
          <cell r="BF175">
            <v>550</v>
          </cell>
          <cell r="BG175">
            <v>176</v>
          </cell>
          <cell r="BH175">
            <v>62.182000000000002</v>
          </cell>
          <cell r="BL175">
            <v>550</v>
          </cell>
          <cell r="BM175">
            <v>176</v>
          </cell>
          <cell r="BN175">
            <v>62.744999999999997</v>
          </cell>
          <cell r="BR175">
            <v>550</v>
          </cell>
          <cell r="BS175">
            <v>176</v>
          </cell>
          <cell r="BT175">
            <v>65.385000000000005</v>
          </cell>
          <cell r="BX175">
            <v>550</v>
          </cell>
          <cell r="BY175">
            <v>176</v>
          </cell>
          <cell r="BZ175">
            <v>66.635999999999996</v>
          </cell>
          <cell r="CD175">
            <v>550</v>
          </cell>
          <cell r="CE175">
            <v>176</v>
          </cell>
          <cell r="CF175">
            <v>67.266000000000005</v>
          </cell>
          <cell r="CJ175">
            <v>450</v>
          </cell>
          <cell r="CK175">
            <v>144</v>
          </cell>
          <cell r="CL175">
            <v>55.837000000000003</v>
          </cell>
          <cell r="CP175">
            <v>3200</v>
          </cell>
          <cell r="CQ175">
            <v>1024</v>
          </cell>
          <cell r="CR175">
            <v>380.05100000000004</v>
          </cell>
          <cell r="CS175">
            <v>37.114355468750006</v>
          </cell>
          <cell r="CX175">
            <v>1300</v>
          </cell>
          <cell r="CY175">
            <v>416</v>
          </cell>
          <cell r="CZ175">
            <v>75.320999999999998</v>
          </cell>
          <cell r="DA175">
            <v>18.106009615384615</v>
          </cell>
          <cell r="DF175">
            <v>1500</v>
          </cell>
          <cell r="DG175">
            <v>480</v>
          </cell>
          <cell r="DH175">
            <v>139.197</v>
          </cell>
          <cell r="DI175">
            <v>28.999375000000001</v>
          </cell>
          <cell r="DN175">
            <v>1650</v>
          </cell>
          <cell r="DO175">
            <v>528</v>
          </cell>
          <cell r="DP175">
            <v>190.31200000000001</v>
          </cell>
          <cell r="DQ175">
            <v>36.043939393939397</v>
          </cell>
          <cell r="DV175">
            <v>1550</v>
          </cell>
          <cell r="DW175">
            <v>496</v>
          </cell>
          <cell r="DX175">
            <v>189.73899999999998</v>
          </cell>
          <cell r="DY175">
            <v>38.253830645161287</v>
          </cell>
        </row>
        <row r="176">
          <cell r="F176">
            <v>1000</v>
          </cell>
          <cell r="G176">
            <v>352</v>
          </cell>
          <cell r="H176">
            <v>172.124</v>
          </cell>
          <cell r="I176">
            <v>48.898863636363636</v>
          </cell>
          <cell r="N176">
            <v>50</v>
          </cell>
          <cell r="O176">
            <v>18</v>
          </cell>
          <cell r="P176">
            <v>9.9830000000000005</v>
          </cell>
          <cell r="T176">
            <v>70</v>
          </cell>
          <cell r="U176">
            <v>25</v>
          </cell>
          <cell r="V176">
            <v>13.775</v>
          </cell>
          <cell r="Z176">
            <v>100</v>
          </cell>
          <cell r="AA176">
            <v>35</v>
          </cell>
          <cell r="AB176">
            <v>18.963999999999999</v>
          </cell>
          <cell r="AF176">
            <v>100</v>
          </cell>
          <cell r="AG176">
            <v>35</v>
          </cell>
          <cell r="AH176">
            <v>18.963999999999999</v>
          </cell>
          <cell r="AL176">
            <v>100</v>
          </cell>
          <cell r="AM176">
            <v>35</v>
          </cell>
          <cell r="AN176">
            <v>18.963999999999999</v>
          </cell>
          <cell r="AR176">
            <v>100</v>
          </cell>
          <cell r="AS176">
            <v>35</v>
          </cell>
          <cell r="AT176">
            <v>18.963999999999999</v>
          </cell>
          <cell r="AX176">
            <v>520</v>
          </cell>
          <cell r="AY176">
            <v>183</v>
          </cell>
          <cell r="AZ176">
            <v>99.614000000000004</v>
          </cell>
          <cell r="BA176">
            <v>54.433879781420771</v>
          </cell>
          <cell r="BF176">
            <v>100</v>
          </cell>
          <cell r="BG176">
            <v>35</v>
          </cell>
          <cell r="BH176">
            <v>18.963999999999999</v>
          </cell>
          <cell r="BL176">
            <v>60</v>
          </cell>
          <cell r="BM176">
            <v>21</v>
          </cell>
          <cell r="BN176">
            <v>11.378</v>
          </cell>
          <cell r="BR176">
            <v>60</v>
          </cell>
          <cell r="BS176">
            <v>21</v>
          </cell>
          <cell r="BT176">
            <v>8.4120000000000008</v>
          </cell>
          <cell r="BX176">
            <v>110</v>
          </cell>
          <cell r="BY176">
            <v>39</v>
          </cell>
          <cell r="BZ176">
            <v>14.680999999999999</v>
          </cell>
          <cell r="CD176">
            <v>90</v>
          </cell>
          <cell r="CE176">
            <v>32</v>
          </cell>
          <cell r="CF176">
            <v>11.647</v>
          </cell>
          <cell r="CJ176">
            <v>60</v>
          </cell>
          <cell r="CK176">
            <v>21</v>
          </cell>
          <cell r="CL176">
            <v>7.4279999999999999</v>
          </cell>
          <cell r="CP176">
            <v>480</v>
          </cell>
          <cell r="CQ176">
            <v>169</v>
          </cell>
          <cell r="CR176">
            <v>72.509999999999991</v>
          </cell>
          <cell r="CS176">
            <v>42.905325443786978</v>
          </cell>
          <cell r="CX176">
            <v>220</v>
          </cell>
          <cell r="CY176">
            <v>78</v>
          </cell>
          <cell r="CZ176">
            <v>42.722000000000001</v>
          </cell>
          <cell r="DA176">
            <v>54.771794871794874</v>
          </cell>
          <cell r="DF176">
            <v>300</v>
          </cell>
          <cell r="DG176">
            <v>105</v>
          </cell>
          <cell r="DH176">
            <v>56.891999999999996</v>
          </cell>
          <cell r="DI176">
            <v>54.182857142857145</v>
          </cell>
          <cell r="DN176">
            <v>220</v>
          </cell>
          <cell r="DO176">
            <v>77</v>
          </cell>
          <cell r="DP176">
            <v>38.753999999999998</v>
          </cell>
          <cell r="DQ176">
            <v>50.329870129870123</v>
          </cell>
          <cell r="DV176">
            <v>260</v>
          </cell>
          <cell r="DW176">
            <v>92</v>
          </cell>
          <cell r="DX176">
            <v>33.756</v>
          </cell>
          <cell r="DY176">
            <v>36.69130434782609</v>
          </cell>
        </row>
        <row r="177">
          <cell r="F177">
            <v>0</v>
          </cell>
          <cell r="G177">
            <v>0</v>
          </cell>
          <cell r="H177">
            <v>0</v>
          </cell>
          <cell r="I177">
            <v>0</v>
          </cell>
          <cell r="AX177">
            <v>0</v>
          </cell>
          <cell r="AY177">
            <v>0</v>
          </cell>
          <cell r="AZ177">
            <v>0</v>
          </cell>
          <cell r="BA177">
            <v>0</v>
          </cell>
          <cell r="CP177">
            <v>0</v>
          </cell>
          <cell r="CQ177">
            <v>0</v>
          </cell>
          <cell r="CR177">
            <v>0</v>
          </cell>
          <cell r="CS177">
            <v>0</v>
          </cell>
          <cell r="CX177">
            <v>0</v>
          </cell>
          <cell r="CY177">
            <v>0</v>
          </cell>
          <cell r="CZ177">
            <v>0</v>
          </cell>
          <cell r="DA177">
            <v>0</v>
          </cell>
          <cell r="DF177">
            <v>0</v>
          </cell>
          <cell r="DG177">
            <v>0</v>
          </cell>
          <cell r="DH177">
            <v>0</v>
          </cell>
          <cell r="DI177">
            <v>0</v>
          </cell>
          <cell r="DN177">
            <v>0</v>
          </cell>
          <cell r="DO177">
            <v>0</v>
          </cell>
          <cell r="DP177">
            <v>0</v>
          </cell>
          <cell r="DQ177">
            <v>0</v>
          </cell>
          <cell r="DV177">
            <v>0</v>
          </cell>
          <cell r="DW177">
            <v>0</v>
          </cell>
          <cell r="DX177">
            <v>0</v>
          </cell>
          <cell r="DY177">
            <v>0</v>
          </cell>
        </row>
        <row r="178">
          <cell r="F178">
            <v>0</v>
          </cell>
          <cell r="G178">
            <v>0</v>
          </cell>
          <cell r="H178">
            <v>0</v>
          </cell>
          <cell r="I178">
            <v>0</v>
          </cell>
          <cell r="N178">
            <v>0</v>
          </cell>
          <cell r="O178">
            <v>0</v>
          </cell>
          <cell r="T178">
            <v>0</v>
          </cell>
          <cell r="U178">
            <v>0</v>
          </cell>
          <cell r="Z178">
            <v>0</v>
          </cell>
          <cell r="AA178">
            <v>0</v>
          </cell>
          <cell r="AF178">
            <v>0</v>
          </cell>
          <cell r="AG178">
            <v>0</v>
          </cell>
          <cell r="AL178">
            <v>0</v>
          </cell>
          <cell r="AM178">
            <v>0</v>
          </cell>
          <cell r="AR178">
            <v>0</v>
          </cell>
          <cell r="AS178">
            <v>0</v>
          </cell>
          <cell r="AX178">
            <v>0</v>
          </cell>
          <cell r="AY178">
            <v>0</v>
          </cell>
          <cell r="AZ178">
            <v>0</v>
          </cell>
          <cell r="BA178">
            <v>0</v>
          </cell>
          <cell r="BF178">
            <v>0</v>
          </cell>
          <cell r="BG178">
            <v>0</v>
          </cell>
          <cell r="BL178">
            <v>0</v>
          </cell>
          <cell r="BM178">
            <v>0</v>
          </cell>
          <cell r="BR178">
            <v>0</v>
          </cell>
          <cell r="BS178">
            <v>0</v>
          </cell>
          <cell r="BX178">
            <v>0</v>
          </cell>
          <cell r="BY178">
            <v>0</v>
          </cell>
          <cell r="CD178">
            <v>0</v>
          </cell>
          <cell r="CE178">
            <v>0</v>
          </cell>
          <cell r="CJ178">
            <v>0</v>
          </cell>
          <cell r="CK178">
            <v>0</v>
          </cell>
          <cell r="CP178">
            <v>0</v>
          </cell>
          <cell r="CQ178">
            <v>0</v>
          </cell>
          <cell r="CR178">
            <v>0</v>
          </cell>
          <cell r="CS178">
            <v>0</v>
          </cell>
          <cell r="CX178">
            <v>0</v>
          </cell>
          <cell r="CY178">
            <v>0</v>
          </cell>
          <cell r="CZ178">
            <v>0</v>
          </cell>
          <cell r="DA178">
            <v>0</v>
          </cell>
          <cell r="DF178">
            <v>0</v>
          </cell>
          <cell r="DG178">
            <v>0</v>
          </cell>
          <cell r="DH178">
            <v>0</v>
          </cell>
          <cell r="DI178">
            <v>0</v>
          </cell>
          <cell r="DN178">
            <v>0</v>
          </cell>
          <cell r="DO178">
            <v>0</v>
          </cell>
          <cell r="DP178">
            <v>0</v>
          </cell>
          <cell r="DQ178">
            <v>0</v>
          </cell>
          <cell r="DV178">
            <v>0</v>
          </cell>
          <cell r="DW178">
            <v>0</v>
          </cell>
          <cell r="DX178">
            <v>0</v>
          </cell>
          <cell r="DY178">
            <v>0</v>
          </cell>
        </row>
        <row r="179">
          <cell r="F179">
            <v>0</v>
          </cell>
          <cell r="G179">
            <v>0</v>
          </cell>
          <cell r="H179">
            <v>0</v>
          </cell>
          <cell r="I179">
            <v>0</v>
          </cell>
          <cell r="N179">
            <v>0</v>
          </cell>
          <cell r="O179">
            <v>0</v>
          </cell>
          <cell r="T179">
            <v>0</v>
          </cell>
          <cell r="U179">
            <v>0</v>
          </cell>
          <cell r="Z179">
            <v>0</v>
          </cell>
          <cell r="AA179">
            <v>0</v>
          </cell>
          <cell r="AF179">
            <v>0</v>
          </cell>
          <cell r="AG179">
            <v>0</v>
          </cell>
          <cell r="AL179">
            <v>0</v>
          </cell>
          <cell r="AM179">
            <v>0</v>
          </cell>
          <cell r="AR179">
            <v>0</v>
          </cell>
          <cell r="AS179">
            <v>0</v>
          </cell>
          <cell r="AX179">
            <v>0</v>
          </cell>
          <cell r="AY179">
            <v>0</v>
          </cell>
          <cell r="AZ179">
            <v>0</v>
          </cell>
          <cell r="BA179">
            <v>0</v>
          </cell>
          <cell r="BF179">
            <v>0</v>
          </cell>
          <cell r="BG179">
            <v>0</v>
          </cell>
          <cell r="BL179">
            <v>0</v>
          </cell>
          <cell r="BM179">
            <v>0</v>
          </cell>
          <cell r="BR179">
            <v>0</v>
          </cell>
          <cell r="BS179">
            <v>0</v>
          </cell>
          <cell r="BX179">
            <v>0</v>
          </cell>
          <cell r="BY179">
            <v>0</v>
          </cell>
          <cell r="CD179">
            <v>0</v>
          </cell>
          <cell r="CE179">
            <v>0</v>
          </cell>
          <cell r="CJ179">
            <v>0</v>
          </cell>
          <cell r="CK179">
            <v>0</v>
          </cell>
          <cell r="CP179">
            <v>0</v>
          </cell>
          <cell r="CQ179">
            <v>0</v>
          </cell>
          <cell r="CR179">
            <v>0</v>
          </cell>
          <cell r="CS179">
            <v>0</v>
          </cell>
          <cell r="CX179">
            <v>0</v>
          </cell>
          <cell r="CY179">
            <v>0</v>
          </cell>
          <cell r="CZ179">
            <v>0</v>
          </cell>
          <cell r="DA179">
            <v>0</v>
          </cell>
          <cell r="DF179">
            <v>0</v>
          </cell>
          <cell r="DG179">
            <v>0</v>
          </cell>
          <cell r="DH179">
            <v>0</v>
          </cell>
          <cell r="DI179">
            <v>0</v>
          </cell>
          <cell r="DN179">
            <v>0</v>
          </cell>
          <cell r="DO179">
            <v>0</v>
          </cell>
          <cell r="DP179">
            <v>0</v>
          </cell>
          <cell r="DQ179">
            <v>0</v>
          </cell>
          <cell r="DV179">
            <v>0</v>
          </cell>
          <cell r="DW179">
            <v>0</v>
          </cell>
          <cell r="DX179">
            <v>0</v>
          </cell>
          <cell r="DY179">
            <v>0</v>
          </cell>
        </row>
        <row r="180">
          <cell r="F180">
            <v>2500</v>
          </cell>
          <cell r="G180">
            <v>627</v>
          </cell>
          <cell r="H180">
            <v>220.452</v>
          </cell>
          <cell r="I180">
            <v>35.159808612440187</v>
          </cell>
          <cell r="N180">
            <v>100</v>
          </cell>
          <cell r="O180">
            <v>25</v>
          </cell>
          <cell r="P180">
            <v>12</v>
          </cell>
          <cell r="T180">
            <v>100</v>
          </cell>
          <cell r="U180">
            <v>25</v>
          </cell>
          <cell r="V180">
            <v>11.08</v>
          </cell>
          <cell r="Z180">
            <v>150</v>
          </cell>
          <cell r="AA180">
            <v>38</v>
          </cell>
          <cell r="AB180">
            <v>13.06</v>
          </cell>
          <cell r="AF180">
            <v>200</v>
          </cell>
          <cell r="AG180">
            <v>50</v>
          </cell>
          <cell r="AH180">
            <v>14.366</v>
          </cell>
          <cell r="AL180">
            <v>200</v>
          </cell>
          <cell r="AM180">
            <v>50</v>
          </cell>
          <cell r="AN180">
            <v>15.138999999999999</v>
          </cell>
          <cell r="AR180">
            <v>200</v>
          </cell>
          <cell r="AS180">
            <v>50</v>
          </cell>
          <cell r="AT180">
            <v>15.875999999999999</v>
          </cell>
          <cell r="AX180">
            <v>950</v>
          </cell>
          <cell r="AY180">
            <v>238</v>
          </cell>
          <cell r="AZ180">
            <v>81.521000000000001</v>
          </cell>
          <cell r="BA180">
            <v>34.252521008403363</v>
          </cell>
          <cell r="BF180">
            <v>250</v>
          </cell>
          <cell r="BG180">
            <v>63</v>
          </cell>
          <cell r="BH180">
            <v>21.492999999999999</v>
          </cell>
          <cell r="BL180">
            <v>200</v>
          </cell>
          <cell r="BM180">
            <v>50</v>
          </cell>
          <cell r="BN180">
            <v>16.885999999999999</v>
          </cell>
          <cell r="BR180">
            <v>200</v>
          </cell>
          <cell r="BS180">
            <v>50</v>
          </cell>
          <cell r="BT180">
            <v>17.684999999999999</v>
          </cell>
          <cell r="BX180">
            <v>350</v>
          </cell>
          <cell r="BY180">
            <v>88</v>
          </cell>
          <cell r="BZ180">
            <v>31.975000000000001</v>
          </cell>
          <cell r="CD180">
            <v>300</v>
          </cell>
          <cell r="CE180">
            <v>75</v>
          </cell>
          <cell r="CF180">
            <v>27.294</v>
          </cell>
          <cell r="CJ180">
            <v>250</v>
          </cell>
          <cell r="CK180">
            <v>63</v>
          </cell>
          <cell r="CL180">
            <v>23.597999999999999</v>
          </cell>
          <cell r="CP180">
            <v>1550</v>
          </cell>
          <cell r="CQ180">
            <v>389</v>
          </cell>
          <cell r="CR180">
            <v>138.93099999999998</v>
          </cell>
          <cell r="CS180">
            <v>35.714910025706935</v>
          </cell>
          <cell r="CX180">
            <v>350</v>
          </cell>
          <cell r="CY180">
            <v>88</v>
          </cell>
          <cell r="CZ180">
            <v>36.14</v>
          </cell>
          <cell r="DA180">
            <v>41.06818181818182</v>
          </cell>
          <cell r="DF180">
            <v>600</v>
          </cell>
          <cell r="DG180">
            <v>150</v>
          </cell>
          <cell r="DH180">
            <v>45.381</v>
          </cell>
          <cell r="DI180">
            <v>30.253999999999998</v>
          </cell>
          <cell r="DN180">
            <v>650</v>
          </cell>
          <cell r="DO180">
            <v>163</v>
          </cell>
          <cell r="DP180">
            <v>56.063999999999993</v>
          </cell>
          <cell r="DQ180">
            <v>34.395092024539878</v>
          </cell>
          <cell r="DV180">
            <v>900</v>
          </cell>
          <cell r="DW180">
            <v>226</v>
          </cell>
          <cell r="DX180">
            <v>82.867000000000004</v>
          </cell>
          <cell r="DY180">
            <v>36.666814159292038</v>
          </cell>
        </row>
        <row r="181">
          <cell r="F181">
            <v>0</v>
          </cell>
          <cell r="G181">
            <v>0</v>
          </cell>
          <cell r="H181">
            <v>0</v>
          </cell>
          <cell r="I181">
            <v>0</v>
          </cell>
          <cell r="AX181">
            <v>0</v>
          </cell>
          <cell r="AY181">
            <v>0</v>
          </cell>
          <cell r="AZ181">
            <v>0</v>
          </cell>
          <cell r="BA181">
            <v>0</v>
          </cell>
          <cell r="CP181">
            <v>0</v>
          </cell>
          <cell r="CQ181">
            <v>0</v>
          </cell>
          <cell r="CR181">
            <v>0</v>
          </cell>
          <cell r="CS181">
            <v>0</v>
          </cell>
          <cell r="CX181">
            <v>0</v>
          </cell>
          <cell r="CY181">
            <v>0</v>
          </cell>
          <cell r="CZ181">
            <v>0</v>
          </cell>
          <cell r="DA181">
            <v>0</v>
          </cell>
          <cell r="DF181">
            <v>0</v>
          </cell>
          <cell r="DG181">
            <v>0</v>
          </cell>
          <cell r="DH181">
            <v>0</v>
          </cell>
          <cell r="DI181">
            <v>0</v>
          </cell>
          <cell r="DN181">
            <v>0</v>
          </cell>
          <cell r="DO181">
            <v>0</v>
          </cell>
          <cell r="DP181">
            <v>0</v>
          </cell>
          <cell r="DQ181">
            <v>0</v>
          </cell>
          <cell r="DV181">
            <v>0</v>
          </cell>
          <cell r="DW181">
            <v>0</v>
          </cell>
          <cell r="DX181">
            <v>0</v>
          </cell>
          <cell r="DY181">
            <v>0</v>
          </cell>
        </row>
        <row r="182">
          <cell r="F182">
            <v>1000</v>
          </cell>
          <cell r="G182">
            <v>450</v>
          </cell>
          <cell r="H182">
            <v>195.19400000000002</v>
          </cell>
          <cell r="I182">
            <v>43.376444444444452</v>
          </cell>
          <cell r="N182">
            <v>0</v>
          </cell>
          <cell r="O182">
            <v>0</v>
          </cell>
          <cell r="P182">
            <v>0</v>
          </cell>
          <cell r="T182">
            <v>0</v>
          </cell>
          <cell r="U182">
            <v>0</v>
          </cell>
          <cell r="V182">
            <v>0</v>
          </cell>
          <cell r="Z182">
            <v>0</v>
          </cell>
          <cell r="AA182">
            <v>0</v>
          </cell>
          <cell r="AB182">
            <v>0</v>
          </cell>
          <cell r="AF182">
            <v>0</v>
          </cell>
          <cell r="AG182">
            <v>0</v>
          </cell>
          <cell r="AH182">
            <v>0</v>
          </cell>
          <cell r="AL182">
            <v>0</v>
          </cell>
          <cell r="AM182">
            <v>0</v>
          </cell>
          <cell r="AN182">
            <v>0</v>
          </cell>
          <cell r="AR182">
            <v>0</v>
          </cell>
          <cell r="AS182">
            <v>0</v>
          </cell>
          <cell r="AT182">
            <v>0</v>
          </cell>
          <cell r="AX182">
            <v>0</v>
          </cell>
          <cell r="AY182">
            <v>0</v>
          </cell>
          <cell r="AZ182">
            <v>0</v>
          </cell>
          <cell r="BA182">
            <v>0</v>
          </cell>
          <cell r="BF182">
            <v>100</v>
          </cell>
          <cell r="BG182">
            <v>45</v>
          </cell>
          <cell r="BH182">
            <v>18.850000000000001</v>
          </cell>
          <cell r="BL182">
            <v>100</v>
          </cell>
          <cell r="BM182">
            <v>45</v>
          </cell>
          <cell r="BN182">
            <v>19.542000000000002</v>
          </cell>
          <cell r="BR182">
            <v>200</v>
          </cell>
          <cell r="BS182">
            <v>90</v>
          </cell>
          <cell r="BT182">
            <v>38.820999999999998</v>
          </cell>
          <cell r="BX182">
            <v>200</v>
          </cell>
          <cell r="BY182">
            <v>90</v>
          </cell>
          <cell r="BZ182">
            <v>38.950000000000003</v>
          </cell>
          <cell r="CD182">
            <v>200</v>
          </cell>
          <cell r="CE182">
            <v>90</v>
          </cell>
          <cell r="CF182">
            <v>39.301000000000002</v>
          </cell>
          <cell r="CJ182">
            <v>200</v>
          </cell>
          <cell r="CK182">
            <v>90</v>
          </cell>
          <cell r="CL182">
            <v>39.729999999999997</v>
          </cell>
          <cell r="CP182">
            <v>1000</v>
          </cell>
          <cell r="CQ182">
            <v>450</v>
          </cell>
          <cell r="CR182">
            <v>195.19400000000002</v>
          </cell>
          <cell r="CS182">
            <v>43.376444444444452</v>
          </cell>
          <cell r="CX182">
            <v>0</v>
          </cell>
          <cell r="CY182">
            <v>0</v>
          </cell>
          <cell r="CZ182">
            <v>0</v>
          </cell>
          <cell r="DA182">
            <v>0</v>
          </cell>
          <cell r="DF182">
            <v>0</v>
          </cell>
          <cell r="DG182">
            <v>0</v>
          </cell>
          <cell r="DH182">
            <v>0</v>
          </cell>
          <cell r="DI182">
            <v>0</v>
          </cell>
          <cell r="DN182">
            <v>400</v>
          </cell>
          <cell r="DO182">
            <v>180</v>
          </cell>
          <cell r="DP182">
            <v>77.212999999999994</v>
          </cell>
          <cell r="DQ182">
            <v>42.896111111111104</v>
          </cell>
          <cell r="DV182">
            <v>600</v>
          </cell>
          <cell r="DW182">
            <v>270</v>
          </cell>
          <cell r="DX182">
            <v>117.98099999999999</v>
          </cell>
          <cell r="DY182">
            <v>43.696666666666665</v>
          </cell>
        </row>
        <row r="183">
          <cell r="F183">
            <v>1500</v>
          </cell>
          <cell r="G183">
            <v>600</v>
          </cell>
          <cell r="H183">
            <v>239.99699999999996</v>
          </cell>
          <cell r="I183">
            <v>39.999499999999991</v>
          </cell>
          <cell r="N183">
            <v>50</v>
          </cell>
          <cell r="O183">
            <v>20</v>
          </cell>
          <cell r="P183">
            <v>1.1439999999999999</v>
          </cell>
          <cell r="T183">
            <v>100</v>
          </cell>
          <cell r="U183">
            <v>40</v>
          </cell>
          <cell r="V183">
            <v>2.2879999999999998</v>
          </cell>
          <cell r="Z183">
            <v>100</v>
          </cell>
          <cell r="AA183">
            <v>40</v>
          </cell>
          <cell r="AB183">
            <v>2.2879999999999998</v>
          </cell>
          <cell r="AF183">
            <v>100</v>
          </cell>
          <cell r="AG183">
            <v>40</v>
          </cell>
          <cell r="AH183">
            <v>4.3730000000000002</v>
          </cell>
          <cell r="AL183">
            <v>150</v>
          </cell>
          <cell r="AM183">
            <v>60</v>
          </cell>
          <cell r="AN183">
            <v>18.783999999999999</v>
          </cell>
          <cell r="AR183">
            <v>150</v>
          </cell>
          <cell r="AS183">
            <v>60</v>
          </cell>
          <cell r="AT183">
            <v>26.434999999999999</v>
          </cell>
          <cell r="AX183">
            <v>650</v>
          </cell>
          <cell r="AY183">
            <v>260</v>
          </cell>
          <cell r="AZ183">
            <v>55.311999999999983</v>
          </cell>
          <cell r="BA183">
            <v>21.273846153846147</v>
          </cell>
          <cell r="BF183">
            <v>150</v>
          </cell>
          <cell r="BG183">
            <v>60</v>
          </cell>
          <cell r="BH183">
            <v>30.285</v>
          </cell>
          <cell r="BL183">
            <v>150</v>
          </cell>
          <cell r="BM183">
            <v>60</v>
          </cell>
          <cell r="BN183">
            <v>31.635999999999999</v>
          </cell>
          <cell r="BR183">
            <v>150</v>
          </cell>
          <cell r="BS183">
            <v>60</v>
          </cell>
          <cell r="BT183">
            <v>32.854999999999997</v>
          </cell>
          <cell r="BX183">
            <v>150</v>
          </cell>
          <cell r="BY183">
            <v>60</v>
          </cell>
          <cell r="BZ183">
            <v>33.441000000000003</v>
          </cell>
          <cell r="CD183">
            <v>150</v>
          </cell>
          <cell r="CE183">
            <v>60</v>
          </cell>
          <cell r="CF183">
            <v>33.750999999999998</v>
          </cell>
          <cell r="CJ183">
            <v>100</v>
          </cell>
          <cell r="CK183">
            <v>40</v>
          </cell>
          <cell r="CL183">
            <v>22.716999999999999</v>
          </cell>
          <cell r="CP183">
            <v>850</v>
          </cell>
          <cell r="CQ183">
            <v>340</v>
          </cell>
          <cell r="CR183">
            <v>184.68499999999997</v>
          </cell>
          <cell r="CS183">
            <v>54.31911764705881</v>
          </cell>
          <cell r="CX183">
            <v>250</v>
          </cell>
          <cell r="CY183">
            <v>100</v>
          </cell>
          <cell r="CZ183">
            <v>5.7199999999999989</v>
          </cell>
          <cell r="DA183">
            <v>5.7199999999999989</v>
          </cell>
          <cell r="DF183">
            <v>400</v>
          </cell>
          <cell r="DG183">
            <v>160</v>
          </cell>
          <cell r="DH183">
            <v>49.591999999999999</v>
          </cell>
          <cell r="DI183">
            <v>30.995000000000001</v>
          </cell>
          <cell r="DN183">
            <v>450</v>
          </cell>
          <cell r="DO183">
            <v>180</v>
          </cell>
          <cell r="DP183">
            <v>94.775999999999996</v>
          </cell>
          <cell r="DQ183">
            <v>52.653333333333329</v>
          </cell>
          <cell r="DV183">
            <v>400</v>
          </cell>
          <cell r="DW183">
            <v>160</v>
          </cell>
          <cell r="DX183">
            <v>89.909000000000006</v>
          </cell>
          <cell r="DY183">
            <v>56.193125000000002</v>
          </cell>
        </row>
        <row r="184">
          <cell r="F184">
            <v>0</v>
          </cell>
          <cell r="G184">
            <v>0</v>
          </cell>
          <cell r="H184">
            <v>0</v>
          </cell>
          <cell r="I184">
            <v>0</v>
          </cell>
          <cell r="N184">
            <v>0</v>
          </cell>
          <cell r="O184">
            <v>0</v>
          </cell>
          <cell r="T184">
            <v>0</v>
          </cell>
          <cell r="U184">
            <v>0</v>
          </cell>
          <cell r="Z184">
            <v>0</v>
          </cell>
          <cell r="AA184">
            <v>0</v>
          </cell>
          <cell r="AF184">
            <v>0</v>
          </cell>
          <cell r="AG184">
            <v>0</v>
          </cell>
          <cell r="AL184">
            <v>0</v>
          </cell>
          <cell r="AM184">
            <v>0</v>
          </cell>
          <cell r="AR184">
            <v>0</v>
          </cell>
          <cell r="AS184">
            <v>0</v>
          </cell>
          <cell r="AX184">
            <v>0</v>
          </cell>
          <cell r="AY184">
            <v>0</v>
          </cell>
          <cell r="AZ184">
            <v>0</v>
          </cell>
          <cell r="BA184">
            <v>0</v>
          </cell>
          <cell r="BF184">
            <v>0</v>
          </cell>
          <cell r="BG184">
            <v>0</v>
          </cell>
          <cell r="BL184">
            <v>0</v>
          </cell>
          <cell r="BM184">
            <v>0</v>
          </cell>
          <cell r="BR184">
            <v>0</v>
          </cell>
          <cell r="BS184">
            <v>0</v>
          </cell>
          <cell r="BX184">
            <v>0</v>
          </cell>
          <cell r="BY184">
            <v>0</v>
          </cell>
          <cell r="CD184">
            <v>0</v>
          </cell>
          <cell r="CE184">
            <v>0</v>
          </cell>
          <cell r="CJ184">
            <v>0</v>
          </cell>
          <cell r="CK184">
            <v>0</v>
          </cell>
          <cell r="CP184">
            <v>0</v>
          </cell>
          <cell r="CQ184">
            <v>0</v>
          </cell>
          <cell r="CR184">
            <v>0</v>
          </cell>
          <cell r="CS184">
            <v>0</v>
          </cell>
          <cell r="CX184">
            <v>0</v>
          </cell>
          <cell r="CY184">
            <v>0</v>
          </cell>
          <cell r="CZ184">
            <v>0</v>
          </cell>
          <cell r="DA184">
            <v>0</v>
          </cell>
          <cell r="DF184">
            <v>0</v>
          </cell>
          <cell r="DG184">
            <v>0</v>
          </cell>
          <cell r="DH184">
            <v>0</v>
          </cell>
          <cell r="DI184">
            <v>0</v>
          </cell>
          <cell r="DN184">
            <v>0</v>
          </cell>
          <cell r="DO184">
            <v>0</v>
          </cell>
          <cell r="DP184">
            <v>0</v>
          </cell>
          <cell r="DQ184">
            <v>0</v>
          </cell>
          <cell r="DV184">
            <v>0</v>
          </cell>
          <cell r="DW184">
            <v>0</v>
          </cell>
          <cell r="DX184">
            <v>0</v>
          </cell>
          <cell r="DY184">
            <v>0</v>
          </cell>
        </row>
        <row r="185">
          <cell r="F185">
            <v>12000</v>
          </cell>
          <cell r="G185">
            <v>3949</v>
          </cell>
          <cell r="H185">
            <v>1422.3360000000002</v>
          </cell>
          <cell r="I185">
            <v>36.017624715117755</v>
          </cell>
          <cell r="N185">
            <v>600</v>
          </cell>
          <cell r="O185">
            <v>191</v>
          </cell>
          <cell r="P185">
            <v>45.512999999999998</v>
          </cell>
          <cell r="T185">
            <v>670</v>
          </cell>
          <cell r="U185">
            <v>218</v>
          </cell>
          <cell r="V185">
            <v>47.286999999999992</v>
          </cell>
          <cell r="Z185">
            <v>850</v>
          </cell>
          <cell r="AA185">
            <v>273</v>
          </cell>
          <cell r="AB185">
            <v>67.102999999999994</v>
          </cell>
          <cell r="AF185">
            <v>900</v>
          </cell>
          <cell r="AG185">
            <v>285</v>
          </cell>
          <cell r="AH185">
            <v>76.954999999999998</v>
          </cell>
          <cell r="AL185">
            <v>950</v>
          </cell>
          <cell r="AM185">
            <v>305</v>
          </cell>
          <cell r="AN185">
            <v>100.40899999999999</v>
          </cell>
          <cell r="AR185">
            <v>950</v>
          </cell>
          <cell r="AS185">
            <v>305</v>
          </cell>
          <cell r="AT185">
            <v>113.69800000000001</v>
          </cell>
          <cell r="AX185">
            <v>4920</v>
          </cell>
          <cell r="AY185">
            <v>1577</v>
          </cell>
          <cell r="AZ185">
            <v>450.96500000000003</v>
          </cell>
          <cell r="BA185">
            <v>28.596385542168679</v>
          </cell>
          <cell r="BF185">
            <v>1150</v>
          </cell>
          <cell r="BG185">
            <v>379</v>
          </cell>
          <cell r="BH185">
            <v>151.774</v>
          </cell>
          <cell r="BL185">
            <v>1060</v>
          </cell>
          <cell r="BM185">
            <v>352</v>
          </cell>
          <cell r="BN185">
            <v>142.18699999999998</v>
          </cell>
          <cell r="BR185">
            <v>1160</v>
          </cell>
          <cell r="BS185">
            <v>397</v>
          </cell>
          <cell r="BT185">
            <v>163.15799999999999</v>
          </cell>
          <cell r="BX185">
            <v>1360</v>
          </cell>
          <cell r="BY185">
            <v>453</v>
          </cell>
          <cell r="BZ185">
            <v>185.68300000000002</v>
          </cell>
          <cell r="CD185">
            <v>1290</v>
          </cell>
          <cell r="CE185">
            <v>433</v>
          </cell>
          <cell r="CF185">
            <v>179.25900000000001</v>
          </cell>
          <cell r="CJ185">
            <v>1060</v>
          </cell>
          <cell r="CK185">
            <v>358</v>
          </cell>
          <cell r="CL185">
            <v>149.31</v>
          </cell>
          <cell r="CP185">
            <v>7080</v>
          </cell>
          <cell r="CQ185">
            <v>2372</v>
          </cell>
          <cell r="CR185">
            <v>971.37099999999987</v>
          </cell>
          <cell r="CS185">
            <v>40.95155986509274</v>
          </cell>
          <cell r="CX185">
            <v>2120</v>
          </cell>
          <cell r="CY185">
            <v>682</v>
          </cell>
          <cell r="CZ185">
            <v>159.90299999999999</v>
          </cell>
          <cell r="DA185">
            <v>23.446187683284457</v>
          </cell>
          <cell r="DF185">
            <v>2800</v>
          </cell>
          <cell r="DG185">
            <v>895</v>
          </cell>
          <cell r="DH185">
            <v>291.06200000000001</v>
          </cell>
          <cell r="DI185">
            <v>32.520893854748607</v>
          </cell>
          <cell r="DN185">
            <v>3370</v>
          </cell>
          <cell r="DO185">
            <v>1128</v>
          </cell>
          <cell r="DP185">
            <v>457.11899999999997</v>
          </cell>
          <cell r="DQ185">
            <v>40.524734042553192</v>
          </cell>
          <cell r="DV185">
            <v>3710</v>
          </cell>
          <cell r="DW185">
            <v>1244</v>
          </cell>
          <cell r="DX185">
            <v>514.25199999999995</v>
          </cell>
          <cell r="DY185">
            <v>41.338585209003206</v>
          </cell>
        </row>
        <row r="186">
          <cell r="F186">
            <v>0</v>
          </cell>
          <cell r="G186">
            <v>0</v>
          </cell>
          <cell r="H186">
            <v>0</v>
          </cell>
          <cell r="I186">
            <v>0</v>
          </cell>
          <cell r="N186">
            <v>0</v>
          </cell>
          <cell r="O186">
            <v>0</v>
          </cell>
          <cell r="T186">
            <v>0</v>
          </cell>
          <cell r="U186">
            <v>0</v>
          </cell>
          <cell r="Z186">
            <v>0</v>
          </cell>
          <cell r="AA186">
            <v>0</v>
          </cell>
          <cell r="AF186">
            <v>0</v>
          </cell>
          <cell r="AG186">
            <v>0</v>
          </cell>
          <cell r="AL186">
            <v>0</v>
          </cell>
          <cell r="AM186">
            <v>0</v>
          </cell>
          <cell r="AR186">
            <v>0</v>
          </cell>
          <cell r="AS186">
            <v>0</v>
          </cell>
          <cell r="AX186">
            <v>0</v>
          </cell>
          <cell r="AY186">
            <v>0</v>
          </cell>
          <cell r="AZ186">
            <v>0</v>
          </cell>
          <cell r="BA186">
            <v>0</v>
          </cell>
          <cell r="BF186">
            <v>0</v>
          </cell>
          <cell r="BG186">
            <v>0</v>
          </cell>
          <cell r="BL186">
            <v>0</v>
          </cell>
          <cell r="BM186">
            <v>0</v>
          </cell>
          <cell r="BR186">
            <v>0</v>
          </cell>
          <cell r="BS186">
            <v>0</v>
          </cell>
          <cell r="BX186">
            <v>0</v>
          </cell>
          <cell r="BY186">
            <v>0</v>
          </cell>
          <cell r="CD186">
            <v>0</v>
          </cell>
          <cell r="CE186">
            <v>0</v>
          </cell>
          <cell r="CJ186">
            <v>0</v>
          </cell>
          <cell r="CK186">
            <v>0</v>
          </cell>
          <cell r="CP186">
            <v>0</v>
          </cell>
          <cell r="CQ186">
            <v>0</v>
          </cell>
          <cell r="CR186">
            <v>0</v>
          </cell>
          <cell r="CS186">
            <v>0</v>
          </cell>
          <cell r="CX186">
            <v>0</v>
          </cell>
          <cell r="CY186">
            <v>0</v>
          </cell>
          <cell r="CZ186">
            <v>0</v>
          </cell>
          <cell r="DA186">
            <v>0</v>
          </cell>
          <cell r="DF186">
            <v>0</v>
          </cell>
          <cell r="DG186">
            <v>0</v>
          </cell>
          <cell r="DH186">
            <v>0</v>
          </cell>
          <cell r="DI186">
            <v>0</v>
          </cell>
          <cell r="DN186">
            <v>0</v>
          </cell>
          <cell r="DO186">
            <v>0</v>
          </cell>
          <cell r="DP186">
            <v>0</v>
          </cell>
          <cell r="DQ186">
            <v>0</v>
          </cell>
          <cell r="DV186">
            <v>0</v>
          </cell>
          <cell r="DW186">
            <v>0</v>
          </cell>
          <cell r="DX186">
            <v>0</v>
          </cell>
          <cell r="DY186">
            <v>0</v>
          </cell>
        </row>
        <row r="187">
          <cell r="F187">
            <v>3000</v>
          </cell>
          <cell r="G187">
            <v>693</v>
          </cell>
          <cell r="H187">
            <v>332.01499999999999</v>
          </cell>
          <cell r="I187">
            <v>47.90981240981241</v>
          </cell>
          <cell r="N187">
            <v>200</v>
          </cell>
          <cell r="O187">
            <v>46</v>
          </cell>
          <cell r="P187">
            <v>18.652999999999999</v>
          </cell>
          <cell r="T187">
            <v>200</v>
          </cell>
          <cell r="U187">
            <v>46</v>
          </cell>
          <cell r="V187">
            <v>19.805</v>
          </cell>
          <cell r="Z187">
            <v>200</v>
          </cell>
          <cell r="AA187">
            <v>46</v>
          </cell>
          <cell r="AB187">
            <v>19.300999999999998</v>
          </cell>
          <cell r="AF187">
            <v>250</v>
          </cell>
          <cell r="AG187">
            <v>58</v>
          </cell>
          <cell r="AH187">
            <v>24.558</v>
          </cell>
          <cell r="AL187">
            <v>250</v>
          </cell>
          <cell r="AM187">
            <v>58</v>
          </cell>
          <cell r="AN187">
            <v>24.904</v>
          </cell>
          <cell r="AR187">
            <v>250</v>
          </cell>
          <cell r="AS187">
            <v>58</v>
          </cell>
          <cell r="AT187">
            <v>25.378</v>
          </cell>
          <cell r="AX187">
            <v>1350</v>
          </cell>
          <cell r="AY187">
            <v>312</v>
          </cell>
          <cell r="AZ187">
            <v>132.59899999999999</v>
          </cell>
          <cell r="BA187">
            <v>42.499679487179485</v>
          </cell>
          <cell r="BF187">
            <v>300</v>
          </cell>
          <cell r="BG187">
            <v>69</v>
          </cell>
          <cell r="BH187">
            <v>32.442</v>
          </cell>
          <cell r="BL187">
            <v>250</v>
          </cell>
          <cell r="BM187">
            <v>58</v>
          </cell>
          <cell r="BN187">
            <v>29.581</v>
          </cell>
          <cell r="BR187">
            <v>250</v>
          </cell>
          <cell r="BS187">
            <v>58</v>
          </cell>
          <cell r="BT187">
            <v>30.57</v>
          </cell>
          <cell r="BX187">
            <v>300</v>
          </cell>
          <cell r="BY187">
            <v>69</v>
          </cell>
          <cell r="BZ187">
            <v>36.872999999999998</v>
          </cell>
          <cell r="CD187">
            <v>300</v>
          </cell>
          <cell r="CE187">
            <v>69</v>
          </cell>
          <cell r="CF187">
            <v>37.593000000000004</v>
          </cell>
          <cell r="CJ187">
            <v>250</v>
          </cell>
          <cell r="CK187">
            <v>58</v>
          </cell>
          <cell r="CL187">
            <v>32.356999999999999</v>
          </cell>
          <cell r="CP187">
            <v>1650</v>
          </cell>
          <cell r="CQ187">
            <v>381</v>
          </cell>
          <cell r="CR187">
            <v>199.416</v>
          </cell>
          <cell r="CS187">
            <v>52.340157480314964</v>
          </cell>
          <cell r="CX187">
            <v>600</v>
          </cell>
          <cell r="CY187">
            <v>138</v>
          </cell>
          <cell r="CZ187">
            <v>57.759</v>
          </cell>
          <cell r="DA187">
            <v>41.854347826086958</v>
          </cell>
          <cell r="DF187">
            <v>750</v>
          </cell>
          <cell r="DG187">
            <v>174</v>
          </cell>
          <cell r="DH187">
            <v>74.84</v>
          </cell>
          <cell r="DI187">
            <v>43.011494252873568</v>
          </cell>
          <cell r="DN187">
            <v>800</v>
          </cell>
          <cell r="DO187">
            <v>185</v>
          </cell>
          <cell r="DP187">
            <v>92.592999999999989</v>
          </cell>
          <cell r="DQ187">
            <v>50.050270270270268</v>
          </cell>
          <cell r="DV187">
            <v>850</v>
          </cell>
          <cell r="DW187">
            <v>196</v>
          </cell>
          <cell r="DX187">
            <v>106.82300000000001</v>
          </cell>
          <cell r="DY187">
            <v>54.501530612244899</v>
          </cell>
        </row>
        <row r="188">
          <cell r="F188">
            <v>2000</v>
          </cell>
          <cell r="G188">
            <v>131</v>
          </cell>
          <cell r="H188">
            <v>15.664999999999999</v>
          </cell>
          <cell r="I188">
            <v>11.958015267175572</v>
          </cell>
          <cell r="N188">
            <v>50</v>
          </cell>
          <cell r="O188">
            <v>3</v>
          </cell>
          <cell r="P188">
            <v>0.17299999999999999</v>
          </cell>
          <cell r="T188">
            <v>100</v>
          </cell>
          <cell r="U188">
            <v>7</v>
          </cell>
          <cell r="V188">
            <v>0.84499999999999997</v>
          </cell>
          <cell r="Z188">
            <v>150</v>
          </cell>
          <cell r="AA188">
            <v>10</v>
          </cell>
          <cell r="AB188">
            <v>0.377</v>
          </cell>
          <cell r="AF188">
            <v>150</v>
          </cell>
          <cell r="AG188">
            <v>10</v>
          </cell>
          <cell r="AH188">
            <v>0.23499999999999999</v>
          </cell>
          <cell r="AL188">
            <v>200</v>
          </cell>
          <cell r="AM188">
            <v>13</v>
          </cell>
          <cell r="AN188">
            <v>0.63400000000000001</v>
          </cell>
          <cell r="AR188">
            <v>200</v>
          </cell>
          <cell r="AS188">
            <v>13</v>
          </cell>
          <cell r="AT188">
            <v>1.123</v>
          </cell>
          <cell r="AX188">
            <v>850</v>
          </cell>
          <cell r="AY188">
            <v>56</v>
          </cell>
          <cell r="AZ188">
            <v>3.3869999999999996</v>
          </cell>
          <cell r="BA188">
            <v>6.0482142857142849</v>
          </cell>
          <cell r="BF188">
            <v>200</v>
          </cell>
          <cell r="BG188">
            <v>13</v>
          </cell>
          <cell r="BH188">
            <v>1.5289999999999999</v>
          </cell>
          <cell r="BL188">
            <v>150</v>
          </cell>
          <cell r="BM188">
            <v>10</v>
          </cell>
          <cell r="BN188">
            <v>1.5169999999999999</v>
          </cell>
          <cell r="BR188">
            <v>150</v>
          </cell>
          <cell r="BS188">
            <v>10</v>
          </cell>
          <cell r="BT188">
            <v>1.847</v>
          </cell>
          <cell r="BX188">
            <v>250</v>
          </cell>
          <cell r="BY188">
            <v>16</v>
          </cell>
          <cell r="BZ188">
            <v>2.593</v>
          </cell>
          <cell r="CD188">
            <v>250</v>
          </cell>
          <cell r="CE188">
            <v>16</v>
          </cell>
          <cell r="CF188">
            <v>2.6819999999999999</v>
          </cell>
          <cell r="CJ188">
            <v>150</v>
          </cell>
          <cell r="CK188">
            <v>10</v>
          </cell>
          <cell r="CL188">
            <v>2.11</v>
          </cell>
          <cell r="CP188">
            <v>1150</v>
          </cell>
          <cell r="CQ188">
            <v>75</v>
          </cell>
          <cell r="CR188">
            <v>12.277999999999999</v>
          </cell>
          <cell r="CS188">
            <v>16.370666666666665</v>
          </cell>
          <cell r="CX188">
            <v>300</v>
          </cell>
          <cell r="CY188">
            <v>20</v>
          </cell>
          <cell r="CZ188">
            <v>1.395</v>
          </cell>
          <cell r="DA188">
            <v>6.9750000000000005</v>
          </cell>
          <cell r="DF188">
            <v>550</v>
          </cell>
          <cell r="DG188">
            <v>36</v>
          </cell>
          <cell r="DH188">
            <v>1.992</v>
          </cell>
          <cell r="DI188">
            <v>5.5333333333333332</v>
          </cell>
          <cell r="DN188">
            <v>500</v>
          </cell>
          <cell r="DO188">
            <v>33</v>
          </cell>
          <cell r="DP188">
            <v>4.8929999999999998</v>
          </cell>
          <cell r="DQ188">
            <v>14.827272727272728</v>
          </cell>
          <cell r="DV188">
            <v>650</v>
          </cell>
          <cell r="DW188">
            <v>42</v>
          </cell>
          <cell r="DX188">
            <v>7.3849999999999998</v>
          </cell>
          <cell r="DY188">
            <v>17.583333333333336</v>
          </cell>
        </row>
        <row r="189">
          <cell r="F189">
            <v>3000</v>
          </cell>
          <cell r="G189">
            <v>196</v>
          </cell>
          <cell r="H189">
            <v>28.7</v>
          </cell>
          <cell r="I189">
            <v>14.642857142857144</v>
          </cell>
          <cell r="N189">
            <v>150</v>
          </cell>
          <cell r="O189">
            <v>10</v>
          </cell>
          <cell r="P189">
            <v>-0.78300000000000003</v>
          </cell>
          <cell r="T189">
            <v>150</v>
          </cell>
          <cell r="U189">
            <v>10</v>
          </cell>
          <cell r="V189">
            <v>-1.2190000000000001</v>
          </cell>
          <cell r="Z189">
            <v>200</v>
          </cell>
          <cell r="AA189">
            <v>13</v>
          </cell>
          <cell r="AB189">
            <v>-0.52300000000000002</v>
          </cell>
          <cell r="AF189">
            <v>250</v>
          </cell>
          <cell r="AG189">
            <v>16</v>
          </cell>
          <cell r="AH189">
            <v>-5.6000000000000001E-2</v>
          </cell>
          <cell r="AL189">
            <v>250</v>
          </cell>
          <cell r="AM189">
            <v>16</v>
          </cell>
          <cell r="AN189">
            <v>1.405</v>
          </cell>
          <cell r="AR189">
            <v>300</v>
          </cell>
          <cell r="AS189">
            <v>20</v>
          </cell>
          <cell r="AT189">
            <v>3.4580000000000002</v>
          </cell>
          <cell r="AX189">
            <v>1300</v>
          </cell>
          <cell r="AY189">
            <v>85</v>
          </cell>
          <cell r="AZ189">
            <v>2.2820000000000005</v>
          </cell>
          <cell r="BA189">
            <v>2.6847058823529419</v>
          </cell>
          <cell r="BF189">
            <v>300</v>
          </cell>
          <cell r="BG189">
            <v>20</v>
          </cell>
          <cell r="BH189">
            <v>4.2130000000000001</v>
          </cell>
          <cell r="BL189">
            <v>250</v>
          </cell>
          <cell r="BM189">
            <v>16</v>
          </cell>
          <cell r="BN189">
            <v>3.0739999999999998</v>
          </cell>
          <cell r="BR189">
            <v>250</v>
          </cell>
          <cell r="BS189">
            <v>16</v>
          </cell>
          <cell r="BT189">
            <v>3.61</v>
          </cell>
          <cell r="BX189">
            <v>350</v>
          </cell>
          <cell r="BY189">
            <v>23</v>
          </cell>
          <cell r="BZ189">
            <v>5.9189999999999996</v>
          </cell>
          <cell r="CD189">
            <v>300</v>
          </cell>
          <cell r="CE189">
            <v>20</v>
          </cell>
          <cell r="CF189">
            <v>5.51</v>
          </cell>
          <cell r="CJ189">
            <v>250</v>
          </cell>
          <cell r="CK189">
            <v>16</v>
          </cell>
          <cell r="CL189">
            <v>4.0919999999999996</v>
          </cell>
          <cell r="CP189">
            <v>1700</v>
          </cell>
          <cell r="CQ189">
            <v>111</v>
          </cell>
          <cell r="CR189">
            <v>26.417999999999999</v>
          </cell>
          <cell r="CS189">
            <v>23.799999999999997</v>
          </cell>
          <cell r="CX189">
            <v>500</v>
          </cell>
          <cell r="CY189">
            <v>33</v>
          </cell>
          <cell r="CZ189">
            <v>-2.5250000000000004</v>
          </cell>
          <cell r="DA189">
            <v>-7.6515151515151523</v>
          </cell>
          <cell r="DF189">
            <v>800</v>
          </cell>
          <cell r="DG189">
            <v>52</v>
          </cell>
          <cell r="DH189">
            <v>4.8070000000000004</v>
          </cell>
          <cell r="DI189">
            <v>9.2442307692307697</v>
          </cell>
          <cell r="DN189">
            <v>800</v>
          </cell>
          <cell r="DO189">
            <v>52</v>
          </cell>
          <cell r="DP189">
            <v>10.897</v>
          </cell>
          <cell r="DQ189">
            <v>20.955769230769231</v>
          </cell>
          <cell r="DV189">
            <v>900</v>
          </cell>
          <cell r="DW189">
            <v>59</v>
          </cell>
          <cell r="DX189">
            <v>15.520999999999997</v>
          </cell>
          <cell r="DY189">
            <v>26.306779661016943</v>
          </cell>
        </row>
        <row r="190">
          <cell r="F190">
            <v>3000</v>
          </cell>
          <cell r="G190">
            <v>196</v>
          </cell>
          <cell r="H190">
            <v>47.907000000000011</v>
          </cell>
          <cell r="I190">
            <v>24.442346938775515</v>
          </cell>
          <cell r="N190">
            <v>150</v>
          </cell>
          <cell r="O190">
            <v>10</v>
          </cell>
          <cell r="P190">
            <v>-0.45600000000000002</v>
          </cell>
          <cell r="T190">
            <v>150</v>
          </cell>
          <cell r="U190">
            <v>10</v>
          </cell>
          <cell r="V190">
            <v>-0.32900000000000001</v>
          </cell>
          <cell r="Z190">
            <v>200</v>
          </cell>
          <cell r="AA190">
            <v>13</v>
          </cell>
          <cell r="AB190">
            <v>0.81</v>
          </cell>
          <cell r="AF190">
            <v>250</v>
          </cell>
          <cell r="AG190">
            <v>16</v>
          </cell>
          <cell r="AH190">
            <v>1.734</v>
          </cell>
          <cell r="AL190">
            <v>250</v>
          </cell>
          <cell r="AM190">
            <v>16</v>
          </cell>
          <cell r="AN190">
            <v>3.133</v>
          </cell>
          <cell r="AR190">
            <v>300</v>
          </cell>
          <cell r="AS190">
            <v>20</v>
          </cell>
          <cell r="AT190">
            <v>5.4960000000000004</v>
          </cell>
          <cell r="AX190">
            <v>1300</v>
          </cell>
          <cell r="AY190">
            <v>85</v>
          </cell>
          <cell r="AZ190">
            <v>10.388000000000002</v>
          </cell>
          <cell r="BA190">
            <v>12.221176470588237</v>
          </cell>
          <cell r="BF190">
            <v>300</v>
          </cell>
          <cell r="BG190">
            <v>20</v>
          </cell>
          <cell r="BH190">
            <v>6.2149999999999999</v>
          </cell>
          <cell r="BL190">
            <v>250</v>
          </cell>
          <cell r="BM190">
            <v>16</v>
          </cell>
          <cell r="BN190">
            <v>4.74</v>
          </cell>
          <cell r="BR190">
            <v>250</v>
          </cell>
          <cell r="BS190">
            <v>16</v>
          </cell>
          <cell r="BT190">
            <v>5.2380000000000004</v>
          </cell>
          <cell r="BX190">
            <v>350</v>
          </cell>
          <cell r="BY190">
            <v>23</v>
          </cell>
          <cell r="BZ190">
            <v>8.1869999999999994</v>
          </cell>
          <cell r="CD190">
            <v>300</v>
          </cell>
          <cell r="CE190">
            <v>20</v>
          </cell>
          <cell r="CF190">
            <v>7.4450000000000003</v>
          </cell>
          <cell r="CJ190">
            <v>250</v>
          </cell>
          <cell r="CK190">
            <v>16</v>
          </cell>
          <cell r="CL190">
            <v>5.694</v>
          </cell>
          <cell r="CP190">
            <v>1700</v>
          </cell>
          <cell r="CQ190">
            <v>111</v>
          </cell>
          <cell r="CR190">
            <v>37.519000000000005</v>
          </cell>
          <cell r="CS190">
            <v>33.800900900900906</v>
          </cell>
          <cell r="CX190">
            <v>500</v>
          </cell>
          <cell r="CY190">
            <v>33</v>
          </cell>
          <cell r="CZ190">
            <v>2.5000000000000022E-2</v>
          </cell>
          <cell r="DA190">
            <v>7.5757575757575829E-2</v>
          </cell>
          <cell r="DF190">
            <v>800</v>
          </cell>
          <cell r="DG190">
            <v>52</v>
          </cell>
          <cell r="DH190">
            <v>10.363</v>
          </cell>
          <cell r="DI190">
            <v>19.928846153846152</v>
          </cell>
          <cell r="DN190">
            <v>800</v>
          </cell>
          <cell r="DO190">
            <v>52</v>
          </cell>
          <cell r="DP190">
            <v>16.193000000000001</v>
          </cell>
          <cell r="DQ190">
            <v>31.140384615384619</v>
          </cell>
          <cell r="DV190">
            <v>900</v>
          </cell>
          <cell r="DW190">
            <v>59</v>
          </cell>
          <cell r="DX190">
            <v>21.326000000000001</v>
          </cell>
          <cell r="DY190">
            <v>36.145762711864407</v>
          </cell>
        </row>
        <row r="191">
          <cell r="F191">
            <v>11000</v>
          </cell>
          <cell r="G191">
            <v>1216</v>
          </cell>
          <cell r="H191">
            <v>424.28700000000003</v>
          </cell>
          <cell r="I191">
            <v>34.89202302631579</v>
          </cell>
          <cell r="N191">
            <v>550</v>
          </cell>
          <cell r="O191">
            <v>69</v>
          </cell>
          <cell r="P191">
            <v>17.586999999999996</v>
          </cell>
          <cell r="T191">
            <v>600</v>
          </cell>
          <cell r="U191">
            <v>73</v>
          </cell>
          <cell r="V191">
            <v>19.101999999999997</v>
          </cell>
          <cell r="Z191">
            <v>750</v>
          </cell>
          <cell r="AA191">
            <v>82</v>
          </cell>
          <cell r="AB191">
            <v>19.964999999999996</v>
          </cell>
          <cell r="AF191">
            <v>900</v>
          </cell>
          <cell r="AG191">
            <v>100</v>
          </cell>
          <cell r="AH191">
            <v>26.470999999999997</v>
          </cell>
          <cell r="AL191">
            <v>950</v>
          </cell>
          <cell r="AM191">
            <v>103</v>
          </cell>
          <cell r="AN191">
            <v>30.076000000000001</v>
          </cell>
          <cell r="AR191">
            <v>1050</v>
          </cell>
          <cell r="AS191">
            <v>111</v>
          </cell>
          <cell r="AT191">
            <v>35.455000000000005</v>
          </cell>
          <cell r="AX191">
            <v>4800</v>
          </cell>
          <cell r="AY191">
            <v>538</v>
          </cell>
          <cell r="AZ191">
            <v>148.65600000000001</v>
          </cell>
          <cell r="BA191">
            <v>27.631226765799255</v>
          </cell>
          <cell r="BF191">
            <v>1100</v>
          </cell>
          <cell r="BG191">
            <v>122</v>
          </cell>
          <cell r="BH191">
            <v>44.399000000000001</v>
          </cell>
          <cell r="BL191">
            <v>900</v>
          </cell>
          <cell r="BM191">
            <v>100</v>
          </cell>
          <cell r="BN191">
            <v>38.911999999999999</v>
          </cell>
          <cell r="BR191">
            <v>900</v>
          </cell>
          <cell r="BS191">
            <v>100</v>
          </cell>
          <cell r="BT191">
            <v>41.265000000000001</v>
          </cell>
          <cell r="BX191">
            <v>1250</v>
          </cell>
          <cell r="BY191">
            <v>131</v>
          </cell>
          <cell r="BZ191">
            <v>53.571999999999989</v>
          </cell>
          <cell r="CD191">
            <v>1150</v>
          </cell>
          <cell r="CE191">
            <v>125</v>
          </cell>
          <cell r="CF191">
            <v>53.230000000000004</v>
          </cell>
          <cell r="CJ191">
            <v>900</v>
          </cell>
          <cell r="CK191">
            <v>100</v>
          </cell>
          <cell r="CL191">
            <v>44.253</v>
          </cell>
          <cell r="CP191">
            <v>6200</v>
          </cell>
          <cell r="CQ191">
            <v>678</v>
          </cell>
          <cell r="CR191">
            <v>275.63099999999997</v>
          </cell>
          <cell r="CS191">
            <v>40.653539823008842</v>
          </cell>
          <cell r="CX191">
            <v>1900</v>
          </cell>
          <cell r="CY191">
            <v>224</v>
          </cell>
          <cell r="CZ191">
            <v>56.654000000000003</v>
          </cell>
          <cell r="DA191">
            <v>25.291964285714286</v>
          </cell>
          <cell r="DF191">
            <v>2900</v>
          </cell>
          <cell r="DG191">
            <v>314</v>
          </cell>
          <cell r="DH191">
            <v>92.00200000000001</v>
          </cell>
          <cell r="DI191">
            <v>29.300000000000004</v>
          </cell>
          <cell r="DN191">
            <v>2900</v>
          </cell>
          <cell r="DO191">
            <v>322</v>
          </cell>
          <cell r="DP191">
            <v>124.57599999999999</v>
          </cell>
          <cell r="DQ191">
            <v>38.688198757763978</v>
          </cell>
          <cell r="DV191">
            <v>3300</v>
          </cell>
          <cell r="DW191">
            <v>356</v>
          </cell>
          <cell r="DX191">
            <v>151.05500000000001</v>
          </cell>
          <cell r="DY191">
            <v>42.431179775280903</v>
          </cell>
        </row>
        <row r="192">
          <cell r="F192">
            <v>0</v>
          </cell>
          <cell r="G192">
            <v>2668</v>
          </cell>
          <cell r="H192">
            <v>320.15999999999997</v>
          </cell>
          <cell r="I192">
            <v>11.999999999999998</v>
          </cell>
          <cell r="N192">
            <v>0</v>
          </cell>
          <cell r="O192">
            <v>150</v>
          </cell>
          <cell r="P192">
            <v>18</v>
          </cell>
          <cell r="T192">
            <v>0</v>
          </cell>
          <cell r="U192">
            <v>200</v>
          </cell>
          <cell r="V192">
            <v>24</v>
          </cell>
          <cell r="Z192">
            <v>0</v>
          </cell>
          <cell r="AA192">
            <v>200</v>
          </cell>
          <cell r="AB192">
            <v>24</v>
          </cell>
          <cell r="AF192">
            <v>0</v>
          </cell>
          <cell r="AG192">
            <v>200</v>
          </cell>
          <cell r="AH192">
            <v>24</v>
          </cell>
          <cell r="AL192">
            <v>0</v>
          </cell>
          <cell r="AM192">
            <v>200</v>
          </cell>
          <cell r="AN192">
            <v>24</v>
          </cell>
          <cell r="AR192">
            <v>0</v>
          </cell>
          <cell r="AS192">
            <v>200</v>
          </cell>
          <cell r="AT192">
            <v>24</v>
          </cell>
          <cell r="AX192">
            <v>0</v>
          </cell>
          <cell r="AY192">
            <v>1150</v>
          </cell>
          <cell r="AZ192">
            <v>138</v>
          </cell>
          <cell r="BA192">
            <v>12</v>
          </cell>
          <cell r="BF192">
            <v>0</v>
          </cell>
          <cell r="BG192">
            <v>250</v>
          </cell>
          <cell r="BH192">
            <v>30</v>
          </cell>
          <cell r="BL192">
            <v>0</v>
          </cell>
          <cell r="BM192">
            <v>200</v>
          </cell>
          <cell r="BN192">
            <v>24</v>
          </cell>
          <cell r="BR192">
            <v>0</v>
          </cell>
          <cell r="BS192">
            <v>270</v>
          </cell>
          <cell r="BT192">
            <v>32.4</v>
          </cell>
          <cell r="BX192">
            <v>0</v>
          </cell>
          <cell r="BY192">
            <v>300</v>
          </cell>
          <cell r="BZ192">
            <v>36</v>
          </cell>
          <cell r="CD192">
            <v>0</v>
          </cell>
          <cell r="CE192">
            <v>330</v>
          </cell>
          <cell r="CF192">
            <v>39.6</v>
          </cell>
          <cell r="CJ192">
            <v>0</v>
          </cell>
          <cell r="CK192">
            <v>168</v>
          </cell>
          <cell r="CL192">
            <v>20.16</v>
          </cell>
          <cell r="CP192">
            <v>0</v>
          </cell>
          <cell r="CQ192">
            <v>1518</v>
          </cell>
          <cell r="CR192">
            <v>182.16</v>
          </cell>
          <cell r="CS192">
            <v>12</v>
          </cell>
          <cell r="CX192">
            <v>0</v>
          </cell>
          <cell r="CY192">
            <v>550</v>
          </cell>
          <cell r="CZ192">
            <v>66</v>
          </cell>
          <cell r="DA192">
            <v>12</v>
          </cell>
          <cell r="DF192">
            <v>0</v>
          </cell>
          <cell r="DG192">
            <v>600</v>
          </cell>
          <cell r="DH192">
            <v>72</v>
          </cell>
          <cell r="DI192">
            <v>12</v>
          </cell>
          <cell r="DN192">
            <v>0</v>
          </cell>
          <cell r="DO192">
            <v>720</v>
          </cell>
          <cell r="DP192">
            <v>86.4</v>
          </cell>
          <cell r="DQ192">
            <v>12.000000000000002</v>
          </cell>
          <cell r="DV192">
            <v>0</v>
          </cell>
          <cell r="DW192">
            <v>798</v>
          </cell>
          <cell r="DX192">
            <v>95.759999999999991</v>
          </cell>
          <cell r="DY192">
            <v>11.999999999999998</v>
          </cell>
        </row>
        <row r="193">
          <cell r="F193">
            <v>0</v>
          </cell>
          <cell r="G193">
            <v>2500</v>
          </cell>
          <cell r="H193">
            <v>635</v>
          </cell>
          <cell r="I193">
            <v>25.4</v>
          </cell>
          <cell r="N193">
            <v>0</v>
          </cell>
          <cell r="O193">
            <v>130</v>
          </cell>
          <cell r="P193">
            <v>33</v>
          </cell>
          <cell r="T193">
            <v>0</v>
          </cell>
          <cell r="U193">
            <v>150</v>
          </cell>
          <cell r="V193">
            <v>38</v>
          </cell>
          <cell r="Z193">
            <v>0</v>
          </cell>
          <cell r="AA193">
            <v>170</v>
          </cell>
          <cell r="AB193">
            <v>43</v>
          </cell>
          <cell r="AF193">
            <v>0</v>
          </cell>
          <cell r="AG193">
            <v>260</v>
          </cell>
          <cell r="AH193">
            <v>66</v>
          </cell>
          <cell r="AL193">
            <v>0</v>
          </cell>
          <cell r="AM193">
            <v>220</v>
          </cell>
          <cell r="AN193">
            <v>56</v>
          </cell>
          <cell r="AR193">
            <v>0</v>
          </cell>
          <cell r="AS193">
            <v>210</v>
          </cell>
          <cell r="AT193">
            <v>53</v>
          </cell>
          <cell r="AX193">
            <v>0</v>
          </cell>
          <cell r="AY193">
            <v>1140</v>
          </cell>
          <cell r="AZ193">
            <v>289</v>
          </cell>
          <cell r="BA193">
            <v>25.350877192982459</v>
          </cell>
          <cell r="BF193">
            <v>0</v>
          </cell>
          <cell r="BG193">
            <v>170</v>
          </cell>
          <cell r="BH193">
            <v>43</v>
          </cell>
          <cell r="BL193">
            <v>0</v>
          </cell>
          <cell r="BM193">
            <v>170</v>
          </cell>
          <cell r="BN193">
            <v>43</v>
          </cell>
          <cell r="BR193">
            <v>0</v>
          </cell>
          <cell r="BS193">
            <v>230</v>
          </cell>
          <cell r="BT193">
            <v>59</v>
          </cell>
          <cell r="BX193">
            <v>0</v>
          </cell>
          <cell r="BY193">
            <v>270</v>
          </cell>
          <cell r="BZ193">
            <v>69</v>
          </cell>
          <cell r="CD193">
            <v>0</v>
          </cell>
          <cell r="CE193">
            <v>260</v>
          </cell>
          <cell r="CF193">
            <v>66</v>
          </cell>
          <cell r="CJ193">
            <v>0</v>
          </cell>
          <cell r="CK193">
            <v>260</v>
          </cell>
          <cell r="CL193">
            <v>66</v>
          </cell>
          <cell r="CP193">
            <v>0</v>
          </cell>
          <cell r="CQ193">
            <v>1360</v>
          </cell>
          <cell r="CR193">
            <v>346</v>
          </cell>
          <cell r="CS193">
            <v>25.441176470588232</v>
          </cell>
          <cell r="CX193">
            <v>0</v>
          </cell>
          <cell r="CY193">
            <v>450</v>
          </cell>
          <cell r="CZ193">
            <v>114</v>
          </cell>
          <cell r="DA193">
            <v>25.333333333333336</v>
          </cell>
          <cell r="DF193">
            <v>0</v>
          </cell>
          <cell r="DG193">
            <v>690</v>
          </cell>
          <cell r="DH193">
            <v>175</v>
          </cell>
          <cell r="DI193">
            <v>25.362318840579711</v>
          </cell>
          <cell r="DN193">
            <v>0</v>
          </cell>
          <cell r="DO193">
            <v>570</v>
          </cell>
          <cell r="DP193">
            <v>145</v>
          </cell>
          <cell r="DQ193">
            <v>25.438596491228072</v>
          </cell>
          <cell r="DV193">
            <v>0</v>
          </cell>
          <cell r="DW193">
            <v>790</v>
          </cell>
          <cell r="DX193">
            <v>201</v>
          </cell>
          <cell r="DY193">
            <v>25.443037974683548</v>
          </cell>
        </row>
        <row r="194">
          <cell r="F194">
            <v>0</v>
          </cell>
          <cell r="G194">
            <v>0</v>
          </cell>
          <cell r="H194">
            <v>0</v>
          </cell>
          <cell r="I194">
            <v>0</v>
          </cell>
          <cell r="N194">
            <v>0</v>
          </cell>
          <cell r="T194">
            <v>0</v>
          </cell>
          <cell r="U194">
            <v>0</v>
          </cell>
          <cell r="Z194">
            <v>0</v>
          </cell>
          <cell r="AA194">
            <v>0</v>
          </cell>
          <cell r="AF194">
            <v>0</v>
          </cell>
          <cell r="AG194">
            <v>0</v>
          </cell>
          <cell r="AL194">
            <v>0</v>
          </cell>
          <cell r="AM194">
            <v>0</v>
          </cell>
          <cell r="AR194">
            <v>0</v>
          </cell>
          <cell r="AS194">
            <v>0</v>
          </cell>
          <cell r="AX194">
            <v>0</v>
          </cell>
          <cell r="AY194">
            <v>0</v>
          </cell>
          <cell r="AZ194">
            <v>0</v>
          </cell>
          <cell r="BA194">
            <v>0</v>
          </cell>
          <cell r="BF194">
            <v>0</v>
          </cell>
          <cell r="BG194">
            <v>0</v>
          </cell>
          <cell r="BL194">
            <v>0</v>
          </cell>
          <cell r="BM194">
            <v>0</v>
          </cell>
          <cell r="BR194">
            <v>0</v>
          </cell>
          <cell r="BS194">
            <v>0</v>
          </cell>
          <cell r="BX194">
            <v>0</v>
          </cell>
          <cell r="BY194">
            <v>0</v>
          </cell>
          <cell r="CD194">
            <v>0</v>
          </cell>
          <cell r="CE194">
            <v>0</v>
          </cell>
          <cell r="CJ194">
            <v>0</v>
          </cell>
          <cell r="CK194">
            <v>0</v>
          </cell>
          <cell r="CP194">
            <v>0</v>
          </cell>
          <cell r="CQ194">
            <v>0</v>
          </cell>
          <cell r="CR194">
            <v>0</v>
          </cell>
          <cell r="CS194">
            <v>0</v>
          </cell>
          <cell r="CX194">
            <v>0</v>
          </cell>
          <cell r="CY194">
            <v>0</v>
          </cell>
          <cell r="CZ194">
            <v>0</v>
          </cell>
          <cell r="DA194">
            <v>0</v>
          </cell>
          <cell r="DF194">
            <v>0</v>
          </cell>
          <cell r="DG194">
            <v>0</v>
          </cell>
          <cell r="DH194">
            <v>0</v>
          </cell>
          <cell r="DI194">
            <v>0</v>
          </cell>
          <cell r="DN194">
            <v>0</v>
          </cell>
          <cell r="DO194">
            <v>0</v>
          </cell>
          <cell r="DP194">
            <v>0</v>
          </cell>
          <cell r="DQ194">
            <v>0</v>
          </cell>
          <cell r="DV194">
            <v>0</v>
          </cell>
          <cell r="DW194">
            <v>0</v>
          </cell>
          <cell r="DX194">
            <v>0</v>
          </cell>
          <cell r="DY194">
            <v>0</v>
          </cell>
        </row>
        <row r="195">
          <cell r="F195">
            <v>32500</v>
          </cell>
          <cell r="G195">
            <v>12000</v>
          </cell>
          <cell r="H195">
            <v>3552.9450000000006</v>
          </cell>
          <cell r="I195">
            <v>29.607875000000007</v>
          </cell>
          <cell r="N195">
            <v>1700</v>
          </cell>
          <cell r="O195">
            <v>619</v>
          </cell>
          <cell r="P195">
            <v>114.75999999999999</v>
          </cell>
          <cell r="T195">
            <v>1870</v>
          </cell>
          <cell r="U195">
            <v>733</v>
          </cell>
          <cell r="V195">
            <v>147.59799999999998</v>
          </cell>
          <cell r="Z195">
            <v>2330</v>
          </cell>
          <cell r="AA195">
            <v>840</v>
          </cell>
          <cell r="AB195">
            <v>192.93</v>
          </cell>
          <cell r="AF195">
            <v>2570</v>
          </cell>
          <cell r="AG195">
            <v>977</v>
          </cell>
          <cell r="AH195">
            <v>248.13900000000001</v>
          </cell>
          <cell r="AL195">
            <v>2730</v>
          </cell>
          <cell r="AM195">
            <v>970</v>
          </cell>
          <cell r="AN195">
            <v>276.24599999999998</v>
          </cell>
          <cell r="AR195">
            <v>2850</v>
          </cell>
          <cell r="AS195">
            <v>980</v>
          </cell>
          <cell r="AT195">
            <v>302.11400000000003</v>
          </cell>
          <cell r="AX195">
            <v>14050</v>
          </cell>
          <cell r="AY195">
            <v>5119</v>
          </cell>
          <cell r="AZ195">
            <v>1281.787</v>
          </cell>
          <cell r="BA195">
            <v>25.039792928306309</v>
          </cell>
          <cell r="BF195">
            <v>3280</v>
          </cell>
          <cell r="BG195">
            <v>1119</v>
          </cell>
          <cell r="BH195">
            <v>369.69900000000001</v>
          </cell>
          <cell r="BL195">
            <v>2700</v>
          </cell>
          <cell r="BM195">
            <v>950</v>
          </cell>
          <cell r="BN195">
            <v>312.02199999999999</v>
          </cell>
          <cell r="BR195">
            <v>2810</v>
          </cell>
          <cell r="BS195">
            <v>1131</v>
          </cell>
          <cell r="BT195">
            <v>364.53999999999996</v>
          </cell>
          <cell r="BX195">
            <v>3680</v>
          </cell>
          <cell r="BY195">
            <v>1359</v>
          </cell>
          <cell r="BZ195">
            <v>453.32000000000005</v>
          </cell>
          <cell r="CD195">
            <v>3370</v>
          </cell>
          <cell r="CE195">
            <v>1325</v>
          </cell>
          <cell r="CF195">
            <v>432.50700000000006</v>
          </cell>
          <cell r="CJ195">
            <v>2610</v>
          </cell>
          <cell r="CK195">
            <v>997</v>
          </cell>
          <cell r="CL195">
            <v>339.07000000000005</v>
          </cell>
          <cell r="CP195">
            <v>18450</v>
          </cell>
          <cell r="CQ195">
            <v>6881</v>
          </cell>
          <cell r="CR195">
            <v>2271.1579999999994</v>
          </cell>
          <cell r="CS195">
            <v>33.006220026158978</v>
          </cell>
          <cell r="CX195">
            <v>5900</v>
          </cell>
          <cell r="CY195">
            <v>2192</v>
          </cell>
          <cell r="CZ195">
            <v>455.28800000000001</v>
          </cell>
          <cell r="DA195">
            <v>20.770437956204379</v>
          </cell>
          <cell r="DF195">
            <v>8150</v>
          </cell>
          <cell r="DG195">
            <v>2927</v>
          </cell>
          <cell r="DH195">
            <v>826.49900000000002</v>
          </cell>
          <cell r="DI195">
            <v>28.237068670994191</v>
          </cell>
          <cell r="DN195">
            <v>8790</v>
          </cell>
          <cell r="DO195">
            <v>3200</v>
          </cell>
          <cell r="DP195">
            <v>1046.261</v>
          </cell>
          <cell r="DQ195">
            <v>32.695656249999999</v>
          </cell>
          <cell r="DV195">
            <v>9660</v>
          </cell>
          <cell r="DW195">
            <v>3681</v>
          </cell>
          <cell r="DX195">
            <v>1224.8969999999999</v>
          </cell>
          <cell r="DY195">
            <v>33.276202118989403</v>
          </cell>
        </row>
        <row r="196">
          <cell r="F196">
            <v>400</v>
          </cell>
          <cell r="G196">
            <v>400</v>
          </cell>
          <cell r="H196">
            <v>127.55799999999999</v>
          </cell>
          <cell r="I196">
            <v>31.889499999999998</v>
          </cell>
          <cell r="N196">
            <v>200</v>
          </cell>
          <cell r="O196">
            <v>200</v>
          </cell>
          <cell r="P196">
            <v>62.912999999999997</v>
          </cell>
          <cell r="T196">
            <v>200</v>
          </cell>
          <cell r="U196">
            <v>200</v>
          </cell>
          <cell r="V196">
            <v>64.644999999999996</v>
          </cell>
          <cell r="Z196">
            <v>0</v>
          </cell>
          <cell r="AA196">
            <v>0</v>
          </cell>
          <cell r="AB196">
            <v>0</v>
          </cell>
          <cell r="AF196">
            <v>0</v>
          </cell>
          <cell r="AG196">
            <v>0</v>
          </cell>
          <cell r="AH196">
            <v>0</v>
          </cell>
          <cell r="AL196">
            <v>0</v>
          </cell>
          <cell r="AM196">
            <v>0</v>
          </cell>
          <cell r="AN196">
            <v>0</v>
          </cell>
          <cell r="AR196">
            <v>0</v>
          </cell>
          <cell r="AS196">
            <v>0</v>
          </cell>
          <cell r="AT196">
            <v>0</v>
          </cell>
          <cell r="AX196">
            <v>400</v>
          </cell>
          <cell r="AY196">
            <v>400</v>
          </cell>
          <cell r="AZ196">
            <v>127.55799999999999</v>
          </cell>
          <cell r="BA196">
            <v>31.889499999999998</v>
          </cell>
          <cell r="BF196">
            <v>0</v>
          </cell>
          <cell r="BG196">
            <v>0</v>
          </cell>
          <cell r="BH196">
            <v>0</v>
          </cell>
          <cell r="BL196">
            <v>0</v>
          </cell>
          <cell r="BM196">
            <v>0</v>
          </cell>
          <cell r="BN196">
            <v>0</v>
          </cell>
          <cell r="BR196">
            <v>0</v>
          </cell>
          <cell r="BS196">
            <v>0</v>
          </cell>
          <cell r="BT196">
            <v>0</v>
          </cell>
          <cell r="BX196">
            <v>0</v>
          </cell>
          <cell r="BY196">
            <v>0</v>
          </cell>
          <cell r="BZ196">
            <v>0</v>
          </cell>
          <cell r="CD196">
            <v>0</v>
          </cell>
          <cell r="CE196">
            <v>0</v>
          </cell>
          <cell r="CF196">
            <v>0</v>
          </cell>
          <cell r="CJ196">
            <v>0</v>
          </cell>
          <cell r="CK196">
            <v>0</v>
          </cell>
          <cell r="CL196">
            <v>0</v>
          </cell>
          <cell r="CP196">
            <v>0</v>
          </cell>
          <cell r="CQ196">
            <v>0</v>
          </cell>
          <cell r="CR196">
            <v>0</v>
          </cell>
          <cell r="CS196">
            <v>0</v>
          </cell>
          <cell r="CX196">
            <v>400</v>
          </cell>
          <cell r="CY196">
            <v>400</v>
          </cell>
          <cell r="CZ196">
            <v>127.55799999999999</v>
          </cell>
          <cell r="DA196">
            <v>31.889499999999998</v>
          </cell>
          <cell r="DF196">
            <v>0</v>
          </cell>
          <cell r="DG196">
            <v>0</v>
          </cell>
          <cell r="DH196">
            <v>0</v>
          </cell>
          <cell r="DI196">
            <v>0</v>
          </cell>
          <cell r="DN196">
            <v>0</v>
          </cell>
          <cell r="DO196">
            <v>0</v>
          </cell>
          <cell r="DP196">
            <v>0</v>
          </cell>
          <cell r="DQ196">
            <v>0</v>
          </cell>
          <cell r="DV196">
            <v>0</v>
          </cell>
          <cell r="DW196">
            <v>0</v>
          </cell>
          <cell r="DX196">
            <v>0</v>
          </cell>
          <cell r="DY196">
            <v>0</v>
          </cell>
        </row>
        <row r="197">
          <cell r="F197">
            <v>0</v>
          </cell>
          <cell r="G197">
            <v>0</v>
          </cell>
          <cell r="H197">
            <v>0</v>
          </cell>
          <cell r="I197">
            <v>0</v>
          </cell>
          <cell r="N197">
            <v>0</v>
          </cell>
          <cell r="O197">
            <v>0</v>
          </cell>
          <cell r="T197">
            <v>0</v>
          </cell>
          <cell r="U197">
            <v>0</v>
          </cell>
          <cell r="Z197">
            <v>0</v>
          </cell>
          <cell r="AA197">
            <v>0</v>
          </cell>
          <cell r="AF197">
            <v>0</v>
          </cell>
          <cell r="AG197">
            <v>0</v>
          </cell>
          <cell r="AL197">
            <v>0</v>
          </cell>
          <cell r="AM197">
            <v>0</v>
          </cell>
          <cell r="AR197">
            <v>0</v>
          </cell>
          <cell r="AS197">
            <v>0</v>
          </cell>
          <cell r="AX197">
            <v>0</v>
          </cell>
          <cell r="AY197">
            <v>0</v>
          </cell>
          <cell r="AZ197">
            <v>0</v>
          </cell>
          <cell r="BA197">
            <v>0</v>
          </cell>
          <cell r="BF197">
            <v>0</v>
          </cell>
          <cell r="BG197">
            <v>0</v>
          </cell>
          <cell r="BL197">
            <v>0</v>
          </cell>
          <cell r="BM197">
            <v>0</v>
          </cell>
          <cell r="BR197">
            <v>0</v>
          </cell>
          <cell r="BS197">
            <v>0</v>
          </cell>
          <cell r="BX197">
            <v>0</v>
          </cell>
          <cell r="BY197">
            <v>0</v>
          </cell>
          <cell r="CD197">
            <v>0</v>
          </cell>
          <cell r="CE197">
            <v>0</v>
          </cell>
          <cell r="CJ197">
            <v>0</v>
          </cell>
          <cell r="CK197">
            <v>0</v>
          </cell>
          <cell r="CP197">
            <v>0</v>
          </cell>
          <cell r="CQ197">
            <v>0</v>
          </cell>
          <cell r="CR197">
            <v>0</v>
          </cell>
          <cell r="CS197">
            <v>0</v>
          </cell>
          <cell r="CX197">
            <v>0</v>
          </cell>
          <cell r="CY197">
            <v>0</v>
          </cell>
          <cell r="CZ197">
            <v>0</v>
          </cell>
          <cell r="DA197">
            <v>0</v>
          </cell>
          <cell r="DF197">
            <v>0</v>
          </cell>
          <cell r="DG197">
            <v>0</v>
          </cell>
          <cell r="DH197">
            <v>0</v>
          </cell>
          <cell r="DI197">
            <v>0</v>
          </cell>
          <cell r="DN197">
            <v>0</v>
          </cell>
          <cell r="DO197">
            <v>0</v>
          </cell>
          <cell r="DP197">
            <v>0</v>
          </cell>
          <cell r="DQ197">
            <v>0</v>
          </cell>
          <cell r="DV197">
            <v>0</v>
          </cell>
          <cell r="DW197">
            <v>0</v>
          </cell>
          <cell r="DX197">
            <v>0</v>
          </cell>
          <cell r="DY197">
            <v>0</v>
          </cell>
        </row>
        <row r="198">
          <cell r="F198">
            <v>0</v>
          </cell>
          <cell r="G198">
            <v>0</v>
          </cell>
          <cell r="H198">
            <v>0</v>
          </cell>
          <cell r="I198">
            <v>0</v>
          </cell>
          <cell r="N198">
            <v>0</v>
          </cell>
          <cell r="O198">
            <v>0</v>
          </cell>
          <cell r="T198">
            <v>0</v>
          </cell>
          <cell r="U198">
            <v>0</v>
          </cell>
          <cell r="Z198">
            <v>0</v>
          </cell>
          <cell r="AA198">
            <v>0</v>
          </cell>
          <cell r="AF198">
            <v>0</v>
          </cell>
          <cell r="AG198">
            <v>0</v>
          </cell>
          <cell r="AL198">
            <v>0</v>
          </cell>
          <cell r="AM198">
            <v>0</v>
          </cell>
          <cell r="AR198">
            <v>0</v>
          </cell>
          <cell r="AS198">
            <v>0</v>
          </cell>
          <cell r="AX198">
            <v>0</v>
          </cell>
          <cell r="AY198">
            <v>0</v>
          </cell>
          <cell r="AZ198">
            <v>0</v>
          </cell>
          <cell r="BA198">
            <v>0</v>
          </cell>
          <cell r="BF198">
            <v>0</v>
          </cell>
          <cell r="BG198">
            <v>0</v>
          </cell>
          <cell r="BL198">
            <v>0</v>
          </cell>
          <cell r="BM198">
            <v>0</v>
          </cell>
          <cell r="BR198">
            <v>0</v>
          </cell>
          <cell r="BS198">
            <v>0</v>
          </cell>
          <cell r="BX198">
            <v>0</v>
          </cell>
          <cell r="BY198">
            <v>0</v>
          </cell>
          <cell r="CD198">
            <v>0</v>
          </cell>
          <cell r="CE198">
            <v>0</v>
          </cell>
          <cell r="CJ198">
            <v>0</v>
          </cell>
          <cell r="CK198">
            <v>0</v>
          </cell>
          <cell r="CP198">
            <v>0</v>
          </cell>
          <cell r="CQ198">
            <v>0</v>
          </cell>
          <cell r="CR198">
            <v>0</v>
          </cell>
          <cell r="CS198">
            <v>0</v>
          </cell>
          <cell r="CX198">
            <v>0</v>
          </cell>
          <cell r="CY198">
            <v>0</v>
          </cell>
          <cell r="CZ198">
            <v>0</v>
          </cell>
          <cell r="DA198">
            <v>0</v>
          </cell>
          <cell r="DF198">
            <v>0</v>
          </cell>
          <cell r="DG198">
            <v>0</v>
          </cell>
          <cell r="DH198">
            <v>0</v>
          </cell>
          <cell r="DI198">
            <v>0</v>
          </cell>
          <cell r="DN198">
            <v>0</v>
          </cell>
          <cell r="DO198">
            <v>0</v>
          </cell>
          <cell r="DP198">
            <v>0</v>
          </cell>
          <cell r="DQ198">
            <v>0</v>
          </cell>
          <cell r="DV198">
            <v>0</v>
          </cell>
          <cell r="DW198">
            <v>0</v>
          </cell>
          <cell r="DX198">
            <v>0</v>
          </cell>
          <cell r="DY198">
            <v>0</v>
          </cell>
        </row>
        <row r="199">
          <cell r="F199">
            <v>0</v>
          </cell>
          <cell r="G199">
            <v>0</v>
          </cell>
          <cell r="H199">
            <v>0</v>
          </cell>
          <cell r="I199">
            <v>0</v>
          </cell>
          <cell r="N199">
            <v>0</v>
          </cell>
          <cell r="O199">
            <v>0</v>
          </cell>
          <cell r="T199">
            <v>0</v>
          </cell>
          <cell r="U199">
            <v>0</v>
          </cell>
          <cell r="Z199">
            <v>0</v>
          </cell>
          <cell r="AA199">
            <v>0</v>
          </cell>
          <cell r="AF199">
            <v>0</v>
          </cell>
          <cell r="AG199">
            <v>0</v>
          </cell>
          <cell r="AL199">
            <v>0</v>
          </cell>
          <cell r="AM199">
            <v>0</v>
          </cell>
          <cell r="AR199">
            <v>0</v>
          </cell>
          <cell r="AS199">
            <v>0</v>
          </cell>
          <cell r="AX199">
            <v>0</v>
          </cell>
          <cell r="AY199">
            <v>0</v>
          </cell>
          <cell r="AZ199">
            <v>0</v>
          </cell>
          <cell r="BA199">
            <v>0</v>
          </cell>
          <cell r="BF199">
            <v>0</v>
          </cell>
          <cell r="BG199">
            <v>0</v>
          </cell>
          <cell r="BL199">
            <v>0</v>
          </cell>
          <cell r="BM199">
            <v>0</v>
          </cell>
          <cell r="BR199">
            <v>0</v>
          </cell>
          <cell r="BS199">
            <v>0</v>
          </cell>
          <cell r="BX199">
            <v>0</v>
          </cell>
          <cell r="BY199">
            <v>0</v>
          </cell>
          <cell r="CD199">
            <v>0</v>
          </cell>
          <cell r="CE199">
            <v>0</v>
          </cell>
          <cell r="CJ199">
            <v>0</v>
          </cell>
          <cell r="CK199">
            <v>0</v>
          </cell>
          <cell r="CP199">
            <v>0</v>
          </cell>
          <cell r="CQ199">
            <v>0</v>
          </cell>
          <cell r="CR199">
            <v>0</v>
          </cell>
          <cell r="CS199">
            <v>0</v>
          </cell>
          <cell r="CX199">
            <v>0</v>
          </cell>
          <cell r="CY199">
            <v>0</v>
          </cell>
          <cell r="CZ199">
            <v>0</v>
          </cell>
          <cell r="DA199">
            <v>0</v>
          </cell>
          <cell r="DF199">
            <v>0</v>
          </cell>
          <cell r="DG199">
            <v>0</v>
          </cell>
          <cell r="DH199">
            <v>0</v>
          </cell>
          <cell r="DI199">
            <v>0</v>
          </cell>
          <cell r="DN199">
            <v>0</v>
          </cell>
          <cell r="DO199">
            <v>0</v>
          </cell>
          <cell r="DP199">
            <v>0</v>
          </cell>
          <cell r="DQ199">
            <v>0</v>
          </cell>
          <cell r="DV199">
            <v>0</v>
          </cell>
          <cell r="DW199">
            <v>0</v>
          </cell>
          <cell r="DX199">
            <v>0</v>
          </cell>
          <cell r="DY199">
            <v>0</v>
          </cell>
        </row>
        <row r="200">
          <cell r="F200">
            <v>0</v>
          </cell>
          <cell r="G200">
            <v>0</v>
          </cell>
          <cell r="H200">
            <v>0</v>
          </cell>
          <cell r="I200">
            <v>0</v>
          </cell>
          <cell r="AX200">
            <v>0</v>
          </cell>
          <cell r="AY200">
            <v>0</v>
          </cell>
          <cell r="AZ200">
            <v>0</v>
          </cell>
          <cell r="BA200">
            <v>0</v>
          </cell>
          <cell r="CP200">
            <v>0</v>
          </cell>
          <cell r="CQ200">
            <v>0</v>
          </cell>
          <cell r="CR200">
            <v>0</v>
          </cell>
          <cell r="CS200">
            <v>0</v>
          </cell>
          <cell r="CX200">
            <v>0</v>
          </cell>
          <cell r="CY200">
            <v>0</v>
          </cell>
          <cell r="CZ200">
            <v>0</v>
          </cell>
          <cell r="DA200">
            <v>0</v>
          </cell>
          <cell r="DF200">
            <v>0</v>
          </cell>
          <cell r="DG200">
            <v>0</v>
          </cell>
          <cell r="DH200">
            <v>0</v>
          </cell>
          <cell r="DI200">
            <v>0</v>
          </cell>
          <cell r="DN200">
            <v>0</v>
          </cell>
          <cell r="DO200">
            <v>0</v>
          </cell>
          <cell r="DP200">
            <v>0</v>
          </cell>
          <cell r="DQ200">
            <v>0</v>
          </cell>
          <cell r="DV200">
            <v>0</v>
          </cell>
          <cell r="DW200">
            <v>0</v>
          </cell>
          <cell r="DX200">
            <v>0</v>
          </cell>
          <cell r="DY200">
            <v>0</v>
          </cell>
        </row>
        <row r="201">
          <cell r="F201">
            <v>0</v>
          </cell>
          <cell r="G201">
            <v>0</v>
          </cell>
          <cell r="H201">
            <v>0</v>
          </cell>
          <cell r="I201">
            <v>0</v>
          </cell>
          <cell r="N201">
            <v>0</v>
          </cell>
          <cell r="O201">
            <v>0</v>
          </cell>
          <cell r="T201">
            <v>0</v>
          </cell>
          <cell r="U201">
            <v>0</v>
          </cell>
          <cell r="Z201">
            <v>0</v>
          </cell>
          <cell r="AA201">
            <v>0</v>
          </cell>
          <cell r="AF201">
            <v>0</v>
          </cell>
          <cell r="AG201">
            <v>0</v>
          </cell>
          <cell r="AL201">
            <v>0</v>
          </cell>
          <cell r="AM201">
            <v>0</v>
          </cell>
          <cell r="AR201">
            <v>0</v>
          </cell>
          <cell r="AS201">
            <v>0</v>
          </cell>
          <cell r="AX201">
            <v>0</v>
          </cell>
          <cell r="AY201">
            <v>0</v>
          </cell>
          <cell r="AZ201">
            <v>0</v>
          </cell>
          <cell r="BA201">
            <v>0</v>
          </cell>
          <cell r="BF201">
            <v>0</v>
          </cell>
          <cell r="BG201">
            <v>0</v>
          </cell>
          <cell r="BL201">
            <v>0</v>
          </cell>
          <cell r="BM201">
            <v>0</v>
          </cell>
          <cell r="BR201">
            <v>0</v>
          </cell>
          <cell r="BS201">
            <v>0</v>
          </cell>
          <cell r="BX201">
            <v>0</v>
          </cell>
          <cell r="BY201">
            <v>0</v>
          </cell>
          <cell r="CD201">
            <v>0</v>
          </cell>
          <cell r="CE201">
            <v>0</v>
          </cell>
          <cell r="CJ201">
            <v>0</v>
          </cell>
          <cell r="CK201">
            <v>0</v>
          </cell>
          <cell r="CP201">
            <v>0</v>
          </cell>
          <cell r="CQ201">
            <v>0</v>
          </cell>
          <cell r="CR201">
            <v>0</v>
          </cell>
          <cell r="CS201">
            <v>0</v>
          </cell>
          <cell r="CX201">
            <v>0</v>
          </cell>
          <cell r="CY201">
            <v>0</v>
          </cell>
          <cell r="CZ201">
            <v>0</v>
          </cell>
          <cell r="DA201">
            <v>0</v>
          </cell>
          <cell r="DF201">
            <v>0</v>
          </cell>
          <cell r="DG201">
            <v>0</v>
          </cell>
          <cell r="DH201">
            <v>0</v>
          </cell>
          <cell r="DI201">
            <v>0</v>
          </cell>
          <cell r="DN201">
            <v>0</v>
          </cell>
          <cell r="DO201">
            <v>0</v>
          </cell>
          <cell r="DP201">
            <v>0</v>
          </cell>
          <cell r="DQ201">
            <v>0</v>
          </cell>
          <cell r="DV201">
            <v>0</v>
          </cell>
          <cell r="DW201">
            <v>0</v>
          </cell>
          <cell r="DX201">
            <v>0</v>
          </cell>
          <cell r="DY201">
            <v>0</v>
          </cell>
        </row>
        <row r="202">
          <cell r="F202">
            <v>3500</v>
          </cell>
          <cell r="G202">
            <v>4200</v>
          </cell>
          <cell r="H202">
            <v>2459.192</v>
          </cell>
          <cell r="I202">
            <v>58.552190476190482</v>
          </cell>
          <cell r="N202">
            <v>0</v>
          </cell>
          <cell r="O202">
            <v>0</v>
          </cell>
          <cell r="P202">
            <v>0</v>
          </cell>
          <cell r="T202">
            <v>0</v>
          </cell>
          <cell r="U202">
            <v>0</v>
          </cell>
          <cell r="V202">
            <v>0</v>
          </cell>
          <cell r="Z202">
            <v>200</v>
          </cell>
          <cell r="AA202">
            <v>240</v>
          </cell>
          <cell r="AB202">
            <v>125.881</v>
          </cell>
          <cell r="AF202">
            <v>300</v>
          </cell>
          <cell r="AG202">
            <v>360</v>
          </cell>
          <cell r="AH202">
            <v>189.15700000000001</v>
          </cell>
          <cell r="AL202">
            <v>340</v>
          </cell>
          <cell r="AM202">
            <v>408</v>
          </cell>
          <cell r="AN202">
            <v>216.41900000000001</v>
          </cell>
          <cell r="AR202">
            <v>340</v>
          </cell>
          <cell r="AS202">
            <v>408</v>
          </cell>
          <cell r="AT202">
            <v>219.392</v>
          </cell>
          <cell r="AX202">
            <v>1180</v>
          </cell>
          <cell r="AY202">
            <v>1416</v>
          </cell>
          <cell r="AZ202">
            <v>750.84900000000005</v>
          </cell>
          <cell r="BA202">
            <v>53.026059322033902</v>
          </cell>
          <cell r="BF202">
            <v>300</v>
          </cell>
          <cell r="BG202">
            <v>360</v>
          </cell>
          <cell r="BH202">
            <v>205.19</v>
          </cell>
          <cell r="BL202">
            <v>230</v>
          </cell>
          <cell r="BM202">
            <v>276</v>
          </cell>
          <cell r="BN202">
            <v>166.614</v>
          </cell>
          <cell r="BR202">
            <v>420</v>
          </cell>
          <cell r="BS202">
            <v>504</v>
          </cell>
          <cell r="BT202">
            <v>307.58800000000002</v>
          </cell>
          <cell r="BX202">
            <v>420</v>
          </cell>
          <cell r="BY202">
            <v>504</v>
          </cell>
          <cell r="BZ202">
            <v>312.209</v>
          </cell>
          <cell r="CD202">
            <v>460</v>
          </cell>
          <cell r="CE202">
            <v>552</v>
          </cell>
          <cell r="CF202">
            <v>345.66500000000002</v>
          </cell>
          <cell r="CJ202">
            <v>490</v>
          </cell>
          <cell r="CK202">
            <v>588</v>
          </cell>
          <cell r="CL202">
            <v>371.077</v>
          </cell>
          <cell r="CP202">
            <v>2320</v>
          </cell>
          <cell r="CQ202">
            <v>2784</v>
          </cell>
          <cell r="CR202">
            <v>1708.3430000000001</v>
          </cell>
          <cell r="CS202">
            <v>61.362895114942532</v>
          </cell>
          <cell r="CX202">
            <v>200</v>
          </cell>
          <cell r="CY202">
            <v>240</v>
          </cell>
          <cell r="CZ202">
            <v>125.881</v>
          </cell>
          <cell r="DA202">
            <v>52.450416666666669</v>
          </cell>
          <cell r="DF202">
            <v>980</v>
          </cell>
          <cell r="DG202">
            <v>1176</v>
          </cell>
          <cell r="DH202">
            <v>624.96800000000007</v>
          </cell>
          <cell r="DI202">
            <v>53.143537414965991</v>
          </cell>
          <cell r="DN202">
            <v>950</v>
          </cell>
          <cell r="DO202">
            <v>1140</v>
          </cell>
          <cell r="DP202">
            <v>679.39200000000005</v>
          </cell>
          <cell r="DQ202">
            <v>59.595789473684214</v>
          </cell>
          <cell r="DV202">
            <v>1370</v>
          </cell>
          <cell r="DW202">
            <v>1644</v>
          </cell>
          <cell r="DX202">
            <v>1028.951</v>
          </cell>
          <cell r="DY202">
            <v>62.588260340632608</v>
          </cell>
        </row>
        <row r="203">
          <cell r="F203">
            <v>0</v>
          </cell>
          <cell r="G203">
            <v>0</v>
          </cell>
          <cell r="H203">
            <v>0</v>
          </cell>
          <cell r="I203">
            <v>0</v>
          </cell>
          <cell r="AX203">
            <v>0</v>
          </cell>
          <cell r="AY203">
            <v>0</v>
          </cell>
          <cell r="AZ203">
            <v>0</v>
          </cell>
          <cell r="BA203">
            <v>0</v>
          </cell>
          <cell r="CP203">
            <v>0</v>
          </cell>
          <cell r="CQ203">
            <v>0</v>
          </cell>
          <cell r="CR203">
            <v>0</v>
          </cell>
          <cell r="CS203">
            <v>0</v>
          </cell>
          <cell r="CX203">
            <v>0</v>
          </cell>
          <cell r="CY203">
            <v>0</v>
          </cell>
          <cell r="CZ203">
            <v>0</v>
          </cell>
          <cell r="DA203">
            <v>0</v>
          </cell>
          <cell r="DF203">
            <v>0</v>
          </cell>
          <cell r="DG203">
            <v>0</v>
          </cell>
          <cell r="DH203">
            <v>0</v>
          </cell>
          <cell r="DI203">
            <v>0</v>
          </cell>
          <cell r="DN203">
            <v>0</v>
          </cell>
          <cell r="DO203">
            <v>0</v>
          </cell>
          <cell r="DP203">
            <v>0</v>
          </cell>
          <cell r="DQ203">
            <v>0</v>
          </cell>
          <cell r="DV203">
            <v>0</v>
          </cell>
          <cell r="DW203">
            <v>0</v>
          </cell>
          <cell r="DX203">
            <v>0</v>
          </cell>
          <cell r="DY203">
            <v>0</v>
          </cell>
        </row>
        <row r="204">
          <cell r="F204">
            <v>0</v>
          </cell>
          <cell r="G204">
            <v>0</v>
          </cell>
          <cell r="H204">
            <v>0</v>
          </cell>
          <cell r="I204">
            <v>0</v>
          </cell>
          <cell r="N204">
            <v>0</v>
          </cell>
          <cell r="O204">
            <v>0</v>
          </cell>
          <cell r="T204">
            <v>0</v>
          </cell>
          <cell r="U204">
            <v>0</v>
          </cell>
          <cell r="Z204">
            <v>0</v>
          </cell>
          <cell r="AA204">
            <v>0</v>
          </cell>
          <cell r="AF204">
            <v>0</v>
          </cell>
          <cell r="AG204">
            <v>0</v>
          </cell>
          <cell r="AL204">
            <v>0</v>
          </cell>
          <cell r="AM204">
            <v>0</v>
          </cell>
          <cell r="AR204">
            <v>0</v>
          </cell>
          <cell r="AS204">
            <v>0</v>
          </cell>
          <cell r="AX204">
            <v>0</v>
          </cell>
          <cell r="AY204">
            <v>0</v>
          </cell>
          <cell r="AZ204">
            <v>0</v>
          </cell>
          <cell r="BA204">
            <v>0</v>
          </cell>
          <cell r="BF204">
            <v>0</v>
          </cell>
          <cell r="BG204">
            <v>0</v>
          </cell>
          <cell r="BL204">
            <v>0</v>
          </cell>
          <cell r="BM204">
            <v>0</v>
          </cell>
          <cell r="BR204">
            <v>0</v>
          </cell>
          <cell r="BS204">
            <v>0</v>
          </cell>
          <cell r="BX204">
            <v>0</v>
          </cell>
          <cell r="BY204">
            <v>0</v>
          </cell>
          <cell r="CD204">
            <v>0</v>
          </cell>
          <cell r="CE204">
            <v>0</v>
          </cell>
          <cell r="CJ204">
            <v>0</v>
          </cell>
          <cell r="CK204">
            <v>0</v>
          </cell>
          <cell r="CP204">
            <v>0</v>
          </cell>
          <cell r="CQ204">
            <v>0</v>
          </cell>
          <cell r="CR204">
            <v>0</v>
          </cell>
          <cell r="CS204">
            <v>0</v>
          </cell>
          <cell r="CX204">
            <v>0</v>
          </cell>
          <cell r="CY204">
            <v>0</v>
          </cell>
          <cell r="CZ204">
            <v>0</v>
          </cell>
          <cell r="DA204">
            <v>0</v>
          </cell>
          <cell r="DF204">
            <v>0</v>
          </cell>
          <cell r="DG204">
            <v>0</v>
          </cell>
          <cell r="DH204">
            <v>0</v>
          </cell>
          <cell r="DI204">
            <v>0</v>
          </cell>
          <cell r="DN204">
            <v>0</v>
          </cell>
          <cell r="DO204">
            <v>0</v>
          </cell>
          <cell r="DP204">
            <v>0</v>
          </cell>
          <cell r="DQ204">
            <v>0</v>
          </cell>
          <cell r="DV204">
            <v>0</v>
          </cell>
          <cell r="DW204">
            <v>0</v>
          </cell>
          <cell r="DX204">
            <v>0</v>
          </cell>
          <cell r="DY204">
            <v>0</v>
          </cell>
        </row>
        <row r="205">
          <cell r="F205">
            <v>0</v>
          </cell>
          <cell r="G205">
            <v>0</v>
          </cell>
          <cell r="H205">
            <v>0</v>
          </cell>
          <cell r="I205">
            <v>0</v>
          </cell>
          <cell r="N205">
            <v>0</v>
          </cell>
          <cell r="O205">
            <v>0</v>
          </cell>
          <cell r="T205">
            <v>0</v>
          </cell>
          <cell r="U205">
            <v>0</v>
          </cell>
          <cell r="Z205">
            <v>0</v>
          </cell>
          <cell r="AA205">
            <v>0</v>
          </cell>
          <cell r="AF205">
            <v>0</v>
          </cell>
          <cell r="AG205">
            <v>0</v>
          </cell>
          <cell r="AL205">
            <v>0</v>
          </cell>
          <cell r="AM205">
            <v>0</v>
          </cell>
          <cell r="AR205">
            <v>0</v>
          </cell>
          <cell r="AS205">
            <v>0</v>
          </cell>
          <cell r="AX205">
            <v>0</v>
          </cell>
          <cell r="AY205">
            <v>0</v>
          </cell>
          <cell r="AZ205">
            <v>0</v>
          </cell>
          <cell r="BA205">
            <v>0</v>
          </cell>
          <cell r="BF205">
            <v>0</v>
          </cell>
          <cell r="BG205">
            <v>0</v>
          </cell>
          <cell r="BL205">
            <v>0</v>
          </cell>
          <cell r="BM205">
            <v>0</v>
          </cell>
          <cell r="BR205">
            <v>0</v>
          </cell>
          <cell r="BS205">
            <v>0</v>
          </cell>
          <cell r="BX205">
            <v>0</v>
          </cell>
          <cell r="BY205">
            <v>0</v>
          </cell>
          <cell r="CD205">
            <v>0</v>
          </cell>
          <cell r="CE205">
            <v>0</v>
          </cell>
          <cell r="CJ205">
            <v>0</v>
          </cell>
          <cell r="CK205">
            <v>0</v>
          </cell>
          <cell r="CP205">
            <v>0</v>
          </cell>
          <cell r="CQ205">
            <v>0</v>
          </cell>
          <cell r="CR205">
            <v>0</v>
          </cell>
          <cell r="CS205">
            <v>0</v>
          </cell>
          <cell r="CX205">
            <v>0</v>
          </cell>
          <cell r="CY205">
            <v>0</v>
          </cell>
          <cell r="CZ205">
            <v>0</v>
          </cell>
          <cell r="DA205">
            <v>0</v>
          </cell>
          <cell r="DF205">
            <v>0</v>
          </cell>
          <cell r="DG205">
            <v>0</v>
          </cell>
          <cell r="DH205">
            <v>0</v>
          </cell>
          <cell r="DI205">
            <v>0</v>
          </cell>
          <cell r="DN205">
            <v>0</v>
          </cell>
          <cell r="DO205">
            <v>0</v>
          </cell>
          <cell r="DP205">
            <v>0</v>
          </cell>
          <cell r="DQ205">
            <v>0</v>
          </cell>
          <cell r="DV205">
            <v>0</v>
          </cell>
          <cell r="DW205">
            <v>0</v>
          </cell>
          <cell r="DX205">
            <v>0</v>
          </cell>
          <cell r="DY205">
            <v>0</v>
          </cell>
        </row>
        <row r="206">
          <cell r="F206">
            <v>2500</v>
          </cell>
          <cell r="G206">
            <v>250</v>
          </cell>
          <cell r="H206">
            <v>162.5</v>
          </cell>
          <cell r="I206">
            <v>65</v>
          </cell>
          <cell r="N206">
            <v>200</v>
          </cell>
          <cell r="O206">
            <v>20</v>
          </cell>
          <cell r="P206">
            <v>13</v>
          </cell>
          <cell r="T206">
            <v>200</v>
          </cell>
          <cell r="U206">
            <v>20</v>
          </cell>
          <cell r="V206">
            <v>13</v>
          </cell>
          <cell r="Z206">
            <v>300</v>
          </cell>
          <cell r="AA206">
            <v>30</v>
          </cell>
          <cell r="AB206">
            <v>19.5</v>
          </cell>
          <cell r="AF206">
            <v>250</v>
          </cell>
          <cell r="AG206">
            <v>25</v>
          </cell>
          <cell r="AH206">
            <v>16.25</v>
          </cell>
          <cell r="AL206">
            <v>300</v>
          </cell>
          <cell r="AM206">
            <v>30</v>
          </cell>
          <cell r="AN206">
            <v>19.5</v>
          </cell>
          <cell r="AR206">
            <v>250</v>
          </cell>
          <cell r="AS206">
            <v>25</v>
          </cell>
          <cell r="AT206">
            <v>16.25</v>
          </cell>
          <cell r="AX206">
            <v>1500</v>
          </cell>
          <cell r="AY206">
            <v>150</v>
          </cell>
          <cell r="AZ206">
            <v>97.5</v>
          </cell>
          <cell r="BA206">
            <v>65</v>
          </cell>
          <cell r="BF206">
            <v>200</v>
          </cell>
          <cell r="BG206">
            <v>20</v>
          </cell>
          <cell r="BH206">
            <v>13</v>
          </cell>
          <cell r="BL206">
            <v>200</v>
          </cell>
          <cell r="BM206">
            <v>20</v>
          </cell>
          <cell r="BN206">
            <v>13</v>
          </cell>
          <cell r="BR206">
            <v>200</v>
          </cell>
          <cell r="BS206">
            <v>20</v>
          </cell>
          <cell r="BT206">
            <v>13</v>
          </cell>
          <cell r="BX206">
            <v>200</v>
          </cell>
          <cell r="BY206">
            <v>20</v>
          </cell>
          <cell r="BZ206">
            <v>13</v>
          </cell>
          <cell r="CD206">
            <v>100</v>
          </cell>
          <cell r="CE206">
            <v>10</v>
          </cell>
          <cell r="CF206">
            <v>6.5</v>
          </cell>
          <cell r="CJ206">
            <v>100</v>
          </cell>
          <cell r="CK206">
            <v>10</v>
          </cell>
          <cell r="CL206">
            <v>6.5</v>
          </cell>
          <cell r="CP206">
            <v>1000</v>
          </cell>
          <cell r="CQ206">
            <v>100</v>
          </cell>
          <cell r="CR206">
            <v>65</v>
          </cell>
          <cell r="CS206">
            <v>65</v>
          </cell>
          <cell r="CX206">
            <v>700</v>
          </cell>
          <cell r="CY206">
            <v>70</v>
          </cell>
          <cell r="CZ206">
            <v>45.5</v>
          </cell>
          <cell r="DA206">
            <v>65</v>
          </cell>
          <cell r="DF206">
            <v>800</v>
          </cell>
          <cell r="DG206">
            <v>80</v>
          </cell>
          <cell r="DH206">
            <v>52</v>
          </cell>
          <cell r="DI206">
            <v>65</v>
          </cell>
          <cell r="DN206">
            <v>600</v>
          </cell>
          <cell r="DO206">
            <v>60</v>
          </cell>
          <cell r="DP206">
            <v>39</v>
          </cell>
          <cell r="DQ206">
            <v>65</v>
          </cell>
          <cell r="DV206">
            <v>400</v>
          </cell>
          <cell r="DW206">
            <v>40</v>
          </cell>
          <cell r="DX206">
            <v>26</v>
          </cell>
          <cell r="DY206">
            <v>65</v>
          </cell>
        </row>
        <row r="207">
          <cell r="F207">
            <v>2204</v>
          </cell>
          <cell r="G207">
            <v>551</v>
          </cell>
          <cell r="H207">
            <v>321.60199999999998</v>
          </cell>
          <cell r="I207">
            <v>58.366969147005442</v>
          </cell>
          <cell r="N207">
            <v>0</v>
          </cell>
          <cell r="O207">
            <v>0</v>
          </cell>
          <cell r="P207">
            <v>0</v>
          </cell>
          <cell r="T207">
            <v>0</v>
          </cell>
          <cell r="U207">
            <v>0</v>
          </cell>
          <cell r="V207">
            <v>0</v>
          </cell>
          <cell r="Z207">
            <v>200</v>
          </cell>
          <cell r="AA207">
            <v>50</v>
          </cell>
          <cell r="AB207">
            <v>28.776</v>
          </cell>
          <cell r="AF207">
            <v>150</v>
          </cell>
          <cell r="AG207">
            <v>37.5</v>
          </cell>
          <cell r="AH207">
            <v>22.082000000000001</v>
          </cell>
          <cell r="AL207">
            <v>210</v>
          </cell>
          <cell r="AM207">
            <v>52.5</v>
          </cell>
          <cell r="AN207">
            <v>30.716999999999999</v>
          </cell>
          <cell r="AR207">
            <v>260</v>
          </cell>
          <cell r="AS207">
            <v>65</v>
          </cell>
          <cell r="AT207">
            <v>37.408999999999999</v>
          </cell>
          <cell r="AX207">
            <v>820</v>
          </cell>
          <cell r="AY207">
            <v>205</v>
          </cell>
          <cell r="AZ207">
            <v>118.98399999999999</v>
          </cell>
          <cell r="BA207">
            <v>58.040975609756096</v>
          </cell>
          <cell r="BF207">
            <v>200</v>
          </cell>
          <cell r="BG207">
            <v>50</v>
          </cell>
          <cell r="BH207">
            <v>29.277999999999999</v>
          </cell>
          <cell r="BL207">
            <v>116</v>
          </cell>
          <cell r="BM207">
            <v>29</v>
          </cell>
          <cell r="BN207">
            <v>16.981999999999999</v>
          </cell>
          <cell r="BR207">
            <v>224</v>
          </cell>
          <cell r="BS207">
            <v>56</v>
          </cell>
          <cell r="BT207">
            <v>32.795999999999999</v>
          </cell>
          <cell r="BX207">
            <v>284</v>
          </cell>
          <cell r="BY207">
            <v>71</v>
          </cell>
          <cell r="BZ207">
            <v>41.578000000000003</v>
          </cell>
          <cell r="CD207">
            <v>292</v>
          </cell>
          <cell r="CE207">
            <v>73</v>
          </cell>
          <cell r="CF207">
            <v>42.749000000000002</v>
          </cell>
          <cell r="CJ207">
            <v>268</v>
          </cell>
          <cell r="CK207">
            <v>67</v>
          </cell>
          <cell r="CL207">
            <v>39.234999999999999</v>
          </cell>
          <cell r="CP207">
            <v>1384</v>
          </cell>
          <cell r="CQ207">
            <v>346</v>
          </cell>
          <cell r="CR207">
            <v>202.61799999999999</v>
          </cell>
          <cell r="CS207">
            <v>58.560115606936414</v>
          </cell>
          <cell r="CX207">
            <v>200</v>
          </cell>
          <cell r="CY207">
            <v>50</v>
          </cell>
          <cell r="CZ207">
            <v>28.776</v>
          </cell>
          <cell r="DA207">
            <v>57.552000000000007</v>
          </cell>
          <cell r="DF207">
            <v>620</v>
          </cell>
          <cell r="DG207">
            <v>155</v>
          </cell>
          <cell r="DH207">
            <v>90.207999999999998</v>
          </cell>
          <cell r="DI207">
            <v>58.198709677419359</v>
          </cell>
          <cell r="DN207">
            <v>540</v>
          </cell>
          <cell r="DO207">
            <v>135</v>
          </cell>
          <cell r="DP207">
            <v>79.055999999999997</v>
          </cell>
          <cell r="DQ207">
            <v>58.56</v>
          </cell>
          <cell r="DV207">
            <v>844</v>
          </cell>
          <cell r="DW207">
            <v>211</v>
          </cell>
          <cell r="DX207">
            <v>123.562</v>
          </cell>
          <cell r="DY207">
            <v>58.560189573459724</v>
          </cell>
        </row>
        <row r="208">
          <cell r="F208">
            <v>8604</v>
          </cell>
          <cell r="G208">
            <v>5401</v>
          </cell>
          <cell r="H208">
            <v>3070.8519999999999</v>
          </cell>
          <cell r="I208">
            <v>56.857100536937601</v>
          </cell>
          <cell r="N208">
            <v>400</v>
          </cell>
          <cell r="O208">
            <v>220</v>
          </cell>
          <cell r="P208">
            <v>75.912999999999997</v>
          </cell>
          <cell r="T208">
            <v>400</v>
          </cell>
          <cell r="U208">
            <v>220</v>
          </cell>
          <cell r="V208">
            <v>77.644999999999996</v>
          </cell>
          <cell r="Z208">
            <v>700</v>
          </cell>
          <cell r="AA208">
            <v>320</v>
          </cell>
          <cell r="AB208">
            <v>174.15700000000001</v>
          </cell>
          <cell r="AF208">
            <v>700</v>
          </cell>
          <cell r="AG208">
            <v>422.5</v>
          </cell>
          <cell r="AH208">
            <v>227.489</v>
          </cell>
          <cell r="AL208">
            <v>850</v>
          </cell>
          <cell r="AM208">
            <v>490.5</v>
          </cell>
          <cell r="AN208">
            <v>266.63600000000002</v>
          </cell>
          <cell r="AR208">
            <v>850</v>
          </cell>
          <cell r="AS208">
            <v>498</v>
          </cell>
          <cell r="AT208">
            <v>273.05099999999999</v>
          </cell>
          <cell r="AX208">
            <v>3900</v>
          </cell>
          <cell r="AY208">
            <v>2171</v>
          </cell>
          <cell r="AZ208">
            <v>1094.8910000000001</v>
          </cell>
          <cell r="BA208">
            <v>50.432565637954866</v>
          </cell>
          <cell r="BF208">
            <v>700</v>
          </cell>
          <cell r="BG208">
            <v>430</v>
          </cell>
          <cell r="BH208">
            <v>247.46799999999999</v>
          </cell>
          <cell r="BL208">
            <v>546</v>
          </cell>
          <cell r="BM208">
            <v>325</v>
          </cell>
          <cell r="BN208">
            <v>196.596</v>
          </cell>
          <cell r="BR208">
            <v>844</v>
          </cell>
          <cell r="BS208">
            <v>580</v>
          </cell>
          <cell r="BT208">
            <v>353.38400000000001</v>
          </cell>
          <cell r="BX208">
            <v>904</v>
          </cell>
          <cell r="BY208">
            <v>595</v>
          </cell>
          <cell r="BZ208">
            <v>366.78700000000003</v>
          </cell>
          <cell r="CD208">
            <v>852</v>
          </cell>
          <cell r="CE208">
            <v>635</v>
          </cell>
          <cell r="CF208">
            <v>394.91400000000004</v>
          </cell>
          <cell r="CJ208">
            <v>858</v>
          </cell>
          <cell r="CK208">
            <v>665</v>
          </cell>
          <cell r="CL208">
            <v>416.81200000000001</v>
          </cell>
          <cell r="CP208">
            <v>4704</v>
          </cell>
          <cell r="CQ208">
            <v>3230</v>
          </cell>
          <cell r="CR208">
            <v>1975.961</v>
          </cell>
          <cell r="CS208">
            <v>61.175263157894733</v>
          </cell>
          <cell r="CX208">
            <v>1500</v>
          </cell>
          <cell r="CY208">
            <v>760</v>
          </cell>
          <cell r="CZ208">
            <v>327.71499999999997</v>
          </cell>
          <cell r="DA208">
            <v>43.120394736842101</v>
          </cell>
          <cell r="DF208">
            <v>2400</v>
          </cell>
          <cell r="DG208">
            <v>1411</v>
          </cell>
          <cell r="DH208">
            <v>767.17600000000004</v>
          </cell>
          <cell r="DI208">
            <v>54.371084337349394</v>
          </cell>
          <cell r="DN208">
            <v>2090</v>
          </cell>
          <cell r="DO208">
            <v>1335</v>
          </cell>
          <cell r="DP208">
            <v>797.44800000000009</v>
          </cell>
          <cell r="DQ208">
            <v>59.733932584269667</v>
          </cell>
          <cell r="DV208">
            <v>2614</v>
          </cell>
          <cell r="DW208">
            <v>1895</v>
          </cell>
          <cell r="DX208">
            <v>1178.5129999999999</v>
          </cell>
          <cell r="DY208">
            <v>62.190659630606859</v>
          </cell>
        </row>
        <row r="209">
          <cell r="F209">
            <v>400</v>
          </cell>
          <cell r="G209">
            <v>600</v>
          </cell>
          <cell r="H209">
            <v>250.976</v>
          </cell>
          <cell r="I209">
            <v>41.829333333333338</v>
          </cell>
          <cell r="N209">
            <v>20</v>
          </cell>
          <cell r="O209">
            <v>30</v>
          </cell>
          <cell r="P209">
            <v>12.34</v>
          </cell>
          <cell r="T209">
            <v>20</v>
          </cell>
          <cell r="U209">
            <v>30</v>
          </cell>
          <cell r="V209">
            <v>11.798</v>
          </cell>
          <cell r="Z209">
            <v>30</v>
          </cell>
          <cell r="AA209">
            <v>45</v>
          </cell>
          <cell r="AB209">
            <v>17.048999999999999</v>
          </cell>
          <cell r="AF209">
            <v>30</v>
          </cell>
          <cell r="AG209">
            <v>45</v>
          </cell>
          <cell r="AH209">
            <v>16.794</v>
          </cell>
          <cell r="AL209">
            <v>30</v>
          </cell>
          <cell r="AM209">
            <v>45</v>
          </cell>
          <cell r="AN209">
            <v>16.850999999999999</v>
          </cell>
          <cell r="AR209">
            <v>30</v>
          </cell>
          <cell r="AS209">
            <v>45</v>
          </cell>
          <cell r="AT209">
            <v>17.085000000000001</v>
          </cell>
          <cell r="AX209">
            <v>160</v>
          </cell>
          <cell r="AY209">
            <v>240</v>
          </cell>
          <cell r="AZ209">
            <v>91.917000000000002</v>
          </cell>
          <cell r="BA209">
            <v>38.298749999999998</v>
          </cell>
          <cell r="BF209">
            <v>30</v>
          </cell>
          <cell r="BG209">
            <v>45</v>
          </cell>
          <cell r="BH209">
            <v>18.407</v>
          </cell>
          <cell r="BL209">
            <v>30</v>
          </cell>
          <cell r="BM209">
            <v>45</v>
          </cell>
          <cell r="BN209">
            <v>19.53</v>
          </cell>
          <cell r="BR209">
            <v>40</v>
          </cell>
          <cell r="BS209">
            <v>60</v>
          </cell>
          <cell r="BT209">
            <v>26.373000000000001</v>
          </cell>
          <cell r="BX209">
            <v>40</v>
          </cell>
          <cell r="BY209">
            <v>60</v>
          </cell>
          <cell r="BZ209">
            <v>26.782</v>
          </cell>
          <cell r="CD209">
            <v>50</v>
          </cell>
          <cell r="CE209">
            <v>75</v>
          </cell>
          <cell r="CF209">
            <v>33.832999999999998</v>
          </cell>
          <cell r="CJ209">
            <v>50</v>
          </cell>
          <cell r="CK209">
            <v>75</v>
          </cell>
          <cell r="CL209">
            <v>34.134</v>
          </cell>
          <cell r="CP209">
            <v>240</v>
          </cell>
          <cell r="CQ209">
            <v>360</v>
          </cell>
          <cell r="CR209">
            <v>159.059</v>
          </cell>
          <cell r="CS209">
            <v>44.183055555555555</v>
          </cell>
          <cell r="CX209">
            <v>70</v>
          </cell>
          <cell r="CY209">
            <v>105</v>
          </cell>
          <cell r="CZ209">
            <v>41.186999999999998</v>
          </cell>
          <cell r="DA209">
            <v>39.22571428571429</v>
          </cell>
          <cell r="DF209">
            <v>90</v>
          </cell>
          <cell r="DG209">
            <v>135</v>
          </cell>
          <cell r="DH209">
            <v>50.73</v>
          </cell>
          <cell r="DI209">
            <v>37.577777777777776</v>
          </cell>
          <cell r="DN209">
            <v>100</v>
          </cell>
          <cell r="DO209">
            <v>150</v>
          </cell>
          <cell r="DP209">
            <v>64.31</v>
          </cell>
          <cell r="DQ209">
            <v>42.873333333333335</v>
          </cell>
          <cell r="DV209">
            <v>140</v>
          </cell>
          <cell r="DW209">
            <v>210</v>
          </cell>
          <cell r="DX209">
            <v>94.748999999999995</v>
          </cell>
          <cell r="DY209">
            <v>45.118571428571421</v>
          </cell>
        </row>
        <row r="210">
          <cell r="F210">
            <v>0</v>
          </cell>
          <cell r="G210">
            <v>0</v>
          </cell>
          <cell r="H210">
            <v>0</v>
          </cell>
          <cell r="I210">
            <v>0</v>
          </cell>
          <cell r="N210">
            <v>0</v>
          </cell>
          <cell r="O210">
            <v>0</v>
          </cell>
          <cell r="T210">
            <v>0</v>
          </cell>
          <cell r="U210">
            <v>0</v>
          </cell>
          <cell r="Z210">
            <v>0</v>
          </cell>
          <cell r="AA210">
            <v>0</v>
          </cell>
          <cell r="AF210">
            <v>0</v>
          </cell>
          <cell r="AG210">
            <v>0</v>
          </cell>
          <cell r="AL210">
            <v>0</v>
          </cell>
          <cell r="AM210">
            <v>0</v>
          </cell>
          <cell r="AR210">
            <v>0</v>
          </cell>
          <cell r="AS210">
            <v>0</v>
          </cell>
          <cell r="AX210">
            <v>0</v>
          </cell>
          <cell r="AY210">
            <v>0</v>
          </cell>
          <cell r="AZ210">
            <v>0</v>
          </cell>
          <cell r="BA210">
            <v>0</v>
          </cell>
          <cell r="BF210">
            <v>0</v>
          </cell>
          <cell r="BG210">
            <v>0</v>
          </cell>
          <cell r="BL210">
            <v>0</v>
          </cell>
          <cell r="BM210">
            <v>0</v>
          </cell>
          <cell r="BR210">
            <v>0</v>
          </cell>
          <cell r="BS210">
            <v>0</v>
          </cell>
          <cell r="BX210">
            <v>0</v>
          </cell>
          <cell r="BY210">
            <v>0</v>
          </cell>
          <cell r="CD210">
            <v>0</v>
          </cell>
          <cell r="CE210">
            <v>0</v>
          </cell>
          <cell r="CJ210">
            <v>0</v>
          </cell>
          <cell r="CK210">
            <v>0</v>
          </cell>
          <cell r="CP210">
            <v>0</v>
          </cell>
          <cell r="CQ210">
            <v>0</v>
          </cell>
          <cell r="CR210">
            <v>0</v>
          </cell>
          <cell r="CS210">
            <v>0</v>
          </cell>
          <cell r="CX210">
            <v>0</v>
          </cell>
          <cell r="CY210">
            <v>0</v>
          </cell>
          <cell r="CZ210">
            <v>0</v>
          </cell>
          <cell r="DA210">
            <v>0</v>
          </cell>
          <cell r="DF210">
            <v>0</v>
          </cell>
          <cell r="DG210">
            <v>0</v>
          </cell>
          <cell r="DH210">
            <v>0</v>
          </cell>
          <cell r="DI210">
            <v>0</v>
          </cell>
          <cell r="DN210">
            <v>0</v>
          </cell>
          <cell r="DO210">
            <v>0</v>
          </cell>
          <cell r="DP210">
            <v>0</v>
          </cell>
          <cell r="DQ210">
            <v>0</v>
          </cell>
          <cell r="DV210">
            <v>0</v>
          </cell>
          <cell r="DW210">
            <v>0</v>
          </cell>
          <cell r="DX210">
            <v>0</v>
          </cell>
          <cell r="DY210">
            <v>0</v>
          </cell>
        </row>
        <row r="211">
          <cell r="F211">
            <v>400</v>
          </cell>
          <cell r="G211">
            <v>600</v>
          </cell>
          <cell r="H211">
            <v>250.976</v>
          </cell>
          <cell r="I211">
            <v>41.829333333333338</v>
          </cell>
          <cell r="N211">
            <v>20</v>
          </cell>
          <cell r="O211">
            <v>30</v>
          </cell>
          <cell r="P211">
            <v>12.34</v>
          </cell>
          <cell r="T211">
            <v>20</v>
          </cell>
          <cell r="U211">
            <v>30</v>
          </cell>
          <cell r="V211">
            <v>11.798</v>
          </cell>
          <cell r="Z211">
            <v>30</v>
          </cell>
          <cell r="AA211">
            <v>45</v>
          </cell>
          <cell r="AB211">
            <v>17.048999999999999</v>
          </cell>
          <cell r="AF211">
            <v>30</v>
          </cell>
          <cell r="AG211">
            <v>45</v>
          </cell>
          <cell r="AH211">
            <v>16.794</v>
          </cell>
          <cell r="AL211">
            <v>30</v>
          </cell>
          <cell r="AM211">
            <v>45</v>
          </cell>
          <cell r="AN211">
            <v>16.850999999999999</v>
          </cell>
          <cell r="AR211">
            <v>30</v>
          </cell>
          <cell r="AS211">
            <v>45</v>
          </cell>
          <cell r="AT211">
            <v>17.085000000000001</v>
          </cell>
          <cell r="AX211">
            <v>160</v>
          </cell>
          <cell r="AY211">
            <v>240</v>
          </cell>
          <cell r="AZ211">
            <v>91.917000000000002</v>
          </cell>
          <cell r="BA211">
            <v>38.298749999999998</v>
          </cell>
          <cell r="BF211">
            <v>30</v>
          </cell>
          <cell r="BG211">
            <v>45</v>
          </cell>
          <cell r="BH211">
            <v>18.407</v>
          </cell>
          <cell r="BL211">
            <v>30</v>
          </cell>
          <cell r="BM211">
            <v>45</v>
          </cell>
          <cell r="BN211">
            <v>19.53</v>
          </cell>
          <cell r="BR211">
            <v>40</v>
          </cell>
          <cell r="BS211">
            <v>60</v>
          </cell>
          <cell r="BT211">
            <v>26.373000000000001</v>
          </cell>
          <cell r="BX211">
            <v>40</v>
          </cell>
          <cell r="BY211">
            <v>60</v>
          </cell>
          <cell r="BZ211">
            <v>26.782</v>
          </cell>
          <cell r="CD211">
            <v>50</v>
          </cell>
          <cell r="CE211">
            <v>75</v>
          </cell>
          <cell r="CF211">
            <v>33.832999999999998</v>
          </cell>
          <cell r="CJ211">
            <v>50</v>
          </cell>
          <cell r="CK211">
            <v>75</v>
          </cell>
          <cell r="CL211">
            <v>34.134</v>
          </cell>
          <cell r="CP211">
            <v>240</v>
          </cell>
          <cell r="CQ211">
            <v>360</v>
          </cell>
          <cell r="CR211">
            <v>159.059</v>
          </cell>
          <cell r="CS211">
            <v>44.183055555555555</v>
          </cell>
          <cell r="CX211">
            <v>70</v>
          </cell>
          <cell r="CY211">
            <v>105</v>
          </cell>
          <cell r="CZ211">
            <v>41.186999999999998</v>
          </cell>
          <cell r="DA211">
            <v>39.22571428571429</v>
          </cell>
          <cell r="DF211">
            <v>90</v>
          </cell>
          <cell r="DG211">
            <v>135</v>
          </cell>
          <cell r="DH211">
            <v>50.73</v>
          </cell>
          <cell r="DI211">
            <v>37.577777777777776</v>
          </cell>
          <cell r="DN211">
            <v>100</v>
          </cell>
          <cell r="DO211">
            <v>150</v>
          </cell>
          <cell r="DP211">
            <v>64.31</v>
          </cell>
          <cell r="DQ211">
            <v>42.873333333333335</v>
          </cell>
          <cell r="DV211">
            <v>140</v>
          </cell>
          <cell r="DW211">
            <v>210</v>
          </cell>
          <cell r="DX211">
            <v>94.748999999999995</v>
          </cell>
          <cell r="DY211">
            <v>45.118571428571421</v>
          </cell>
        </row>
        <row r="212">
          <cell r="F212">
            <v>2500</v>
          </cell>
          <cell r="G212">
            <v>378</v>
          </cell>
          <cell r="H212">
            <v>110.10000000000001</v>
          </cell>
          <cell r="I212">
            <v>29.12698412698413</v>
          </cell>
          <cell r="N212">
            <v>150</v>
          </cell>
          <cell r="O212">
            <v>23</v>
          </cell>
          <cell r="P212">
            <v>6.9260000000000002</v>
          </cell>
          <cell r="T212">
            <v>150</v>
          </cell>
          <cell r="U212">
            <v>23</v>
          </cell>
          <cell r="V212">
            <v>6.9260000000000002</v>
          </cell>
          <cell r="Z212">
            <v>150</v>
          </cell>
          <cell r="AA212">
            <v>23</v>
          </cell>
          <cell r="AB212">
            <v>6.9260000000000002</v>
          </cell>
          <cell r="AF212">
            <v>200</v>
          </cell>
          <cell r="AG212">
            <v>30</v>
          </cell>
          <cell r="AH212">
            <v>8.5679999999999996</v>
          </cell>
          <cell r="AL212">
            <v>150</v>
          </cell>
          <cell r="AM212">
            <v>23</v>
          </cell>
          <cell r="AN212">
            <v>6.9260000000000002</v>
          </cell>
          <cell r="AR212">
            <v>200</v>
          </cell>
          <cell r="AS212">
            <v>30</v>
          </cell>
          <cell r="AT212">
            <v>8.5679999999999996</v>
          </cell>
          <cell r="AX212">
            <v>1000</v>
          </cell>
          <cell r="AY212">
            <v>152</v>
          </cell>
          <cell r="AZ212">
            <v>44.84</v>
          </cell>
          <cell r="BA212">
            <v>29.500000000000004</v>
          </cell>
          <cell r="BF212">
            <v>200</v>
          </cell>
          <cell r="BG212">
            <v>30</v>
          </cell>
          <cell r="BH212">
            <v>8.5679999999999996</v>
          </cell>
          <cell r="BL212">
            <v>200</v>
          </cell>
          <cell r="BM212">
            <v>30</v>
          </cell>
          <cell r="BN212">
            <v>8.5679999999999996</v>
          </cell>
          <cell r="BR212">
            <v>250</v>
          </cell>
          <cell r="BS212">
            <v>38</v>
          </cell>
          <cell r="BT212">
            <v>11.21</v>
          </cell>
          <cell r="BX212">
            <v>250</v>
          </cell>
          <cell r="BY212">
            <v>38</v>
          </cell>
          <cell r="BZ212">
            <v>11.21</v>
          </cell>
          <cell r="CD212">
            <v>300</v>
          </cell>
          <cell r="CE212">
            <v>45</v>
          </cell>
          <cell r="CF212">
            <v>12.852</v>
          </cell>
          <cell r="CJ212">
            <v>300</v>
          </cell>
          <cell r="CK212">
            <v>45</v>
          </cell>
          <cell r="CL212">
            <v>12.852</v>
          </cell>
          <cell r="CP212">
            <v>1500</v>
          </cell>
          <cell r="CQ212">
            <v>226</v>
          </cell>
          <cell r="CR212">
            <v>65.260000000000005</v>
          </cell>
          <cell r="CS212">
            <v>28.876106194690266</v>
          </cell>
          <cell r="CX212">
            <v>450</v>
          </cell>
          <cell r="CY212">
            <v>69</v>
          </cell>
          <cell r="CZ212">
            <v>20.777999999999999</v>
          </cell>
          <cell r="DA212">
            <v>30.11304347826087</v>
          </cell>
          <cell r="DF212">
            <v>550</v>
          </cell>
          <cell r="DG212">
            <v>83</v>
          </cell>
          <cell r="DH212">
            <v>24.061999999999998</v>
          </cell>
          <cell r="DI212">
            <v>28.99036144578313</v>
          </cell>
          <cell r="DN212">
            <v>650</v>
          </cell>
          <cell r="DO212">
            <v>98</v>
          </cell>
          <cell r="DP212">
            <v>28.346</v>
          </cell>
          <cell r="DQ212">
            <v>28.924489795918369</v>
          </cell>
          <cell r="DV212">
            <v>850</v>
          </cell>
          <cell r="DW212">
            <v>128</v>
          </cell>
          <cell r="DX212">
            <v>36.914000000000001</v>
          </cell>
          <cell r="DY212">
            <v>28.839062500000001</v>
          </cell>
        </row>
        <row r="213">
          <cell r="F213">
            <v>0</v>
          </cell>
          <cell r="G213">
            <v>0</v>
          </cell>
          <cell r="H213">
            <v>0</v>
          </cell>
          <cell r="I213">
            <v>0</v>
          </cell>
          <cell r="N213">
            <v>0</v>
          </cell>
          <cell r="T213">
            <v>0</v>
          </cell>
          <cell r="U213">
            <v>0</v>
          </cell>
          <cell r="Z213">
            <v>0</v>
          </cell>
          <cell r="AA213">
            <v>0</v>
          </cell>
          <cell r="AF213">
            <v>0</v>
          </cell>
          <cell r="AG213">
            <v>0</v>
          </cell>
          <cell r="AL213">
            <v>0</v>
          </cell>
          <cell r="AM213">
            <v>0</v>
          </cell>
          <cell r="AR213">
            <v>0</v>
          </cell>
          <cell r="AS213">
            <v>0</v>
          </cell>
          <cell r="AX213">
            <v>0</v>
          </cell>
          <cell r="AY213">
            <v>0</v>
          </cell>
          <cell r="AZ213">
            <v>0</v>
          </cell>
          <cell r="BA213">
            <v>0</v>
          </cell>
          <cell r="BF213">
            <v>0</v>
          </cell>
          <cell r="BG213">
            <v>0</v>
          </cell>
          <cell r="BL213">
            <v>0</v>
          </cell>
          <cell r="BM213">
            <v>0</v>
          </cell>
          <cell r="BR213">
            <v>0</v>
          </cell>
          <cell r="BS213">
            <v>0</v>
          </cell>
          <cell r="BX213">
            <v>0</v>
          </cell>
          <cell r="BY213">
            <v>0</v>
          </cell>
          <cell r="CD213">
            <v>0</v>
          </cell>
          <cell r="CE213">
            <v>0</v>
          </cell>
          <cell r="CJ213">
            <v>0</v>
          </cell>
          <cell r="CK213">
            <v>0</v>
          </cell>
          <cell r="CP213">
            <v>0</v>
          </cell>
          <cell r="CQ213">
            <v>0</v>
          </cell>
          <cell r="CR213">
            <v>0</v>
          </cell>
          <cell r="CS213">
            <v>0</v>
          </cell>
          <cell r="CX213">
            <v>0</v>
          </cell>
          <cell r="CY213">
            <v>0</v>
          </cell>
          <cell r="CZ213">
            <v>0</v>
          </cell>
          <cell r="DA213">
            <v>0</v>
          </cell>
          <cell r="DF213">
            <v>0</v>
          </cell>
          <cell r="DG213">
            <v>0</v>
          </cell>
          <cell r="DH213">
            <v>0</v>
          </cell>
          <cell r="DI213">
            <v>0</v>
          </cell>
          <cell r="DN213">
            <v>0</v>
          </cell>
          <cell r="DO213">
            <v>0</v>
          </cell>
          <cell r="DP213">
            <v>0</v>
          </cell>
          <cell r="DQ213">
            <v>0</v>
          </cell>
          <cell r="DV213">
            <v>0</v>
          </cell>
          <cell r="DW213">
            <v>0</v>
          </cell>
          <cell r="DX213">
            <v>0</v>
          </cell>
          <cell r="DY213">
            <v>0</v>
          </cell>
        </row>
        <row r="214">
          <cell r="F214">
            <v>11504</v>
          </cell>
          <cell r="G214">
            <v>6379</v>
          </cell>
          <cell r="H214">
            <v>3431.9279999999999</v>
          </cell>
          <cell r="I214">
            <v>53.800407587396137</v>
          </cell>
          <cell r="N214">
            <v>570</v>
          </cell>
          <cell r="O214">
            <v>273</v>
          </cell>
          <cell r="P214">
            <v>95.179000000000002</v>
          </cell>
          <cell r="T214">
            <v>570</v>
          </cell>
          <cell r="U214">
            <v>273</v>
          </cell>
          <cell r="V214">
            <v>96.369</v>
          </cell>
          <cell r="Z214">
            <v>880</v>
          </cell>
          <cell r="AA214">
            <v>388</v>
          </cell>
          <cell r="AB214">
            <v>198.13200000000001</v>
          </cell>
          <cell r="AF214">
            <v>930</v>
          </cell>
          <cell r="AG214">
            <v>497.5</v>
          </cell>
          <cell r="AH214">
            <v>252.85100000000003</v>
          </cell>
          <cell r="AL214">
            <v>1030</v>
          </cell>
          <cell r="AM214">
            <v>558.5</v>
          </cell>
          <cell r="AN214">
            <v>290.41300000000001</v>
          </cell>
          <cell r="AR214">
            <v>1080</v>
          </cell>
          <cell r="AS214">
            <v>573</v>
          </cell>
          <cell r="AT214">
            <v>298.70399999999995</v>
          </cell>
          <cell r="AX214">
            <v>5060</v>
          </cell>
          <cell r="AY214">
            <v>2563</v>
          </cell>
          <cell r="AZ214">
            <v>1231.6479999999999</v>
          </cell>
          <cell r="BA214">
            <v>48.054935622317593</v>
          </cell>
          <cell r="BF214">
            <v>930</v>
          </cell>
          <cell r="BG214">
            <v>505</v>
          </cell>
          <cell r="BH214">
            <v>274.44299999999998</v>
          </cell>
          <cell r="BL214">
            <v>776</v>
          </cell>
          <cell r="BM214">
            <v>400</v>
          </cell>
          <cell r="BN214">
            <v>224.69400000000002</v>
          </cell>
          <cell r="BR214">
            <v>1134</v>
          </cell>
          <cell r="BS214">
            <v>678</v>
          </cell>
          <cell r="BT214">
            <v>390.96699999999998</v>
          </cell>
          <cell r="BX214">
            <v>1194</v>
          </cell>
          <cell r="BY214">
            <v>693</v>
          </cell>
          <cell r="BZ214">
            <v>404.779</v>
          </cell>
          <cell r="CD214">
            <v>1202</v>
          </cell>
          <cell r="CE214">
            <v>755</v>
          </cell>
          <cell r="CF214">
            <v>441.59900000000005</v>
          </cell>
          <cell r="CJ214">
            <v>1208</v>
          </cell>
          <cell r="CK214">
            <v>785</v>
          </cell>
          <cell r="CL214">
            <v>463.798</v>
          </cell>
          <cell r="CP214">
            <v>6444</v>
          </cell>
          <cell r="CQ214">
            <v>3816</v>
          </cell>
          <cell r="CR214">
            <v>2200.2800000000002</v>
          </cell>
          <cell r="CS214">
            <v>57.659329140461224</v>
          </cell>
          <cell r="CX214">
            <v>2020</v>
          </cell>
          <cell r="CY214">
            <v>934</v>
          </cell>
          <cell r="CZ214">
            <v>389.68</v>
          </cell>
          <cell r="DA214">
            <v>41.721627408993577</v>
          </cell>
          <cell r="DF214">
            <v>3040</v>
          </cell>
          <cell r="DG214">
            <v>1629</v>
          </cell>
          <cell r="DH214">
            <v>841.96800000000007</v>
          </cell>
          <cell r="DI214">
            <v>51.686187845303877</v>
          </cell>
          <cell r="DN214">
            <v>2840</v>
          </cell>
          <cell r="DO214">
            <v>1583</v>
          </cell>
          <cell r="DP214">
            <v>890.10400000000004</v>
          </cell>
          <cell r="DQ214">
            <v>56.228932406822494</v>
          </cell>
          <cell r="DV214">
            <v>3604</v>
          </cell>
          <cell r="DW214">
            <v>2233</v>
          </cell>
          <cell r="DX214">
            <v>1310.1759999999999</v>
          </cell>
          <cell r="DY214">
            <v>58.673354231974919</v>
          </cell>
        </row>
        <row r="215">
          <cell r="F215">
            <v>0</v>
          </cell>
          <cell r="G215">
            <v>3500</v>
          </cell>
          <cell r="H215">
            <v>980</v>
          </cell>
          <cell r="I215">
            <v>28.000000000000004</v>
          </cell>
          <cell r="O215">
            <v>200</v>
          </cell>
          <cell r="P215">
            <v>56</v>
          </cell>
          <cell r="U215">
            <v>250</v>
          </cell>
          <cell r="V215">
            <v>70</v>
          </cell>
          <cell r="AA215">
            <v>300</v>
          </cell>
          <cell r="AB215">
            <v>84</v>
          </cell>
          <cell r="AG215">
            <v>300</v>
          </cell>
          <cell r="AH215">
            <v>84</v>
          </cell>
          <cell r="AM215">
            <v>320</v>
          </cell>
          <cell r="AN215">
            <v>90</v>
          </cell>
          <cell r="AS215">
            <v>330</v>
          </cell>
          <cell r="AT215">
            <v>92</v>
          </cell>
          <cell r="AX215">
            <v>0</v>
          </cell>
          <cell r="AY215">
            <v>1700</v>
          </cell>
          <cell r="AZ215">
            <v>476</v>
          </cell>
          <cell r="BA215">
            <v>28.000000000000004</v>
          </cell>
          <cell r="BG215">
            <v>280</v>
          </cell>
          <cell r="BH215">
            <v>78</v>
          </cell>
          <cell r="BM215">
            <v>250</v>
          </cell>
          <cell r="BN215">
            <v>70</v>
          </cell>
          <cell r="BS215">
            <v>320</v>
          </cell>
          <cell r="BT215">
            <v>90</v>
          </cell>
          <cell r="BY215">
            <v>350</v>
          </cell>
          <cell r="BZ215">
            <v>98</v>
          </cell>
          <cell r="CE215">
            <v>300</v>
          </cell>
          <cell r="CF215">
            <v>84</v>
          </cell>
          <cell r="CK215">
            <v>300</v>
          </cell>
          <cell r="CL215">
            <v>84</v>
          </cell>
          <cell r="CP215">
            <v>0</v>
          </cell>
          <cell r="CQ215">
            <v>1800</v>
          </cell>
          <cell r="CR215">
            <v>504</v>
          </cell>
          <cell r="CS215">
            <v>28.000000000000004</v>
          </cell>
          <cell r="CX215">
            <v>0</v>
          </cell>
          <cell r="CY215">
            <v>750</v>
          </cell>
          <cell r="CZ215">
            <v>210</v>
          </cell>
          <cell r="DA215">
            <v>28.000000000000004</v>
          </cell>
          <cell r="DF215">
            <v>0</v>
          </cell>
          <cell r="DG215">
            <v>950</v>
          </cell>
          <cell r="DH215">
            <v>266</v>
          </cell>
          <cell r="DI215">
            <v>28.000000000000004</v>
          </cell>
          <cell r="DN215">
            <v>0</v>
          </cell>
          <cell r="DO215">
            <v>850</v>
          </cell>
          <cell r="DP215">
            <v>238</v>
          </cell>
          <cell r="DQ215">
            <v>28.000000000000004</v>
          </cell>
          <cell r="DV215">
            <v>0</v>
          </cell>
          <cell r="DW215">
            <v>950</v>
          </cell>
          <cell r="DX215">
            <v>266</v>
          </cell>
          <cell r="DY215">
            <v>28.000000000000004</v>
          </cell>
        </row>
        <row r="216">
          <cell r="F216">
            <v>0</v>
          </cell>
          <cell r="G216">
            <v>1000</v>
          </cell>
          <cell r="H216">
            <v>349</v>
          </cell>
          <cell r="I216">
            <v>34.9</v>
          </cell>
          <cell r="O216">
            <v>30</v>
          </cell>
          <cell r="P216">
            <v>10</v>
          </cell>
          <cell r="U216">
            <v>50</v>
          </cell>
          <cell r="V216">
            <v>17</v>
          </cell>
          <cell r="AA216">
            <v>80</v>
          </cell>
          <cell r="AB216">
            <v>28</v>
          </cell>
          <cell r="AG216">
            <v>100</v>
          </cell>
          <cell r="AH216">
            <v>35</v>
          </cell>
          <cell r="AM216">
            <v>100</v>
          </cell>
          <cell r="AN216">
            <v>35</v>
          </cell>
          <cell r="AS216">
            <v>100</v>
          </cell>
          <cell r="AT216">
            <v>35</v>
          </cell>
          <cell r="AX216">
            <v>0</v>
          </cell>
          <cell r="AY216">
            <v>460</v>
          </cell>
          <cell r="AZ216">
            <v>160</v>
          </cell>
          <cell r="BA216">
            <v>34.782608695652172</v>
          </cell>
          <cell r="BG216">
            <v>100</v>
          </cell>
          <cell r="BH216">
            <v>35</v>
          </cell>
          <cell r="BM216">
            <v>80</v>
          </cell>
          <cell r="BN216">
            <v>28</v>
          </cell>
          <cell r="BS216">
            <v>100</v>
          </cell>
          <cell r="BT216">
            <v>35</v>
          </cell>
          <cell r="BY216">
            <v>100</v>
          </cell>
          <cell r="BZ216">
            <v>35</v>
          </cell>
          <cell r="CE216">
            <v>80</v>
          </cell>
          <cell r="CF216">
            <v>28</v>
          </cell>
          <cell r="CK216">
            <v>80</v>
          </cell>
          <cell r="CL216">
            <v>28</v>
          </cell>
          <cell r="CP216">
            <v>0</v>
          </cell>
          <cell r="CQ216">
            <v>540</v>
          </cell>
          <cell r="CR216">
            <v>189</v>
          </cell>
          <cell r="CS216">
            <v>35</v>
          </cell>
          <cell r="CX216">
            <v>0</v>
          </cell>
          <cell r="CY216">
            <v>160</v>
          </cell>
          <cell r="CZ216">
            <v>55</v>
          </cell>
          <cell r="DA216">
            <v>34.375</v>
          </cell>
          <cell r="DF216">
            <v>0</v>
          </cell>
          <cell r="DG216">
            <v>300</v>
          </cell>
          <cell r="DH216">
            <v>105</v>
          </cell>
          <cell r="DI216">
            <v>35</v>
          </cell>
          <cell r="DN216">
            <v>0</v>
          </cell>
          <cell r="DO216">
            <v>280</v>
          </cell>
          <cell r="DP216">
            <v>98</v>
          </cell>
          <cell r="DQ216">
            <v>35</v>
          </cell>
          <cell r="DV216">
            <v>0</v>
          </cell>
          <cell r="DW216">
            <v>260</v>
          </cell>
          <cell r="DX216">
            <v>91</v>
          </cell>
          <cell r="DY216">
            <v>35</v>
          </cell>
        </row>
        <row r="217">
          <cell r="F217">
            <v>0</v>
          </cell>
          <cell r="G217">
            <v>0</v>
          </cell>
          <cell r="H217">
            <v>0</v>
          </cell>
          <cell r="I217">
            <v>0</v>
          </cell>
          <cell r="N217">
            <v>0</v>
          </cell>
          <cell r="O217">
            <v>0</v>
          </cell>
          <cell r="T217">
            <v>0</v>
          </cell>
          <cell r="U217">
            <v>0</v>
          </cell>
          <cell r="Z217">
            <v>0</v>
          </cell>
          <cell r="AA217">
            <v>0</v>
          </cell>
          <cell r="AF217">
            <v>0</v>
          </cell>
          <cell r="AG217">
            <v>0</v>
          </cell>
          <cell r="AL217">
            <v>0</v>
          </cell>
          <cell r="AM217">
            <v>0</v>
          </cell>
          <cell r="AR217">
            <v>0</v>
          </cell>
          <cell r="AS217">
            <v>0</v>
          </cell>
          <cell r="AX217">
            <v>0</v>
          </cell>
          <cell r="AY217">
            <v>0</v>
          </cell>
          <cell r="AZ217">
            <v>0</v>
          </cell>
          <cell r="BA217">
            <v>0</v>
          </cell>
          <cell r="BF217">
            <v>0</v>
          </cell>
          <cell r="BG217">
            <v>0</v>
          </cell>
          <cell r="BL217">
            <v>0</v>
          </cell>
          <cell r="BM217">
            <v>0</v>
          </cell>
          <cell r="BR217">
            <v>0</v>
          </cell>
          <cell r="BS217">
            <v>0</v>
          </cell>
          <cell r="BX217">
            <v>0</v>
          </cell>
          <cell r="BY217">
            <v>0</v>
          </cell>
          <cell r="CD217">
            <v>0</v>
          </cell>
          <cell r="CE217">
            <v>0</v>
          </cell>
          <cell r="CJ217">
            <v>0</v>
          </cell>
          <cell r="CK217">
            <v>0</v>
          </cell>
          <cell r="CP217">
            <v>0</v>
          </cell>
          <cell r="CQ217">
            <v>0</v>
          </cell>
          <cell r="CR217">
            <v>0</v>
          </cell>
          <cell r="CS217">
            <v>0</v>
          </cell>
          <cell r="CX217">
            <v>0</v>
          </cell>
          <cell r="CY217">
            <v>0</v>
          </cell>
          <cell r="CZ217">
            <v>0</v>
          </cell>
          <cell r="DA217">
            <v>0</v>
          </cell>
          <cell r="DF217">
            <v>0</v>
          </cell>
          <cell r="DG217">
            <v>0</v>
          </cell>
          <cell r="DH217">
            <v>0</v>
          </cell>
          <cell r="DI217">
            <v>0</v>
          </cell>
          <cell r="DN217">
            <v>0</v>
          </cell>
          <cell r="DO217">
            <v>0</v>
          </cell>
          <cell r="DP217">
            <v>0</v>
          </cell>
          <cell r="DQ217">
            <v>0</v>
          </cell>
          <cell r="DV217">
            <v>0</v>
          </cell>
          <cell r="DW217">
            <v>0</v>
          </cell>
          <cell r="DX217">
            <v>0</v>
          </cell>
          <cell r="DY217">
            <v>0</v>
          </cell>
        </row>
        <row r="218">
          <cell r="F218">
            <v>0</v>
          </cell>
          <cell r="G218">
            <v>0</v>
          </cell>
          <cell r="H218">
            <v>0</v>
          </cell>
          <cell r="I218">
            <v>0</v>
          </cell>
          <cell r="N218">
            <v>0</v>
          </cell>
          <cell r="O218">
            <v>0</v>
          </cell>
          <cell r="T218">
            <v>0</v>
          </cell>
          <cell r="U218">
            <v>0</v>
          </cell>
          <cell r="Z218">
            <v>0</v>
          </cell>
          <cell r="AA218">
            <v>0</v>
          </cell>
          <cell r="AF218">
            <v>0</v>
          </cell>
          <cell r="AG218">
            <v>0</v>
          </cell>
          <cell r="AL218">
            <v>0</v>
          </cell>
          <cell r="AM218">
            <v>0</v>
          </cell>
          <cell r="AR218">
            <v>0</v>
          </cell>
          <cell r="AS218">
            <v>0</v>
          </cell>
          <cell r="AX218">
            <v>0</v>
          </cell>
          <cell r="AY218">
            <v>0</v>
          </cell>
          <cell r="AZ218">
            <v>0</v>
          </cell>
          <cell r="BA218">
            <v>0</v>
          </cell>
          <cell r="BF218">
            <v>0</v>
          </cell>
          <cell r="BG218">
            <v>0</v>
          </cell>
          <cell r="BL218">
            <v>0</v>
          </cell>
          <cell r="BM218">
            <v>0</v>
          </cell>
          <cell r="BR218">
            <v>0</v>
          </cell>
          <cell r="BS218">
            <v>0</v>
          </cell>
          <cell r="BX218">
            <v>0</v>
          </cell>
          <cell r="BY218">
            <v>0</v>
          </cell>
          <cell r="CD218">
            <v>0</v>
          </cell>
          <cell r="CE218">
            <v>0</v>
          </cell>
          <cell r="CJ218">
            <v>0</v>
          </cell>
          <cell r="CK218">
            <v>0</v>
          </cell>
          <cell r="CP218">
            <v>0</v>
          </cell>
          <cell r="CQ218">
            <v>0</v>
          </cell>
          <cell r="CR218">
            <v>0</v>
          </cell>
          <cell r="CS218">
            <v>0</v>
          </cell>
          <cell r="CX218">
            <v>0</v>
          </cell>
          <cell r="CY218">
            <v>0</v>
          </cell>
          <cell r="CZ218">
            <v>0</v>
          </cell>
          <cell r="DA218">
            <v>0</v>
          </cell>
          <cell r="DF218">
            <v>0</v>
          </cell>
          <cell r="DG218">
            <v>0</v>
          </cell>
          <cell r="DH218">
            <v>0</v>
          </cell>
          <cell r="DI218">
            <v>0</v>
          </cell>
          <cell r="DN218">
            <v>0</v>
          </cell>
          <cell r="DO218">
            <v>0</v>
          </cell>
          <cell r="DP218">
            <v>0</v>
          </cell>
          <cell r="DQ218">
            <v>0</v>
          </cell>
          <cell r="DV218">
            <v>0</v>
          </cell>
          <cell r="DW218">
            <v>0</v>
          </cell>
          <cell r="DX218">
            <v>0</v>
          </cell>
          <cell r="DY218">
            <v>0</v>
          </cell>
        </row>
        <row r="219">
          <cell r="F219">
            <v>0</v>
          </cell>
          <cell r="G219">
            <v>0</v>
          </cell>
          <cell r="H219">
            <v>0</v>
          </cell>
          <cell r="I219">
            <v>0</v>
          </cell>
          <cell r="N219">
            <v>0</v>
          </cell>
          <cell r="O219">
            <v>0</v>
          </cell>
          <cell r="T219">
            <v>0</v>
          </cell>
          <cell r="U219">
            <v>0</v>
          </cell>
          <cell r="Z219">
            <v>0</v>
          </cell>
          <cell r="AA219">
            <v>0</v>
          </cell>
          <cell r="AF219">
            <v>0</v>
          </cell>
          <cell r="AG219">
            <v>0</v>
          </cell>
          <cell r="AL219">
            <v>0</v>
          </cell>
          <cell r="AM219">
            <v>0</v>
          </cell>
          <cell r="AR219">
            <v>0</v>
          </cell>
          <cell r="AS219">
            <v>0</v>
          </cell>
          <cell r="AX219">
            <v>0</v>
          </cell>
          <cell r="AY219">
            <v>0</v>
          </cell>
          <cell r="AZ219">
            <v>0</v>
          </cell>
          <cell r="BA219">
            <v>0</v>
          </cell>
          <cell r="BF219">
            <v>0</v>
          </cell>
          <cell r="BG219">
            <v>0</v>
          </cell>
          <cell r="BL219">
            <v>0</v>
          </cell>
          <cell r="BM219">
            <v>0</v>
          </cell>
          <cell r="BR219">
            <v>0</v>
          </cell>
          <cell r="BS219">
            <v>0</v>
          </cell>
          <cell r="BX219">
            <v>0</v>
          </cell>
          <cell r="BY219">
            <v>0</v>
          </cell>
          <cell r="CD219">
            <v>0</v>
          </cell>
          <cell r="CE219">
            <v>0</v>
          </cell>
          <cell r="CJ219">
            <v>0</v>
          </cell>
          <cell r="CK219">
            <v>0</v>
          </cell>
          <cell r="CP219">
            <v>0</v>
          </cell>
          <cell r="CQ219">
            <v>0</v>
          </cell>
          <cell r="CR219">
            <v>0</v>
          </cell>
          <cell r="CS219">
            <v>0</v>
          </cell>
          <cell r="CX219">
            <v>0</v>
          </cell>
          <cell r="CY219">
            <v>0</v>
          </cell>
          <cell r="CZ219">
            <v>0</v>
          </cell>
          <cell r="DA219">
            <v>0</v>
          </cell>
          <cell r="DF219">
            <v>0</v>
          </cell>
          <cell r="DG219">
            <v>0</v>
          </cell>
          <cell r="DH219">
            <v>0</v>
          </cell>
          <cell r="DI219">
            <v>0</v>
          </cell>
          <cell r="DN219">
            <v>0</v>
          </cell>
          <cell r="DO219">
            <v>0</v>
          </cell>
          <cell r="DP219">
            <v>0</v>
          </cell>
          <cell r="DQ219">
            <v>0</v>
          </cell>
          <cell r="DV219">
            <v>0</v>
          </cell>
          <cell r="DW219">
            <v>0</v>
          </cell>
          <cell r="DX219">
            <v>0</v>
          </cell>
          <cell r="DY219">
            <v>0</v>
          </cell>
        </row>
        <row r="220">
          <cell r="F220">
            <v>0</v>
          </cell>
          <cell r="G220">
            <v>4500</v>
          </cell>
          <cell r="H220">
            <v>1329</v>
          </cell>
          <cell r="I220">
            <v>29.533333333333335</v>
          </cell>
          <cell r="N220">
            <v>0</v>
          </cell>
          <cell r="O220">
            <v>230</v>
          </cell>
          <cell r="P220">
            <v>66</v>
          </cell>
          <cell r="T220">
            <v>0</v>
          </cell>
          <cell r="U220">
            <v>300</v>
          </cell>
          <cell r="V220">
            <v>87</v>
          </cell>
          <cell r="Z220">
            <v>0</v>
          </cell>
          <cell r="AA220">
            <v>380</v>
          </cell>
          <cell r="AB220">
            <v>112</v>
          </cell>
          <cell r="AF220">
            <v>0</v>
          </cell>
          <cell r="AG220">
            <v>400</v>
          </cell>
          <cell r="AH220">
            <v>119</v>
          </cell>
          <cell r="AL220">
            <v>0</v>
          </cell>
          <cell r="AM220">
            <v>420</v>
          </cell>
          <cell r="AN220">
            <v>125</v>
          </cell>
          <cell r="AR220">
            <v>0</v>
          </cell>
          <cell r="AS220">
            <v>430</v>
          </cell>
          <cell r="AT220">
            <v>127</v>
          </cell>
          <cell r="AX220">
            <v>0</v>
          </cell>
          <cell r="AY220">
            <v>2160</v>
          </cell>
          <cell r="AZ220">
            <v>636</v>
          </cell>
          <cell r="BA220">
            <v>29.444444444444446</v>
          </cell>
          <cell r="BF220">
            <v>0</v>
          </cell>
          <cell r="BG220">
            <v>380</v>
          </cell>
          <cell r="BH220">
            <v>113</v>
          </cell>
          <cell r="BL220">
            <v>0</v>
          </cell>
          <cell r="BM220">
            <v>330</v>
          </cell>
          <cell r="BN220">
            <v>98</v>
          </cell>
          <cell r="BR220">
            <v>0</v>
          </cell>
          <cell r="BS220">
            <v>420</v>
          </cell>
          <cell r="BT220">
            <v>125</v>
          </cell>
          <cell r="BX220">
            <v>0</v>
          </cell>
          <cell r="BY220">
            <v>450</v>
          </cell>
          <cell r="BZ220">
            <v>133</v>
          </cell>
          <cell r="CD220">
            <v>0</v>
          </cell>
          <cell r="CE220">
            <v>380</v>
          </cell>
          <cell r="CF220">
            <v>112</v>
          </cell>
          <cell r="CJ220">
            <v>0</v>
          </cell>
          <cell r="CK220">
            <v>380</v>
          </cell>
          <cell r="CL220">
            <v>112</v>
          </cell>
          <cell r="CP220">
            <v>0</v>
          </cell>
          <cell r="CQ220">
            <v>2340</v>
          </cell>
          <cell r="CR220">
            <v>693</v>
          </cell>
          <cell r="CS220">
            <v>29.615384615384617</v>
          </cell>
          <cell r="CX220">
            <v>0</v>
          </cell>
          <cell r="CY220">
            <v>910</v>
          </cell>
          <cell r="CZ220">
            <v>265</v>
          </cell>
          <cell r="DA220">
            <v>29.120879120879124</v>
          </cell>
          <cell r="DF220">
            <v>0</v>
          </cell>
          <cell r="DG220">
            <v>1250</v>
          </cell>
          <cell r="DH220">
            <v>371</v>
          </cell>
          <cell r="DI220">
            <v>29.68</v>
          </cell>
          <cell r="DN220">
            <v>0</v>
          </cell>
          <cell r="DO220">
            <v>1130</v>
          </cell>
          <cell r="DP220">
            <v>336</v>
          </cell>
          <cell r="DQ220">
            <v>29.734513274336283</v>
          </cell>
          <cell r="DV220">
            <v>0</v>
          </cell>
          <cell r="DW220">
            <v>1210</v>
          </cell>
          <cell r="DX220">
            <v>357</v>
          </cell>
          <cell r="DY220">
            <v>29.504132231404963</v>
          </cell>
        </row>
        <row r="221">
          <cell r="F221">
            <v>0</v>
          </cell>
          <cell r="G221">
            <v>202</v>
          </cell>
          <cell r="H221">
            <v>116.84699999999999</v>
          </cell>
          <cell r="I221">
            <v>57.845049504950495</v>
          </cell>
          <cell r="O221">
            <v>0</v>
          </cell>
          <cell r="P221">
            <v>0</v>
          </cell>
          <cell r="U221">
            <v>0</v>
          </cell>
          <cell r="V221">
            <v>0</v>
          </cell>
          <cell r="AA221">
            <v>0</v>
          </cell>
          <cell r="AB221">
            <v>0</v>
          </cell>
          <cell r="AG221">
            <v>0</v>
          </cell>
          <cell r="AH221">
            <v>0</v>
          </cell>
          <cell r="AM221">
            <v>0</v>
          </cell>
          <cell r="AN221">
            <v>0</v>
          </cell>
          <cell r="AS221">
            <v>26</v>
          </cell>
          <cell r="AT221">
            <v>12.222</v>
          </cell>
          <cell r="AX221">
            <v>0</v>
          </cell>
          <cell r="AY221">
            <v>26</v>
          </cell>
          <cell r="AZ221">
            <v>12.222</v>
          </cell>
          <cell r="BA221">
            <v>47.007692307692309</v>
          </cell>
          <cell r="BG221">
            <v>26</v>
          </cell>
          <cell r="BH221">
            <v>14.478999999999999</v>
          </cell>
          <cell r="BM221">
            <v>26</v>
          </cell>
          <cell r="BN221">
            <v>15.4</v>
          </cell>
          <cell r="BS221">
            <v>39</v>
          </cell>
          <cell r="BT221">
            <v>23.24</v>
          </cell>
          <cell r="BY221">
            <v>39</v>
          </cell>
          <cell r="BZ221">
            <v>23.352</v>
          </cell>
          <cell r="CE221">
            <v>26</v>
          </cell>
          <cell r="CF221">
            <v>15.717000000000001</v>
          </cell>
          <cell r="CK221">
            <v>20</v>
          </cell>
          <cell r="CL221">
            <v>12.436999999999999</v>
          </cell>
          <cell r="CP221">
            <v>0</v>
          </cell>
          <cell r="CQ221">
            <v>176</v>
          </cell>
          <cell r="CR221">
            <v>104.625</v>
          </cell>
          <cell r="CS221">
            <v>59.446022727272727</v>
          </cell>
          <cell r="CX221">
            <v>0</v>
          </cell>
          <cell r="CY221">
            <v>0</v>
          </cell>
          <cell r="CZ221">
            <v>0</v>
          </cell>
          <cell r="DA221">
            <v>0</v>
          </cell>
          <cell r="DF221">
            <v>0</v>
          </cell>
          <cell r="DG221">
            <v>26</v>
          </cell>
          <cell r="DH221">
            <v>12.222</v>
          </cell>
          <cell r="DI221">
            <v>47.007692307692309</v>
          </cell>
          <cell r="DN221">
            <v>0</v>
          </cell>
          <cell r="DO221">
            <v>91</v>
          </cell>
          <cell r="DP221">
            <v>53.119</v>
          </cell>
          <cell r="DQ221">
            <v>58.372527472527466</v>
          </cell>
          <cell r="DV221">
            <v>0</v>
          </cell>
          <cell r="DW221">
            <v>85</v>
          </cell>
          <cell r="DX221">
            <v>51.506</v>
          </cell>
          <cell r="DY221">
            <v>60.595294117647057</v>
          </cell>
        </row>
        <row r="222">
          <cell r="F222">
            <v>0</v>
          </cell>
          <cell r="G222">
            <v>1048.0999999999999</v>
          </cell>
          <cell r="H222">
            <v>298.20799999999997</v>
          </cell>
          <cell r="I222">
            <v>28.452246923003532</v>
          </cell>
          <cell r="O222">
            <v>54.2</v>
          </cell>
          <cell r="P222">
            <v>15.48</v>
          </cell>
          <cell r="U222">
            <v>93</v>
          </cell>
          <cell r="V222">
            <v>25.9</v>
          </cell>
          <cell r="AA222">
            <v>118.2</v>
          </cell>
          <cell r="AB222">
            <v>33.78</v>
          </cell>
          <cell r="AG222">
            <v>111.5</v>
          </cell>
          <cell r="AH222">
            <v>31.423999999999999</v>
          </cell>
          <cell r="AM222">
            <v>104.2</v>
          </cell>
          <cell r="AN222">
            <v>29.98</v>
          </cell>
          <cell r="AS222">
            <v>79.2</v>
          </cell>
          <cell r="AT222">
            <v>22.32</v>
          </cell>
          <cell r="AX222">
            <v>0</v>
          </cell>
          <cell r="AY222">
            <v>560.29999999999995</v>
          </cell>
          <cell r="AZ222">
            <v>158.88399999999999</v>
          </cell>
          <cell r="BA222">
            <v>28.356951633053722</v>
          </cell>
          <cell r="BG222">
            <v>58.4</v>
          </cell>
          <cell r="BH222">
            <v>16.635999999999999</v>
          </cell>
          <cell r="BM222">
            <v>54.4</v>
          </cell>
          <cell r="BN222">
            <v>15.635999999999999</v>
          </cell>
          <cell r="BS222">
            <v>110.9</v>
          </cell>
          <cell r="BT222">
            <v>31.736000000000001</v>
          </cell>
          <cell r="BY222">
            <v>110.5</v>
          </cell>
          <cell r="BZ222">
            <v>31.744</v>
          </cell>
          <cell r="CE222">
            <v>86.1</v>
          </cell>
          <cell r="CF222">
            <v>24.408000000000001</v>
          </cell>
          <cell r="CK222">
            <v>67.5</v>
          </cell>
          <cell r="CL222">
            <v>19.164000000000001</v>
          </cell>
          <cell r="CP222">
            <v>0</v>
          </cell>
          <cell r="CQ222">
            <v>487.79999999999995</v>
          </cell>
          <cell r="CR222">
            <v>139.32400000000001</v>
          </cell>
          <cell r="CS222">
            <v>28.561705617056177</v>
          </cell>
          <cell r="CX222">
            <v>0</v>
          </cell>
          <cell r="CY222">
            <v>265.39999999999998</v>
          </cell>
          <cell r="CZ222">
            <v>75.16</v>
          </cell>
          <cell r="DA222">
            <v>28.319517709118315</v>
          </cell>
          <cell r="DF222">
            <v>0</v>
          </cell>
          <cell r="DG222">
            <v>294.89999999999998</v>
          </cell>
          <cell r="DH222">
            <v>83.72399999999999</v>
          </cell>
          <cell r="DI222">
            <v>28.390640895218716</v>
          </cell>
          <cell r="DN222">
            <v>0</v>
          </cell>
          <cell r="DO222">
            <v>223.7</v>
          </cell>
          <cell r="DP222">
            <v>64.007999999999996</v>
          </cell>
          <cell r="DQ222">
            <v>28.613321412606169</v>
          </cell>
          <cell r="DV222">
            <v>0</v>
          </cell>
          <cell r="DW222">
            <v>264.10000000000002</v>
          </cell>
          <cell r="DX222">
            <v>75.316000000000003</v>
          </cell>
          <cell r="DY222">
            <v>28.517985611510788</v>
          </cell>
        </row>
        <row r="223">
          <cell r="F223">
            <v>0</v>
          </cell>
          <cell r="G223">
            <v>0</v>
          </cell>
          <cell r="H223">
            <v>0</v>
          </cell>
          <cell r="I223">
            <v>0</v>
          </cell>
          <cell r="N223">
            <v>0</v>
          </cell>
          <cell r="O223">
            <v>0</v>
          </cell>
          <cell r="T223">
            <v>0</v>
          </cell>
          <cell r="U223">
            <v>0</v>
          </cell>
          <cell r="Z223">
            <v>0</v>
          </cell>
          <cell r="AA223">
            <v>0</v>
          </cell>
          <cell r="AF223">
            <v>0</v>
          </cell>
          <cell r="AG223">
            <v>0</v>
          </cell>
          <cell r="AL223">
            <v>0</v>
          </cell>
          <cell r="AM223">
            <v>0</v>
          </cell>
          <cell r="AR223">
            <v>0</v>
          </cell>
          <cell r="AS223">
            <v>0</v>
          </cell>
          <cell r="AX223">
            <v>0</v>
          </cell>
          <cell r="AY223">
            <v>0</v>
          </cell>
          <cell r="AZ223">
            <v>0</v>
          </cell>
          <cell r="BA223">
            <v>0</v>
          </cell>
          <cell r="BF223">
            <v>0</v>
          </cell>
          <cell r="BG223">
            <v>0</v>
          </cell>
          <cell r="BL223">
            <v>0</v>
          </cell>
          <cell r="BM223">
            <v>0</v>
          </cell>
          <cell r="BR223">
            <v>0</v>
          </cell>
          <cell r="BS223">
            <v>0</v>
          </cell>
          <cell r="BX223">
            <v>0</v>
          </cell>
          <cell r="BY223">
            <v>0</v>
          </cell>
          <cell r="CD223">
            <v>0</v>
          </cell>
          <cell r="CE223">
            <v>0</v>
          </cell>
          <cell r="CJ223">
            <v>0</v>
          </cell>
          <cell r="CK223">
            <v>0</v>
          </cell>
          <cell r="CP223">
            <v>0</v>
          </cell>
          <cell r="CQ223">
            <v>0</v>
          </cell>
          <cell r="CR223">
            <v>0</v>
          </cell>
          <cell r="CS223">
            <v>0</v>
          </cell>
          <cell r="CX223">
            <v>0</v>
          </cell>
          <cell r="CY223">
            <v>0</v>
          </cell>
          <cell r="CZ223">
            <v>0</v>
          </cell>
          <cell r="DA223">
            <v>0</v>
          </cell>
          <cell r="DF223">
            <v>0</v>
          </cell>
          <cell r="DG223">
            <v>0</v>
          </cell>
          <cell r="DH223">
            <v>0</v>
          </cell>
          <cell r="DI223">
            <v>0</v>
          </cell>
          <cell r="DN223">
            <v>0</v>
          </cell>
          <cell r="DO223">
            <v>0</v>
          </cell>
          <cell r="DP223">
            <v>0</v>
          </cell>
          <cell r="DQ223">
            <v>0</v>
          </cell>
          <cell r="DV223">
            <v>0</v>
          </cell>
          <cell r="DW223">
            <v>0</v>
          </cell>
          <cell r="DX223">
            <v>0</v>
          </cell>
          <cell r="DY223">
            <v>0</v>
          </cell>
        </row>
        <row r="224">
          <cell r="F224">
            <v>0</v>
          </cell>
          <cell r="G224">
            <v>1250.0999999999999</v>
          </cell>
          <cell r="H224">
            <v>415.05499999999995</v>
          </cell>
          <cell r="I224">
            <v>33.201743860491163</v>
          </cell>
          <cell r="N224">
            <v>0</v>
          </cell>
          <cell r="O224">
            <v>54.2</v>
          </cell>
          <cell r="P224">
            <v>15.48</v>
          </cell>
          <cell r="T224">
            <v>0</v>
          </cell>
          <cell r="U224">
            <v>93</v>
          </cell>
          <cell r="V224">
            <v>25.9</v>
          </cell>
          <cell r="Z224">
            <v>0</v>
          </cell>
          <cell r="AA224">
            <v>118.2</v>
          </cell>
          <cell r="AB224">
            <v>33.78</v>
          </cell>
          <cell r="AF224">
            <v>0</v>
          </cell>
          <cell r="AG224">
            <v>111.5</v>
          </cell>
          <cell r="AH224">
            <v>31.423999999999999</v>
          </cell>
          <cell r="AL224">
            <v>0</v>
          </cell>
          <cell r="AM224">
            <v>104.2</v>
          </cell>
          <cell r="AN224">
            <v>29.98</v>
          </cell>
          <cell r="AR224">
            <v>0</v>
          </cell>
          <cell r="AS224">
            <v>105.2</v>
          </cell>
          <cell r="AT224">
            <v>34.542000000000002</v>
          </cell>
          <cell r="AX224">
            <v>0</v>
          </cell>
          <cell r="AY224">
            <v>586.29999999999995</v>
          </cell>
          <cell r="AZ224">
            <v>171.10599999999999</v>
          </cell>
          <cell r="BA224">
            <v>29.184035476718407</v>
          </cell>
          <cell r="BF224">
            <v>0</v>
          </cell>
          <cell r="BG224">
            <v>84.4</v>
          </cell>
          <cell r="BH224">
            <v>31.114999999999998</v>
          </cell>
          <cell r="BL224">
            <v>0</v>
          </cell>
          <cell r="BM224">
            <v>80.400000000000006</v>
          </cell>
          <cell r="BN224">
            <v>31.036000000000001</v>
          </cell>
          <cell r="BR224">
            <v>0</v>
          </cell>
          <cell r="BS224">
            <v>149.9</v>
          </cell>
          <cell r="BT224">
            <v>54.975999999999999</v>
          </cell>
          <cell r="BX224">
            <v>0</v>
          </cell>
          <cell r="BY224">
            <v>149.5</v>
          </cell>
          <cell r="BZ224">
            <v>55.096000000000004</v>
          </cell>
          <cell r="CD224">
            <v>0</v>
          </cell>
          <cell r="CE224">
            <v>112.1</v>
          </cell>
          <cell r="CF224">
            <v>40.125</v>
          </cell>
          <cell r="CJ224">
            <v>0</v>
          </cell>
          <cell r="CK224">
            <v>87.5</v>
          </cell>
          <cell r="CL224">
            <v>31.600999999999999</v>
          </cell>
          <cell r="CP224">
            <v>0</v>
          </cell>
          <cell r="CQ224">
            <v>663.8</v>
          </cell>
          <cell r="CR224">
            <v>243.94900000000001</v>
          </cell>
          <cell r="CS224">
            <v>36.750376619463701</v>
          </cell>
          <cell r="CX224">
            <v>0</v>
          </cell>
          <cell r="CY224">
            <v>265.39999999999998</v>
          </cell>
          <cell r="CZ224">
            <v>75.16</v>
          </cell>
          <cell r="DA224">
            <v>28.319517709118315</v>
          </cell>
          <cell r="DF224">
            <v>0</v>
          </cell>
          <cell r="DG224">
            <v>320.89999999999998</v>
          </cell>
          <cell r="DH224">
            <v>95.945999999999984</v>
          </cell>
          <cell r="DI224">
            <v>29.899033966967899</v>
          </cell>
          <cell r="DN224">
            <v>0</v>
          </cell>
          <cell r="DO224">
            <v>314.7</v>
          </cell>
          <cell r="DP224">
            <v>117.127</v>
          </cell>
          <cell r="DQ224">
            <v>37.218620908802038</v>
          </cell>
          <cell r="DV224">
            <v>0</v>
          </cell>
          <cell r="DW224">
            <v>349.1</v>
          </cell>
          <cell r="DX224">
            <v>126.822</v>
          </cell>
          <cell r="DY224">
            <v>36.328272701231739</v>
          </cell>
        </row>
        <row r="225">
          <cell r="F225">
            <v>0</v>
          </cell>
          <cell r="G225">
            <v>1111</v>
          </cell>
          <cell r="H225">
            <v>333.45</v>
          </cell>
          <cell r="I225">
            <v>30.013501350135012</v>
          </cell>
          <cell r="N225">
            <v>0</v>
          </cell>
          <cell r="O225">
            <v>44</v>
          </cell>
          <cell r="P225">
            <v>13.122</v>
          </cell>
          <cell r="T225">
            <v>0</v>
          </cell>
          <cell r="U225">
            <v>60</v>
          </cell>
          <cell r="V225">
            <v>17.922000000000001</v>
          </cell>
          <cell r="Z225">
            <v>0</v>
          </cell>
          <cell r="AA225">
            <v>68</v>
          </cell>
          <cell r="AB225">
            <v>20.622</v>
          </cell>
          <cell r="AF225">
            <v>0</v>
          </cell>
          <cell r="AG225">
            <v>64</v>
          </cell>
          <cell r="AH225">
            <v>19.295999999999999</v>
          </cell>
          <cell r="AL225">
            <v>0</v>
          </cell>
          <cell r="AM225">
            <v>73</v>
          </cell>
          <cell r="AN225">
            <v>21.995999999999999</v>
          </cell>
          <cell r="AR225">
            <v>0</v>
          </cell>
          <cell r="AS225">
            <v>64</v>
          </cell>
          <cell r="AT225">
            <v>19.295999999999999</v>
          </cell>
          <cell r="AX225">
            <v>0</v>
          </cell>
          <cell r="AY225">
            <v>373</v>
          </cell>
          <cell r="AZ225">
            <v>112.254</v>
          </cell>
          <cell r="BA225">
            <v>30.094906166219843</v>
          </cell>
          <cell r="BF225">
            <v>0</v>
          </cell>
          <cell r="BG225">
            <v>76</v>
          </cell>
          <cell r="BH225">
            <v>22.745999999999999</v>
          </cell>
          <cell r="BL225">
            <v>0</v>
          </cell>
          <cell r="BM225">
            <v>93</v>
          </cell>
          <cell r="BN225">
            <v>27.795000000000002</v>
          </cell>
          <cell r="BR225">
            <v>0</v>
          </cell>
          <cell r="BS225">
            <v>112</v>
          </cell>
          <cell r="BT225">
            <v>33.494999999999997</v>
          </cell>
          <cell r="BX225">
            <v>0</v>
          </cell>
          <cell r="BY225">
            <v>147</v>
          </cell>
          <cell r="BZ225">
            <v>43.994999999999997</v>
          </cell>
          <cell r="CD225">
            <v>0</v>
          </cell>
          <cell r="CE225">
            <v>162</v>
          </cell>
          <cell r="CF225">
            <v>48.795000000000002</v>
          </cell>
          <cell r="CJ225">
            <v>0</v>
          </cell>
          <cell r="CK225">
            <v>148</v>
          </cell>
          <cell r="CL225">
            <v>44.37</v>
          </cell>
          <cell r="CP225">
            <v>0</v>
          </cell>
          <cell r="CQ225">
            <v>738</v>
          </cell>
          <cell r="CR225">
            <v>221.196</v>
          </cell>
          <cell r="CS225">
            <v>29.972357723577236</v>
          </cell>
          <cell r="CX225">
            <v>0</v>
          </cell>
          <cell r="CY225">
            <v>172</v>
          </cell>
          <cell r="CZ225">
            <v>51.665999999999997</v>
          </cell>
          <cell r="DA225">
            <v>30.038372093023252</v>
          </cell>
          <cell r="DF225">
            <v>0</v>
          </cell>
          <cell r="DG225">
            <v>201</v>
          </cell>
          <cell r="DH225">
            <v>60.588000000000001</v>
          </cell>
          <cell r="DI225">
            <v>30.143283582089552</v>
          </cell>
          <cell r="DN225">
            <v>0</v>
          </cell>
          <cell r="DO225">
            <v>281</v>
          </cell>
          <cell r="DP225">
            <v>84.036000000000001</v>
          </cell>
          <cell r="DQ225">
            <v>29.906049822064055</v>
          </cell>
          <cell r="DV225">
            <v>0</v>
          </cell>
          <cell r="DW225">
            <v>457</v>
          </cell>
          <cell r="DX225">
            <v>137.16</v>
          </cell>
          <cell r="DY225">
            <v>30.013129102844637</v>
          </cell>
        </row>
        <row r="226">
          <cell r="F226">
            <v>0</v>
          </cell>
          <cell r="G226">
            <v>0</v>
          </cell>
          <cell r="H226">
            <v>0</v>
          </cell>
          <cell r="I226">
            <v>0</v>
          </cell>
          <cell r="N226">
            <v>0</v>
          </cell>
          <cell r="O226">
            <v>0</v>
          </cell>
          <cell r="T226">
            <v>0</v>
          </cell>
          <cell r="U226">
            <v>0</v>
          </cell>
          <cell r="Z226">
            <v>0</v>
          </cell>
          <cell r="AA226">
            <v>0</v>
          </cell>
          <cell r="AF226">
            <v>0</v>
          </cell>
          <cell r="AG226">
            <v>0</v>
          </cell>
          <cell r="AL226">
            <v>0</v>
          </cell>
          <cell r="AM226">
            <v>0</v>
          </cell>
          <cell r="AR226">
            <v>0</v>
          </cell>
          <cell r="AS226">
            <v>0</v>
          </cell>
          <cell r="AX226">
            <v>0</v>
          </cell>
          <cell r="AY226">
            <v>0</v>
          </cell>
          <cell r="AZ226">
            <v>0</v>
          </cell>
          <cell r="BA226">
            <v>0</v>
          </cell>
          <cell r="BF226">
            <v>0</v>
          </cell>
          <cell r="BG226">
            <v>0</v>
          </cell>
          <cell r="BL226">
            <v>0</v>
          </cell>
          <cell r="BM226">
            <v>0</v>
          </cell>
          <cell r="BR226">
            <v>0</v>
          </cell>
          <cell r="BS226">
            <v>0</v>
          </cell>
          <cell r="BX226">
            <v>0</v>
          </cell>
          <cell r="BY226">
            <v>0</v>
          </cell>
          <cell r="CD226">
            <v>0</v>
          </cell>
          <cell r="CE226">
            <v>0</v>
          </cell>
          <cell r="CJ226">
            <v>0</v>
          </cell>
          <cell r="CK226">
            <v>0</v>
          </cell>
          <cell r="CP226">
            <v>0</v>
          </cell>
          <cell r="CQ226">
            <v>0</v>
          </cell>
          <cell r="CR226">
            <v>0</v>
          </cell>
          <cell r="CS226">
            <v>0</v>
          </cell>
          <cell r="CX226">
            <v>0</v>
          </cell>
          <cell r="CY226">
            <v>0</v>
          </cell>
          <cell r="CZ226">
            <v>0</v>
          </cell>
          <cell r="DA226">
            <v>0</v>
          </cell>
          <cell r="DF226">
            <v>0</v>
          </cell>
          <cell r="DG226">
            <v>0</v>
          </cell>
          <cell r="DH226">
            <v>0</v>
          </cell>
          <cell r="DI226">
            <v>0</v>
          </cell>
          <cell r="DN226">
            <v>0</v>
          </cell>
          <cell r="DO226">
            <v>0</v>
          </cell>
          <cell r="DP226">
            <v>0</v>
          </cell>
          <cell r="DQ226">
            <v>0</v>
          </cell>
          <cell r="DV226">
            <v>0</v>
          </cell>
          <cell r="DW226">
            <v>0</v>
          </cell>
          <cell r="DX226">
            <v>0</v>
          </cell>
          <cell r="DY226">
            <v>0</v>
          </cell>
        </row>
        <row r="227">
          <cell r="F227">
            <v>0</v>
          </cell>
          <cell r="G227">
            <v>1111</v>
          </cell>
          <cell r="H227">
            <v>333.45</v>
          </cell>
          <cell r="I227">
            <v>30.013501350135012</v>
          </cell>
          <cell r="N227">
            <v>0</v>
          </cell>
          <cell r="O227">
            <v>44</v>
          </cell>
          <cell r="P227">
            <v>13.122</v>
          </cell>
          <cell r="T227">
            <v>0</v>
          </cell>
          <cell r="U227">
            <v>60</v>
          </cell>
          <cell r="V227">
            <v>17.922000000000001</v>
          </cell>
          <cell r="Z227">
            <v>0</v>
          </cell>
          <cell r="AA227">
            <v>68</v>
          </cell>
          <cell r="AB227">
            <v>20.622</v>
          </cell>
          <cell r="AF227">
            <v>0</v>
          </cell>
          <cell r="AG227">
            <v>64</v>
          </cell>
          <cell r="AH227">
            <v>19.295999999999999</v>
          </cell>
          <cell r="AL227">
            <v>0</v>
          </cell>
          <cell r="AM227">
            <v>73</v>
          </cell>
          <cell r="AN227">
            <v>21.995999999999999</v>
          </cell>
          <cell r="AR227">
            <v>0</v>
          </cell>
          <cell r="AS227">
            <v>64</v>
          </cell>
          <cell r="AT227">
            <v>19.295999999999999</v>
          </cell>
          <cell r="AX227">
            <v>0</v>
          </cell>
          <cell r="AY227">
            <v>373</v>
          </cell>
          <cell r="AZ227">
            <v>112.254</v>
          </cell>
          <cell r="BA227">
            <v>30.094906166219843</v>
          </cell>
          <cell r="BF227">
            <v>0</v>
          </cell>
          <cell r="BG227">
            <v>76</v>
          </cell>
          <cell r="BH227">
            <v>22.745999999999999</v>
          </cell>
          <cell r="BL227">
            <v>0</v>
          </cell>
          <cell r="BM227">
            <v>93</v>
          </cell>
          <cell r="BN227">
            <v>27.795000000000002</v>
          </cell>
          <cell r="BR227">
            <v>0</v>
          </cell>
          <cell r="BS227">
            <v>112</v>
          </cell>
          <cell r="BT227">
            <v>33.494999999999997</v>
          </cell>
          <cell r="BX227">
            <v>0</v>
          </cell>
          <cell r="BY227">
            <v>147</v>
          </cell>
          <cell r="BZ227">
            <v>43.994999999999997</v>
          </cell>
          <cell r="CD227">
            <v>0</v>
          </cell>
          <cell r="CE227">
            <v>162</v>
          </cell>
          <cell r="CF227">
            <v>48.795000000000002</v>
          </cell>
          <cell r="CJ227">
            <v>0</v>
          </cell>
          <cell r="CK227">
            <v>148</v>
          </cell>
          <cell r="CL227">
            <v>44.37</v>
          </cell>
          <cell r="CP227">
            <v>0</v>
          </cell>
          <cell r="CQ227">
            <v>738</v>
          </cell>
          <cell r="CR227">
            <v>221.196</v>
          </cell>
          <cell r="CS227">
            <v>29.972357723577236</v>
          </cell>
          <cell r="CX227">
            <v>0</v>
          </cell>
          <cell r="CY227">
            <v>172</v>
          </cell>
          <cell r="CZ227">
            <v>51.665999999999997</v>
          </cell>
          <cell r="DA227">
            <v>30.038372093023252</v>
          </cell>
          <cell r="DF227">
            <v>0</v>
          </cell>
          <cell r="DG227">
            <v>201</v>
          </cell>
          <cell r="DH227">
            <v>60.588000000000001</v>
          </cell>
          <cell r="DI227">
            <v>30.143283582089552</v>
          </cell>
          <cell r="DN227">
            <v>0</v>
          </cell>
          <cell r="DO227">
            <v>281</v>
          </cell>
          <cell r="DP227">
            <v>84.036000000000001</v>
          </cell>
          <cell r="DQ227">
            <v>29.906049822064055</v>
          </cell>
          <cell r="DV227">
            <v>0</v>
          </cell>
          <cell r="DW227">
            <v>457</v>
          </cell>
          <cell r="DX227">
            <v>137.16</v>
          </cell>
          <cell r="DY227">
            <v>30.013129102844637</v>
          </cell>
        </row>
        <row r="228">
          <cell r="F228">
            <v>0</v>
          </cell>
          <cell r="G228">
            <v>0</v>
          </cell>
          <cell r="H228">
            <v>0</v>
          </cell>
          <cell r="I228">
            <v>0</v>
          </cell>
          <cell r="N228">
            <v>0</v>
          </cell>
          <cell r="O228">
            <v>0</v>
          </cell>
          <cell r="T228">
            <v>0</v>
          </cell>
          <cell r="U228">
            <v>0</v>
          </cell>
          <cell r="Z228">
            <v>0</v>
          </cell>
          <cell r="AA228">
            <v>0</v>
          </cell>
          <cell r="AF228">
            <v>0</v>
          </cell>
          <cell r="AG228">
            <v>0</v>
          </cell>
          <cell r="AL228">
            <v>0</v>
          </cell>
          <cell r="AM228">
            <v>0</v>
          </cell>
          <cell r="AR228">
            <v>0</v>
          </cell>
          <cell r="AS228">
            <v>0</v>
          </cell>
          <cell r="AX228">
            <v>0</v>
          </cell>
          <cell r="AY228">
            <v>0</v>
          </cell>
          <cell r="AZ228">
            <v>0</v>
          </cell>
          <cell r="BA228">
            <v>0</v>
          </cell>
          <cell r="BF228">
            <v>0</v>
          </cell>
          <cell r="BG228">
            <v>0</v>
          </cell>
          <cell r="BL228">
            <v>0</v>
          </cell>
          <cell r="BM228">
            <v>0</v>
          </cell>
          <cell r="BR228">
            <v>0</v>
          </cell>
          <cell r="BS228">
            <v>0</v>
          </cell>
          <cell r="BX228">
            <v>0</v>
          </cell>
          <cell r="BY228">
            <v>0</v>
          </cell>
          <cell r="CD228">
            <v>0</v>
          </cell>
          <cell r="CE228">
            <v>0</v>
          </cell>
          <cell r="CJ228">
            <v>0</v>
          </cell>
          <cell r="CK228">
            <v>0</v>
          </cell>
          <cell r="CP228">
            <v>0</v>
          </cell>
          <cell r="CQ228">
            <v>0</v>
          </cell>
          <cell r="CR228">
            <v>0</v>
          </cell>
          <cell r="CS228">
            <v>0</v>
          </cell>
          <cell r="CX228">
            <v>0</v>
          </cell>
          <cell r="CY228">
            <v>0</v>
          </cell>
          <cell r="CZ228">
            <v>0</v>
          </cell>
          <cell r="DA228">
            <v>0</v>
          </cell>
          <cell r="DF228">
            <v>0</v>
          </cell>
          <cell r="DG228">
            <v>0</v>
          </cell>
          <cell r="DH228">
            <v>0</v>
          </cell>
          <cell r="DI228">
            <v>0</v>
          </cell>
          <cell r="DN228">
            <v>0</v>
          </cell>
          <cell r="DO228">
            <v>0</v>
          </cell>
          <cell r="DP228">
            <v>0</v>
          </cell>
          <cell r="DQ228">
            <v>0</v>
          </cell>
          <cell r="DV228">
            <v>0</v>
          </cell>
          <cell r="DW228">
            <v>0</v>
          </cell>
          <cell r="DX228">
            <v>0</v>
          </cell>
          <cell r="DY228">
            <v>0</v>
          </cell>
        </row>
        <row r="229">
          <cell r="F229">
            <v>0</v>
          </cell>
          <cell r="G229">
            <v>0</v>
          </cell>
          <cell r="H229">
            <v>0</v>
          </cell>
          <cell r="I229">
            <v>0</v>
          </cell>
          <cell r="N229">
            <v>0</v>
          </cell>
          <cell r="O229">
            <v>0</v>
          </cell>
          <cell r="T229">
            <v>0</v>
          </cell>
          <cell r="U229">
            <v>0</v>
          </cell>
          <cell r="Z229">
            <v>0</v>
          </cell>
          <cell r="AA229">
            <v>0</v>
          </cell>
          <cell r="AF229">
            <v>0</v>
          </cell>
          <cell r="AG229">
            <v>0</v>
          </cell>
          <cell r="AL229">
            <v>0</v>
          </cell>
          <cell r="AM229">
            <v>0</v>
          </cell>
          <cell r="AR229">
            <v>0</v>
          </cell>
          <cell r="AS229">
            <v>0</v>
          </cell>
          <cell r="AX229">
            <v>0</v>
          </cell>
          <cell r="AY229">
            <v>0</v>
          </cell>
          <cell r="AZ229">
            <v>0</v>
          </cell>
          <cell r="BA229">
            <v>0</v>
          </cell>
          <cell r="BF229">
            <v>0</v>
          </cell>
          <cell r="BG229">
            <v>0</v>
          </cell>
          <cell r="BL229">
            <v>0</v>
          </cell>
          <cell r="BM229">
            <v>0</v>
          </cell>
          <cell r="BR229">
            <v>0</v>
          </cell>
          <cell r="BS229">
            <v>0</v>
          </cell>
          <cell r="BX229">
            <v>0</v>
          </cell>
          <cell r="BY229">
            <v>0</v>
          </cell>
          <cell r="CD229">
            <v>0</v>
          </cell>
          <cell r="CE229">
            <v>0</v>
          </cell>
          <cell r="CJ229">
            <v>0</v>
          </cell>
          <cell r="CK229">
            <v>0</v>
          </cell>
          <cell r="CP229">
            <v>0</v>
          </cell>
          <cell r="CQ229">
            <v>0</v>
          </cell>
          <cell r="CR229">
            <v>0</v>
          </cell>
          <cell r="CS229">
            <v>0</v>
          </cell>
          <cell r="CX229">
            <v>0</v>
          </cell>
          <cell r="CY229">
            <v>0</v>
          </cell>
          <cell r="CZ229">
            <v>0</v>
          </cell>
          <cell r="DA229">
            <v>0</v>
          </cell>
          <cell r="DF229">
            <v>0</v>
          </cell>
          <cell r="DG229">
            <v>0</v>
          </cell>
          <cell r="DH229">
            <v>0</v>
          </cell>
          <cell r="DI229">
            <v>0</v>
          </cell>
          <cell r="DN229">
            <v>0</v>
          </cell>
          <cell r="DO229">
            <v>0</v>
          </cell>
          <cell r="DP229">
            <v>0</v>
          </cell>
          <cell r="DQ229">
            <v>0</v>
          </cell>
          <cell r="DV229">
            <v>0</v>
          </cell>
          <cell r="DW229">
            <v>0</v>
          </cell>
          <cell r="DX229">
            <v>0</v>
          </cell>
          <cell r="DY229">
            <v>0</v>
          </cell>
        </row>
        <row r="230">
          <cell r="F230">
            <v>0</v>
          </cell>
          <cell r="G230">
            <v>0</v>
          </cell>
          <cell r="H230">
            <v>0</v>
          </cell>
          <cell r="I230">
            <v>0</v>
          </cell>
          <cell r="N230">
            <v>0</v>
          </cell>
          <cell r="O230">
            <v>0</v>
          </cell>
          <cell r="P230">
            <v>0</v>
          </cell>
          <cell r="T230">
            <v>0</v>
          </cell>
          <cell r="U230">
            <v>0</v>
          </cell>
          <cell r="V230">
            <v>0</v>
          </cell>
          <cell r="Z230">
            <v>0</v>
          </cell>
          <cell r="AA230">
            <v>0</v>
          </cell>
          <cell r="AB230">
            <v>0</v>
          </cell>
          <cell r="AF230">
            <v>0</v>
          </cell>
          <cell r="AG230">
            <v>0</v>
          </cell>
          <cell r="AH230">
            <v>0</v>
          </cell>
          <cell r="AL230">
            <v>0</v>
          </cell>
          <cell r="AM230">
            <v>0</v>
          </cell>
          <cell r="AN230">
            <v>0</v>
          </cell>
          <cell r="AR230">
            <v>0</v>
          </cell>
          <cell r="AS230">
            <v>0</v>
          </cell>
          <cell r="AT230">
            <v>0</v>
          </cell>
          <cell r="AX230">
            <v>0</v>
          </cell>
          <cell r="AY230">
            <v>0</v>
          </cell>
          <cell r="AZ230">
            <v>0</v>
          </cell>
          <cell r="BA230">
            <v>0</v>
          </cell>
          <cell r="BF230">
            <v>0</v>
          </cell>
          <cell r="BG230">
            <v>0</v>
          </cell>
          <cell r="BH230">
            <v>0</v>
          </cell>
          <cell r="BL230">
            <v>0</v>
          </cell>
          <cell r="BM230">
            <v>0</v>
          </cell>
          <cell r="BN230">
            <v>0</v>
          </cell>
          <cell r="BR230">
            <v>0</v>
          </cell>
          <cell r="BS230">
            <v>0</v>
          </cell>
          <cell r="BT230">
            <v>0</v>
          </cell>
          <cell r="BX230">
            <v>0</v>
          </cell>
          <cell r="BY230">
            <v>0</v>
          </cell>
          <cell r="BZ230">
            <v>0</v>
          </cell>
          <cell r="CD230">
            <v>0</v>
          </cell>
          <cell r="CE230">
            <v>0</v>
          </cell>
          <cell r="CF230">
            <v>0</v>
          </cell>
          <cell r="CJ230">
            <v>0</v>
          </cell>
          <cell r="CK230">
            <v>0</v>
          </cell>
          <cell r="CL230">
            <v>0</v>
          </cell>
          <cell r="CP230">
            <v>0</v>
          </cell>
          <cell r="CQ230">
            <v>0</v>
          </cell>
          <cell r="CR230">
            <v>0</v>
          </cell>
          <cell r="CS230">
            <v>0</v>
          </cell>
          <cell r="CX230">
            <v>0</v>
          </cell>
          <cell r="CY230">
            <v>0</v>
          </cell>
          <cell r="CZ230">
            <v>0</v>
          </cell>
          <cell r="DA230">
            <v>0</v>
          </cell>
          <cell r="DF230">
            <v>0</v>
          </cell>
          <cell r="DG230">
            <v>0</v>
          </cell>
          <cell r="DH230">
            <v>0</v>
          </cell>
          <cell r="DI230">
            <v>0</v>
          </cell>
          <cell r="DN230">
            <v>0</v>
          </cell>
          <cell r="DO230">
            <v>0</v>
          </cell>
          <cell r="DP230">
            <v>0</v>
          </cell>
          <cell r="DQ230">
            <v>0</v>
          </cell>
          <cell r="DV230">
            <v>0</v>
          </cell>
          <cell r="DW230">
            <v>0</v>
          </cell>
          <cell r="DX230">
            <v>0</v>
          </cell>
          <cell r="DY230">
            <v>0</v>
          </cell>
        </row>
        <row r="231">
          <cell r="F231">
            <v>6750</v>
          </cell>
          <cell r="G231">
            <v>1012</v>
          </cell>
          <cell r="H231">
            <v>133.495</v>
          </cell>
          <cell r="I231">
            <v>13.19120553359684</v>
          </cell>
          <cell r="N231">
            <v>0</v>
          </cell>
          <cell r="O231">
            <v>0</v>
          </cell>
          <cell r="P231">
            <v>0</v>
          </cell>
          <cell r="T231">
            <v>200</v>
          </cell>
          <cell r="U231">
            <v>30</v>
          </cell>
          <cell r="V231">
            <v>3.956</v>
          </cell>
          <cell r="Z231">
            <v>250</v>
          </cell>
          <cell r="AA231">
            <v>37</v>
          </cell>
          <cell r="AB231">
            <v>4.9450000000000003</v>
          </cell>
          <cell r="AF231">
            <v>300</v>
          </cell>
          <cell r="AG231">
            <v>45</v>
          </cell>
          <cell r="AH231">
            <v>5.931</v>
          </cell>
          <cell r="AL231">
            <v>500</v>
          </cell>
          <cell r="AM231">
            <v>75</v>
          </cell>
          <cell r="AN231">
            <v>9.89</v>
          </cell>
          <cell r="AR231">
            <v>600</v>
          </cell>
          <cell r="AS231">
            <v>90</v>
          </cell>
          <cell r="AT231">
            <v>11.868</v>
          </cell>
          <cell r="AX231">
            <v>1850</v>
          </cell>
          <cell r="AY231">
            <v>277</v>
          </cell>
          <cell r="AZ231">
            <v>36.590000000000003</v>
          </cell>
          <cell r="BA231">
            <v>13.209386281588447</v>
          </cell>
          <cell r="BF231">
            <v>700</v>
          </cell>
          <cell r="BG231">
            <v>105</v>
          </cell>
          <cell r="BH231">
            <v>13.846</v>
          </cell>
          <cell r="BL231">
            <v>750</v>
          </cell>
          <cell r="BM231">
            <v>113</v>
          </cell>
          <cell r="BN231">
            <v>14.827</v>
          </cell>
          <cell r="BR231">
            <v>800</v>
          </cell>
          <cell r="BS231">
            <v>120</v>
          </cell>
          <cell r="BT231">
            <v>15.824</v>
          </cell>
          <cell r="BX231">
            <v>850</v>
          </cell>
          <cell r="BY231">
            <v>127</v>
          </cell>
          <cell r="BZ231">
            <v>16.812999999999999</v>
          </cell>
          <cell r="CD231">
            <v>900</v>
          </cell>
          <cell r="CE231">
            <v>135</v>
          </cell>
          <cell r="CF231">
            <v>17.802</v>
          </cell>
          <cell r="CJ231">
            <v>900</v>
          </cell>
          <cell r="CK231">
            <v>135</v>
          </cell>
          <cell r="CL231">
            <v>17.792999999999999</v>
          </cell>
          <cell r="CP231">
            <v>4900</v>
          </cell>
          <cell r="CQ231">
            <v>735</v>
          </cell>
          <cell r="CR231">
            <v>96.905000000000001</v>
          </cell>
          <cell r="CS231">
            <v>13.184353741496599</v>
          </cell>
          <cell r="CX231">
            <v>450</v>
          </cell>
          <cell r="CY231">
            <v>67</v>
          </cell>
          <cell r="CZ231">
            <v>8.9009999999999998</v>
          </cell>
          <cell r="DA231">
            <v>13.28507462686567</v>
          </cell>
          <cell r="DF231">
            <v>1400</v>
          </cell>
          <cell r="DG231">
            <v>210</v>
          </cell>
          <cell r="DH231">
            <v>27.689</v>
          </cell>
          <cell r="DI231">
            <v>13.185238095238095</v>
          </cell>
          <cell r="DN231">
            <v>2250</v>
          </cell>
          <cell r="DO231">
            <v>338</v>
          </cell>
          <cell r="DP231">
            <v>44.497</v>
          </cell>
          <cell r="DQ231">
            <v>13.164792899408283</v>
          </cell>
          <cell r="DV231">
            <v>2650</v>
          </cell>
          <cell r="DW231">
            <v>397</v>
          </cell>
          <cell r="DX231">
            <v>52.407999999999994</v>
          </cell>
          <cell r="DY231">
            <v>13.201007556675062</v>
          </cell>
        </row>
        <row r="232">
          <cell r="F232">
            <v>0</v>
          </cell>
          <cell r="G232">
            <v>1000</v>
          </cell>
          <cell r="H232">
            <v>794.75700000000006</v>
          </cell>
          <cell r="I232">
            <v>79.475700000000003</v>
          </cell>
          <cell r="O232">
            <v>40</v>
          </cell>
          <cell r="P232">
            <v>30.494</v>
          </cell>
          <cell r="U232">
            <v>50</v>
          </cell>
          <cell r="V232">
            <v>37.814</v>
          </cell>
          <cell r="AA232">
            <v>50</v>
          </cell>
          <cell r="AB232">
            <v>36.72</v>
          </cell>
          <cell r="AG232">
            <v>70</v>
          </cell>
          <cell r="AH232">
            <v>55.106999999999999</v>
          </cell>
          <cell r="AM232">
            <v>70</v>
          </cell>
          <cell r="AN232">
            <v>54.527000000000001</v>
          </cell>
          <cell r="AS232">
            <v>80</v>
          </cell>
          <cell r="AT232">
            <v>64</v>
          </cell>
          <cell r="AX232">
            <v>0</v>
          </cell>
          <cell r="AY232">
            <v>360</v>
          </cell>
          <cell r="AZ232">
            <v>278.66200000000003</v>
          </cell>
          <cell r="BA232">
            <v>77.406111111111116</v>
          </cell>
          <cell r="BG232">
            <v>85</v>
          </cell>
          <cell r="BH232">
            <v>66.927000000000007</v>
          </cell>
          <cell r="BM232">
            <v>85</v>
          </cell>
          <cell r="BN232">
            <v>67.066999999999993</v>
          </cell>
          <cell r="BS232">
            <v>90</v>
          </cell>
          <cell r="BT232">
            <v>72.819999999999993</v>
          </cell>
          <cell r="BY232">
            <v>100</v>
          </cell>
          <cell r="BZ232">
            <v>80.027000000000001</v>
          </cell>
          <cell r="CE232">
            <v>120</v>
          </cell>
          <cell r="CF232">
            <v>96.427000000000007</v>
          </cell>
          <cell r="CK232">
            <v>160</v>
          </cell>
          <cell r="CL232">
            <v>132.827</v>
          </cell>
          <cell r="CP232">
            <v>0</v>
          </cell>
          <cell r="CQ232">
            <v>640</v>
          </cell>
          <cell r="CR232">
            <v>516.09500000000003</v>
          </cell>
          <cell r="CS232">
            <v>80.639843750000011</v>
          </cell>
          <cell r="CX232">
            <v>0</v>
          </cell>
          <cell r="CY232">
            <v>140</v>
          </cell>
          <cell r="CZ232">
            <v>105.02799999999999</v>
          </cell>
          <cell r="DA232">
            <v>75.02</v>
          </cell>
          <cell r="DF232">
            <v>0</v>
          </cell>
          <cell r="DG232">
            <v>220</v>
          </cell>
          <cell r="DH232">
            <v>173.63400000000001</v>
          </cell>
          <cell r="DI232">
            <v>78.924545454545452</v>
          </cell>
          <cell r="DN232">
            <v>0</v>
          </cell>
          <cell r="DO232">
            <v>260</v>
          </cell>
          <cell r="DP232">
            <v>206.81399999999999</v>
          </cell>
          <cell r="DQ232">
            <v>79.543846153846147</v>
          </cell>
          <cell r="DV232">
            <v>0</v>
          </cell>
          <cell r="DW232">
            <v>380</v>
          </cell>
          <cell r="DX232">
            <v>309.28100000000001</v>
          </cell>
          <cell r="DY232">
            <v>81.389736842105265</v>
          </cell>
        </row>
        <row r="233">
          <cell r="F233">
            <v>0</v>
          </cell>
          <cell r="G233">
            <v>0</v>
          </cell>
          <cell r="H233">
            <v>0</v>
          </cell>
          <cell r="I233">
            <v>0</v>
          </cell>
          <cell r="N233">
            <v>0</v>
          </cell>
          <cell r="O233">
            <v>0</v>
          </cell>
          <cell r="T233">
            <v>0</v>
          </cell>
          <cell r="U233">
            <v>0</v>
          </cell>
          <cell r="Z233">
            <v>0</v>
          </cell>
          <cell r="AA233">
            <v>0</v>
          </cell>
          <cell r="AF233">
            <v>0</v>
          </cell>
          <cell r="AG233">
            <v>0</v>
          </cell>
          <cell r="AL233">
            <v>0</v>
          </cell>
          <cell r="AM233">
            <v>0</v>
          </cell>
          <cell r="AR233">
            <v>0</v>
          </cell>
          <cell r="AS233">
            <v>0</v>
          </cell>
          <cell r="AX233">
            <v>0</v>
          </cell>
          <cell r="AY233">
            <v>0</v>
          </cell>
          <cell r="AZ233">
            <v>0</v>
          </cell>
          <cell r="BA233">
            <v>0</v>
          </cell>
          <cell r="BF233">
            <v>0</v>
          </cell>
          <cell r="BG233">
            <v>0</v>
          </cell>
          <cell r="BL233">
            <v>0</v>
          </cell>
          <cell r="BM233">
            <v>0</v>
          </cell>
          <cell r="BR233">
            <v>0</v>
          </cell>
          <cell r="BS233">
            <v>0</v>
          </cell>
          <cell r="BX233">
            <v>0</v>
          </cell>
          <cell r="BY233">
            <v>0</v>
          </cell>
          <cell r="CD233">
            <v>0</v>
          </cell>
          <cell r="CE233">
            <v>0</v>
          </cell>
          <cell r="CJ233">
            <v>0</v>
          </cell>
          <cell r="CK233">
            <v>0</v>
          </cell>
          <cell r="CP233">
            <v>0</v>
          </cell>
          <cell r="CQ233">
            <v>0</v>
          </cell>
          <cell r="CR233">
            <v>0</v>
          </cell>
          <cell r="CS233">
            <v>0</v>
          </cell>
          <cell r="CX233">
            <v>0</v>
          </cell>
          <cell r="CY233">
            <v>0</v>
          </cell>
          <cell r="CZ233">
            <v>0</v>
          </cell>
          <cell r="DA233">
            <v>0</v>
          </cell>
          <cell r="DF233">
            <v>0</v>
          </cell>
          <cell r="DG233">
            <v>0</v>
          </cell>
          <cell r="DH233">
            <v>0</v>
          </cell>
          <cell r="DI233">
            <v>0</v>
          </cell>
          <cell r="DN233">
            <v>0</v>
          </cell>
          <cell r="DO233">
            <v>0</v>
          </cell>
          <cell r="DP233">
            <v>0</v>
          </cell>
          <cell r="DQ233">
            <v>0</v>
          </cell>
          <cell r="DV233">
            <v>0</v>
          </cell>
          <cell r="DW233">
            <v>0</v>
          </cell>
          <cell r="DX233">
            <v>0</v>
          </cell>
          <cell r="DY233">
            <v>0</v>
          </cell>
        </row>
        <row r="234">
          <cell r="F234">
            <v>6750</v>
          </cell>
          <cell r="G234">
            <v>2012</v>
          </cell>
          <cell r="H234">
            <v>928.25200000000007</v>
          </cell>
          <cell r="I234">
            <v>46.135785288270384</v>
          </cell>
          <cell r="N234">
            <v>0</v>
          </cell>
          <cell r="O234">
            <v>40</v>
          </cell>
          <cell r="P234">
            <v>30.494</v>
          </cell>
          <cell r="T234">
            <v>200</v>
          </cell>
          <cell r="U234">
            <v>80</v>
          </cell>
          <cell r="V234">
            <v>41.77</v>
          </cell>
          <cell r="Z234">
            <v>250</v>
          </cell>
          <cell r="AA234">
            <v>87</v>
          </cell>
          <cell r="AB234">
            <v>41.664999999999999</v>
          </cell>
          <cell r="AF234">
            <v>300</v>
          </cell>
          <cell r="AG234">
            <v>115</v>
          </cell>
          <cell r="AH234">
            <v>61.037999999999997</v>
          </cell>
          <cell r="AL234">
            <v>500</v>
          </cell>
          <cell r="AM234">
            <v>145</v>
          </cell>
          <cell r="AN234">
            <v>64.417000000000002</v>
          </cell>
          <cell r="AR234">
            <v>600</v>
          </cell>
          <cell r="AS234">
            <v>170</v>
          </cell>
          <cell r="AT234">
            <v>75.867999999999995</v>
          </cell>
          <cell r="AX234">
            <v>1850</v>
          </cell>
          <cell r="AY234">
            <v>637</v>
          </cell>
          <cell r="AZ234">
            <v>315.25200000000007</v>
          </cell>
          <cell r="BA234">
            <v>49.490109890109899</v>
          </cell>
          <cell r="BF234">
            <v>700</v>
          </cell>
          <cell r="BG234">
            <v>190</v>
          </cell>
          <cell r="BH234">
            <v>80.77300000000001</v>
          </cell>
          <cell r="BL234">
            <v>750</v>
          </cell>
          <cell r="BM234">
            <v>198</v>
          </cell>
          <cell r="BN234">
            <v>81.893999999999991</v>
          </cell>
          <cell r="BR234">
            <v>800</v>
          </cell>
          <cell r="BS234">
            <v>210</v>
          </cell>
          <cell r="BT234">
            <v>88.643999999999991</v>
          </cell>
          <cell r="BX234">
            <v>850</v>
          </cell>
          <cell r="BY234">
            <v>227</v>
          </cell>
          <cell r="BZ234">
            <v>96.84</v>
          </cell>
          <cell r="CD234">
            <v>900</v>
          </cell>
          <cell r="CE234">
            <v>255</v>
          </cell>
          <cell r="CF234">
            <v>114.22900000000001</v>
          </cell>
          <cell r="CJ234">
            <v>900</v>
          </cell>
          <cell r="CK234">
            <v>295</v>
          </cell>
          <cell r="CL234">
            <v>150.62</v>
          </cell>
          <cell r="CP234">
            <v>4900</v>
          </cell>
          <cell r="CQ234">
            <v>1375</v>
          </cell>
          <cell r="CR234">
            <v>613</v>
          </cell>
          <cell r="CS234">
            <v>44.581818181818186</v>
          </cell>
          <cell r="CX234">
            <v>450</v>
          </cell>
          <cell r="CY234">
            <v>207</v>
          </cell>
          <cell r="CZ234">
            <v>113.92899999999999</v>
          </cell>
          <cell r="DA234">
            <v>55.038164251207725</v>
          </cell>
          <cell r="DF234">
            <v>1400</v>
          </cell>
          <cell r="DG234">
            <v>430</v>
          </cell>
          <cell r="DH234">
            <v>201.32300000000001</v>
          </cell>
          <cell r="DI234">
            <v>46.819302325581397</v>
          </cell>
          <cell r="DN234">
            <v>2250</v>
          </cell>
          <cell r="DO234">
            <v>598</v>
          </cell>
          <cell r="DP234">
            <v>251.31099999999998</v>
          </cell>
          <cell r="DQ234">
            <v>42.025250836120399</v>
          </cell>
          <cell r="DV234">
            <v>2650</v>
          </cell>
          <cell r="DW234">
            <v>777</v>
          </cell>
          <cell r="DX234">
            <v>361.68900000000002</v>
          </cell>
          <cell r="DY234">
            <v>46.549420849420855</v>
          </cell>
        </row>
        <row r="235">
          <cell r="F235">
            <v>6750</v>
          </cell>
          <cell r="G235">
            <v>8873.1</v>
          </cell>
          <cell r="H235">
            <v>3005.7569999999996</v>
          </cell>
          <cell r="I235">
            <v>33.874936606146662</v>
          </cell>
          <cell r="N235">
            <v>0</v>
          </cell>
          <cell r="O235">
            <v>368.2</v>
          </cell>
          <cell r="P235">
            <v>125.096</v>
          </cell>
          <cell r="T235">
            <v>200</v>
          </cell>
          <cell r="U235">
            <v>533</v>
          </cell>
          <cell r="V235">
            <v>172.59200000000001</v>
          </cell>
          <cell r="Z235">
            <v>250</v>
          </cell>
          <cell r="AA235">
            <v>653.20000000000005</v>
          </cell>
          <cell r="AB235">
            <v>208.06699999999998</v>
          </cell>
          <cell r="AF235">
            <v>300</v>
          </cell>
          <cell r="AG235">
            <v>690.5</v>
          </cell>
          <cell r="AH235">
            <v>230.75799999999998</v>
          </cell>
          <cell r="AL235">
            <v>500</v>
          </cell>
          <cell r="AM235">
            <v>742.2</v>
          </cell>
          <cell r="AN235">
            <v>241.393</v>
          </cell>
          <cell r="AR235">
            <v>600</v>
          </cell>
          <cell r="AS235">
            <v>769.2</v>
          </cell>
          <cell r="AT235">
            <v>256.70600000000002</v>
          </cell>
          <cell r="AX235">
            <v>1850</v>
          </cell>
          <cell r="AY235">
            <v>3756.3</v>
          </cell>
          <cell r="AZ235">
            <v>1234.6120000000001</v>
          </cell>
          <cell r="BA235">
            <v>32.867768815057367</v>
          </cell>
          <cell r="BF235">
            <v>700</v>
          </cell>
          <cell r="BG235">
            <v>730.4</v>
          </cell>
          <cell r="BH235">
            <v>247.63400000000001</v>
          </cell>
          <cell r="BL235">
            <v>750</v>
          </cell>
          <cell r="BM235">
            <v>701.4</v>
          </cell>
          <cell r="BN235">
            <v>238.72500000000002</v>
          </cell>
          <cell r="BR235">
            <v>800</v>
          </cell>
          <cell r="BS235">
            <v>891.9</v>
          </cell>
          <cell r="BT235">
            <v>302.11500000000001</v>
          </cell>
          <cell r="BX235">
            <v>850</v>
          </cell>
          <cell r="BY235">
            <v>973.5</v>
          </cell>
          <cell r="BZ235">
            <v>328.93100000000004</v>
          </cell>
          <cell r="CD235">
            <v>900</v>
          </cell>
          <cell r="CE235">
            <v>909.1</v>
          </cell>
          <cell r="CF235">
            <v>315.149</v>
          </cell>
          <cell r="CJ235">
            <v>900</v>
          </cell>
          <cell r="CK235">
            <v>910.5</v>
          </cell>
          <cell r="CL235">
            <v>338.59100000000001</v>
          </cell>
          <cell r="CP235">
            <v>4900</v>
          </cell>
          <cell r="CQ235">
            <v>5116.8</v>
          </cell>
          <cell r="CR235">
            <v>1771.145</v>
          </cell>
          <cell r="CS235">
            <v>34.614309724828018</v>
          </cell>
          <cell r="CX235">
            <v>450</v>
          </cell>
          <cell r="CY235">
            <v>1554.4</v>
          </cell>
          <cell r="CZ235">
            <v>505.75499999999994</v>
          </cell>
          <cell r="DA235">
            <v>32.53699176531137</v>
          </cell>
          <cell r="DF235">
            <v>1400</v>
          </cell>
          <cell r="DG235">
            <v>2201.9</v>
          </cell>
          <cell r="DH235">
            <v>728.85699999999997</v>
          </cell>
          <cell r="DI235">
            <v>33.101276170579951</v>
          </cell>
          <cell r="DN235">
            <v>2250</v>
          </cell>
          <cell r="DO235">
            <v>2323.6999999999998</v>
          </cell>
          <cell r="DP235">
            <v>788.47399999999993</v>
          </cell>
          <cell r="DQ235">
            <v>33.931832852777902</v>
          </cell>
          <cell r="DV235">
            <v>2650</v>
          </cell>
          <cell r="DW235">
            <v>2793.1</v>
          </cell>
          <cell r="DX235">
            <v>982.67100000000005</v>
          </cell>
          <cell r="DY235">
            <v>35.182091582829116</v>
          </cell>
        </row>
        <row r="236">
          <cell r="F236">
            <v>0</v>
          </cell>
          <cell r="G236">
            <v>0</v>
          </cell>
          <cell r="H236">
            <v>0</v>
          </cell>
          <cell r="I236">
            <v>0</v>
          </cell>
          <cell r="N236">
            <v>0</v>
          </cell>
          <cell r="AR236">
            <v>0</v>
          </cell>
          <cell r="AX236">
            <v>0</v>
          </cell>
          <cell r="AY236">
            <v>0</v>
          </cell>
          <cell r="AZ236">
            <v>0</v>
          </cell>
          <cell r="BA236">
            <v>0</v>
          </cell>
          <cell r="BF236">
            <v>0</v>
          </cell>
          <cell r="BL236">
            <v>0</v>
          </cell>
          <cell r="BR236">
            <v>0</v>
          </cell>
          <cell r="BX236">
            <v>0</v>
          </cell>
          <cell r="CD236">
            <v>0</v>
          </cell>
          <cell r="CJ236">
            <v>0</v>
          </cell>
          <cell r="CP236">
            <v>0</v>
          </cell>
          <cell r="CQ236">
            <v>0</v>
          </cell>
          <cell r="CR236">
            <v>0</v>
          </cell>
          <cell r="CS236">
            <v>0</v>
          </cell>
          <cell r="CX236">
            <v>0</v>
          </cell>
          <cell r="CY236">
            <v>0</v>
          </cell>
          <cell r="CZ236">
            <v>0</v>
          </cell>
          <cell r="DA236">
            <v>0</v>
          </cell>
          <cell r="DF236">
            <v>0</v>
          </cell>
          <cell r="DG236">
            <v>0</v>
          </cell>
          <cell r="DH236">
            <v>0</v>
          </cell>
          <cell r="DI236">
            <v>0</v>
          </cell>
          <cell r="DN236">
            <v>0</v>
          </cell>
          <cell r="DO236">
            <v>0</v>
          </cell>
          <cell r="DP236">
            <v>0</v>
          </cell>
          <cell r="DQ236">
            <v>0</v>
          </cell>
          <cell r="DV236">
            <v>0</v>
          </cell>
          <cell r="DW236">
            <v>0</v>
          </cell>
          <cell r="DX236">
            <v>0</v>
          </cell>
          <cell r="DY236">
            <v>0</v>
          </cell>
        </row>
        <row r="237">
          <cell r="F237">
            <v>51210</v>
          </cell>
          <cell r="G237">
            <v>36640.1</v>
          </cell>
          <cell r="H237">
            <v>12877.547</v>
          </cell>
          <cell r="I237">
            <v>35.146047636332874</v>
          </cell>
          <cell r="N237">
            <v>2302</v>
          </cell>
          <cell r="O237">
            <v>1929.2</v>
          </cell>
          <cell r="P237">
            <v>534.07299999999998</v>
          </cell>
          <cell r="T237">
            <v>2670</v>
          </cell>
          <cell r="U237">
            <v>2170</v>
          </cell>
          <cell r="V237">
            <v>598.36</v>
          </cell>
          <cell r="Z237">
            <v>3500</v>
          </cell>
          <cell r="AA237">
            <v>2707.2</v>
          </cell>
          <cell r="AB237">
            <v>835.84900000000005</v>
          </cell>
          <cell r="AF237">
            <v>3842</v>
          </cell>
          <cell r="AG237">
            <v>3029</v>
          </cell>
          <cell r="AH237">
            <v>979.28</v>
          </cell>
          <cell r="AL237">
            <v>4300</v>
          </cell>
          <cell r="AM237">
            <v>3096.7</v>
          </cell>
          <cell r="AN237">
            <v>1047.415</v>
          </cell>
          <cell r="AR237">
            <v>4570</v>
          </cell>
          <cell r="AS237">
            <v>3148.2</v>
          </cell>
          <cell r="AT237">
            <v>1107.2190000000001</v>
          </cell>
          <cell r="AX237">
            <v>21184</v>
          </cell>
          <cell r="AY237">
            <v>16080.3</v>
          </cell>
          <cell r="AZ237">
            <v>5102.1959999999999</v>
          </cell>
          <cell r="BA237">
            <v>31.729482658905617</v>
          </cell>
          <cell r="BF237">
            <v>4952</v>
          </cell>
          <cell r="BG237">
            <v>3230.4</v>
          </cell>
          <cell r="BH237">
            <v>1165.0149999999999</v>
          </cell>
          <cell r="BL237">
            <v>4270</v>
          </cell>
          <cell r="BM237">
            <v>2965.4</v>
          </cell>
          <cell r="BN237">
            <v>1069.8559999999998</v>
          </cell>
          <cell r="BR237">
            <v>4786</v>
          </cell>
          <cell r="BS237">
            <v>3564.9</v>
          </cell>
          <cell r="BT237">
            <v>1338.1310000000001</v>
          </cell>
          <cell r="BX237">
            <v>5764</v>
          </cell>
          <cell r="BY237">
            <v>3839.5</v>
          </cell>
          <cell r="BZ237">
            <v>1455.65</v>
          </cell>
          <cell r="CD237">
            <v>5504</v>
          </cell>
          <cell r="CE237">
            <v>3634.1</v>
          </cell>
          <cell r="CF237">
            <v>1398.3220000000001</v>
          </cell>
          <cell r="CJ237">
            <v>4750</v>
          </cell>
          <cell r="CK237">
            <v>3325.5</v>
          </cell>
          <cell r="CL237">
            <v>1348.377</v>
          </cell>
          <cell r="CP237">
            <v>30026</v>
          </cell>
          <cell r="CQ237">
            <v>20559.8</v>
          </cell>
          <cell r="CR237">
            <v>7775.3510000000006</v>
          </cell>
          <cell r="CS237">
            <v>37.81822293991187</v>
          </cell>
          <cell r="CX237">
            <v>8472</v>
          </cell>
          <cell r="CY237">
            <v>6806.4</v>
          </cell>
          <cell r="CZ237">
            <v>1968.2820000000002</v>
          </cell>
          <cell r="DA237">
            <v>28.918106488011286</v>
          </cell>
          <cell r="DF237">
            <v>12712</v>
          </cell>
          <cell r="DG237">
            <v>9273.9</v>
          </cell>
          <cell r="DH237">
            <v>3133.9139999999998</v>
          </cell>
          <cell r="DI237">
            <v>33.792837964610356</v>
          </cell>
          <cell r="DN237">
            <v>14008</v>
          </cell>
          <cell r="DO237">
            <v>9760.7000000000007</v>
          </cell>
          <cell r="DP237">
            <v>3573.0020000000004</v>
          </cell>
          <cell r="DQ237">
            <v>36.606001618736364</v>
          </cell>
          <cell r="DV237">
            <v>16018</v>
          </cell>
          <cell r="DW237">
            <v>10799.1</v>
          </cell>
          <cell r="DX237">
            <v>4202.3490000000002</v>
          </cell>
          <cell r="DY237">
            <v>38.913881712364919</v>
          </cell>
        </row>
        <row r="238">
          <cell r="F238">
            <v>0</v>
          </cell>
          <cell r="G238">
            <v>0</v>
          </cell>
          <cell r="H238">
            <v>0</v>
          </cell>
          <cell r="I238">
            <v>0</v>
          </cell>
          <cell r="N238">
            <v>0</v>
          </cell>
          <cell r="O238">
            <v>0</v>
          </cell>
          <cell r="P238">
            <v>0</v>
          </cell>
          <cell r="T238">
            <v>0</v>
          </cell>
          <cell r="U238">
            <v>0</v>
          </cell>
          <cell r="V238">
            <v>0</v>
          </cell>
          <cell r="Z238">
            <v>0</v>
          </cell>
          <cell r="AA238">
            <v>0</v>
          </cell>
          <cell r="AB238">
            <v>0</v>
          </cell>
          <cell r="AF238">
            <v>0</v>
          </cell>
          <cell r="AG238">
            <v>0</v>
          </cell>
          <cell r="AH238">
            <v>0</v>
          </cell>
          <cell r="AL238">
            <v>0</v>
          </cell>
          <cell r="AM238">
            <v>0</v>
          </cell>
          <cell r="AN238">
            <v>0</v>
          </cell>
          <cell r="AR238">
            <v>0</v>
          </cell>
          <cell r="AS238">
            <v>0</v>
          </cell>
          <cell r="AT238">
            <v>0</v>
          </cell>
          <cell r="AX238">
            <v>0</v>
          </cell>
          <cell r="AY238">
            <v>0</v>
          </cell>
          <cell r="AZ238">
            <v>0</v>
          </cell>
          <cell r="BA238">
            <v>0</v>
          </cell>
          <cell r="BF238">
            <v>0</v>
          </cell>
          <cell r="BG238">
            <v>0</v>
          </cell>
          <cell r="BH238">
            <v>0</v>
          </cell>
          <cell r="BL238">
            <v>0</v>
          </cell>
          <cell r="BM238">
            <v>0</v>
          </cell>
          <cell r="BN238">
            <v>0</v>
          </cell>
          <cell r="BR238">
            <v>0</v>
          </cell>
          <cell r="BS238">
            <v>0</v>
          </cell>
          <cell r="BT238">
            <v>0</v>
          </cell>
          <cell r="BX238">
            <v>0</v>
          </cell>
          <cell r="BY238">
            <v>0</v>
          </cell>
          <cell r="BZ238">
            <v>0</v>
          </cell>
          <cell r="CD238">
            <v>0</v>
          </cell>
          <cell r="CE238">
            <v>0</v>
          </cell>
          <cell r="CF238">
            <v>0</v>
          </cell>
          <cell r="CJ238">
            <v>0</v>
          </cell>
          <cell r="CK238">
            <v>0</v>
          </cell>
          <cell r="CL238">
            <v>0</v>
          </cell>
          <cell r="CP238">
            <v>0</v>
          </cell>
          <cell r="CQ238">
            <v>0</v>
          </cell>
          <cell r="CR238">
            <v>0</v>
          </cell>
          <cell r="CS238">
            <v>0</v>
          </cell>
          <cell r="CX238">
            <v>0</v>
          </cell>
          <cell r="CY238">
            <v>0</v>
          </cell>
          <cell r="CZ238">
            <v>0</v>
          </cell>
          <cell r="DA238">
            <v>0</v>
          </cell>
          <cell r="DF238">
            <v>0</v>
          </cell>
          <cell r="DG238">
            <v>0</v>
          </cell>
          <cell r="DH238">
            <v>0</v>
          </cell>
          <cell r="DI238">
            <v>0</v>
          </cell>
          <cell r="DN238">
            <v>0</v>
          </cell>
          <cell r="DO238">
            <v>0</v>
          </cell>
          <cell r="DP238">
            <v>0</v>
          </cell>
          <cell r="DQ238">
            <v>0</v>
          </cell>
          <cell r="DV238">
            <v>0</v>
          </cell>
          <cell r="DW238">
            <v>0</v>
          </cell>
          <cell r="DX238">
            <v>0</v>
          </cell>
          <cell r="DY238">
            <v>0</v>
          </cell>
        </row>
        <row r="239">
          <cell r="F239">
            <v>25</v>
          </cell>
          <cell r="G239">
            <v>400</v>
          </cell>
          <cell r="H239">
            <v>11.199</v>
          </cell>
          <cell r="I239">
            <v>2.79975</v>
          </cell>
          <cell r="N239">
            <v>2</v>
          </cell>
          <cell r="O239">
            <v>32</v>
          </cell>
          <cell r="P239">
            <v>5.6630000000000003</v>
          </cell>
          <cell r="T239">
            <v>2</v>
          </cell>
          <cell r="U239">
            <v>32</v>
          </cell>
          <cell r="V239">
            <v>5.6630000000000003</v>
          </cell>
          <cell r="Z239">
            <v>2</v>
          </cell>
          <cell r="AA239">
            <v>32</v>
          </cell>
          <cell r="AB239">
            <v>5.6630000000000003</v>
          </cell>
          <cell r="AF239">
            <v>2</v>
          </cell>
          <cell r="AG239">
            <v>32</v>
          </cell>
          <cell r="AH239">
            <v>5.6630000000000003</v>
          </cell>
          <cell r="AL239">
            <v>2</v>
          </cell>
          <cell r="AM239">
            <v>32</v>
          </cell>
          <cell r="AN239">
            <v>0.82299999999999995</v>
          </cell>
          <cell r="AR239">
            <v>2</v>
          </cell>
          <cell r="AS239">
            <v>32</v>
          </cell>
          <cell r="AT239">
            <v>-0.93300000000000005</v>
          </cell>
          <cell r="AX239">
            <v>12</v>
          </cell>
          <cell r="AY239">
            <v>192</v>
          </cell>
          <cell r="AZ239">
            <v>22.542000000000002</v>
          </cell>
          <cell r="BA239">
            <v>11.740625</v>
          </cell>
          <cell r="BF239">
            <v>2</v>
          </cell>
          <cell r="BG239">
            <v>32</v>
          </cell>
          <cell r="BH239">
            <v>-1.323</v>
          </cell>
          <cell r="BL239">
            <v>2</v>
          </cell>
          <cell r="BM239">
            <v>32</v>
          </cell>
          <cell r="BN239">
            <v>-1.284</v>
          </cell>
          <cell r="BR239">
            <v>2</v>
          </cell>
          <cell r="BS239">
            <v>32</v>
          </cell>
          <cell r="BT239">
            <v>-1.68</v>
          </cell>
          <cell r="BX239">
            <v>3</v>
          </cell>
          <cell r="BY239">
            <v>48</v>
          </cell>
          <cell r="BZ239">
            <v>-2.6749999999999998</v>
          </cell>
          <cell r="CD239">
            <v>2</v>
          </cell>
          <cell r="CE239">
            <v>32</v>
          </cell>
          <cell r="CF239">
            <v>-2.1509999999999998</v>
          </cell>
          <cell r="CJ239">
            <v>2</v>
          </cell>
          <cell r="CK239">
            <v>32</v>
          </cell>
          <cell r="CL239">
            <v>-2.23</v>
          </cell>
          <cell r="CP239">
            <v>13</v>
          </cell>
          <cell r="CQ239">
            <v>208</v>
          </cell>
          <cell r="CR239">
            <v>-11.343000000000002</v>
          </cell>
          <cell r="CS239">
            <v>-5.4533653846153856</v>
          </cell>
          <cell r="CX239">
            <v>6</v>
          </cell>
          <cell r="CY239">
            <v>96</v>
          </cell>
          <cell r="CZ239">
            <v>16.989000000000001</v>
          </cell>
          <cell r="DA239">
            <v>17.696875000000002</v>
          </cell>
          <cell r="DF239">
            <v>6</v>
          </cell>
          <cell r="DG239">
            <v>96</v>
          </cell>
          <cell r="DH239">
            <v>5.5530000000000008</v>
          </cell>
          <cell r="DI239">
            <v>5.7843750000000007</v>
          </cell>
          <cell r="DN239">
            <v>6</v>
          </cell>
          <cell r="DO239">
            <v>96</v>
          </cell>
          <cell r="DP239">
            <v>-4.2869999999999999</v>
          </cell>
          <cell r="DQ239">
            <v>-4.4656250000000002</v>
          </cell>
          <cell r="DV239">
            <v>7</v>
          </cell>
          <cell r="DW239">
            <v>112</v>
          </cell>
          <cell r="DX239">
            <v>-7.0559999999999992</v>
          </cell>
          <cell r="DY239">
            <v>-6.2999999999999989</v>
          </cell>
        </row>
        <row r="240">
          <cell r="F240">
            <v>135</v>
          </cell>
          <cell r="G240">
            <v>3375</v>
          </cell>
          <cell r="H240">
            <v>-287.12</v>
          </cell>
          <cell r="I240">
            <v>-8.5072592592592589</v>
          </cell>
          <cell r="N240">
            <v>8</v>
          </cell>
          <cell r="O240">
            <v>200</v>
          </cell>
          <cell r="P240">
            <v>-28.98</v>
          </cell>
          <cell r="T240">
            <v>8</v>
          </cell>
          <cell r="U240">
            <v>200</v>
          </cell>
          <cell r="V240">
            <v>-27.376999999999999</v>
          </cell>
          <cell r="Z240">
            <v>9</v>
          </cell>
          <cell r="AA240">
            <v>225</v>
          </cell>
          <cell r="AB240">
            <v>-32.378999999999998</v>
          </cell>
          <cell r="AF240">
            <v>9</v>
          </cell>
          <cell r="AG240">
            <v>225</v>
          </cell>
          <cell r="AH240">
            <v>-30.28</v>
          </cell>
          <cell r="AL240">
            <v>11</v>
          </cell>
          <cell r="AM240">
            <v>275</v>
          </cell>
          <cell r="AN240">
            <v>-34.533999999999999</v>
          </cell>
          <cell r="AR240">
            <v>11</v>
          </cell>
          <cell r="AS240">
            <v>275</v>
          </cell>
          <cell r="AT240">
            <v>-24.745999999999999</v>
          </cell>
          <cell r="AX240">
            <v>56</v>
          </cell>
          <cell r="AY240">
            <v>1400</v>
          </cell>
          <cell r="AZ240">
            <v>-178.29599999999999</v>
          </cell>
          <cell r="BA240">
            <v>-12.735428571428569</v>
          </cell>
          <cell r="BF240">
            <v>12</v>
          </cell>
          <cell r="BG240">
            <v>300</v>
          </cell>
          <cell r="BH240">
            <v>-19.975000000000001</v>
          </cell>
          <cell r="BL240">
            <v>13</v>
          </cell>
          <cell r="BM240">
            <v>325</v>
          </cell>
          <cell r="BN240">
            <v>-15.085000000000001</v>
          </cell>
          <cell r="BR240">
            <v>14</v>
          </cell>
          <cell r="BS240">
            <v>350</v>
          </cell>
          <cell r="BT240">
            <v>-15.5</v>
          </cell>
          <cell r="BX240">
            <v>14</v>
          </cell>
          <cell r="BY240">
            <v>350</v>
          </cell>
          <cell r="BZ240">
            <v>-17.11</v>
          </cell>
          <cell r="CD240">
            <v>14</v>
          </cell>
          <cell r="CE240">
            <v>350</v>
          </cell>
          <cell r="CF240">
            <v>-21.561</v>
          </cell>
          <cell r="CJ240">
            <v>12</v>
          </cell>
          <cell r="CK240">
            <v>300</v>
          </cell>
          <cell r="CL240">
            <v>-19.593</v>
          </cell>
          <cell r="CP240">
            <v>79</v>
          </cell>
          <cell r="CQ240">
            <v>1975</v>
          </cell>
          <cell r="CR240">
            <v>-108.82399999999998</v>
          </cell>
          <cell r="CS240">
            <v>-5.5100759493670886</v>
          </cell>
          <cell r="CX240">
            <v>25</v>
          </cell>
          <cell r="CY240">
            <v>625</v>
          </cell>
          <cell r="CZ240">
            <v>-88.73599999999999</v>
          </cell>
          <cell r="DA240">
            <v>-14.197759999999999</v>
          </cell>
          <cell r="DF240">
            <v>31</v>
          </cell>
          <cell r="DG240">
            <v>775</v>
          </cell>
          <cell r="DH240">
            <v>-89.559999999999988</v>
          </cell>
          <cell r="DI240">
            <v>-11.556129032258063</v>
          </cell>
          <cell r="DN240">
            <v>39</v>
          </cell>
          <cell r="DO240">
            <v>975</v>
          </cell>
          <cell r="DP240">
            <v>-50.56</v>
          </cell>
          <cell r="DQ240">
            <v>-5.1856410256410257</v>
          </cell>
          <cell r="DV240">
            <v>40</v>
          </cell>
          <cell r="DW240">
            <v>1000</v>
          </cell>
          <cell r="DX240">
            <v>-58.263999999999996</v>
          </cell>
          <cell r="DY240">
            <v>-5.8263999999999996</v>
          </cell>
        </row>
        <row r="241">
          <cell r="F241">
            <v>72</v>
          </cell>
          <cell r="G241">
            <v>576</v>
          </cell>
          <cell r="H241">
            <v>163.97800000000001</v>
          </cell>
          <cell r="I241">
            <v>28.468402777777779</v>
          </cell>
          <cell r="N241">
            <v>4</v>
          </cell>
          <cell r="O241">
            <v>32</v>
          </cell>
          <cell r="P241">
            <v>9.11</v>
          </cell>
          <cell r="T241">
            <v>4</v>
          </cell>
          <cell r="U241">
            <v>32</v>
          </cell>
          <cell r="V241">
            <v>9.11</v>
          </cell>
          <cell r="Z241">
            <v>5</v>
          </cell>
          <cell r="AA241">
            <v>40</v>
          </cell>
          <cell r="AB241">
            <v>11.387</v>
          </cell>
          <cell r="AF241">
            <v>5</v>
          </cell>
          <cell r="AG241">
            <v>40</v>
          </cell>
          <cell r="AH241">
            <v>11.387</v>
          </cell>
          <cell r="AL241">
            <v>6</v>
          </cell>
          <cell r="AM241">
            <v>48</v>
          </cell>
          <cell r="AN241">
            <v>13.664999999999999</v>
          </cell>
          <cell r="AR241">
            <v>6</v>
          </cell>
          <cell r="AS241">
            <v>48</v>
          </cell>
          <cell r="AT241">
            <v>13.664999999999999</v>
          </cell>
          <cell r="AX241">
            <v>30</v>
          </cell>
          <cell r="AY241">
            <v>240</v>
          </cell>
          <cell r="AZ241">
            <v>68.323999999999998</v>
          </cell>
          <cell r="BA241">
            <v>28.468333333333334</v>
          </cell>
          <cell r="BF241">
            <v>6</v>
          </cell>
          <cell r="BG241">
            <v>48</v>
          </cell>
          <cell r="BH241">
            <v>13.664999999999999</v>
          </cell>
          <cell r="BL241">
            <v>7</v>
          </cell>
          <cell r="BM241">
            <v>56</v>
          </cell>
          <cell r="BN241">
            <v>15.942</v>
          </cell>
          <cell r="BR241">
            <v>8</v>
          </cell>
          <cell r="BS241">
            <v>64</v>
          </cell>
          <cell r="BT241">
            <v>18.22</v>
          </cell>
          <cell r="BX241">
            <v>8</v>
          </cell>
          <cell r="BY241">
            <v>64</v>
          </cell>
          <cell r="BZ241">
            <v>18.22</v>
          </cell>
          <cell r="CD241">
            <v>7</v>
          </cell>
          <cell r="CE241">
            <v>56</v>
          </cell>
          <cell r="CF241">
            <v>15.942</v>
          </cell>
          <cell r="CJ241">
            <v>6</v>
          </cell>
          <cell r="CK241">
            <v>48</v>
          </cell>
          <cell r="CL241">
            <v>13.664999999999999</v>
          </cell>
          <cell r="CP241">
            <v>42</v>
          </cell>
          <cell r="CQ241">
            <v>336</v>
          </cell>
          <cell r="CR241">
            <v>95.653999999999996</v>
          </cell>
          <cell r="CS241">
            <v>28.468452380952382</v>
          </cell>
          <cell r="CX241">
            <v>13</v>
          </cell>
          <cell r="CY241">
            <v>104</v>
          </cell>
          <cell r="CZ241">
            <v>29.606999999999999</v>
          </cell>
          <cell r="DA241">
            <v>28.468269230769227</v>
          </cell>
          <cell r="DF241">
            <v>17</v>
          </cell>
          <cell r="DG241">
            <v>136</v>
          </cell>
          <cell r="DH241">
            <v>38.716999999999999</v>
          </cell>
          <cell r="DI241">
            <v>28.468382352941173</v>
          </cell>
          <cell r="DN241">
            <v>21</v>
          </cell>
          <cell r="DO241">
            <v>168</v>
          </cell>
          <cell r="DP241">
            <v>47.826999999999998</v>
          </cell>
          <cell r="DQ241">
            <v>28.468452380952382</v>
          </cell>
          <cell r="DV241">
            <v>21</v>
          </cell>
          <cell r="DW241">
            <v>168</v>
          </cell>
          <cell r="DX241">
            <v>47.826999999999998</v>
          </cell>
          <cell r="DY241">
            <v>28.468452380952382</v>
          </cell>
        </row>
        <row r="242">
          <cell r="F242">
            <v>0</v>
          </cell>
          <cell r="G242">
            <v>0</v>
          </cell>
          <cell r="H242">
            <v>0</v>
          </cell>
          <cell r="I242">
            <v>0</v>
          </cell>
          <cell r="AX242">
            <v>0</v>
          </cell>
          <cell r="AY242">
            <v>0</v>
          </cell>
          <cell r="AZ242">
            <v>0</v>
          </cell>
          <cell r="BA242">
            <v>0</v>
          </cell>
          <cell r="CP242">
            <v>0</v>
          </cell>
          <cell r="CQ242">
            <v>0</v>
          </cell>
          <cell r="CR242">
            <v>0</v>
          </cell>
          <cell r="CS242">
            <v>0</v>
          </cell>
          <cell r="CX242">
            <v>0</v>
          </cell>
          <cell r="CY242">
            <v>0</v>
          </cell>
          <cell r="CZ242">
            <v>0</v>
          </cell>
          <cell r="DA242">
            <v>0</v>
          </cell>
          <cell r="DF242">
            <v>0</v>
          </cell>
          <cell r="DG242">
            <v>0</v>
          </cell>
          <cell r="DH242">
            <v>0</v>
          </cell>
          <cell r="DI242">
            <v>0</v>
          </cell>
          <cell r="DN242">
            <v>0</v>
          </cell>
          <cell r="DO242">
            <v>0</v>
          </cell>
          <cell r="DP242">
            <v>0</v>
          </cell>
          <cell r="DQ242">
            <v>0</v>
          </cell>
          <cell r="DV242">
            <v>0</v>
          </cell>
          <cell r="DW242">
            <v>0</v>
          </cell>
          <cell r="DX242">
            <v>0</v>
          </cell>
          <cell r="DY242">
            <v>0</v>
          </cell>
        </row>
        <row r="243">
          <cell r="F243">
            <v>88</v>
          </cell>
          <cell r="G243">
            <v>880</v>
          </cell>
          <cell r="H243">
            <v>352</v>
          </cell>
          <cell r="I243">
            <v>40</v>
          </cell>
          <cell r="N243">
            <v>6</v>
          </cell>
          <cell r="O243">
            <v>60</v>
          </cell>
          <cell r="P243">
            <v>24</v>
          </cell>
          <cell r="T243">
            <v>6</v>
          </cell>
          <cell r="U243">
            <v>60</v>
          </cell>
          <cell r="V243">
            <v>24</v>
          </cell>
          <cell r="Z243">
            <v>6</v>
          </cell>
          <cell r="AA243">
            <v>60</v>
          </cell>
          <cell r="AB243">
            <v>24</v>
          </cell>
          <cell r="AF243">
            <v>6</v>
          </cell>
          <cell r="AG243">
            <v>60</v>
          </cell>
          <cell r="AH243">
            <v>24</v>
          </cell>
          <cell r="AL243">
            <v>7</v>
          </cell>
          <cell r="AM243">
            <v>70</v>
          </cell>
          <cell r="AN243">
            <v>28</v>
          </cell>
          <cell r="AR243">
            <v>7</v>
          </cell>
          <cell r="AS243">
            <v>70</v>
          </cell>
          <cell r="AT243">
            <v>28</v>
          </cell>
          <cell r="AX243">
            <v>38</v>
          </cell>
          <cell r="AY243">
            <v>380</v>
          </cell>
          <cell r="AZ243">
            <v>152</v>
          </cell>
          <cell r="BA243">
            <v>40</v>
          </cell>
          <cell r="BF243">
            <v>8</v>
          </cell>
          <cell r="BG243">
            <v>80</v>
          </cell>
          <cell r="BH243">
            <v>32</v>
          </cell>
          <cell r="BL243">
            <v>8</v>
          </cell>
          <cell r="BM243">
            <v>80</v>
          </cell>
          <cell r="BN243">
            <v>32</v>
          </cell>
          <cell r="BR243">
            <v>8</v>
          </cell>
          <cell r="BS243">
            <v>80</v>
          </cell>
          <cell r="BT243">
            <v>32</v>
          </cell>
          <cell r="BX243">
            <v>9</v>
          </cell>
          <cell r="BY243">
            <v>90</v>
          </cell>
          <cell r="BZ243">
            <v>36</v>
          </cell>
          <cell r="CD243">
            <v>9</v>
          </cell>
          <cell r="CE243">
            <v>90</v>
          </cell>
          <cell r="CF243">
            <v>36</v>
          </cell>
          <cell r="CJ243">
            <v>8</v>
          </cell>
          <cell r="CK243">
            <v>80</v>
          </cell>
          <cell r="CL243">
            <v>32</v>
          </cell>
          <cell r="CP243">
            <v>50</v>
          </cell>
          <cell r="CQ243">
            <v>500</v>
          </cell>
          <cell r="CR243">
            <v>200</v>
          </cell>
          <cell r="CS243">
            <v>40</v>
          </cell>
          <cell r="CX243">
            <v>18</v>
          </cell>
          <cell r="CY243">
            <v>180</v>
          </cell>
          <cell r="CZ243">
            <v>72</v>
          </cell>
          <cell r="DA243">
            <v>40</v>
          </cell>
          <cell r="DF243">
            <v>20</v>
          </cell>
          <cell r="DG243">
            <v>200</v>
          </cell>
          <cell r="DH243">
            <v>80</v>
          </cell>
          <cell r="DI243">
            <v>40</v>
          </cell>
          <cell r="DN243">
            <v>24</v>
          </cell>
          <cell r="DO243">
            <v>240</v>
          </cell>
          <cell r="DP243">
            <v>96</v>
          </cell>
          <cell r="DQ243">
            <v>40</v>
          </cell>
          <cell r="DV243">
            <v>26</v>
          </cell>
          <cell r="DW243">
            <v>260</v>
          </cell>
          <cell r="DX243">
            <v>104</v>
          </cell>
          <cell r="DY243">
            <v>40</v>
          </cell>
        </row>
        <row r="244">
          <cell r="F244">
            <v>0</v>
          </cell>
          <cell r="G244">
            <v>405</v>
          </cell>
          <cell r="H244">
            <v>40.816000000000003</v>
          </cell>
          <cell r="I244">
            <v>10.078024691358026</v>
          </cell>
          <cell r="N244">
            <v>0</v>
          </cell>
          <cell r="O244">
            <v>24</v>
          </cell>
          <cell r="P244">
            <v>2.1709999999999998</v>
          </cell>
          <cell r="T244">
            <v>0</v>
          </cell>
          <cell r="U244">
            <v>24</v>
          </cell>
          <cell r="V244">
            <v>1.91</v>
          </cell>
          <cell r="Z244">
            <v>0</v>
          </cell>
          <cell r="AA244">
            <v>27</v>
          </cell>
          <cell r="AB244">
            <v>2.125</v>
          </cell>
          <cell r="AF244">
            <v>0</v>
          </cell>
          <cell r="AG244">
            <v>27</v>
          </cell>
          <cell r="AH244">
            <v>2.488</v>
          </cell>
          <cell r="AL244">
            <v>0</v>
          </cell>
          <cell r="AM244">
            <v>33</v>
          </cell>
          <cell r="AN244">
            <v>2.516</v>
          </cell>
          <cell r="AR244">
            <v>0</v>
          </cell>
          <cell r="AS244">
            <v>33</v>
          </cell>
          <cell r="AT244">
            <v>3.524</v>
          </cell>
          <cell r="AX244">
            <v>0</v>
          </cell>
          <cell r="AY244">
            <v>168</v>
          </cell>
          <cell r="AZ244">
            <v>14.734</v>
          </cell>
          <cell r="BA244">
            <v>8.7702380952380956</v>
          </cell>
          <cell r="BF244">
            <v>0</v>
          </cell>
          <cell r="BG244">
            <v>36</v>
          </cell>
          <cell r="BH244">
            <v>4.17</v>
          </cell>
          <cell r="BL244">
            <v>0</v>
          </cell>
          <cell r="BM244">
            <v>39</v>
          </cell>
          <cell r="BN244">
            <v>4.3109999999999999</v>
          </cell>
          <cell r="BR244">
            <v>0</v>
          </cell>
          <cell r="BS244">
            <v>42</v>
          </cell>
          <cell r="BT244">
            <v>4.585</v>
          </cell>
          <cell r="BX244">
            <v>0</v>
          </cell>
          <cell r="BY244">
            <v>42</v>
          </cell>
          <cell r="BZ244">
            <v>4.6269999999999998</v>
          </cell>
          <cell r="CD244">
            <v>0</v>
          </cell>
          <cell r="CE244">
            <v>42</v>
          </cell>
          <cell r="CF244">
            <v>4.4260000000000002</v>
          </cell>
          <cell r="CJ244">
            <v>0</v>
          </cell>
          <cell r="CK244">
            <v>36</v>
          </cell>
          <cell r="CL244">
            <v>3.9630000000000001</v>
          </cell>
          <cell r="CP244">
            <v>0</v>
          </cell>
          <cell r="CQ244">
            <v>237</v>
          </cell>
          <cell r="CR244">
            <v>26.082000000000001</v>
          </cell>
          <cell r="CS244">
            <v>11.005063291139241</v>
          </cell>
          <cell r="CX244">
            <v>0</v>
          </cell>
          <cell r="CY244">
            <v>75</v>
          </cell>
          <cell r="CZ244">
            <v>6.2059999999999995</v>
          </cell>
          <cell r="DA244">
            <v>8.2746666666666666</v>
          </cell>
          <cell r="DF244">
            <v>0</v>
          </cell>
          <cell r="DG244">
            <v>93</v>
          </cell>
          <cell r="DH244">
            <v>8.5279999999999987</v>
          </cell>
          <cell r="DI244">
            <v>9.1698924731182778</v>
          </cell>
          <cell r="DN244">
            <v>0</v>
          </cell>
          <cell r="DO244">
            <v>117</v>
          </cell>
          <cell r="DP244">
            <v>13.065999999999999</v>
          </cell>
          <cell r="DQ244">
            <v>11.167521367521367</v>
          </cell>
          <cell r="DV244">
            <v>0</v>
          </cell>
          <cell r="DW244">
            <v>120</v>
          </cell>
          <cell r="DX244">
            <v>13.016000000000002</v>
          </cell>
          <cell r="DY244">
            <v>10.846666666666668</v>
          </cell>
        </row>
        <row r="245">
          <cell r="F245">
            <v>0</v>
          </cell>
          <cell r="G245">
            <v>0</v>
          </cell>
          <cell r="H245">
            <v>0</v>
          </cell>
          <cell r="I245">
            <v>0</v>
          </cell>
          <cell r="N245">
            <v>0</v>
          </cell>
          <cell r="T245">
            <v>0</v>
          </cell>
          <cell r="Z245">
            <v>0</v>
          </cell>
          <cell r="AF245">
            <v>0</v>
          </cell>
          <cell r="AL245">
            <v>0</v>
          </cell>
          <cell r="AR245">
            <v>0</v>
          </cell>
          <cell r="AX245">
            <v>0</v>
          </cell>
          <cell r="AY245">
            <v>0</v>
          </cell>
          <cell r="AZ245">
            <v>0</v>
          </cell>
          <cell r="BA245">
            <v>0</v>
          </cell>
          <cell r="CP245">
            <v>0</v>
          </cell>
          <cell r="CQ245">
            <v>0</v>
          </cell>
          <cell r="CR245">
            <v>0</v>
          </cell>
          <cell r="CS245">
            <v>0</v>
          </cell>
          <cell r="CX245">
            <v>0</v>
          </cell>
          <cell r="CY245">
            <v>0</v>
          </cell>
          <cell r="CZ245">
            <v>0</v>
          </cell>
          <cell r="DA245">
            <v>0</v>
          </cell>
          <cell r="DF245">
            <v>0</v>
          </cell>
          <cell r="DG245">
            <v>0</v>
          </cell>
          <cell r="DH245">
            <v>0</v>
          </cell>
          <cell r="DI245">
            <v>0</v>
          </cell>
          <cell r="DN245">
            <v>0</v>
          </cell>
          <cell r="DO245">
            <v>0</v>
          </cell>
          <cell r="DP245">
            <v>0</v>
          </cell>
          <cell r="DQ245">
            <v>0</v>
          </cell>
          <cell r="DV245">
            <v>0</v>
          </cell>
          <cell r="DW245">
            <v>0</v>
          </cell>
          <cell r="DX245">
            <v>0</v>
          </cell>
          <cell r="DY245">
            <v>0</v>
          </cell>
        </row>
        <row r="246">
          <cell r="F246">
            <v>320</v>
          </cell>
          <cell r="G246">
            <v>5636</v>
          </cell>
          <cell r="H246">
            <v>280.87300000000005</v>
          </cell>
          <cell r="I246">
            <v>4.9835521646557845</v>
          </cell>
          <cell r="N246">
            <v>20</v>
          </cell>
          <cell r="O246">
            <v>348</v>
          </cell>
          <cell r="P246">
            <v>11.963999999999999</v>
          </cell>
          <cell r="T246">
            <v>20</v>
          </cell>
          <cell r="U246">
            <v>348</v>
          </cell>
          <cell r="V246">
            <v>13.306000000000001</v>
          </cell>
          <cell r="Z246">
            <v>22</v>
          </cell>
          <cell r="AA246">
            <v>384</v>
          </cell>
          <cell r="AB246">
            <v>10.796000000000003</v>
          </cell>
          <cell r="AF246">
            <v>22</v>
          </cell>
          <cell r="AG246">
            <v>384</v>
          </cell>
          <cell r="AH246">
            <v>13.257999999999999</v>
          </cell>
          <cell r="AL246">
            <v>26</v>
          </cell>
          <cell r="AM246">
            <v>458</v>
          </cell>
          <cell r="AN246">
            <v>10.47</v>
          </cell>
          <cell r="AR246">
            <v>26</v>
          </cell>
          <cell r="AS246">
            <v>458</v>
          </cell>
          <cell r="AT246">
            <v>19.510000000000002</v>
          </cell>
          <cell r="AX246">
            <v>136</v>
          </cell>
          <cell r="AY246">
            <v>2380</v>
          </cell>
          <cell r="AZ246">
            <v>79.304000000000002</v>
          </cell>
          <cell r="BA246">
            <v>3.3321008403361345</v>
          </cell>
          <cell r="BF246">
            <v>28</v>
          </cell>
          <cell r="BG246">
            <v>496</v>
          </cell>
          <cell r="BH246">
            <v>28.536999999999999</v>
          </cell>
          <cell r="BL246">
            <v>30</v>
          </cell>
          <cell r="BM246">
            <v>532</v>
          </cell>
          <cell r="BN246">
            <v>35.884</v>
          </cell>
          <cell r="BR246">
            <v>32</v>
          </cell>
          <cell r="BS246">
            <v>568</v>
          </cell>
          <cell r="BT246">
            <v>37.625</v>
          </cell>
          <cell r="BX246">
            <v>34</v>
          </cell>
          <cell r="BY246">
            <v>594</v>
          </cell>
          <cell r="BZ246">
            <v>39.062000000000005</v>
          </cell>
          <cell r="CD246">
            <v>32</v>
          </cell>
          <cell r="CE246">
            <v>570</v>
          </cell>
          <cell r="CF246">
            <v>32.655999999999999</v>
          </cell>
          <cell r="CJ246">
            <v>28</v>
          </cell>
          <cell r="CK246">
            <v>496</v>
          </cell>
          <cell r="CL246">
            <v>27.805</v>
          </cell>
          <cell r="CP246">
            <v>184</v>
          </cell>
          <cell r="CQ246">
            <v>3256</v>
          </cell>
          <cell r="CR246">
            <v>201.56900000000002</v>
          </cell>
          <cell r="CS246">
            <v>6.1906941031941036</v>
          </cell>
          <cell r="CX246">
            <v>62</v>
          </cell>
          <cell r="CY246">
            <v>1080</v>
          </cell>
          <cell r="CZ246">
            <v>36.066000000000017</v>
          </cell>
          <cell r="DA246">
            <v>3.3394444444444464</v>
          </cell>
          <cell r="DF246">
            <v>74</v>
          </cell>
          <cell r="DG246">
            <v>1300</v>
          </cell>
          <cell r="DH246">
            <v>43.238000000000007</v>
          </cell>
          <cell r="DI246">
            <v>3.3260000000000005</v>
          </cell>
          <cell r="DN246">
            <v>90</v>
          </cell>
          <cell r="DO246">
            <v>1596</v>
          </cell>
          <cell r="DP246">
            <v>102.04599999999999</v>
          </cell>
          <cell r="DQ246">
            <v>6.3938596491228061</v>
          </cell>
          <cell r="DV246">
            <v>94</v>
          </cell>
          <cell r="DW246">
            <v>1660</v>
          </cell>
          <cell r="DX246">
            <v>99.52300000000001</v>
          </cell>
          <cell r="DY246">
            <v>5.995361445783133</v>
          </cell>
        </row>
        <row r="247">
          <cell r="F247">
            <v>0</v>
          </cell>
          <cell r="G247">
            <v>0</v>
          </cell>
          <cell r="H247">
            <v>0</v>
          </cell>
          <cell r="I247">
            <v>0</v>
          </cell>
          <cell r="O247">
            <v>0</v>
          </cell>
          <cell r="T247">
            <v>0</v>
          </cell>
          <cell r="U247">
            <v>0</v>
          </cell>
          <cell r="Z247">
            <v>0</v>
          </cell>
          <cell r="AA247">
            <v>0</v>
          </cell>
          <cell r="AF247">
            <v>0</v>
          </cell>
          <cell r="AG247">
            <v>0</v>
          </cell>
          <cell r="AL247">
            <v>0</v>
          </cell>
          <cell r="AM247">
            <v>0</v>
          </cell>
          <cell r="AR247">
            <v>0</v>
          </cell>
          <cell r="AS247">
            <v>0</v>
          </cell>
          <cell r="AX247">
            <v>0</v>
          </cell>
          <cell r="AY247">
            <v>0</v>
          </cell>
          <cell r="AZ247">
            <v>0</v>
          </cell>
          <cell r="BA247">
            <v>0</v>
          </cell>
          <cell r="BF247">
            <v>0</v>
          </cell>
          <cell r="BG247">
            <v>0</v>
          </cell>
          <cell r="BL247">
            <v>0</v>
          </cell>
          <cell r="BM247">
            <v>0</v>
          </cell>
          <cell r="BR247">
            <v>0</v>
          </cell>
          <cell r="BS247">
            <v>0</v>
          </cell>
          <cell r="BX247">
            <v>0</v>
          </cell>
          <cell r="BY247">
            <v>0</v>
          </cell>
          <cell r="CD247">
            <v>0</v>
          </cell>
          <cell r="CE247">
            <v>0</v>
          </cell>
          <cell r="CJ247">
            <v>0</v>
          </cell>
          <cell r="CK247">
            <v>0</v>
          </cell>
          <cell r="CP247">
            <v>0</v>
          </cell>
          <cell r="CQ247">
            <v>0</v>
          </cell>
          <cell r="CR247">
            <v>0</v>
          </cell>
          <cell r="CS247">
            <v>0</v>
          </cell>
          <cell r="CX247">
            <v>0</v>
          </cell>
          <cell r="CY247">
            <v>0</v>
          </cell>
          <cell r="CZ247">
            <v>0</v>
          </cell>
          <cell r="DA247">
            <v>0</v>
          </cell>
          <cell r="DF247">
            <v>0</v>
          </cell>
          <cell r="DG247">
            <v>0</v>
          </cell>
          <cell r="DH247">
            <v>0</v>
          </cell>
          <cell r="DI247">
            <v>0</v>
          </cell>
          <cell r="DN247">
            <v>0</v>
          </cell>
          <cell r="DO247">
            <v>0</v>
          </cell>
          <cell r="DP247">
            <v>0</v>
          </cell>
          <cell r="DQ247">
            <v>0</v>
          </cell>
          <cell r="DV247">
            <v>0</v>
          </cell>
          <cell r="DW247">
            <v>0</v>
          </cell>
          <cell r="DX247">
            <v>0</v>
          </cell>
          <cell r="DY247">
            <v>0</v>
          </cell>
        </row>
        <row r="248">
          <cell r="F248">
            <v>0</v>
          </cell>
          <cell r="G248">
            <v>0</v>
          </cell>
          <cell r="H248">
            <v>0</v>
          </cell>
          <cell r="I248">
            <v>0</v>
          </cell>
          <cell r="O248">
            <v>0</v>
          </cell>
          <cell r="T248">
            <v>0</v>
          </cell>
          <cell r="U248">
            <v>0</v>
          </cell>
          <cell r="Z248">
            <v>0</v>
          </cell>
          <cell r="AA248">
            <v>0</v>
          </cell>
          <cell r="AF248">
            <v>0</v>
          </cell>
          <cell r="AG248">
            <v>0</v>
          </cell>
          <cell r="AL248">
            <v>0</v>
          </cell>
          <cell r="AM248">
            <v>0</v>
          </cell>
          <cell r="AR248">
            <v>0</v>
          </cell>
          <cell r="AS248">
            <v>0</v>
          </cell>
          <cell r="AX248">
            <v>0</v>
          </cell>
          <cell r="AY248">
            <v>0</v>
          </cell>
          <cell r="AZ248">
            <v>0</v>
          </cell>
          <cell r="BA248">
            <v>0</v>
          </cell>
          <cell r="BF248">
            <v>0</v>
          </cell>
          <cell r="BG248">
            <v>0</v>
          </cell>
          <cell r="BL248">
            <v>0</v>
          </cell>
          <cell r="BM248">
            <v>0</v>
          </cell>
          <cell r="BR248">
            <v>0</v>
          </cell>
          <cell r="BS248">
            <v>0</v>
          </cell>
          <cell r="BX248">
            <v>0</v>
          </cell>
          <cell r="BY248">
            <v>0</v>
          </cell>
          <cell r="CD248">
            <v>0</v>
          </cell>
          <cell r="CE248">
            <v>0</v>
          </cell>
          <cell r="CJ248">
            <v>0</v>
          </cell>
          <cell r="CK248">
            <v>0</v>
          </cell>
          <cell r="CP248">
            <v>0</v>
          </cell>
          <cell r="CQ248">
            <v>0</v>
          </cell>
          <cell r="CR248">
            <v>0</v>
          </cell>
          <cell r="CS248">
            <v>0</v>
          </cell>
          <cell r="CX248">
            <v>0</v>
          </cell>
          <cell r="CY248">
            <v>0</v>
          </cell>
          <cell r="CZ248">
            <v>0</v>
          </cell>
          <cell r="DA248">
            <v>0</v>
          </cell>
          <cell r="DF248">
            <v>0</v>
          </cell>
          <cell r="DG248">
            <v>0</v>
          </cell>
          <cell r="DH248">
            <v>0</v>
          </cell>
          <cell r="DI248">
            <v>0</v>
          </cell>
          <cell r="DN248">
            <v>0</v>
          </cell>
          <cell r="DO248">
            <v>0</v>
          </cell>
          <cell r="DP248">
            <v>0</v>
          </cell>
          <cell r="DQ248">
            <v>0</v>
          </cell>
          <cell r="DV248">
            <v>0</v>
          </cell>
          <cell r="DW248">
            <v>0</v>
          </cell>
          <cell r="DX248">
            <v>0</v>
          </cell>
          <cell r="DY248">
            <v>0</v>
          </cell>
        </row>
        <row r="249">
          <cell r="F249">
            <v>0</v>
          </cell>
          <cell r="G249">
            <v>0</v>
          </cell>
          <cell r="H249">
            <v>0</v>
          </cell>
          <cell r="I249">
            <v>0</v>
          </cell>
          <cell r="N249">
            <v>0</v>
          </cell>
          <cell r="O249">
            <v>0</v>
          </cell>
          <cell r="P249">
            <v>0</v>
          </cell>
          <cell r="T249">
            <v>0</v>
          </cell>
          <cell r="U249">
            <v>0</v>
          </cell>
          <cell r="V249">
            <v>0</v>
          </cell>
          <cell r="Z249">
            <v>0</v>
          </cell>
          <cell r="AA249">
            <v>0</v>
          </cell>
          <cell r="AB249">
            <v>0</v>
          </cell>
          <cell r="AF249">
            <v>0</v>
          </cell>
          <cell r="AG249">
            <v>0</v>
          </cell>
          <cell r="AH249">
            <v>0</v>
          </cell>
          <cell r="AL249">
            <v>0</v>
          </cell>
          <cell r="AM249">
            <v>0</v>
          </cell>
          <cell r="AN249">
            <v>0</v>
          </cell>
          <cell r="AR249">
            <v>0</v>
          </cell>
          <cell r="AS249">
            <v>0</v>
          </cell>
          <cell r="AT249">
            <v>0</v>
          </cell>
          <cell r="AX249">
            <v>0</v>
          </cell>
          <cell r="AY249">
            <v>0</v>
          </cell>
          <cell r="AZ249">
            <v>0</v>
          </cell>
          <cell r="BA249">
            <v>0</v>
          </cell>
          <cell r="BF249">
            <v>0</v>
          </cell>
          <cell r="BG249">
            <v>0</v>
          </cell>
          <cell r="BH249">
            <v>0</v>
          </cell>
          <cell r="BL249">
            <v>0</v>
          </cell>
          <cell r="BM249">
            <v>0</v>
          </cell>
          <cell r="BN249">
            <v>0</v>
          </cell>
          <cell r="BR249">
            <v>0</v>
          </cell>
          <cell r="BS249">
            <v>0</v>
          </cell>
          <cell r="BT249">
            <v>0</v>
          </cell>
          <cell r="BX249">
            <v>0</v>
          </cell>
          <cell r="BY249">
            <v>0</v>
          </cell>
          <cell r="BZ249">
            <v>0</v>
          </cell>
          <cell r="CD249">
            <v>0</v>
          </cell>
          <cell r="CE249">
            <v>0</v>
          </cell>
          <cell r="CF249">
            <v>0</v>
          </cell>
          <cell r="CJ249">
            <v>0</v>
          </cell>
          <cell r="CK249">
            <v>0</v>
          </cell>
          <cell r="CL249">
            <v>0</v>
          </cell>
          <cell r="CP249">
            <v>0</v>
          </cell>
          <cell r="CQ249">
            <v>0</v>
          </cell>
          <cell r="CR249">
            <v>0</v>
          </cell>
          <cell r="CS249">
            <v>0</v>
          </cell>
          <cell r="CX249">
            <v>0</v>
          </cell>
          <cell r="CY249">
            <v>0</v>
          </cell>
          <cell r="CZ249">
            <v>0</v>
          </cell>
          <cell r="DA249">
            <v>0</v>
          </cell>
          <cell r="DF249">
            <v>0</v>
          </cell>
          <cell r="DG249">
            <v>0</v>
          </cell>
          <cell r="DH249">
            <v>0</v>
          </cell>
          <cell r="DI249">
            <v>0</v>
          </cell>
          <cell r="DN249">
            <v>0</v>
          </cell>
          <cell r="DO249">
            <v>0</v>
          </cell>
          <cell r="DP249">
            <v>0</v>
          </cell>
          <cell r="DQ249">
            <v>0</v>
          </cell>
          <cell r="DV249">
            <v>0</v>
          </cell>
          <cell r="DW249">
            <v>0</v>
          </cell>
          <cell r="DX249">
            <v>0</v>
          </cell>
          <cell r="DY249">
            <v>0</v>
          </cell>
        </row>
        <row r="250">
          <cell r="F250">
            <v>0</v>
          </cell>
          <cell r="G250">
            <v>0</v>
          </cell>
          <cell r="H250">
            <v>0</v>
          </cell>
          <cell r="I250">
            <v>0</v>
          </cell>
          <cell r="O250">
            <v>0</v>
          </cell>
          <cell r="T250">
            <v>0</v>
          </cell>
          <cell r="U250">
            <v>0</v>
          </cell>
          <cell r="Z250">
            <v>0</v>
          </cell>
          <cell r="AA250">
            <v>0</v>
          </cell>
          <cell r="AF250">
            <v>0</v>
          </cell>
          <cell r="AG250">
            <v>0</v>
          </cell>
          <cell r="AL250">
            <v>0</v>
          </cell>
          <cell r="AM250">
            <v>0</v>
          </cell>
          <cell r="AR250">
            <v>0</v>
          </cell>
          <cell r="AS250">
            <v>0</v>
          </cell>
          <cell r="AX250">
            <v>0</v>
          </cell>
          <cell r="AY250">
            <v>0</v>
          </cell>
          <cell r="AZ250">
            <v>0</v>
          </cell>
          <cell r="BA250">
            <v>0</v>
          </cell>
          <cell r="BF250">
            <v>0</v>
          </cell>
          <cell r="BG250">
            <v>0</v>
          </cell>
          <cell r="BL250">
            <v>0</v>
          </cell>
          <cell r="BM250">
            <v>0</v>
          </cell>
          <cell r="BR250">
            <v>0</v>
          </cell>
          <cell r="BS250">
            <v>0</v>
          </cell>
          <cell r="BX250">
            <v>0</v>
          </cell>
          <cell r="BY250">
            <v>0</v>
          </cell>
          <cell r="CD250">
            <v>0</v>
          </cell>
          <cell r="CE250">
            <v>0</v>
          </cell>
          <cell r="CJ250">
            <v>0</v>
          </cell>
          <cell r="CK250">
            <v>0</v>
          </cell>
          <cell r="CP250">
            <v>0</v>
          </cell>
          <cell r="CQ250">
            <v>0</v>
          </cell>
          <cell r="CR250">
            <v>0</v>
          </cell>
          <cell r="CS250">
            <v>0</v>
          </cell>
          <cell r="CX250">
            <v>0</v>
          </cell>
          <cell r="CY250">
            <v>0</v>
          </cell>
          <cell r="CZ250">
            <v>0</v>
          </cell>
          <cell r="DA250">
            <v>0</v>
          </cell>
          <cell r="DF250">
            <v>0</v>
          </cell>
          <cell r="DG250">
            <v>0</v>
          </cell>
          <cell r="DH250">
            <v>0</v>
          </cell>
          <cell r="DI250">
            <v>0</v>
          </cell>
          <cell r="DN250">
            <v>0</v>
          </cell>
          <cell r="DO250">
            <v>0</v>
          </cell>
          <cell r="DP250">
            <v>0</v>
          </cell>
          <cell r="DQ250">
            <v>0</v>
          </cell>
          <cell r="DV250">
            <v>0</v>
          </cell>
          <cell r="DW250">
            <v>0</v>
          </cell>
          <cell r="DX250">
            <v>0</v>
          </cell>
          <cell r="DY250">
            <v>0</v>
          </cell>
        </row>
        <row r="251">
          <cell r="F251">
            <v>0</v>
          </cell>
          <cell r="G251">
            <v>0</v>
          </cell>
          <cell r="H251">
            <v>0</v>
          </cell>
          <cell r="I251">
            <v>0</v>
          </cell>
          <cell r="O251">
            <v>0</v>
          </cell>
          <cell r="T251">
            <v>0</v>
          </cell>
          <cell r="U251">
            <v>0</v>
          </cell>
          <cell r="Z251">
            <v>0</v>
          </cell>
          <cell r="AA251">
            <v>0</v>
          </cell>
          <cell r="AF251">
            <v>0</v>
          </cell>
          <cell r="AG251">
            <v>0</v>
          </cell>
          <cell r="AL251">
            <v>0</v>
          </cell>
          <cell r="AM251">
            <v>0</v>
          </cell>
          <cell r="AR251">
            <v>0</v>
          </cell>
          <cell r="AS251">
            <v>0</v>
          </cell>
          <cell r="AX251">
            <v>0</v>
          </cell>
          <cell r="AY251">
            <v>0</v>
          </cell>
          <cell r="AZ251">
            <v>0</v>
          </cell>
          <cell r="BA251">
            <v>0</v>
          </cell>
          <cell r="BF251">
            <v>0</v>
          </cell>
          <cell r="BG251">
            <v>0</v>
          </cell>
          <cell r="BL251">
            <v>0</v>
          </cell>
          <cell r="BM251">
            <v>0</v>
          </cell>
          <cell r="BR251">
            <v>0</v>
          </cell>
          <cell r="BS251">
            <v>0</v>
          </cell>
          <cell r="BX251">
            <v>0</v>
          </cell>
          <cell r="BY251">
            <v>0</v>
          </cell>
          <cell r="CD251">
            <v>0</v>
          </cell>
          <cell r="CE251">
            <v>0</v>
          </cell>
          <cell r="CJ251">
            <v>0</v>
          </cell>
          <cell r="CK251">
            <v>0</v>
          </cell>
          <cell r="CP251">
            <v>0</v>
          </cell>
          <cell r="CQ251">
            <v>0</v>
          </cell>
          <cell r="CR251">
            <v>0</v>
          </cell>
          <cell r="CS251">
            <v>0</v>
          </cell>
          <cell r="CX251">
            <v>0</v>
          </cell>
          <cell r="CY251">
            <v>0</v>
          </cell>
          <cell r="CZ251">
            <v>0</v>
          </cell>
          <cell r="DA251">
            <v>0</v>
          </cell>
          <cell r="DF251">
            <v>0</v>
          </cell>
          <cell r="DG251">
            <v>0</v>
          </cell>
          <cell r="DH251">
            <v>0</v>
          </cell>
          <cell r="DI251">
            <v>0</v>
          </cell>
          <cell r="DN251">
            <v>0</v>
          </cell>
          <cell r="DO251">
            <v>0</v>
          </cell>
          <cell r="DP251">
            <v>0</v>
          </cell>
          <cell r="DQ251">
            <v>0</v>
          </cell>
          <cell r="DV251">
            <v>0</v>
          </cell>
          <cell r="DW251">
            <v>0</v>
          </cell>
          <cell r="DX251">
            <v>0</v>
          </cell>
          <cell r="DY251">
            <v>0</v>
          </cell>
        </row>
        <row r="252">
          <cell r="F252">
            <v>0</v>
          </cell>
          <cell r="G252">
            <v>0</v>
          </cell>
          <cell r="H252">
            <v>0</v>
          </cell>
          <cell r="I252">
            <v>0</v>
          </cell>
          <cell r="O252">
            <v>0</v>
          </cell>
          <cell r="T252">
            <v>0</v>
          </cell>
          <cell r="U252">
            <v>0</v>
          </cell>
          <cell r="Z252">
            <v>0</v>
          </cell>
          <cell r="AA252">
            <v>0</v>
          </cell>
          <cell r="AF252">
            <v>0</v>
          </cell>
          <cell r="AG252">
            <v>0</v>
          </cell>
          <cell r="AL252">
            <v>0</v>
          </cell>
          <cell r="AM252">
            <v>0</v>
          </cell>
          <cell r="AR252">
            <v>0</v>
          </cell>
          <cell r="AS252">
            <v>0</v>
          </cell>
          <cell r="AX252">
            <v>0</v>
          </cell>
          <cell r="AY252">
            <v>0</v>
          </cell>
          <cell r="AZ252">
            <v>0</v>
          </cell>
          <cell r="BA252">
            <v>0</v>
          </cell>
          <cell r="BF252">
            <v>0</v>
          </cell>
          <cell r="BG252">
            <v>0</v>
          </cell>
          <cell r="BL252">
            <v>0</v>
          </cell>
          <cell r="BM252">
            <v>0</v>
          </cell>
          <cell r="BR252">
            <v>0</v>
          </cell>
          <cell r="BS252">
            <v>0</v>
          </cell>
          <cell r="BX252">
            <v>0</v>
          </cell>
          <cell r="BY252">
            <v>0</v>
          </cell>
          <cell r="CD252">
            <v>0</v>
          </cell>
          <cell r="CE252">
            <v>0</v>
          </cell>
          <cell r="CJ252">
            <v>0</v>
          </cell>
          <cell r="CK252">
            <v>0</v>
          </cell>
          <cell r="CP252">
            <v>0</v>
          </cell>
          <cell r="CQ252">
            <v>0</v>
          </cell>
          <cell r="CR252">
            <v>0</v>
          </cell>
          <cell r="CS252">
            <v>0</v>
          </cell>
          <cell r="CX252">
            <v>0</v>
          </cell>
          <cell r="CY252">
            <v>0</v>
          </cell>
          <cell r="CZ252">
            <v>0</v>
          </cell>
          <cell r="DA252">
            <v>0</v>
          </cell>
          <cell r="DF252">
            <v>0</v>
          </cell>
          <cell r="DG252">
            <v>0</v>
          </cell>
          <cell r="DH252">
            <v>0</v>
          </cell>
          <cell r="DI252">
            <v>0</v>
          </cell>
          <cell r="DN252">
            <v>0</v>
          </cell>
          <cell r="DO252">
            <v>0</v>
          </cell>
          <cell r="DP252">
            <v>0</v>
          </cell>
          <cell r="DQ252">
            <v>0</v>
          </cell>
          <cell r="DV252">
            <v>0</v>
          </cell>
          <cell r="DW252">
            <v>0</v>
          </cell>
          <cell r="DX252">
            <v>0</v>
          </cell>
          <cell r="DY252">
            <v>0</v>
          </cell>
        </row>
        <row r="253">
          <cell r="F253">
            <v>0</v>
          </cell>
          <cell r="G253">
            <v>0</v>
          </cell>
          <cell r="H253">
            <v>0</v>
          </cell>
          <cell r="I253">
            <v>0</v>
          </cell>
          <cell r="O253">
            <v>0</v>
          </cell>
          <cell r="T253">
            <v>0</v>
          </cell>
          <cell r="U253">
            <v>0</v>
          </cell>
          <cell r="Z253">
            <v>0</v>
          </cell>
          <cell r="AA253">
            <v>0</v>
          </cell>
          <cell r="AF253">
            <v>0</v>
          </cell>
          <cell r="AG253">
            <v>0</v>
          </cell>
          <cell r="AL253">
            <v>0</v>
          </cell>
          <cell r="AM253">
            <v>0</v>
          </cell>
          <cell r="AR253">
            <v>0</v>
          </cell>
          <cell r="AS253">
            <v>0</v>
          </cell>
          <cell r="AX253">
            <v>0</v>
          </cell>
          <cell r="AY253">
            <v>0</v>
          </cell>
          <cell r="AZ253">
            <v>0</v>
          </cell>
          <cell r="BA253">
            <v>0</v>
          </cell>
          <cell r="BF253">
            <v>0</v>
          </cell>
          <cell r="BG253">
            <v>0</v>
          </cell>
          <cell r="BL253">
            <v>0</v>
          </cell>
          <cell r="BM253">
            <v>0</v>
          </cell>
          <cell r="BR253">
            <v>0</v>
          </cell>
          <cell r="BS253">
            <v>0</v>
          </cell>
          <cell r="BX253">
            <v>0</v>
          </cell>
          <cell r="BY253">
            <v>0</v>
          </cell>
          <cell r="CD253">
            <v>0</v>
          </cell>
          <cell r="CE253">
            <v>0</v>
          </cell>
          <cell r="CJ253">
            <v>0</v>
          </cell>
          <cell r="CK253">
            <v>0</v>
          </cell>
          <cell r="CP253">
            <v>0</v>
          </cell>
          <cell r="CQ253">
            <v>0</v>
          </cell>
          <cell r="CR253">
            <v>0</v>
          </cell>
          <cell r="CS253">
            <v>0</v>
          </cell>
          <cell r="CX253">
            <v>0</v>
          </cell>
          <cell r="CY253">
            <v>0</v>
          </cell>
          <cell r="CZ253">
            <v>0</v>
          </cell>
          <cell r="DA253">
            <v>0</v>
          </cell>
          <cell r="DF253">
            <v>0</v>
          </cell>
          <cell r="DG253">
            <v>0</v>
          </cell>
          <cell r="DH253">
            <v>0</v>
          </cell>
          <cell r="DI253">
            <v>0</v>
          </cell>
          <cell r="DN253">
            <v>0</v>
          </cell>
          <cell r="DO253">
            <v>0</v>
          </cell>
          <cell r="DP253">
            <v>0</v>
          </cell>
          <cell r="DQ253">
            <v>0</v>
          </cell>
          <cell r="DV253">
            <v>0</v>
          </cell>
          <cell r="DW253">
            <v>0</v>
          </cell>
          <cell r="DX253">
            <v>0</v>
          </cell>
          <cell r="DY253">
            <v>0</v>
          </cell>
        </row>
        <row r="254">
          <cell r="F254">
            <v>0</v>
          </cell>
          <cell r="G254">
            <v>0</v>
          </cell>
          <cell r="H254">
            <v>0</v>
          </cell>
          <cell r="I254">
            <v>0</v>
          </cell>
          <cell r="O254">
            <v>0</v>
          </cell>
          <cell r="T254">
            <v>0</v>
          </cell>
          <cell r="U254">
            <v>0</v>
          </cell>
          <cell r="Z254">
            <v>0</v>
          </cell>
          <cell r="AA254">
            <v>0</v>
          </cell>
          <cell r="AF254">
            <v>0</v>
          </cell>
          <cell r="AG254">
            <v>0</v>
          </cell>
          <cell r="AL254">
            <v>0</v>
          </cell>
          <cell r="AM254">
            <v>0</v>
          </cell>
          <cell r="AR254">
            <v>0</v>
          </cell>
          <cell r="AS254">
            <v>0</v>
          </cell>
          <cell r="AX254">
            <v>0</v>
          </cell>
          <cell r="AY254">
            <v>0</v>
          </cell>
          <cell r="AZ254">
            <v>0</v>
          </cell>
          <cell r="BA254">
            <v>0</v>
          </cell>
          <cell r="BF254">
            <v>0</v>
          </cell>
          <cell r="BG254">
            <v>0</v>
          </cell>
          <cell r="BL254">
            <v>0</v>
          </cell>
          <cell r="BM254">
            <v>0</v>
          </cell>
          <cell r="BR254">
            <v>0</v>
          </cell>
          <cell r="BS254">
            <v>0</v>
          </cell>
          <cell r="BX254">
            <v>0</v>
          </cell>
          <cell r="BY254">
            <v>0</v>
          </cell>
          <cell r="CD254">
            <v>0</v>
          </cell>
          <cell r="CE254">
            <v>0</v>
          </cell>
          <cell r="CJ254">
            <v>0</v>
          </cell>
          <cell r="CK254">
            <v>0</v>
          </cell>
          <cell r="CP254">
            <v>0</v>
          </cell>
          <cell r="CQ254">
            <v>0</v>
          </cell>
          <cell r="CR254">
            <v>0</v>
          </cell>
          <cell r="CS254">
            <v>0</v>
          </cell>
          <cell r="CX254">
            <v>0</v>
          </cell>
          <cell r="CY254">
            <v>0</v>
          </cell>
          <cell r="CZ254">
            <v>0</v>
          </cell>
          <cell r="DA254">
            <v>0</v>
          </cell>
          <cell r="DF254">
            <v>0</v>
          </cell>
          <cell r="DG254">
            <v>0</v>
          </cell>
          <cell r="DH254">
            <v>0</v>
          </cell>
          <cell r="DI254">
            <v>0</v>
          </cell>
          <cell r="DN254">
            <v>0</v>
          </cell>
          <cell r="DO254">
            <v>0</v>
          </cell>
          <cell r="DP254">
            <v>0</v>
          </cell>
          <cell r="DQ254">
            <v>0</v>
          </cell>
          <cell r="DV254">
            <v>0</v>
          </cell>
          <cell r="DW254">
            <v>0</v>
          </cell>
          <cell r="DX254">
            <v>0</v>
          </cell>
          <cell r="DY254">
            <v>0</v>
          </cell>
        </row>
        <row r="255">
          <cell r="F255">
            <v>0</v>
          </cell>
          <cell r="G255">
            <v>0</v>
          </cell>
          <cell r="H255">
            <v>0</v>
          </cell>
          <cell r="I255">
            <v>0</v>
          </cell>
          <cell r="O255">
            <v>0</v>
          </cell>
          <cell r="T255">
            <v>0</v>
          </cell>
          <cell r="U255">
            <v>0</v>
          </cell>
          <cell r="Z255">
            <v>0</v>
          </cell>
          <cell r="AA255">
            <v>0</v>
          </cell>
          <cell r="AF255">
            <v>0</v>
          </cell>
          <cell r="AG255">
            <v>0</v>
          </cell>
          <cell r="AL255">
            <v>0</v>
          </cell>
          <cell r="AM255">
            <v>0</v>
          </cell>
          <cell r="AR255">
            <v>0</v>
          </cell>
          <cell r="AS255">
            <v>0</v>
          </cell>
          <cell r="AX255">
            <v>0</v>
          </cell>
          <cell r="AY255">
            <v>0</v>
          </cell>
          <cell r="AZ255">
            <v>0</v>
          </cell>
          <cell r="BA255">
            <v>0</v>
          </cell>
          <cell r="BF255">
            <v>0</v>
          </cell>
          <cell r="BG255">
            <v>0</v>
          </cell>
          <cell r="BL255">
            <v>0</v>
          </cell>
          <cell r="BM255">
            <v>0</v>
          </cell>
          <cell r="BR255">
            <v>0</v>
          </cell>
          <cell r="BS255">
            <v>0</v>
          </cell>
          <cell r="BX255">
            <v>0</v>
          </cell>
          <cell r="BY255">
            <v>0</v>
          </cell>
          <cell r="CD255">
            <v>0</v>
          </cell>
          <cell r="CE255">
            <v>0</v>
          </cell>
          <cell r="CJ255">
            <v>0</v>
          </cell>
          <cell r="CK255">
            <v>0</v>
          </cell>
          <cell r="CP255">
            <v>0</v>
          </cell>
          <cell r="CQ255">
            <v>0</v>
          </cell>
          <cell r="CR255">
            <v>0</v>
          </cell>
          <cell r="CS255">
            <v>0</v>
          </cell>
          <cell r="CX255">
            <v>0</v>
          </cell>
          <cell r="CY255">
            <v>0</v>
          </cell>
          <cell r="CZ255">
            <v>0</v>
          </cell>
          <cell r="DA255">
            <v>0</v>
          </cell>
          <cell r="DF255">
            <v>0</v>
          </cell>
          <cell r="DG255">
            <v>0</v>
          </cell>
          <cell r="DH255">
            <v>0</v>
          </cell>
          <cell r="DI255">
            <v>0</v>
          </cell>
          <cell r="DN255">
            <v>0</v>
          </cell>
          <cell r="DO255">
            <v>0</v>
          </cell>
          <cell r="DP255">
            <v>0</v>
          </cell>
          <cell r="DQ255">
            <v>0</v>
          </cell>
          <cell r="DV255">
            <v>0</v>
          </cell>
          <cell r="DW255">
            <v>0</v>
          </cell>
          <cell r="DX255">
            <v>0</v>
          </cell>
          <cell r="DY255">
            <v>0</v>
          </cell>
        </row>
        <row r="256">
          <cell r="F256">
            <v>0</v>
          </cell>
          <cell r="G256">
            <v>0</v>
          </cell>
          <cell r="H256">
            <v>0</v>
          </cell>
          <cell r="I256">
            <v>0</v>
          </cell>
          <cell r="O256">
            <v>0</v>
          </cell>
          <cell r="T256">
            <v>0</v>
          </cell>
          <cell r="U256">
            <v>0</v>
          </cell>
          <cell r="Z256">
            <v>0</v>
          </cell>
          <cell r="AA256">
            <v>0</v>
          </cell>
          <cell r="AF256">
            <v>0</v>
          </cell>
          <cell r="AG256">
            <v>0</v>
          </cell>
          <cell r="AL256">
            <v>0</v>
          </cell>
          <cell r="AM256">
            <v>0</v>
          </cell>
          <cell r="AR256">
            <v>0</v>
          </cell>
          <cell r="AS256">
            <v>0</v>
          </cell>
          <cell r="AX256">
            <v>0</v>
          </cell>
          <cell r="AY256">
            <v>0</v>
          </cell>
          <cell r="AZ256">
            <v>0</v>
          </cell>
          <cell r="BA256">
            <v>0</v>
          </cell>
          <cell r="BF256">
            <v>0</v>
          </cell>
          <cell r="BG256">
            <v>0</v>
          </cell>
          <cell r="BL256">
            <v>0</v>
          </cell>
          <cell r="BM256">
            <v>0</v>
          </cell>
          <cell r="BR256">
            <v>0</v>
          </cell>
          <cell r="BS256">
            <v>0</v>
          </cell>
          <cell r="BX256">
            <v>0</v>
          </cell>
          <cell r="BY256">
            <v>0</v>
          </cell>
          <cell r="CD256">
            <v>0</v>
          </cell>
          <cell r="CE256">
            <v>0</v>
          </cell>
          <cell r="CJ256">
            <v>0</v>
          </cell>
          <cell r="CK256">
            <v>0</v>
          </cell>
          <cell r="CP256">
            <v>0</v>
          </cell>
          <cell r="CQ256">
            <v>0</v>
          </cell>
          <cell r="CR256">
            <v>0</v>
          </cell>
          <cell r="CS256">
            <v>0</v>
          </cell>
          <cell r="CX256">
            <v>0</v>
          </cell>
          <cell r="CY256">
            <v>0</v>
          </cell>
          <cell r="CZ256">
            <v>0</v>
          </cell>
          <cell r="DA256">
            <v>0</v>
          </cell>
          <cell r="DF256">
            <v>0</v>
          </cell>
          <cell r="DG256">
            <v>0</v>
          </cell>
          <cell r="DH256">
            <v>0</v>
          </cell>
          <cell r="DI256">
            <v>0</v>
          </cell>
          <cell r="DN256">
            <v>0</v>
          </cell>
          <cell r="DO256">
            <v>0</v>
          </cell>
          <cell r="DP256">
            <v>0</v>
          </cell>
          <cell r="DQ256">
            <v>0</v>
          </cell>
          <cell r="DV256">
            <v>0</v>
          </cell>
          <cell r="DW256">
            <v>0</v>
          </cell>
          <cell r="DX256">
            <v>0</v>
          </cell>
          <cell r="DY256">
            <v>0</v>
          </cell>
        </row>
        <row r="257">
          <cell r="F257">
            <v>0</v>
          </cell>
          <cell r="G257">
            <v>0</v>
          </cell>
          <cell r="H257">
            <v>0</v>
          </cell>
          <cell r="I257">
            <v>0</v>
          </cell>
          <cell r="O257">
            <v>0</v>
          </cell>
          <cell r="T257">
            <v>0</v>
          </cell>
          <cell r="U257">
            <v>0</v>
          </cell>
          <cell r="Z257">
            <v>0</v>
          </cell>
          <cell r="AA257">
            <v>0</v>
          </cell>
          <cell r="AF257">
            <v>0</v>
          </cell>
          <cell r="AG257">
            <v>0</v>
          </cell>
          <cell r="AL257">
            <v>0</v>
          </cell>
          <cell r="AM257">
            <v>0</v>
          </cell>
          <cell r="AR257">
            <v>0</v>
          </cell>
          <cell r="AS257">
            <v>0</v>
          </cell>
          <cell r="AX257">
            <v>0</v>
          </cell>
          <cell r="AY257">
            <v>0</v>
          </cell>
          <cell r="AZ257">
            <v>0</v>
          </cell>
          <cell r="BA257">
            <v>0</v>
          </cell>
          <cell r="BF257">
            <v>0</v>
          </cell>
          <cell r="BG257">
            <v>0</v>
          </cell>
          <cell r="BL257">
            <v>0</v>
          </cell>
          <cell r="BM257">
            <v>0</v>
          </cell>
          <cell r="BR257">
            <v>0</v>
          </cell>
          <cell r="BS257">
            <v>0</v>
          </cell>
          <cell r="BX257">
            <v>0</v>
          </cell>
          <cell r="BY257">
            <v>0</v>
          </cell>
          <cell r="CD257">
            <v>0</v>
          </cell>
          <cell r="CE257">
            <v>0</v>
          </cell>
          <cell r="CJ257">
            <v>0</v>
          </cell>
          <cell r="CK257">
            <v>0</v>
          </cell>
          <cell r="CP257">
            <v>0</v>
          </cell>
          <cell r="CQ257">
            <v>0</v>
          </cell>
          <cell r="CR257">
            <v>0</v>
          </cell>
          <cell r="CS257">
            <v>0</v>
          </cell>
          <cell r="CX257">
            <v>0</v>
          </cell>
          <cell r="CY257">
            <v>0</v>
          </cell>
          <cell r="CZ257">
            <v>0</v>
          </cell>
          <cell r="DA257">
            <v>0</v>
          </cell>
          <cell r="DF257">
            <v>0</v>
          </cell>
          <cell r="DG257">
            <v>0</v>
          </cell>
          <cell r="DH257">
            <v>0</v>
          </cell>
          <cell r="DI257">
            <v>0</v>
          </cell>
          <cell r="DN257">
            <v>0</v>
          </cell>
          <cell r="DO257">
            <v>0</v>
          </cell>
          <cell r="DP257">
            <v>0</v>
          </cell>
          <cell r="DQ257">
            <v>0</v>
          </cell>
          <cell r="DV257">
            <v>0</v>
          </cell>
          <cell r="DW257">
            <v>0</v>
          </cell>
          <cell r="DX257">
            <v>0</v>
          </cell>
          <cell r="DY257">
            <v>0</v>
          </cell>
        </row>
        <row r="258">
          <cell r="F258">
            <v>0</v>
          </cell>
          <cell r="G258">
            <v>0</v>
          </cell>
          <cell r="H258">
            <v>0</v>
          </cell>
          <cell r="I258">
            <v>0</v>
          </cell>
          <cell r="O258">
            <v>0</v>
          </cell>
          <cell r="T258">
            <v>0</v>
          </cell>
          <cell r="U258">
            <v>0</v>
          </cell>
          <cell r="Z258">
            <v>0</v>
          </cell>
          <cell r="AA258">
            <v>0</v>
          </cell>
          <cell r="AF258">
            <v>0</v>
          </cell>
          <cell r="AG258">
            <v>0</v>
          </cell>
          <cell r="AL258">
            <v>0</v>
          </cell>
          <cell r="AM258">
            <v>0</v>
          </cell>
          <cell r="AR258">
            <v>0</v>
          </cell>
          <cell r="AS258">
            <v>0</v>
          </cell>
          <cell r="AX258">
            <v>0</v>
          </cell>
          <cell r="AY258">
            <v>0</v>
          </cell>
          <cell r="AZ258">
            <v>0</v>
          </cell>
          <cell r="BA258">
            <v>0</v>
          </cell>
          <cell r="BF258">
            <v>0</v>
          </cell>
          <cell r="BG258">
            <v>0</v>
          </cell>
          <cell r="BL258">
            <v>0</v>
          </cell>
          <cell r="BM258">
            <v>0</v>
          </cell>
          <cell r="BR258">
            <v>0</v>
          </cell>
          <cell r="BS258">
            <v>0</v>
          </cell>
          <cell r="BX258">
            <v>0</v>
          </cell>
          <cell r="BY258">
            <v>0</v>
          </cell>
          <cell r="CD258">
            <v>0</v>
          </cell>
          <cell r="CE258">
            <v>0</v>
          </cell>
          <cell r="CJ258">
            <v>0</v>
          </cell>
          <cell r="CK258">
            <v>0</v>
          </cell>
          <cell r="CP258">
            <v>0</v>
          </cell>
          <cell r="CQ258">
            <v>0</v>
          </cell>
          <cell r="CR258">
            <v>0</v>
          </cell>
          <cell r="CS258">
            <v>0</v>
          </cell>
          <cell r="CX258">
            <v>0</v>
          </cell>
          <cell r="CY258">
            <v>0</v>
          </cell>
          <cell r="CZ258">
            <v>0</v>
          </cell>
          <cell r="DA258">
            <v>0</v>
          </cell>
          <cell r="DF258">
            <v>0</v>
          </cell>
          <cell r="DG258">
            <v>0</v>
          </cell>
          <cell r="DH258">
            <v>0</v>
          </cell>
          <cell r="DI258">
            <v>0</v>
          </cell>
          <cell r="DN258">
            <v>0</v>
          </cell>
          <cell r="DO258">
            <v>0</v>
          </cell>
          <cell r="DP258">
            <v>0</v>
          </cell>
          <cell r="DQ258">
            <v>0</v>
          </cell>
          <cell r="DV258">
            <v>0</v>
          </cell>
          <cell r="DW258">
            <v>0</v>
          </cell>
          <cell r="DX258">
            <v>0</v>
          </cell>
          <cell r="DY258">
            <v>0</v>
          </cell>
        </row>
        <row r="259">
          <cell r="F259">
            <v>0</v>
          </cell>
          <cell r="G259">
            <v>0</v>
          </cell>
          <cell r="H259">
            <v>0</v>
          </cell>
          <cell r="I259">
            <v>0</v>
          </cell>
          <cell r="AX259">
            <v>0</v>
          </cell>
          <cell r="AY259">
            <v>0</v>
          </cell>
          <cell r="AZ259">
            <v>0</v>
          </cell>
          <cell r="BA259">
            <v>0</v>
          </cell>
          <cell r="CP259">
            <v>0</v>
          </cell>
          <cell r="CQ259">
            <v>0</v>
          </cell>
          <cell r="CR259">
            <v>0</v>
          </cell>
          <cell r="CS259">
            <v>0</v>
          </cell>
          <cell r="CX259">
            <v>0</v>
          </cell>
          <cell r="CY259">
            <v>0</v>
          </cell>
          <cell r="CZ259">
            <v>0</v>
          </cell>
          <cell r="DA259">
            <v>0</v>
          </cell>
          <cell r="DF259">
            <v>0</v>
          </cell>
          <cell r="DG259">
            <v>0</v>
          </cell>
          <cell r="DH259">
            <v>0</v>
          </cell>
          <cell r="DI259">
            <v>0</v>
          </cell>
          <cell r="DN259">
            <v>0</v>
          </cell>
          <cell r="DO259">
            <v>0</v>
          </cell>
          <cell r="DP259">
            <v>0</v>
          </cell>
          <cell r="DQ259">
            <v>0</v>
          </cell>
          <cell r="DV259">
            <v>0</v>
          </cell>
          <cell r="DW259">
            <v>0</v>
          </cell>
          <cell r="DX259">
            <v>0</v>
          </cell>
          <cell r="DY259">
            <v>0</v>
          </cell>
        </row>
        <row r="260">
          <cell r="F260">
            <v>0</v>
          </cell>
          <cell r="G260">
            <v>0</v>
          </cell>
          <cell r="H260">
            <v>0</v>
          </cell>
          <cell r="I260">
            <v>0</v>
          </cell>
          <cell r="O260">
            <v>0</v>
          </cell>
          <cell r="T260">
            <v>0</v>
          </cell>
          <cell r="U260">
            <v>0</v>
          </cell>
          <cell r="Z260">
            <v>0</v>
          </cell>
          <cell r="AA260">
            <v>0</v>
          </cell>
          <cell r="AF260">
            <v>0</v>
          </cell>
          <cell r="AG260">
            <v>0</v>
          </cell>
          <cell r="AL260">
            <v>0</v>
          </cell>
          <cell r="AM260">
            <v>0</v>
          </cell>
          <cell r="AR260">
            <v>0</v>
          </cell>
          <cell r="AS260">
            <v>0</v>
          </cell>
          <cell r="AX260">
            <v>0</v>
          </cell>
          <cell r="AY260">
            <v>0</v>
          </cell>
          <cell r="AZ260">
            <v>0</v>
          </cell>
          <cell r="BA260">
            <v>0</v>
          </cell>
          <cell r="BF260">
            <v>0</v>
          </cell>
          <cell r="BG260">
            <v>0</v>
          </cell>
          <cell r="BL260">
            <v>0</v>
          </cell>
          <cell r="BM260">
            <v>0</v>
          </cell>
          <cell r="BR260">
            <v>0</v>
          </cell>
          <cell r="BS260">
            <v>0</v>
          </cell>
          <cell r="BX260">
            <v>0</v>
          </cell>
          <cell r="BY260">
            <v>0</v>
          </cell>
          <cell r="CD260">
            <v>0</v>
          </cell>
          <cell r="CE260">
            <v>0</v>
          </cell>
          <cell r="CJ260">
            <v>0</v>
          </cell>
          <cell r="CK260">
            <v>0</v>
          </cell>
          <cell r="CP260">
            <v>0</v>
          </cell>
          <cell r="CQ260">
            <v>0</v>
          </cell>
          <cell r="CR260">
            <v>0</v>
          </cell>
          <cell r="CS260">
            <v>0</v>
          </cell>
          <cell r="CX260">
            <v>0</v>
          </cell>
          <cell r="CY260">
            <v>0</v>
          </cell>
          <cell r="CZ260">
            <v>0</v>
          </cell>
          <cell r="DA260">
            <v>0</v>
          </cell>
          <cell r="DF260">
            <v>0</v>
          </cell>
          <cell r="DG260">
            <v>0</v>
          </cell>
          <cell r="DH260">
            <v>0</v>
          </cell>
          <cell r="DI260">
            <v>0</v>
          </cell>
          <cell r="DN260">
            <v>0</v>
          </cell>
          <cell r="DO260">
            <v>0</v>
          </cell>
          <cell r="DP260">
            <v>0</v>
          </cell>
          <cell r="DQ260">
            <v>0</v>
          </cell>
          <cell r="DV260">
            <v>0</v>
          </cell>
          <cell r="DW260">
            <v>0</v>
          </cell>
          <cell r="DX260">
            <v>0</v>
          </cell>
          <cell r="DY260">
            <v>0</v>
          </cell>
        </row>
        <row r="261">
          <cell r="F261">
            <v>0</v>
          </cell>
          <cell r="G261">
            <v>0</v>
          </cell>
          <cell r="H261">
            <v>0</v>
          </cell>
          <cell r="I261">
            <v>0</v>
          </cell>
          <cell r="O261">
            <v>0</v>
          </cell>
          <cell r="T261">
            <v>0</v>
          </cell>
          <cell r="U261">
            <v>0</v>
          </cell>
          <cell r="Z261">
            <v>0</v>
          </cell>
          <cell r="AA261">
            <v>0</v>
          </cell>
          <cell r="AF261">
            <v>0</v>
          </cell>
          <cell r="AG261">
            <v>0</v>
          </cell>
          <cell r="AL261">
            <v>0</v>
          </cell>
          <cell r="AM261">
            <v>0</v>
          </cell>
          <cell r="AR261">
            <v>0</v>
          </cell>
          <cell r="AS261">
            <v>0</v>
          </cell>
          <cell r="AX261">
            <v>0</v>
          </cell>
          <cell r="AY261">
            <v>0</v>
          </cell>
          <cell r="AZ261">
            <v>0</v>
          </cell>
          <cell r="BA261">
            <v>0</v>
          </cell>
          <cell r="BF261">
            <v>0</v>
          </cell>
          <cell r="BG261">
            <v>0</v>
          </cell>
          <cell r="BL261">
            <v>0</v>
          </cell>
          <cell r="BM261">
            <v>0</v>
          </cell>
          <cell r="BR261">
            <v>0</v>
          </cell>
          <cell r="BS261">
            <v>0</v>
          </cell>
          <cell r="BX261">
            <v>0</v>
          </cell>
          <cell r="BY261">
            <v>0</v>
          </cell>
          <cell r="CD261">
            <v>0</v>
          </cell>
          <cell r="CE261">
            <v>0</v>
          </cell>
          <cell r="CJ261">
            <v>0</v>
          </cell>
          <cell r="CK261">
            <v>0</v>
          </cell>
          <cell r="CP261">
            <v>0</v>
          </cell>
          <cell r="CQ261">
            <v>0</v>
          </cell>
          <cell r="CR261">
            <v>0</v>
          </cell>
          <cell r="CS261">
            <v>0</v>
          </cell>
          <cell r="CX261">
            <v>0</v>
          </cell>
          <cell r="CY261">
            <v>0</v>
          </cell>
          <cell r="CZ261">
            <v>0</v>
          </cell>
          <cell r="DA261">
            <v>0</v>
          </cell>
          <cell r="DF261">
            <v>0</v>
          </cell>
          <cell r="DG261">
            <v>0</v>
          </cell>
          <cell r="DH261">
            <v>0</v>
          </cell>
          <cell r="DI261">
            <v>0</v>
          </cell>
          <cell r="DN261">
            <v>0</v>
          </cell>
          <cell r="DO261">
            <v>0</v>
          </cell>
          <cell r="DP261">
            <v>0</v>
          </cell>
          <cell r="DQ261">
            <v>0</v>
          </cell>
          <cell r="DV261">
            <v>0</v>
          </cell>
          <cell r="DW261">
            <v>0</v>
          </cell>
          <cell r="DX261">
            <v>0</v>
          </cell>
          <cell r="DY261">
            <v>0</v>
          </cell>
        </row>
        <row r="262">
          <cell r="F262">
            <v>0</v>
          </cell>
          <cell r="G262">
            <v>0</v>
          </cell>
          <cell r="H262">
            <v>0</v>
          </cell>
          <cell r="I262">
            <v>0</v>
          </cell>
          <cell r="N262">
            <v>0</v>
          </cell>
          <cell r="O262">
            <v>0</v>
          </cell>
          <cell r="P262">
            <v>0</v>
          </cell>
          <cell r="T262">
            <v>0</v>
          </cell>
          <cell r="U262">
            <v>0</v>
          </cell>
          <cell r="V262">
            <v>0</v>
          </cell>
          <cell r="Z262">
            <v>0</v>
          </cell>
          <cell r="AA262">
            <v>0</v>
          </cell>
          <cell r="AB262">
            <v>0</v>
          </cell>
          <cell r="AF262">
            <v>0</v>
          </cell>
          <cell r="AG262">
            <v>0</v>
          </cell>
          <cell r="AH262">
            <v>0</v>
          </cell>
          <cell r="AL262">
            <v>0</v>
          </cell>
          <cell r="AM262">
            <v>0</v>
          </cell>
          <cell r="AN262">
            <v>0</v>
          </cell>
          <cell r="AR262">
            <v>0</v>
          </cell>
          <cell r="AS262">
            <v>0</v>
          </cell>
          <cell r="AT262">
            <v>0</v>
          </cell>
          <cell r="AX262">
            <v>0</v>
          </cell>
          <cell r="AY262">
            <v>0</v>
          </cell>
          <cell r="AZ262">
            <v>0</v>
          </cell>
          <cell r="BA262">
            <v>0</v>
          </cell>
          <cell r="BF262">
            <v>0</v>
          </cell>
          <cell r="BG262">
            <v>0</v>
          </cell>
          <cell r="BH262">
            <v>0</v>
          </cell>
          <cell r="BL262">
            <v>0</v>
          </cell>
          <cell r="BM262">
            <v>0</v>
          </cell>
          <cell r="BN262">
            <v>0</v>
          </cell>
          <cell r="BR262">
            <v>0</v>
          </cell>
          <cell r="BS262">
            <v>0</v>
          </cell>
          <cell r="BT262">
            <v>0</v>
          </cell>
          <cell r="BX262">
            <v>0</v>
          </cell>
          <cell r="BY262">
            <v>0</v>
          </cell>
          <cell r="BZ262">
            <v>0</v>
          </cell>
          <cell r="CD262">
            <v>0</v>
          </cell>
          <cell r="CE262">
            <v>0</v>
          </cell>
          <cell r="CF262">
            <v>0</v>
          </cell>
          <cell r="CJ262">
            <v>0</v>
          </cell>
          <cell r="CK262">
            <v>0</v>
          </cell>
          <cell r="CL262">
            <v>0</v>
          </cell>
          <cell r="CP262">
            <v>0</v>
          </cell>
          <cell r="CQ262">
            <v>0</v>
          </cell>
          <cell r="CR262">
            <v>0</v>
          </cell>
          <cell r="CS262">
            <v>0</v>
          </cell>
          <cell r="CX262">
            <v>0</v>
          </cell>
          <cell r="CY262">
            <v>0</v>
          </cell>
          <cell r="CZ262">
            <v>0</v>
          </cell>
          <cell r="DA262">
            <v>0</v>
          </cell>
          <cell r="DF262">
            <v>0</v>
          </cell>
          <cell r="DG262">
            <v>0</v>
          </cell>
          <cell r="DH262">
            <v>0</v>
          </cell>
          <cell r="DI262">
            <v>0</v>
          </cell>
          <cell r="DN262">
            <v>0</v>
          </cell>
          <cell r="DO262">
            <v>0</v>
          </cell>
          <cell r="DP262">
            <v>0</v>
          </cell>
          <cell r="DQ262">
            <v>0</v>
          </cell>
          <cell r="DV262">
            <v>0</v>
          </cell>
          <cell r="DW262">
            <v>0</v>
          </cell>
          <cell r="DX262">
            <v>0</v>
          </cell>
          <cell r="DY262">
            <v>0</v>
          </cell>
        </row>
        <row r="263">
          <cell r="F263">
            <v>0</v>
          </cell>
          <cell r="G263">
            <v>0</v>
          </cell>
          <cell r="H263">
            <v>0</v>
          </cell>
          <cell r="I263">
            <v>0</v>
          </cell>
          <cell r="O263">
            <v>0</v>
          </cell>
          <cell r="T263">
            <v>0</v>
          </cell>
          <cell r="U263">
            <v>0</v>
          </cell>
          <cell r="Z263">
            <v>0</v>
          </cell>
          <cell r="AA263">
            <v>0</v>
          </cell>
          <cell r="AF263">
            <v>0</v>
          </cell>
          <cell r="AG263">
            <v>0</v>
          </cell>
          <cell r="AL263">
            <v>0</v>
          </cell>
          <cell r="AM263">
            <v>0</v>
          </cell>
          <cell r="AR263">
            <v>0</v>
          </cell>
          <cell r="AS263">
            <v>0</v>
          </cell>
          <cell r="AX263">
            <v>0</v>
          </cell>
          <cell r="AY263">
            <v>0</v>
          </cell>
          <cell r="AZ263">
            <v>0</v>
          </cell>
          <cell r="BA263">
            <v>0</v>
          </cell>
          <cell r="BF263">
            <v>0</v>
          </cell>
          <cell r="BG263">
            <v>0</v>
          </cell>
          <cell r="BL263">
            <v>0</v>
          </cell>
          <cell r="BM263">
            <v>0</v>
          </cell>
          <cell r="BR263">
            <v>0</v>
          </cell>
          <cell r="BS263">
            <v>0</v>
          </cell>
          <cell r="BX263">
            <v>0</v>
          </cell>
          <cell r="BY263">
            <v>0</v>
          </cell>
          <cell r="CD263">
            <v>0</v>
          </cell>
          <cell r="CE263">
            <v>0</v>
          </cell>
          <cell r="CJ263">
            <v>0</v>
          </cell>
          <cell r="CK263">
            <v>0</v>
          </cell>
          <cell r="CP263">
            <v>0</v>
          </cell>
          <cell r="CQ263">
            <v>0</v>
          </cell>
          <cell r="CR263">
            <v>0</v>
          </cell>
          <cell r="CS263">
            <v>0</v>
          </cell>
          <cell r="CX263">
            <v>0</v>
          </cell>
          <cell r="CY263">
            <v>0</v>
          </cell>
          <cell r="CZ263">
            <v>0</v>
          </cell>
          <cell r="DA263">
            <v>0</v>
          </cell>
          <cell r="DF263">
            <v>0</v>
          </cell>
          <cell r="DG263">
            <v>0</v>
          </cell>
          <cell r="DH263">
            <v>0</v>
          </cell>
          <cell r="DI263">
            <v>0</v>
          </cell>
          <cell r="DN263">
            <v>0</v>
          </cell>
          <cell r="DO263">
            <v>0</v>
          </cell>
          <cell r="DP263">
            <v>0</v>
          </cell>
          <cell r="DQ263">
            <v>0</v>
          </cell>
          <cell r="DV263">
            <v>0</v>
          </cell>
          <cell r="DW263">
            <v>0</v>
          </cell>
          <cell r="DX263">
            <v>0</v>
          </cell>
          <cell r="DY263">
            <v>0</v>
          </cell>
        </row>
        <row r="264">
          <cell r="F264">
            <v>0</v>
          </cell>
          <cell r="G264">
            <v>0</v>
          </cell>
          <cell r="H264">
            <v>0</v>
          </cell>
          <cell r="I264">
            <v>0</v>
          </cell>
          <cell r="O264">
            <v>0</v>
          </cell>
          <cell r="T264">
            <v>0</v>
          </cell>
          <cell r="U264">
            <v>0</v>
          </cell>
          <cell r="Z264">
            <v>0</v>
          </cell>
          <cell r="AA264">
            <v>0</v>
          </cell>
          <cell r="AF264">
            <v>0</v>
          </cell>
          <cell r="AG264">
            <v>0</v>
          </cell>
          <cell r="AL264">
            <v>0</v>
          </cell>
          <cell r="AM264">
            <v>0</v>
          </cell>
          <cell r="AR264">
            <v>0</v>
          </cell>
          <cell r="AS264">
            <v>0</v>
          </cell>
          <cell r="AX264">
            <v>0</v>
          </cell>
          <cell r="AY264">
            <v>0</v>
          </cell>
          <cell r="AZ264">
            <v>0</v>
          </cell>
          <cell r="BA264">
            <v>0</v>
          </cell>
          <cell r="BF264">
            <v>0</v>
          </cell>
          <cell r="BG264">
            <v>0</v>
          </cell>
          <cell r="BL264">
            <v>0</v>
          </cell>
          <cell r="BM264">
            <v>0</v>
          </cell>
          <cell r="BR264">
            <v>0</v>
          </cell>
          <cell r="BS264">
            <v>0</v>
          </cell>
          <cell r="BX264">
            <v>0</v>
          </cell>
          <cell r="BY264">
            <v>0</v>
          </cell>
          <cell r="CD264">
            <v>0</v>
          </cell>
          <cell r="CE264">
            <v>0</v>
          </cell>
          <cell r="CJ264">
            <v>0</v>
          </cell>
          <cell r="CK264">
            <v>0</v>
          </cell>
          <cell r="CP264">
            <v>0</v>
          </cell>
          <cell r="CQ264">
            <v>0</v>
          </cell>
          <cell r="CR264">
            <v>0</v>
          </cell>
          <cell r="CS264">
            <v>0</v>
          </cell>
          <cell r="CX264">
            <v>0</v>
          </cell>
          <cell r="CY264">
            <v>0</v>
          </cell>
          <cell r="CZ264">
            <v>0</v>
          </cell>
          <cell r="DA264">
            <v>0</v>
          </cell>
          <cell r="DF264">
            <v>0</v>
          </cell>
          <cell r="DG264">
            <v>0</v>
          </cell>
          <cell r="DH264">
            <v>0</v>
          </cell>
          <cell r="DI264">
            <v>0</v>
          </cell>
          <cell r="DN264">
            <v>0</v>
          </cell>
          <cell r="DO264">
            <v>0</v>
          </cell>
          <cell r="DP264">
            <v>0</v>
          </cell>
          <cell r="DQ264">
            <v>0</v>
          </cell>
          <cell r="DV264">
            <v>0</v>
          </cell>
          <cell r="DW264">
            <v>0</v>
          </cell>
          <cell r="DX264">
            <v>0</v>
          </cell>
          <cell r="DY264">
            <v>0</v>
          </cell>
        </row>
        <row r="265">
          <cell r="F265">
            <v>0</v>
          </cell>
          <cell r="G265">
            <v>0</v>
          </cell>
          <cell r="H265">
            <v>0</v>
          </cell>
          <cell r="I265">
            <v>0</v>
          </cell>
          <cell r="N265">
            <v>0</v>
          </cell>
          <cell r="O265">
            <v>0</v>
          </cell>
          <cell r="P265">
            <v>0</v>
          </cell>
          <cell r="T265">
            <v>0</v>
          </cell>
          <cell r="U265">
            <v>0</v>
          </cell>
          <cell r="V265">
            <v>0</v>
          </cell>
          <cell r="Z265">
            <v>0</v>
          </cell>
          <cell r="AA265">
            <v>0</v>
          </cell>
          <cell r="AB265">
            <v>0</v>
          </cell>
          <cell r="AF265">
            <v>0</v>
          </cell>
          <cell r="AG265">
            <v>0</v>
          </cell>
          <cell r="AH265">
            <v>0</v>
          </cell>
          <cell r="AL265">
            <v>0</v>
          </cell>
          <cell r="AM265">
            <v>0</v>
          </cell>
          <cell r="AN265">
            <v>0</v>
          </cell>
          <cell r="AR265">
            <v>0</v>
          </cell>
          <cell r="AS265">
            <v>0</v>
          </cell>
          <cell r="AT265">
            <v>0</v>
          </cell>
          <cell r="AX265">
            <v>0</v>
          </cell>
          <cell r="AY265">
            <v>0</v>
          </cell>
          <cell r="AZ265">
            <v>0</v>
          </cell>
          <cell r="BA265">
            <v>0</v>
          </cell>
          <cell r="BF265">
            <v>0</v>
          </cell>
          <cell r="BG265">
            <v>0</v>
          </cell>
          <cell r="BH265">
            <v>0</v>
          </cell>
          <cell r="BL265">
            <v>0</v>
          </cell>
          <cell r="BM265">
            <v>0</v>
          </cell>
          <cell r="BN265">
            <v>0</v>
          </cell>
          <cell r="BR265">
            <v>0</v>
          </cell>
          <cell r="BS265">
            <v>0</v>
          </cell>
          <cell r="BT265">
            <v>0</v>
          </cell>
          <cell r="BX265">
            <v>0</v>
          </cell>
          <cell r="BY265">
            <v>0</v>
          </cell>
          <cell r="BZ265">
            <v>0</v>
          </cell>
          <cell r="CD265">
            <v>0</v>
          </cell>
          <cell r="CE265">
            <v>0</v>
          </cell>
          <cell r="CF265">
            <v>0</v>
          </cell>
          <cell r="CJ265">
            <v>0</v>
          </cell>
          <cell r="CK265">
            <v>0</v>
          </cell>
          <cell r="CL265">
            <v>0</v>
          </cell>
          <cell r="CP265">
            <v>0</v>
          </cell>
          <cell r="CQ265">
            <v>0</v>
          </cell>
          <cell r="CR265">
            <v>0</v>
          </cell>
          <cell r="CS265">
            <v>0</v>
          </cell>
          <cell r="CX265">
            <v>0</v>
          </cell>
          <cell r="CY265">
            <v>0</v>
          </cell>
          <cell r="CZ265">
            <v>0</v>
          </cell>
          <cell r="DA265">
            <v>0</v>
          </cell>
          <cell r="DF265">
            <v>0</v>
          </cell>
          <cell r="DG265">
            <v>0</v>
          </cell>
          <cell r="DH265">
            <v>0</v>
          </cell>
          <cell r="DI265">
            <v>0</v>
          </cell>
          <cell r="DN265">
            <v>0</v>
          </cell>
          <cell r="DO265">
            <v>0</v>
          </cell>
          <cell r="DP265">
            <v>0</v>
          </cell>
          <cell r="DQ265">
            <v>0</v>
          </cell>
          <cell r="DV265">
            <v>0</v>
          </cell>
          <cell r="DW265">
            <v>0</v>
          </cell>
          <cell r="DX265">
            <v>0</v>
          </cell>
          <cell r="DY265">
            <v>0</v>
          </cell>
        </row>
        <row r="266">
          <cell r="F266">
            <v>0</v>
          </cell>
          <cell r="G266">
            <v>0</v>
          </cell>
          <cell r="H266">
            <v>0</v>
          </cell>
          <cell r="I266">
            <v>0</v>
          </cell>
          <cell r="O266">
            <v>0</v>
          </cell>
          <cell r="T266">
            <v>0</v>
          </cell>
          <cell r="U266">
            <v>0</v>
          </cell>
          <cell r="Z266">
            <v>0</v>
          </cell>
          <cell r="AA266">
            <v>0</v>
          </cell>
          <cell r="AF266">
            <v>0</v>
          </cell>
          <cell r="AG266">
            <v>0</v>
          </cell>
          <cell r="AL266">
            <v>0</v>
          </cell>
          <cell r="AM266">
            <v>0</v>
          </cell>
          <cell r="AR266">
            <v>0</v>
          </cell>
          <cell r="AS266">
            <v>0</v>
          </cell>
          <cell r="AX266">
            <v>0</v>
          </cell>
          <cell r="AY266">
            <v>0</v>
          </cell>
          <cell r="AZ266">
            <v>0</v>
          </cell>
          <cell r="BA266">
            <v>0</v>
          </cell>
          <cell r="BF266">
            <v>0</v>
          </cell>
          <cell r="BG266">
            <v>0</v>
          </cell>
          <cell r="BL266">
            <v>0</v>
          </cell>
          <cell r="BM266">
            <v>0</v>
          </cell>
          <cell r="BR266">
            <v>0</v>
          </cell>
          <cell r="BS266">
            <v>0</v>
          </cell>
          <cell r="BX266">
            <v>0</v>
          </cell>
          <cell r="BY266">
            <v>0</v>
          </cell>
          <cell r="CD266">
            <v>0</v>
          </cell>
          <cell r="CE266">
            <v>0</v>
          </cell>
          <cell r="CJ266">
            <v>0</v>
          </cell>
          <cell r="CK266">
            <v>0</v>
          </cell>
          <cell r="CP266">
            <v>0</v>
          </cell>
          <cell r="CQ266">
            <v>0</v>
          </cell>
          <cell r="CR266">
            <v>0</v>
          </cell>
          <cell r="CS266">
            <v>0</v>
          </cell>
          <cell r="CX266">
            <v>0</v>
          </cell>
          <cell r="CY266">
            <v>0</v>
          </cell>
          <cell r="CZ266">
            <v>0</v>
          </cell>
          <cell r="DA266">
            <v>0</v>
          </cell>
          <cell r="DF266">
            <v>0</v>
          </cell>
          <cell r="DG266">
            <v>0</v>
          </cell>
          <cell r="DH266">
            <v>0</v>
          </cell>
          <cell r="DI266">
            <v>0</v>
          </cell>
          <cell r="DN266">
            <v>0</v>
          </cell>
          <cell r="DO266">
            <v>0</v>
          </cell>
          <cell r="DP266">
            <v>0</v>
          </cell>
          <cell r="DQ266">
            <v>0</v>
          </cell>
          <cell r="DV266">
            <v>0</v>
          </cell>
          <cell r="DW266">
            <v>0</v>
          </cell>
          <cell r="DX266">
            <v>0</v>
          </cell>
          <cell r="DY266">
            <v>0</v>
          </cell>
        </row>
        <row r="267">
          <cell r="F267">
            <v>0</v>
          </cell>
          <cell r="G267">
            <v>0</v>
          </cell>
          <cell r="H267">
            <v>0</v>
          </cell>
          <cell r="I267">
            <v>0</v>
          </cell>
          <cell r="O267">
            <v>0</v>
          </cell>
          <cell r="T267">
            <v>0</v>
          </cell>
          <cell r="U267">
            <v>0</v>
          </cell>
          <cell r="Z267">
            <v>0</v>
          </cell>
          <cell r="AA267">
            <v>0</v>
          </cell>
          <cell r="AF267">
            <v>0</v>
          </cell>
          <cell r="AG267">
            <v>0</v>
          </cell>
          <cell r="AL267">
            <v>0</v>
          </cell>
          <cell r="AM267">
            <v>0</v>
          </cell>
          <cell r="AR267">
            <v>0</v>
          </cell>
          <cell r="AS267">
            <v>0</v>
          </cell>
          <cell r="AX267">
            <v>0</v>
          </cell>
          <cell r="AY267">
            <v>0</v>
          </cell>
          <cell r="AZ267">
            <v>0</v>
          </cell>
          <cell r="BA267">
            <v>0</v>
          </cell>
          <cell r="BF267">
            <v>0</v>
          </cell>
          <cell r="BG267">
            <v>0</v>
          </cell>
          <cell r="BL267">
            <v>0</v>
          </cell>
          <cell r="BM267">
            <v>0</v>
          </cell>
          <cell r="BR267">
            <v>0</v>
          </cell>
          <cell r="BS267">
            <v>0</v>
          </cell>
          <cell r="BX267">
            <v>0</v>
          </cell>
          <cell r="BY267">
            <v>0</v>
          </cell>
          <cell r="CD267">
            <v>0</v>
          </cell>
          <cell r="CE267">
            <v>0</v>
          </cell>
          <cell r="CJ267">
            <v>0</v>
          </cell>
          <cell r="CK267">
            <v>0</v>
          </cell>
          <cell r="CP267">
            <v>0</v>
          </cell>
          <cell r="CQ267">
            <v>0</v>
          </cell>
          <cell r="CR267">
            <v>0</v>
          </cell>
          <cell r="CS267">
            <v>0</v>
          </cell>
          <cell r="CX267">
            <v>0</v>
          </cell>
          <cell r="CY267">
            <v>0</v>
          </cell>
          <cell r="CZ267">
            <v>0</v>
          </cell>
          <cell r="DA267">
            <v>0</v>
          </cell>
          <cell r="DF267">
            <v>0</v>
          </cell>
          <cell r="DG267">
            <v>0</v>
          </cell>
          <cell r="DH267">
            <v>0</v>
          </cell>
          <cell r="DI267">
            <v>0</v>
          </cell>
          <cell r="DN267">
            <v>0</v>
          </cell>
          <cell r="DO267">
            <v>0</v>
          </cell>
          <cell r="DP267">
            <v>0</v>
          </cell>
          <cell r="DQ267">
            <v>0</v>
          </cell>
          <cell r="DV267">
            <v>0</v>
          </cell>
          <cell r="DW267">
            <v>0</v>
          </cell>
          <cell r="DX267">
            <v>0</v>
          </cell>
          <cell r="DY267">
            <v>0</v>
          </cell>
        </row>
        <row r="268">
          <cell r="F268">
            <v>0</v>
          </cell>
          <cell r="G268">
            <v>0</v>
          </cell>
          <cell r="H268">
            <v>0</v>
          </cell>
          <cell r="I268">
            <v>0</v>
          </cell>
          <cell r="O268">
            <v>0</v>
          </cell>
          <cell r="T268">
            <v>0</v>
          </cell>
          <cell r="U268">
            <v>0</v>
          </cell>
          <cell r="Z268">
            <v>0</v>
          </cell>
          <cell r="AA268">
            <v>0</v>
          </cell>
          <cell r="AF268">
            <v>0</v>
          </cell>
          <cell r="AG268">
            <v>0</v>
          </cell>
          <cell r="AL268">
            <v>0</v>
          </cell>
          <cell r="AM268">
            <v>0</v>
          </cell>
          <cell r="AR268">
            <v>0</v>
          </cell>
          <cell r="AS268">
            <v>0</v>
          </cell>
          <cell r="AX268">
            <v>0</v>
          </cell>
          <cell r="AY268">
            <v>0</v>
          </cell>
          <cell r="AZ268">
            <v>0</v>
          </cell>
          <cell r="BA268">
            <v>0</v>
          </cell>
          <cell r="BF268">
            <v>0</v>
          </cell>
          <cell r="BG268">
            <v>0</v>
          </cell>
          <cell r="BL268">
            <v>0</v>
          </cell>
          <cell r="BM268">
            <v>0</v>
          </cell>
          <cell r="BR268">
            <v>0</v>
          </cell>
          <cell r="BS268">
            <v>0</v>
          </cell>
          <cell r="BX268">
            <v>0</v>
          </cell>
          <cell r="BY268">
            <v>0</v>
          </cell>
          <cell r="CD268">
            <v>0</v>
          </cell>
          <cell r="CE268">
            <v>0</v>
          </cell>
          <cell r="CJ268">
            <v>0</v>
          </cell>
          <cell r="CK268">
            <v>0</v>
          </cell>
          <cell r="CP268">
            <v>0</v>
          </cell>
          <cell r="CQ268">
            <v>0</v>
          </cell>
          <cell r="CR268">
            <v>0</v>
          </cell>
          <cell r="CS268">
            <v>0</v>
          </cell>
          <cell r="CX268">
            <v>0</v>
          </cell>
          <cell r="CY268">
            <v>0</v>
          </cell>
          <cell r="CZ268">
            <v>0</v>
          </cell>
          <cell r="DA268">
            <v>0</v>
          </cell>
          <cell r="DF268">
            <v>0</v>
          </cell>
          <cell r="DG268">
            <v>0</v>
          </cell>
          <cell r="DH268">
            <v>0</v>
          </cell>
          <cell r="DI268">
            <v>0</v>
          </cell>
          <cell r="DN268">
            <v>0</v>
          </cell>
          <cell r="DO268">
            <v>0</v>
          </cell>
          <cell r="DP268">
            <v>0</v>
          </cell>
          <cell r="DQ268">
            <v>0</v>
          </cell>
          <cell r="DV268">
            <v>0</v>
          </cell>
          <cell r="DW268">
            <v>0</v>
          </cell>
          <cell r="DX268">
            <v>0</v>
          </cell>
          <cell r="DY268">
            <v>0</v>
          </cell>
        </row>
        <row r="269">
          <cell r="F269">
            <v>0</v>
          </cell>
          <cell r="G269">
            <v>0</v>
          </cell>
          <cell r="H269">
            <v>0</v>
          </cell>
          <cell r="I269">
            <v>0</v>
          </cell>
          <cell r="O269">
            <v>0</v>
          </cell>
          <cell r="T269">
            <v>0</v>
          </cell>
          <cell r="U269">
            <v>0</v>
          </cell>
          <cell r="Z269">
            <v>0</v>
          </cell>
          <cell r="AA269">
            <v>0</v>
          </cell>
          <cell r="AF269">
            <v>0</v>
          </cell>
          <cell r="AG269">
            <v>0</v>
          </cell>
          <cell r="AL269">
            <v>0</v>
          </cell>
          <cell r="AM269">
            <v>0</v>
          </cell>
          <cell r="AR269">
            <v>0</v>
          </cell>
          <cell r="AS269">
            <v>0</v>
          </cell>
          <cell r="AX269">
            <v>0</v>
          </cell>
          <cell r="AY269">
            <v>0</v>
          </cell>
          <cell r="AZ269">
            <v>0</v>
          </cell>
          <cell r="BA269">
            <v>0</v>
          </cell>
          <cell r="BF269">
            <v>0</v>
          </cell>
          <cell r="BG269">
            <v>0</v>
          </cell>
          <cell r="BL269">
            <v>0</v>
          </cell>
          <cell r="BM269">
            <v>0</v>
          </cell>
          <cell r="BR269">
            <v>0</v>
          </cell>
          <cell r="BS269">
            <v>0</v>
          </cell>
          <cell r="BX269">
            <v>0</v>
          </cell>
          <cell r="BY269">
            <v>0</v>
          </cell>
          <cell r="CD269">
            <v>0</v>
          </cell>
          <cell r="CE269">
            <v>0</v>
          </cell>
          <cell r="CJ269">
            <v>0</v>
          </cell>
          <cell r="CK269">
            <v>0</v>
          </cell>
          <cell r="CP269">
            <v>0</v>
          </cell>
          <cell r="CQ269">
            <v>0</v>
          </cell>
          <cell r="CR269">
            <v>0</v>
          </cell>
          <cell r="CS269">
            <v>0</v>
          </cell>
          <cell r="CX269">
            <v>0</v>
          </cell>
          <cell r="CY269">
            <v>0</v>
          </cell>
          <cell r="CZ269">
            <v>0</v>
          </cell>
          <cell r="DA269">
            <v>0</v>
          </cell>
          <cell r="DF269">
            <v>0</v>
          </cell>
          <cell r="DG269">
            <v>0</v>
          </cell>
          <cell r="DH269">
            <v>0</v>
          </cell>
          <cell r="DI269">
            <v>0</v>
          </cell>
          <cell r="DN269">
            <v>0</v>
          </cell>
          <cell r="DO269">
            <v>0</v>
          </cell>
          <cell r="DP269">
            <v>0</v>
          </cell>
          <cell r="DQ269">
            <v>0</v>
          </cell>
          <cell r="DV269">
            <v>0</v>
          </cell>
          <cell r="DW269">
            <v>0</v>
          </cell>
          <cell r="DX269">
            <v>0</v>
          </cell>
          <cell r="DY269">
            <v>0</v>
          </cell>
        </row>
        <row r="270">
          <cell r="F270">
            <v>0</v>
          </cell>
          <cell r="G270">
            <v>0</v>
          </cell>
          <cell r="H270">
            <v>0</v>
          </cell>
          <cell r="I270">
            <v>0</v>
          </cell>
          <cell r="N270">
            <v>0</v>
          </cell>
          <cell r="O270">
            <v>0</v>
          </cell>
          <cell r="P270">
            <v>0</v>
          </cell>
          <cell r="T270">
            <v>0</v>
          </cell>
          <cell r="U270">
            <v>0</v>
          </cell>
          <cell r="V270">
            <v>0</v>
          </cell>
          <cell r="Z270">
            <v>0</v>
          </cell>
          <cell r="AA270">
            <v>0</v>
          </cell>
          <cell r="AB270">
            <v>0</v>
          </cell>
          <cell r="AF270">
            <v>0</v>
          </cell>
          <cell r="AG270">
            <v>0</v>
          </cell>
          <cell r="AH270">
            <v>0</v>
          </cell>
          <cell r="AL270">
            <v>0</v>
          </cell>
          <cell r="AM270">
            <v>0</v>
          </cell>
          <cell r="AN270">
            <v>0</v>
          </cell>
          <cell r="AR270">
            <v>0</v>
          </cell>
          <cell r="AS270">
            <v>0</v>
          </cell>
          <cell r="AT270">
            <v>0</v>
          </cell>
          <cell r="AX270">
            <v>0</v>
          </cell>
          <cell r="AY270">
            <v>0</v>
          </cell>
          <cell r="AZ270">
            <v>0</v>
          </cell>
          <cell r="BA270">
            <v>0</v>
          </cell>
          <cell r="BF270">
            <v>0</v>
          </cell>
          <cell r="BG270">
            <v>0</v>
          </cell>
          <cell r="BH270">
            <v>0</v>
          </cell>
          <cell r="BL270">
            <v>0</v>
          </cell>
          <cell r="BM270">
            <v>0</v>
          </cell>
          <cell r="BN270">
            <v>0</v>
          </cell>
          <cell r="BR270">
            <v>0</v>
          </cell>
          <cell r="BS270">
            <v>0</v>
          </cell>
          <cell r="BT270">
            <v>0</v>
          </cell>
          <cell r="BX270">
            <v>0</v>
          </cell>
          <cell r="BY270">
            <v>0</v>
          </cell>
          <cell r="BZ270">
            <v>0</v>
          </cell>
          <cell r="CD270">
            <v>0</v>
          </cell>
          <cell r="CE270">
            <v>0</v>
          </cell>
          <cell r="CF270">
            <v>0</v>
          </cell>
          <cell r="CJ270">
            <v>0</v>
          </cell>
          <cell r="CK270">
            <v>0</v>
          </cell>
          <cell r="CL270">
            <v>0</v>
          </cell>
          <cell r="CP270">
            <v>0</v>
          </cell>
          <cell r="CQ270">
            <v>0</v>
          </cell>
          <cell r="CR270">
            <v>0</v>
          </cell>
          <cell r="CS270">
            <v>0</v>
          </cell>
          <cell r="CX270">
            <v>0</v>
          </cell>
          <cell r="CY270">
            <v>0</v>
          </cell>
          <cell r="CZ270">
            <v>0</v>
          </cell>
          <cell r="DA270">
            <v>0</v>
          </cell>
          <cell r="DF270">
            <v>0</v>
          </cell>
          <cell r="DG270">
            <v>0</v>
          </cell>
          <cell r="DH270">
            <v>0</v>
          </cell>
          <cell r="DI270">
            <v>0</v>
          </cell>
          <cell r="DN270">
            <v>0</v>
          </cell>
          <cell r="DO270">
            <v>0</v>
          </cell>
          <cell r="DP270">
            <v>0</v>
          </cell>
          <cell r="DQ270">
            <v>0</v>
          </cell>
          <cell r="DV270">
            <v>0</v>
          </cell>
          <cell r="DW270">
            <v>0</v>
          </cell>
          <cell r="DX270">
            <v>0</v>
          </cell>
          <cell r="DY270">
            <v>0</v>
          </cell>
        </row>
        <row r="271">
          <cell r="F271">
            <v>2110</v>
          </cell>
          <cell r="G271">
            <v>338.91399999999999</v>
          </cell>
          <cell r="H271">
            <v>0.13299999999999956</v>
          </cell>
          <cell r="I271">
            <v>3.9242993797836495E-2</v>
          </cell>
          <cell r="N271">
            <v>140</v>
          </cell>
          <cell r="O271">
            <v>22.815999999999999</v>
          </cell>
          <cell r="P271">
            <v>4.6159999999999997</v>
          </cell>
          <cell r="T271">
            <v>140</v>
          </cell>
          <cell r="U271">
            <v>22.815999999999999</v>
          </cell>
          <cell r="V271">
            <v>3.3279999999999998</v>
          </cell>
          <cell r="Z271">
            <v>140</v>
          </cell>
          <cell r="AA271">
            <v>22.815999999999999</v>
          </cell>
          <cell r="AB271">
            <v>-0.46200000000000002</v>
          </cell>
          <cell r="AF271">
            <v>140</v>
          </cell>
          <cell r="AG271">
            <v>22.815999999999999</v>
          </cell>
          <cell r="AH271">
            <v>-2.1280000000000001</v>
          </cell>
          <cell r="AL271">
            <v>100</v>
          </cell>
          <cell r="AM271">
            <v>16.297000000000001</v>
          </cell>
          <cell r="AN271">
            <v>-1.133</v>
          </cell>
          <cell r="AR271">
            <v>170</v>
          </cell>
          <cell r="AS271">
            <v>27.704999999999998</v>
          </cell>
          <cell r="AT271">
            <v>-1.3</v>
          </cell>
          <cell r="AX271">
            <v>830</v>
          </cell>
          <cell r="AY271">
            <v>135.26599999999999</v>
          </cell>
          <cell r="AZ271">
            <v>2.9209999999999998</v>
          </cell>
          <cell r="BA271">
            <v>2.1594487897919654</v>
          </cell>
          <cell r="BF271">
            <v>150</v>
          </cell>
          <cell r="BG271">
            <v>23.864999999999998</v>
          </cell>
          <cell r="BH271">
            <v>-1.0389999999999999</v>
          </cell>
          <cell r="BL271">
            <v>210</v>
          </cell>
          <cell r="BM271">
            <v>33.411000000000001</v>
          </cell>
          <cell r="BN271">
            <v>-1.359</v>
          </cell>
          <cell r="BR271">
            <v>210</v>
          </cell>
          <cell r="BS271">
            <v>33.411000000000001</v>
          </cell>
          <cell r="BT271">
            <v>-0.52</v>
          </cell>
          <cell r="BX271">
            <v>240</v>
          </cell>
          <cell r="BY271">
            <v>38.183999999999997</v>
          </cell>
          <cell r="BZ271">
            <v>-0.23300000000000001</v>
          </cell>
          <cell r="CD271">
            <v>240</v>
          </cell>
          <cell r="CE271">
            <v>38.183999999999997</v>
          </cell>
          <cell r="CF271">
            <v>1.9E-2</v>
          </cell>
          <cell r="CJ271">
            <v>230</v>
          </cell>
          <cell r="CK271">
            <v>36.593000000000004</v>
          </cell>
          <cell r="CL271">
            <v>0.34399999999999997</v>
          </cell>
          <cell r="CP271">
            <v>1280</v>
          </cell>
          <cell r="CQ271">
            <v>203.64800000000002</v>
          </cell>
          <cell r="CR271">
            <v>-2.7880000000000003</v>
          </cell>
          <cell r="CS271">
            <v>-1.3690289126335637</v>
          </cell>
          <cell r="CX271">
            <v>420</v>
          </cell>
          <cell r="CY271">
            <v>68.447999999999993</v>
          </cell>
          <cell r="CZ271">
            <v>7.4819999999999993</v>
          </cell>
          <cell r="DA271">
            <v>10.930925666199158</v>
          </cell>
          <cell r="DF271">
            <v>410</v>
          </cell>
          <cell r="DG271">
            <v>66.817999999999998</v>
          </cell>
          <cell r="DH271">
            <v>-4.5609999999999999</v>
          </cell>
          <cell r="DI271">
            <v>-6.8260049687210032</v>
          </cell>
          <cell r="DN271">
            <v>570</v>
          </cell>
          <cell r="DO271">
            <v>90.686999999999998</v>
          </cell>
          <cell r="DP271">
            <v>-2.9179999999999997</v>
          </cell>
          <cell r="DQ271">
            <v>-3.2176607452005248</v>
          </cell>
          <cell r="DV271">
            <v>710</v>
          </cell>
          <cell r="DW271">
            <v>112.961</v>
          </cell>
          <cell r="DX271">
            <v>0.12999999999999995</v>
          </cell>
          <cell r="DY271">
            <v>0.11508396703286972</v>
          </cell>
        </row>
        <row r="272">
          <cell r="F272">
            <v>1587</v>
          </cell>
          <cell r="G272">
            <v>281.851</v>
          </cell>
          <cell r="H272">
            <v>83.205999999999989</v>
          </cell>
          <cell r="I272">
            <v>29.52127187769424</v>
          </cell>
          <cell r="N272">
            <v>0</v>
          </cell>
          <cell r="O272">
            <v>0</v>
          </cell>
          <cell r="P272">
            <v>0</v>
          </cell>
          <cell r="T272">
            <v>0</v>
          </cell>
          <cell r="U272">
            <v>0</v>
          </cell>
          <cell r="V272">
            <v>0</v>
          </cell>
          <cell r="Z272">
            <v>0</v>
          </cell>
          <cell r="AA272">
            <v>0</v>
          </cell>
          <cell r="AB272">
            <v>0</v>
          </cell>
          <cell r="AF272">
            <v>0</v>
          </cell>
          <cell r="AG272">
            <v>0</v>
          </cell>
          <cell r="AH272">
            <v>0</v>
          </cell>
          <cell r="AL272">
            <v>0</v>
          </cell>
          <cell r="AM272">
            <v>0</v>
          </cell>
          <cell r="AN272">
            <v>0</v>
          </cell>
          <cell r="AR272">
            <v>0</v>
          </cell>
          <cell r="AS272">
            <v>0</v>
          </cell>
          <cell r="AT272">
            <v>0</v>
          </cell>
          <cell r="AX272">
            <v>0</v>
          </cell>
          <cell r="AY272">
            <v>0</v>
          </cell>
          <cell r="AZ272">
            <v>0</v>
          </cell>
          <cell r="BA272">
            <v>0</v>
          </cell>
          <cell r="BF272">
            <v>100</v>
          </cell>
          <cell r="BG272">
            <v>17.760000000000002</v>
          </cell>
          <cell r="BH272">
            <v>5.0030000000000001</v>
          </cell>
          <cell r="BL272">
            <v>280</v>
          </cell>
          <cell r="BM272">
            <v>49.728000000000002</v>
          </cell>
          <cell r="BN272">
            <v>13.428000000000001</v>
          </cell>
          <cell r="BR272">
            <v>230</v>
          </cell>
          <cell r="BS272">
            <v>40.847999999999999</v>
          </cell>
          <cell r="BT272">
            <v>11.926</v>
          </cell>
          <cell r="BX272">
            <v>320</v>
          </cell>
          <cell r="BY272">
            <v>56.832000000000001</v>
          </cell>
          <cell r="BZ272">
            <v>16.972000000000001</v>
          </cell>
          <cell r="CD272">
            <v>300</v>
          </cell>
          <cell r="CE272">
            <v>53.28</v>
          </cell>
          <cell r="CF272">
            <v>16.164999999999999</v>
          </cell>
          <cell r="CJ272">
            <v>357</v>
          </cell>
          <cell r="CK272">
            <v>63.402999999999999</v>
          </cell>
          <cell r="CL272">
            <v>19.712</v>
          </cell>
          <cell r="CP272">
            <v>1587</v>
          </cell>
          <cell r="CQ272">
            <v>281.851</v>
          </cell>
          <cell r="CR272">
            <v>83.205999999999989</v>
          </cell>
          <cell r="CS272">
            <v>29.52127187769424</v>
          </cell>
          <cell r="CX272">
            <v>0</v>
          </cell>
          <cell r="CY272">
            <v>0</v>
          </cell>
          <cell r="CZ272">
            <v>0</v>
          </cell>
          <cell r="DA272">
            <v>0</v>
          </cell>
          <cell r="DF272">
            <v>0</v>
          </cell>
          <cell r="DG272">
            <v>0</v>
          </cell>
          <cell r="DH272">
            <v>0</v>
          </cell>
          <cell r="DI272">
            <v>0</v>
          </cell>
          <cell r="DN272">
            <v>610</v>
          </cell>
          <cell r="DO272">
            <v>108.336</v>
          </cell>
          <cell r="DP272">
            <v>30.356999999999999</v>
          </cell>
          <cell r="DQ272">
            <v>28.021156402303944</v>
          </cell>
          <cell r="DV272">
            <v>977</v>
          </cell>
          <cell r="DW272">
            <v>173.51499999999999</v>
          </cell>
          <cell r="DX272">
            <v>52.849000000000004</v>
          </cell>
          <cell r="DY272">
            <v>30.457885485404724</v>
          </cell>
        </row>
        <row r="273">
          <cell r="F273">
            <v>3697</v>
          </cell>
          <cell r="G273">
            <v>620.76499999999999</v>
          </cell>
          <cell r="H273">
            <v>83.338999999999984</v>
          </cell>
          <cell r="I273">
            <v>13.425209217658853</v>
          </cell>
          <cell r="N273">
            <v>140</v>
          </cell>
          <cell r="O273">
            <v>22.815999999999999</v>
          </cell>
          <cell r="P273">
            <v>4.6159999999999997</v>
          </cell>
          <cell r="T273">
            <v>140</v>
          </cell>
          <cell r="U273">
            <v>22.815999999999999</v>
          </cell>
          <cell r="V273">
            <v>3.3279999999999998</v>
          </cell>
          <cell r="Z273">
            <v>140</v>
          </cell>
          <cell r="AA273">
            <v>22.815999999999999</v>
          </cell>
          <cell r="AB273">
            <v>-0.46200000000000002</v>
          </cell>
          <cell r="AF273">
            <v>140</v>
          </cell>
          <cell r="AG273">
            <v>22.815999999999999</v>
          </cell>
          <cell r="AH273">
            <v>-2.1280000000000001</v>
          </cell>
          <cell r="AL273">
            <v>100</v>
          </cell>
          <cell r="AM273">
            <v>16.297000000000001</v>
          </cell>
          <cell r="AN273">
            <v>-1.133</v>
          </cell>
          <cell r="AR273">
            <v>170</v>
          </cell>
          <cell r="AS273">
            <v>27.704999999999998</v>
          </cell>
          <cell r="AT273">
            <v>-1.3</v>
          </cell>
          <cell r="AX273">
            <v>830</v>
          </cell>
          <cell r="AY273">
            <v>135.26599999999999</v>
          </cell>
          <cell r="AZ273">
            <v>2.9209999999999998</v>
          </cell>
          <cell r="BA273">
            <v>2.1594487897919654</v>
          </cell>
          <cell r="BF273">
            <v>250</v>
          </cell>
          <cell r="BG273">
            <v>41.625</v>
          </cell>
          <cell r="BH273">
            <v>3.9640000000000004</v>
          </cell>
          <cell r="BL273">
            <v>490</v>
          </cell>
          <cell r="BM273">
            <v>83.13900000000001</v>
          </cell>
          <cell r="BN273">
            <v>12.069000000000001</v>
          </cell>
          <cell r="BR273">
            <v>440</v>
          </cell>
          <cell r="BS273">
            <v>74.259</v>
          </cell>
          <cell r="BT273">
            <v>11.406000000000001</v>
          </cell>
          <cell r="BX273">
            <v>560</v>
          </cell>
          <cell r="BY273">
            <v>95.015999999999991</v>
          </cell>
          <cell r="BZ273">
            <v>16.739000000000001</v>
          </cell>
          <cell r="CD273">
            <v>540</v>
          </cell>
          <cell r="CE273">
            <v>91.463999999999999</v>
          </cell>
          <cell r="CF273">
            <v>16.183999999999997</v>
          </cell>
          <cell r="CJ273">
            <v>587</v>
          </cell>
          <cell r="CK273">
            <v>99.996000000000009</v>
          </cell>
          <cell r="CL273">
            <v>20.056000000000001</v>
          </cell>
          <cell r="CP273">
            <v>2867</v>
          </cell>
          <cell r="CQ273">
            <v>485.49900000000002</v>
          </cell>
          <cell r="CR273">
            <v>80.417999999999992</v>
          </cell>
          <cell r="CS273">
            <v>16.563988803272505</v>
          </cell>
          <cell r="CX273">
            <v>420</v>
          </cell>
          <cell r="CY273">
            <v>68.447999999999993</v>
          </cell>
          <cell r="CZ273">
            <v>7.4819999999999993</v>
          </cell>
          <cell r="DA273">
            <v>10.930925666199158</v>
          </cell>
          <cell r="DF273">
            <v>410</v>
          </cell>
          <cell r="DG273">
            <v>66.817999999999998</v>
          </cell>
          <cell r="DH273">
            <v>-4.5609999999999999</v>
          </cell>
          <cell r="DI273">
            <v>-6.8260049687210032</v>
          </cell>
          <cell r="DN273">
            <v>1180</v>
          </cell>
          <cell r="DO273">
            <v>199.023</v>
          </cell>
          <cell r="DP273">
            <v>27.439</v>
          </cell>
          <cell r="DQ273">
            <v>13.786848756173912</v>
          </cell>
          <cell r="DV273">
            <v>1687</v>
          </cell>
          <cell r="DW273">
            <v>286.476</v>
          </cell>
          <cell r="DX273">
            <v>52.979000000000006</v>
          </cell>
          <cell r="DY273">
            <v>18.49334673759757</v>
          </cell>
        </row>
        <row r="274">
          <cell r="F274">
            <v>0</v>
          </cell>
          <cell r="G274">
            <v>0</v>
          </cell>
          <cell r="H274">
            <v>0</v>
          </cell>
          <cell r="I274">
            <v>0</v>
          </cell>
          <cell r="AX274">
            <v>0</v>
          </cell>
          <cell r="AY274">
            <v>0</v>
          </cell>
          <cell r="AZ274">
            <v>0</v>
          </cell>
          <cell r="BA274">
            <v>0</v>
          </cell>
          <cell r="CP274">
            <v>0</v>
          </cell>
          <cell r="CQ274">
            <v>0</v>
          </cell>
          <cell r="CR274">
            <v>0</v>
          </cell>
          <cell r="CS274">
            <v>0</v>
          </cell>
          <cell r="CX274">
            <v>0</v>
          </cell>
          <cell r="CY274">
            <v>0</v>
          </cell>
          <cell r="CZ274">
            <v>0</v>
          </cell>
          <cell r="DA274">
            <v>0</v>
          </cell>
          <cell r="DF274">
            <v>0</v>
          </cell>
          <cell r="DG274">
            <v>0</v>
          </cell>
          <cell r="DH274">
            <v>0</v>
          </cell>
          <cell r="DI274">
            <v>0</v>
          </cell>
          <cell r="DN274">
            <v>0</v>
          </cell>
          <cell r="DO274">
            <v>0</v>
          </cell>
          <cell r="DP274">
            <v>0</v>
          </cell>
          <cell r="DQ274">
            <v>0</v>
          </cell>
          <cell r="DV274">
            <v>0</v>
          </cell>
          <cell r="DW274">
            <v>0</v>
          </cell>
          <cell r="DX274">
            <v>0</v>
          </cell>
          <cell r="DY274">
            <v>0</v>
          </cell>
        </row>
        <row r="275">
          <cell r="F275">
            <v>0</v>
          </cell>
          <cell r="G275">
            <v>0</v>
          </cell>
          <cell r="H275">
            <v>0</v>
          </cell>
          <cell r="I275">
            <v>0</v>
          </cell>
          <cell r="AX275">
            <v>0</v>
          </cell>
          <cell r="AY275">
            <v>0</v>
          </cell>
          <cell r="AZ275">
            <v>0</v>
          </cell>
          <cell r="BA275">
            <v>0</v>
          </cell>
          <cell r="CP275">
            <v>0</v>
          </cell>
          <cell r="CQ275">
            <v>0</v>
          </cell>
          <cell r="CR275">
            <v>0</v>
          </cell>
          <cell r="CS275">
            <v>0</v>
          </cell>
          <cell r="CX275">
            <v>0</v>
          </cell>
          <cell r="CY275">
            <v>0</v>
          </cell>
          <cell r="CZ275">
            <v>0</v>
          </cell>
          <cell r="DA275">
            <v>0</v>
          </cell>
          <cell r="DF275">
            <v>0</v>
          </cell>
          <cell r="DG275">
            <v>0</v>
          </cell>
          <cell r="DH275">
            <v>0</v>
          </cell>
          <cell r="DI275">
            <v>0</v>
          </cell>
          <cell r="DN275">
            <v>0</v>
          </cell>
          <cell r="DO275">
            <v>0</v>
          </cell>
          <cell r="DP275">
            <v>0</v>
          </cell>
          <cell r="DQ275">
            <v>0</v>
          </cell>
          <cell r="DV275">
            <v>0</v>
          </cell>
          <cell r="DW275">
            <v>0</v>
          </cell>
          <cell r="DX275">
            <v>0</v>
          </cell>
          <cell r="DY275">
            <v>0</v>
          </cell>
        </row>
        <row r="276">
          <cell r="F276">
            <v>0</v>
          </cell>
          <cell r="G276">
            <v>0</v>
          </cell>
          <cell r="H276">
            <v>0</v>
          </cell>
          <cell r="I276">
            <v>0</v>
          </cell>
          <cell r="AX276">
            <v>0</v>
          </cell>
          <cell r="AY276">
            <v>0</v>
          </cell>
          <cell r="AZ276">
            <v>0</v>
          </cell>
          <cell r="BA276">
            <v>0</v>
          </cell>
          <cell r="CP276">
            <v>0</v>
          </cell>
          <cell r="CQ276">
            <v>0</v>
          </cell>
          <cell r="CR276">
            <v>0</v>
          </cell>
          <cell r="CS276">
            <v>0</v>
          </cell>
          <cell r="CX276">
            <v>0</v>
          </cell>
          <cell r="CY276">
            <v>0</v>
          </cell>
          <cell r="CZ276">
            <v>0</v>
          </cell>
          <cell r="DA276">
            <v>0</v>
          </cell>
          <cell r="DF276">
            <v>0</v>
          </cell>
          <cell r="DG276">
            <v>0</v>
          </cell>
          <cell r="DH276">
            <v>0</v>
          </cell>
          <cell r="DI276">
            <v>0</v>
          </cell>
          <cell r="DN276">
            <v>0</v>
          </cell>
          <cell r="DO276">
            <v>0</v>
          </cell>
          <cell r="DP276">
            <v>0</v>
          </cell>
          <cell r="DQ276">
            <v>0</v>
          </cell>
          <cell r="DV276">
            <v>0</v>
          </cell>
          <cell r="DW276">
            <v>0</v>
          </cell>
          <cell r="DX276">
            <v>0</v>
          </cell>
          <cell r="DY276">
            <v>0</v>
          </cell>
        </row>
        <row r="277">
          <cell r="F277">
            <v>0</v>
          </cell>
          <cell r="G277">
            <v>0</v>
          </cell>
          <cell r="H277">
            <v>0</v>
          </cell>
          <cell r="I277">
            <v>0</v>
          </cell>
          <cell r="AX277">
            <v>0</v>
          </cell>
          <cell r="AY277">
            <v>0</v>
          </cell>
          <cell r="AZ277">
            <v>0</v>
          </cell>
          <cell r="BA277">
            <v>0</v>
          </cell>
          <cell r="CP277">
            <v>0</v>
          </cell>
          <cell r="CQ277">
            <v>0</v>
          </cell>
          <cell r="CR277">
            <v>0</v>
          </cell>
          <cell r="CS277">
            <v>0</v>
          </cell>
          <cell r="CX277">
            <v>0</v>
          </cell>
          <cell r="CY277">
            <v>0</v>
          </cell>
          <cell r="CZ277">
            <v>0</v>
          </cell>
          <cell r="DA277">
            <v>0</v>
          </cell>
          <cell r="DF277">
            <v>0</v>
          </cell>
          <cell r="DG277">
            <v>0</v>
          </cell>
          <cell r="DH277">
            <v>0</v>
          </cell>
          <cell r="DI277">
            <v>0</v>
          </cell>
          <cell r="DN277">
            <v>0</v>
          </cell>
          <cell r="DO277">
            <v>0</v>
          </cell>
          <cell r="DP277">
            <v>0</v>
          </cell>
          <cell r="DQ277">
            <v>0</v>
          </cell>
          <cell r="DV277">
            <v>0</v>
          </cell>
          <cell r="DW277">
            <v>0</v>
          </cell>
          <cell r="DX277">
            <v>0</v>
          </cell>
          <cell r="DY277">
            <v>0</v>
          </cell>
        </row>
        <row r="278">
          <cell r="F278">
            <v>0</v>
          </cell>
          <cell r="G278">
            <v>0</v>
          </cell>
          <cell r="H278">
            <v>0</v>
          </cell>
          <cell r="I278">
            <v>0</v>
          </cell>
          <cell r="N278">
            <v>0</v>
          </cell>
          <cell r="O278">
            <v>0</v>
          </cell>
          <cell r="P278">
            <v>0</v>
          </cell>
          <cell r="T278">
            <v>0</v>
          </cell>
          <cell r="U278">
            <v>0</v>
          </cell>
          <cell r="V278">
            <v>0</v>
          </cell>
          <cell r="Z278">
            <v>0</v>
          </cell>
          <cell r="AA278">
            <v>0</v>
          </cell>
          <cell r="AB278">
            <v>0</v>
          </cell>
          <cell r="AF278">
            <v>0</v>
          </cell>
          <cell r="AG278">
            <v>0</v>
          </cell>
          <cell r="AH278">
            <v>0</v>
          </cell>
          <cell r="AL278">
            <v>0</v>
          </cell>
          <cell r="AM278">
            <v>0</v>
          </cell>
          <cell r="AN278">
            <v>0</v>
          </cell>
          <cell r="AR278">
            <v>0</v>
          </cell>
          <cell r="AS278">
            <v>0</v>
          </cell>
          <cell r="AT278">
            <v>0</v>
          </cell>
          <cell r="AX278">
            <v>0</v>
          </cell>
          <cell r="AY278">
            <v>0</v>
          </cell>
          <cell r="AZ278">
            <v>0</v>
          </cell>
          <cell r="BA278">
            <v>0</v>
          </cell>
          <cell r="BF278">
            <v>0</v>
          </cell>
          <cell r="BG278">
            <v>0</v>
          </cell>
          <cell r="BH278">
            <v>0</v>
          </cell>
          <cell r="BL278">
            <v>0</v>
          </cell>
          <cell r="BM278">
            <v>0</v>
          </cell>
          <cell r="BN278">
            <v>0</v>
          </cell>
          <cell r="BR278">
            <v>0</v>
          </cell>
          <cell r="BS278">
            <v>0</v>
          </cell>
          <cell r="BT278">
            <v>0</v>
          </cell>
          <cell r="BX278">
            <v>0</v>
          </cell>
          <cell r="BY278">
            <v>0</v>
          </cell>
          <cell r="BZ278">
            <v>0</v>
          </cell>
          <cell r="CD278">
            <v>0</v>
          </cell>
          <cell r="CE278">
            <v>0</v>
          </cell>
          <cell r="CF278">
            <v>0</v>
          </cell>
          <cell r="CJ278">
            <v>0</v>
          </cell>
          <cell r="CK278">
            <v>0</v>
          </cell>
          <cell r="CL278">
            <v>0</v>
          </cell>
          <cell r="CP278">
            <v>0</v>
          </cell>
          <cell r="CQ278">
            <v>0</v>
          </cell>
          <cell r="CR278">
            <v>0</v>
          </cell>
          <cell r="CS278">
            <v>0</v>
          </cell>
          <cell r="CX278">
            <v>0</v>
          </cell>
          <cell r="CY278">
            <v>0</v>
          </cell>
          <cell r="CZ278">
            <v>0</v>
          </cell>
          <cell r="DA278">
            <v>0</v>
          </cell>
          <cell r="DF278">
            <v>0</v>
          </cell>
          <cell r="DG278">
            <v>0</v>
          </cell>
          <cell r="DH278">
            <v>0</v>
          </cell>
          <cell r="DI278">
            <v>0</v>
          </cell>
          <cell r="DN278">
            <v>0</v>
          </cell>
          <cell r="DO278">
            <v>0</v>
          </cell>
          <cell r="DP278">
            <v>0</v>
          </cell>
          <cell r="DQ278">
            <v>0</v>
          </cell>
          <cell r="DV278">
            <v>0</v>
          </cell>
          <cell r="DW278">
            <v>0</v>
          </cell>
          <cell r="DX278">
            <v>0</v>
          </cell>
          <cell r="DY278">
            <v>0</v>
          </cell>
        </row>
        <row r="279">
          <cell r="F279">
            <v>930</v>
          </cell>
          <cell r="G279">
            <v>194.45999999999998</v>
          </cell>
          <cell r="H279">
            <v>-59.905000000000001</v>
          </cell>
          <cell r="I279">
            <v>-30.805821248585829</v>
          </cell>
          <cell r="N279">
            <v>50</v>
          </cell>
          <cell r="O279">
            <v>10.612</v>
          </cell>
          <cell r="P279">
            <v>-12.997</v>
          </cell>
          <cell r="T279">
            <v>50</v>
          </cell>
          <cell r="U279">
            <v>10.612</v>
          </cell>
          <cell r="V279">
            <v>-12.997</v>
          </cell>
          <cell r="Z279">
            <v>50</v>
          </cell>
          <cell r="AA279">
            <v>10.612</v>
          </cell>
          <cell r="AB279">
            <v>-9.234</v>
          </cell>
          <cell r="AF279">
            <v>50</v>
          </cell>
          <cell r="AG279">
            <v>10.612</v>
          </cell>
          <cell r="AH279">
            <v>-6.6449999999999996</v>
          </cell>
          <cell r="AL279">
            <v>70</v>
          </cell>
          <cell r="AM279">
            <v>14.856999999999999</v>
          </cell>
          <cell r="AN279">
            <v>-6.1050000000000004</v>
          </cell>
          <cell r="AR279">
            <v>80</v>
          </cell>
          <cell r="AS279">
            <v>16.978999999999999</v>
          </cell>
          <cell r="AT279">
            <v>-4.5339999999999998</v>
          </cell>
          <cell r="AX279">
            <v>350</v>
          </cell>
          <cell r="AY279">
            <v>74.284000000000006</v>
          </cell>
          <cell r="AZ279">
            <v>-52.512</v>
          </cell>
          <cell r="BA279">
            <v>-70.690862096817611</v>
          </cell>
          <cell r="BF279">
            <v>90</v>
          </cell>
          <cell r="BG279">
            <v>18.648</v>
          </cell>
          <cell r="BH279">
            <v>-2.83</v>
          </cell>
          <cell r="BL279">
            <v>90</v>
          </cell>
          <cell r="BM279">
            <v>18.648</v>
          </cell>
          <cell r="BN279">
            <v>-1.8320000000000001</v>
          </cell>
          <cell r="BR279">
            <v>100</v>
          </cell>
          <cell r="BS279">
            <v>20.72</v>
          </cell>
          <cell r="BT279">
            <v>-1.411</v>
          </cell>
          <cell r="BX279">
            <v>90</v>
          </cell>
          <cell r="BY279">
            <v>18.648</v>
          </cell>
          <cell r="BZ279">
            <v>-0.45800000000000002</v>
          </cell>
          <cell r="CD279">
            <v>100</v>
          </cell>
          <cell r="CE279">
            <v>20.72</v>
          </cell>
          <cell r="CF279">
            <v>-0.63</v>
          </cell>
          <cell r="CJ279">
            <v>110</v>
          </cell>
          <cell r="CK279">
            <v>22.792000000000002</v>
          </cell>
          <cell r="CL279">
            <v>-0.23200000000000001</v>
          </cell>
          <cell r="CP279">
            <v>580</v>
          </cell>
          <cell r="CQ279">
            <v>120.17599999999999</v>
          </cell>
          <cell r="CR279">
            <v>-7.3929999999999998</v>
          </cell>
          <cell r="CS279">
            <v>-6.1518106776727466</v>
          </cell>
          <cell r="CX279">
            <v>150</v>
          </cell>
          <cell r="CY279">
            <v>31.835999999999999</v>
          </cell>
          <cell r="CZ279">
            <v>-35.228000000000002</v>
          </cell>
          <cell r="DA279">
            <v>-110.65460484985552</v>
          </cell>
          <cell r="DF279">
            <v>200</v>
          </cell>
          <cell r="DG279">
            <v>42.448</v>
          </cell>
          <cell r="DH279">
            <v>-17.283999999999999</v>
          </cell>
          <cell r="DI279">
            <v>-40.718055032039196</v>
          </cell>
          <cell r="DN279">
            <v>280</v>
          </cell>
          <cell r="DO279">
            <v>58.015999999999998</v>
          </cell>
          <cell r="DP279">
            <v>-6.0730000000000004</v>
          </cell>
          <cell r="DQ279">
            <v>-10.467801985659129</v>
          </cell>
          <cell r="DV279">
            <v>300</v>
          </cell>
          <cell r="DW279">
            <v>62.16</v>
          </cell>
          <cell r="DX279">
            <v>-1.32</v>
          </cell>
          <cell r="DY279">
            <v>-2.1235521235521237</v>
          </cell>
        </row>
        <row r="280">
          <cell r="F280">
            <v>0</v>
          </cell>
          <cell r="G280">
            <v>0</v>
          </cell>
          <cell r="H280">
            <v>0</v>
          </cell>
          <cell r="I280">
            <v>0</v>
          </cell>
          <cell r="O280">
            <v>0</v>
          </cell>
          <cell r="T280">
            <v>0</v>
          </cell>
          <cell r="U280">
            <v>0</v>
          </cell>
          <cell r="Z280">
            <v>0</v>
          </cell>
          <cell r="AA280">
            <v>0</v>
          </cell>
          <cell r="AF280">
            <v>0</v>
          </cell>
          <cell r="AG280">
            <v>0</v>
          </cell>
          <cell r="AL280">
            <v>0</v>
          </cell>
          <cell r="AM280">
            <v>0</v>
          </cell>
          <cell r="AR280">
            <v>0</v>
          </cell>
          <cell r="AS280">
            <v>0</v>
          </cell>
          <cell r="AX280">
            <v>0</v>
          </cell>
          <cell r="AY280">
            <v>0</v>
          </cell>
          <cell r="AZ280">
            <v>0</v>
          </cell>
          <cell r="BA280">
            <v>0</v>
          </cell>
          <cell r="BF280">
            <v>0</v>
          </cell>
          <cell r="BG280">
            <v>0</v>
          </cell>
          <cell r="BL280">
            <v>0</v>
          </cell>
          <cell r="BM280">
            <v>0</v>
          </cell>
          <cell r="BR280">
            <v>0</v>
          </cell>
          <cell r="BS280">
            <v>0</v>
          </cell>
          <cell r="BX280">
            <v>0</v>
          </cell>
          <cell r="BY280">
            <v>0</v>
          </cell>
          <cell r="CD280">
            <v>0</v>
          </cell>
          <cell r="CE280">
            <v>0</v>
          </cell>
          <cell r="CJ280">
            <v>0</v>
          </cell>
          <cell r="CK280">
            <v>0</v>
          </cell>
          <cell r="CP280">
            <v>0</v>
          </cell>
          <cell r="CQ280">
            <v>0</v>
          </cell>
          <cell r="CR280">
            <v>0</v>
          </cell>
          <cell r="CS280">
            <v>0</v>
          </cell>
          <cell r="CX280">
            <v>0</v>
          </cell>
          <cell r="CY280">
            <v>0</v>
          </cell>
          <cell r="CZ280">
            <v>0</v>
          </cell>
          <cell r="DA280">
            <v>0</v>
          </cell>
          <cell r="DF280">
            <v>0</v>
          </cell>
          <cell r="DG280">
            <v>0</v>
          </cell>
          <cell r="DH280">
            <v>0</v>
          </cell>
          <cell r="DI280">
            <v>0</v>
          </cell>
          <cell r="DN280">
            <v>0</v>
          </cell>
          <cell r="DO280">
            <v>0</v>
          </cell>
          <cell r="DP280">
            <v>0</v>
          </cell>
          <cell r="DQ280">
            <v>0</v>
          </cell>
          <cell r="DV280">
            <v>0</v>
          </cell>
          <cell r="DW280">
            <v>0</v>
          </cell>
          <cell r="DX280">
            <v>0</v>
          </cell>
          <cell r="DY280">
            <v>0</v>
          </cell>
        </row>
        <row r="281">
          <cell r="F281">
            <v>0</v>
          </cell>
          <cell r="G281">
            <v>0</v>
          </cell>
          <cell r="H281">
            <v>0</v>
          </cell>
          <cell r="I281">
            <v>0</v>
          </cell>
          <cell r="O281">
            <v>0</v>
          </cell>
          <cell r="T281">
            <v>0</v>
          </cell>
          <cell r="U281">
            <v>0</v>
          </cell>
          <cell r="Z281">
            <v>0</v>
          </cell>
          <cell r="AA281">
            <v>0</v>
          </cell>
          <cell r="AF281">
            <v>0</v>
          </cell>
          <cell r="AG281">
            <v>0</v>
          </cell>
          <cell r="AL281">
            <v>0</v>
          </cell>
          <cell r="AM281">
            <v>0</v>
          </cell>
          <cell r="AR281">
            <v>0</v>
          </cell>
          <cell r="AS281">
            <v>0</v>
          </cell>
          <cell r="AX281">
            <v>0</v>
          </cell>
          <cell r="AY281">
            <v>0</v>
          </cell>
          <cell r="AZ281">
            <v>0</v>
          </cell>
          <cell r="BA281">
            <v>0</v>
          </cell>
          <cell r="BF281">
            <v>0</v>
          </cell>
          <cell r="BG281">
            <v>0</v>
          </cell>
          <cell r="BL281">
            <v>0</v>
          </cell>
          <cell r="BM281">
            <v>0</v>
          </cell>
          <cell r="BR281">
            <v>0</v>
          </cell>
          <cell r="BS281">
            <v>0</v>
          </cell>
          <cell r="BX281">
            <v>0</v>
          </cell>
          <cell r="BY281">
            <v>0</v>
          </cell>
          <cell r="CD281">
            <v>0</v>
          </cell>
          <cell r="CE281">
            <v>0</v>
          </cell>
          <cell r="CJ281">
            <v>0</v>
          </cell>
          <cell r="CK281">
            <v>0</v>
          </cell>
          <cell r="CP281">
            <v>0</v>
          </cell>
          <cell r="CQ281">
            <v>0</v>
          </cell>
          <cell r="CR281">
            <v>0</v>
          </cell>
          <cell r="CS281">
            <v>0</v>
          </cell>
          <cell r="CX281">
            <v>0</v>
          </cell>
          <cell r="CY281">
            <v>0</v>
          </cell>
          <cell r="CZ281">
            <v>0</v>
          </cell>
          <cell r="DA281">
            <v>0</v>
          </cell>
          <cell r="DF281">
            <v>0</v>
          </cell>
          <cell r="DG281">
            <v>0</v>
          </cell>
          <cell r="DH281">
            <v>0</v>
          </cell>
          <cell r="DI281">
            <v>0</v>
          </cell>
          <cell r="DN281">
            <v>0</v>
          </cell>
          <cell r="DO281">
            <v>0</v>
          </cell>
          <cell r="DP281">
            <v>0</v>
          </cell>
          <cell r="DQ281">
            <v>0</v>
          </cell>
          <cell r="DV281">
            <v>0</v>
          </cell>
          <cell r="DW281">
            <v>0</v>
          </cell>
          <cell r="DX281">
            <v>0</v>
          </cell>
          <cell r="DY281">
            <v>0</v>
          </cell>
        </row>
        <row r="282">
          <cell r="F282">
            <v>560</v>
          </cell>
          <cell r="G282">
            <v>117.11599999999999</v>
          </cell>
          <cell r="H282">
            <v>-19.576000000000001</v>
          </cell>
          <cell r="I282">
            <v>-16.715051743570481</v>
          </cell>
          <cell r="N282">
            <v>30</v>
          </cell>
          <cell r="O282">
            <v>6.367</v>
          </cell>
          <cell r="P282">
            <v>-1.306</v>
          </cell>
          <cell r="T282">
            <v>30</v>
          </cell>
          <cell r="U282">
            <v>6.367</v>
          </cell>
          <cell r="V282">
            <v>-1.306</v>
          </cell>
          <cell r="Z282">
            <v>35</v>
          </cell>
          <cell r="AA282">
            <v>7.4279999999999999</v>
          </cell>
          <cell r="AB282">
            <v>-1.524</v>
          </cell>
          <cell r="AF282">
            <v>40</v>
          </cell>
          <cell r="AG282">
            <v>8.49</v>
          </cell>
          <cell r="AH282">
            <v>-1.74</v>
          </cell>
          <cell r="AL282">
            <v>40</v>
          </cell>
          <cell r="AM282">
            <v>8.49</v>
          </cell>
          <cell r="AN282">
            <v>-1.7410000000000001</v>
          </cell>
          <cell r="AR282">
            <v>40</v>
          </cell>
          <cell r="AS282">
            <v>8.49</v>
          </cell>
          <cell r="AT282">
            <v>-1.7410000000000001</v>
          </cell>
          <cell r="AX282">
            <v>215</v>
          </cell>
          <cell r="AY282">
            <v>45.631999999999991</v>
          </cell>
          <cell r="AZ282">
            <v>-9.3580000000000005</v>
          </cell>
          <cell r="BA282">
            <v>-20.50753856942497</v>
          </cell>
          <cell r="BF282">
            <v>50</v>
          </cell>
          <cell r="BG282">
            <v>10.36</v>
          </cell>
          <cell r="BH282">
            <v>-2.4279999999999999</v>
          </cell>
          <cell r="BL282">
            <v>50</v>
          </cell>
          <cell r="BM282">
            <v>10.36</v>
          </cell>
          <cell r="BN282">
            <v>-2.4289999999999998</v>
          </cell>
          <cell r="BR282">
            <v>100</v>
          </cell>
          <cell r="BS282">
            <v>20.72</v>
          </cell>
          <cell r="BT282">
            <v>-4.8579999999999997</v>
          </cell>
          <cell r="BX282">
            <v>45</v>
          </cell>
          <cell r="BY282">
            <v>9.3239999999999998</v>
          </cell>
          <cell r="BZ282">
            <v>-0.60399999999999998</v>
          </cell>
          <cell r="CD282">
            <v>50</v>
          </cell>
          <cell r="CE282">
            <v>10.36</v>
          </cell>
          <cell r="CF282">
            <v>-9.0999999999999998E-2</v>
          </cell>
          <cell r="CJ282">
            <v>50</v>
          </cell>
          <cell r="CK282">
            <v>10.36</v>
          </cell>
          <cell r="CL282">
            <v>0.192</v>
          </cell>
          <cell r="CP282">
            <v>345</v>
          </cell>
          <cell r="CQ282">
            <v>71.483999999999995</v>
          </cell>
          <cell r="CR282">
            <v>-10.218</v>
          </cell>
          <cell r="CS282">
            <v>-14.294107772368642</v>
          </cell>
          <cell r="CX282">
            <v>95</v>
          </cell>
          <cell r="CY282">
            <v>20.161999999999999</v>
          </cell>
          <cell r="CZ282">
            <v>-4.1360000000000001</v>
          </cell>
          <cell r="DA282">
            <v>-20.513837912905466</v>
          </cell>
          <cell r="DF282">
            <v>120</v>
          </cell>
          <cell r="DG282">
            <v>25.47</v>
          </cell>
          <cell r="DH282">
            <v>-5.2219999999999995</v>
          </cell>
          <cell r="DI282">
            <v>-20.502552021986649</v>
          </cell>
          <cell r="DN282">
            <v>200</v>
          </cell>
          <cell r="DO282">
            <v>41.44</v>
          </cell>
          <cell r="DP282">
            <v>-9.7149999999999999</v>
          </cell>
          <cell r="DQ282">
            <v>-23.44353281853282</v>
          </cell>
          <cell r="DV282">
            <v>145</v>
          </cell>
          <cell r="DW282">
            <v>30.043999999999997</v>
          </cell>
          <cell r="DX282">
            <v>-0.50299999999999989</v>
          </cell>
          <cell r="DY282">
            <v>-1.6742111569697775</v>
          </cell>
        </row>
        <row r="283">
          <cell r="F283">
            <v>1490</v>
          </cell>
          <cell r="G283">
            <v>356.69200000000001</v>
          </cell>
          <cell r="H283">
            <v>-61.483000000000004</v>
          </cell>
          <cell r="I283">
            <v>-17.236999988785843</v>
          </cell>
          <cell r="N283">
            <v>100</v>
          </cell>
          <cell r="O283">
            <v>24.256</v>
          </cell>
          <cell r="P283">
            <v>-15.930999999999999</v>
          </cell>
          <cell r="T283">
            <v>100</v>
          </cell>
          <cell r="U283">
            <v>24.256</v>
          </cell>
          <cell r="V283">
            <v>-15.932</v>
          </cell>
          <cell r="Z283">
            <v>100</v>
          </cell>
          <cell r="AA283">
            <v>24.256</v>
          </cell>
          <cell r="AB283">
            <v>-15.932</v>
          </cell>
          <cell r="AF283">
            <v>110</v>
          </cell>
          <cell r="AG283">
            <v>26.681999999999999</v>
          </cell>
          <cell r="AH283">
            <v>-13.529</v>
          </cell>
          <cell r="AL283">
            <v>110</v>
          </cell>
          <cell r="AM283">
            <v>26.681999999999999</v>
          </cell>
          <cell r="AN283">
            <v>-5.3070000000000004</v>
          </cell>
          <cell r="AR283">
            <v>150</v>
          </cell>
          <cell r="AS283">
            <v>36.384</v>
          </cell>
          <cell r="AT283">
            <v>-4.2560000000000002</v>
          </cell>
          <cell r="AX283">
            <v>670</v>
          </cell>
          <cell r="AY283">
            <v>162.51599999999999</v>
          </cell>
          <cell r="AZ283">
            <v>-70.887</v>
          </cell>
          <cell r="BA283">
            <v>-43.618474488665733</v>
          </cell>
          <cell r="BF283">
            <v>90</v>
          </cell>
          <cell r="BG283">
            <v>21.312000000000001</v>
          </cell>
          <cell r="BH283">
            <v>-1.0840000000000001</v>
          </cell>
          <cell r="BL283">
            <v>120</v>
          </cell>
          <cell r="BM283">
            <v>28.416</v>
          </cell>
          <cell r="BN283">
            <v>-0.106</v>
          </cell>
          <cell r="BR283">
            <v>140</v>
          </cell>
          <cell r="BS283">
            <v>33.152000000000001</v>
          </cell>
          <cell r="BT283">
            <v>1.5069999999999999</v>
          </cell>
          <cell r="BX283">
            <v>140</v>
          </cell>
          <cell r="BY283">
            <v>33.152000000000001</v>
          </cell>
          <cell r="BZ283">
            <v>2.25</v>
          </cell>
          <cell r="CD283">
            <v>160</v>
          </cell>
          <cell r="CE283">
            <v>37.887999999999998</v>
          </cell>
          <cell r="CF283">
            <v>3.2949999999999999</v>
          </cell>
          <cell r="CJ283">
            <v>170</v>
          </cell>
          <cell r="CK283">
            <v>40.256</v>
          </cell>
          <cell r="CL283">
            <v>3.5419999999999998</v>
          </cell>
          <cell r="CP283">
            <v>820</v>
          </cell>
          <cell r="CQ283">
            <v>194.17600000000002</v>
          </cell>
          <cell r="CR283">
            <v>9.4039999999999999</v>
          </cell>
          <cell r="CS283">
            <v>4.8430290046143698</v>
          </cell>
          <cell r="CX283">
            <v>300</v>
          </cell>
          <cell r="CY283">
            <v>72.768000000000001</v>
          </cell>
          <cell r="CZ283">
            <v>-47.795000000000002</v>
          </cell>
          <cell r="DA283">
            <v>-65.681343447669306</v>
          </cell>
          <cell r="DF283">
            <v>370</v>
          </cell>
          <cell r="DG283">
            <v>89.74799999999999</v>
          </cell>
          <cell r="DH283">
            <v>-23.091999999999999</v>
          </cell>
          <cell r="DI283">
            <v>-25.729821277354368</v>
          </cell>
          <cell r="DN283">
            <v>350</v>
          </cell>
          <cell r="DO283">
            <v>82.88</v>
          </cell>
          <cell r="DP283">
            <v>0.31699999999999973</v>
          </cell>
          <cell r="DQ283">
            <v>0.38248069498069465</v>
          </cell>
          <cell r="DV283">
            <v>470</v>
          </cell>
          <cell r="DW283">
            <v>111.29599999999999</v>
          </cell>
          <cell r="DX283">
            <v>9.0869999999999997</v>
          </cell>
          <cell r="DY283">
            <v>8.1647139160437039</v>
          </cell>
        </row>
        <row r="284">
          <cell r="F284">
            <v>1917</v>
          </cell>
          <cell r="G284">
            <v>429.39200000000005</v>
          </cell>
          <cell r="H284">
            <v>47.926000000000002</v>
          </cell>
          <cell r="I284">
            <v>11.161363043559264</v>
          </cell>
          <cell r="N284">
            <v>90</v>
          </cell>
          <cell r="O284">
            <v>20.466000000000001</v>
          </cell>
          <cell r="P284">
            <v>8.8970000000000002</v>
          </cell>
          <cell r="T284">
            <v>125</v>
          </cell>
          <cell r="U284">
            <v>28.425000000000001</v>
          </cell>
          <cell r="V284">
            <v>12.579000000000001</v>
          </cell>
          <cell r="Z284">
            <v>130</v>
          </cell>
          <cell r="AA284">
            <v>29.562000000000001</v>
          </cell>
          <cell r="AB284">
            <v>13.962999999999999</v>
          </cell>
          <cell r="AF284">
            <v>120</v>
          </cell>
          <cell r="AG284">
            <v>27.288</v>
          </cell>
          <cell r="AH284">
            <v>5.8520000000000003</v>
          </cell>
          <cell r="AL284">
            <v>112</v>
          </cell>
          <cell r="AM284">
            <v>25.469000000000001</v>
          </cell>
          <cell r="AN284">
            <v>1.8</v>
          </cell>
          <cell r="AR284">
            <v>130</v>
          </cell>
          <cell r="AS284">
            <v>29.562000000000001</v>
          </cell>
          <cell r="AT284">
            <v>1.7270000000000001</v>
          </cell>
          <cell r="AX284">
            <v>707</v>
          </cell>
          <cell r="AY284">
            <v>160.77200000000002</v>
          </cell>
          <cell r="AZ284">
            <v>44.817999999999998</v>
          </cell>
          <cell r="BA284">
            <v>27.876744706789736</v>
          </cell>
          <cell r="BF284">
            <v>190</v>
          </cell>
          <cell r="BG284">
            <v>42.18</v>
          </cell>
          <cell r="BH284">
            <v>0.27700000000000002</v>
          </cell>
          <cell r="BL284">
            <v>190</v>
          </cell>
          <cell r="BM284">
            <v>42.18</v>
          </cell>
          <cell r="BN284">
            <v>-0.377</v>
          </cell>
          <cell r="BR284">
            <v>190</v>
          </cell>
          <cell r="BS284">
            <v>42.18</v>
          </cell>
          <cell r="BT284">
            <v>0.13500000000000001</v>
          </cell>
          <cell r="BX284">
            <v>190</v>
          </cell>
          <cell r="BY284">
            <v>42.18</v>
          </cell>
          <cell r="BZ284">
            <v>0.45100000000000001</v>
          </cell>
          <cell r="CD284">
            <v>190</v>
          </cell>
          <cell r="CE284">
            <v>42.18</v>
          </cell>
          <cell r="CF284">
            <v>0.70399999999999996</v>
          </cell>
          <cell r="CJ284">
            <v>260</v>
          </cell>
          <cell r="CK284">
            <v>57.72</v>
          </cell>
          <cell r="CL284">
            <v>1.9179999999999999</v>
          </cell>
          <cell r="CP284">
            <v>1210</v>
          </cell>
          <cell r="CQ284">
            <v>268.62</v>
          </cell>
          <cell r="CR284">
            <v>3.1080000000000005</v>
          </cell>
          <cell r="CS284">
            <v>1.1570247933884299</v>
          </cell>
          <cell r="CX284">
            <v>345</v>
          </cell>
          <cell r="CY284">
            <v>78.453000000000003</v>
          </cell>
          <cell r="CZ284">
            <v>35.439</v>
          </cell>
          <cell r="DA284">
            <v>45.172268746893039</v>
          </cell>
          <cell r="DF284">
            <v>362</v>
          </cell>
          <cell r="DG284">
            <v>82.319000000000003</v>
          </cell>
          <cell r="DH284">
            <v>9.3789999999999996</v>
          </cell>
          <cell r="DI284">
            <v>11.393481456285912</v>
          </cell>
          <cell r="DN284">
            <v>570</v>
          </cell>
          <cell r="DO284">
            <v>126.53999999999999</v>
          </cell>
          <cell r="DP284">
            <v>3.5000000000000031E-2</v>
          </cell>
          <cell r="DQ284">
            <v>2.7659238185554002E-2</v>
          </cell>
          <cell r="DV284">
            <v>640</v>
          </cell>
          <cell r="DW284">
            <v>142.07999999999998</v>
          </cell>
          <cell r="DX284">
            <v>3.073</v>
          </cell>
          <cell r="DY284">
            <v>2.1628659909909911</v>
          </cell>
        </row>
        <row r="285">
          <cell r="F285">
            <v>950</v>
          </cell>
          <cell r="G285">
            <v>219.88400000000001</v>
          </cell>
          <cell r="H285">
            <v>-21.915999999999997</v>
          </cell>
          <cell r="I285">
            <v>-9.9670735478706938</v>
          </cell>
          <cell r="N285">
            <v>50</v>
          </cell>
          <cell r="O285">
            <v>11.749000000000001</v>
          </cell>
          <cell r="P285">
            <v>-8.4939999999999998</v>
          </cell>
          <cell r="T285">
            <v>50</v>
          </cell>
          <cell r="U285">
            <v>11.749000000000001</v>
          </cell>
          <cell r="V285">
            <v>-6.2140000000000004</v>
          </cell>
          <cell r="Z285">
            <v>50</v>
          </cell>
          <cell r="AA285">
            <v>11.749000000000001</v>
          </cell>
          <cell r="AB285">
            <v>-3.532</v>
          </cell>
          <cell r="AF285">
            <v>60</v>
          </cell>
          <cell r="AG285">
            <v>14.099</v>
          </cell>
          <cell r="AH285">
            <v>-3.0249999999999999</v>
          </cell>
          <cell r="AL285">
            <v>70</v>
          </cell>
          <cell r="AM285">
            <v>16.449000000000002</v>
          </cell>
          <cell r="AN285">
            <v>-2.2429999999999999</v>
          </cell>
          <cell r="AR285">
            <v>70</v>
          </cell>
          <cell r="AS285">
            <v>16.449000000000002</v>
          </cell>
          <cell r="AT285">
            <v>-1.0629999999999999</v>
          </cell>
          <cell r="AX285">
            <v>350</v>
          </cell>
          <cell r="AY285">
            <v>82.244</v>
          </cell>
          <cell r="AZ285">
            <v>-24.570999999999998</v>
          </cell>
          <cell r="BA285">
            <v>-29.875735615971983</v>
          </cell>
          <cell r="BF285">
            <v>100</v>
          </cell>
          <cell r="BG285">
            <v>22.94</v>
          </cell>
          <cell r="BH285">
            <v>-0.39900000000000002</v>
          </cell>
          <cell r="BL285">
            <v>100</v>
          </cell>
          <cell r="BM285">
            <v>22.94</v>
          </cell>
          <cell r="BN285">
            <v>-0.152</v>
          </cell>
          <cell r="BR285">
            <v>100</v>
          </cell>
          <cell r="BS285">
            <v>22.94</v>
          </cell>
          <cell r="BT285">
            <v>0.41799999999999998</v>
          </cell>
          <cell r="BX285">
            <v>100</v>
          </cell>
          <cell r="BY285">
            <v>22.94</v>
          </cell>
          <cell r="BZ285">
            <v>0.73199999999999998</v>
          </cell>
          <cell r="CD285">
            <v>100</v>
          </cell>
          <cell r="CE285">
            <v>22.94</v>
          </cell>
          <cell r="CF285">
            <v>0.92300000000000004</v>
          </cell>
          <cell r="CJ285">
            <v>100</v>
          </cell>
          <cell r="CK285">
            <v>22.94</v>
          </cell>
          <cell r="CL285">
            <v>1.133</v>
          </cell>
          <cell r="CP285">
            <v>600</v>
          </cell>
          <cell r="CQ285">
            <v>137.64000000000001</v>
          </cell>
          <cell r="CR285">
            <v>2.6550000000000002</v>
          </cell>
          <cell r="CS285">
            <v>1.9289450741063645</v>
          </cell>
          <cell r="CX285">
            <v>150</v>
          </cell>
          <cell r="CY285">
            <v>35.247</v>
          </cell>
          <cell r="CZ285">
            <v>-18.240000000000002</v>
          </cell>
          <cell r="DA285">
            <v>-51.749085028513079</v>
          </cell>
          <cell r="DF285">
            <v>200</v>
          </cell>
          <cell r="DG285">
            <v>46.997</v>
          </cell>
          <cell r="DH285">
            <v>-6.3309999999999995</v>
          </cell>
          <cell r="DI285">
            <v>-13.471072621656702</v>
          </cell>
          <cell r="DN285">
            <v>300</v>
          </cell>
          <cell r="DO285">
            <v>68.820000000000007</v>
          </cell>
          <cell r="DP285">
            <v>-0.13300000000000006</v>
          </cell>
          <cell r="DQ285">
            <v>-0.19325777390293528</v>
          </cell>
          <cell r="DV285">
            <v>300</v>
          </cell>
          <cell r="DW285">
            <v>68.820000000000007</v>
          </cell>
          <cell r="DX285">
            <v>2.7880000000000003</v>
          </cell>
          <cell r="DY285">
            <v>4.0511479221156641</v>
          </cell>
        </row>
        <row r="286">
          <cell r="F286">
            <v>1613.9680000000003</v>
          </cell>
          <cell r="G286">
            <v>361.73299999999995</v>
          </cell>
          <cell r="H286">
            <v>25.593000000000004</v>
          </cell>
          <cell r="I286">
            <v>7.075107883438891</v>
          </cell>
          <cell r="N286">
            <v>100</v>
          </cell>
          <cell r="O286">
            <v>22.74</v>
          </cell>
          <cell r="P286">
            <v>3.7010000000000001</v>
          </cell>
          <cell r="T286">
            <v>100</v>
          </cell>
          <cell r="U286">
            <v>22.74</v>
          </cell>
          <cell r="V286">
            <v>3.7010000000000001</v>
          </cell>
          <cell r="Z286">
            <v>100</v>
          </cell>
          <cell r="AA286">
            <v>22.74</v>
          </cell>
          <cell r="AB286">
            <v>3.7010000000000001</v>
          </cell>
          <cell r="AF286">
            <v>95.8</v>
          </cell>
          <cell r="AG286">
            <v>21.785</v>
          </cell>
          <cell r="AH286">
            <v>3.5070000000000001</v>
          </cell>
          <cell r="AL286">
            <v>109.833</v>
          </cell>
          <cell r="AM286">
            <v>24.975999999999999</v>
          </cell>
          <cell r="AN286">
            <v>2.0009999999999999</v>
          </cell>
          <cell r="AR286">
            <v>130</v>
          </cell>
          <cell r="AS286">
            <v>29.562000000000001</v>
          </cell>
          <cell r="AT286">
            <v>1.379</v>
          </cell>
          <cell r="AX286">
            <v>635.63300000000004</v>
          </cell>
          <cell r="AY286">
            <v>144.54299999999998</v>
          </cell>
          <cell r="AZ286">
            <v>17.990000000000002</v>
          </cell>
          <cell r="BA286">
            <v>12.446123298949106</v>
          </cell>
          <cell r="BF286">
            <v>159.667</v>
          </cell>
          <cell r="BG286">
            <v>35.445999999999998</v>
          </cell>
          <cell r="BH286">
            <v>0.84799999999999998</v>
          </cell>
          <cell r="BL286">
            <v>159.667</v>
          </cell>
          <cell r="BM286">
            <v>35.445999999999998</v>
          </cell>
          <cell r="BN286">
            <v>0.41499999999999998</v>
          </cell>
          <cell r="BR286">
            <v>159.667</v>
          </cell>
          <cell r="BS286">
            <v>35.445999999999998</v>
          </cell>
          <cell r="BT286">
            <v>1.1259999999999999</v>
          </cell>
          <cell r="BX286">
            <v>159.667</v>
          </cell>
          <cell r="BY286">
            <v>35.445999999999998</v>
          </cell>
          <cell r="BZ286">
            <v>1.429</v>
          </cell>
          <cell r="CD286">
            <v>159.667</v>
          </cell>
          <cell r="CE286">
            <v>35.445999999999998</v>
          </cell>
          <cell r="CF286">
            <v>1.6020000000000001</v>
          </cell>
          <cell r="CJ286">
            <v>180</v>
          </cell>
          <cell r="CK286">
            <v>39.96</v>
          </cell>
          <cell r="CL286">
            <v>2.1829999999999998</v>
          </cell>
          <cell r="CP286">
            <v>978.33500000000015</v>
          </cell>
          <cell r="CQ286">
            <v>217.19</v>
          </cell>
          <cell r="CR286">
            <v>7.6029999999999998</v>
          </cell>
          <cell r="CS286">
            <v>3.500621575578986</v>
          </cell>
          <cell r="CX286">
            <v>300</v>
          </cell>
          <cell r="CY286">
            <v>68.22</v>
          </cell>
          <cell r="CZ286">
            <v>11.103</v>
          </cell>
          <cell r="DA286">
            <v>16.275285839929641</v>
          </cell>
          <cell r="DF286">
            <v>335.63299999999998</v>
          </cell>
          <cell r="DG286">
            <v>76.322999999999993</v>
          </cell>
          <cell r="DH286">
            <v>6.8870000000000005</v>
          </cell>
          <cell r="DI286">
            <v>9.023492263144794</v>
          </cell>
          <cell r="DN286">
            <v>479.00099999999998</v>
          </cell>
          <cell r="DO286">
            <v>106.33799999999999</v>
          </cell>
          <cell r="DP286">
            <v>2.3889999999999998</v>
          </cell>
          <cell r="DQ286">
            <v>2.2466098666516205</v>
          </cell>
          <cell r="DV286">
            <v>499.334</v>
          </cell>
          <cell r="DW286">
            <v>110.852</v>
          </cell>
          <cell r="DX286">
            <v>5.2140000000000004</v>
          </cell>
          <cell r="DY286">
            <v>4.7035687222603109</v>
          </cell>
        </row>
        <row r="287">
          <cell r="F287">
            <v>1609.8360000000002</v>
          </cell>
          <cell r="G287">
            <v>372.82100000000003</v>
          </cell>
          <cell r="H287">
            <v>-6.5789999999999997</v>
          </cell>
          <cell r="I287">
            <v>-1.7646538151016169</v>
          </cell>
          <cell r="N287">
            <v>100</v>
          </cell>
          <cell r="O287">
            <v>23.498000000000001</v>
          </cell>
          <cell r="P287">
            <v>0.48399999999999999</v>
          </cell>
          <cell r="T287">
            <v>100</v>
          </cell>
          <cell r="U287">
            <v>23.498000000000001</v>
          </cell>
          <cell r="V287">
            <v>-5.4039999999999999</v>
          </cell>
          <cell r="Z287">
            <v>95.805999999999997</v>
          </cell>
          <cell r="AA287">
            <v>22.513000000000002</v>
          </cell>
          <cell r="AB287">
            <v>-3.7269999999999999</v>
          </cell>
          <cell r="AF287">
            <v>95.805999999999997</v>
          </cell>
          <cell r="AG287">
            <v>22.513000000000002</v>
          </cell>
          <cell r="AH287">
            <v>-2.9089999999999998</v>
          </cell>
          <cell r="AL287">
            <v>109.839</v>
          </cell>
          <cell r="AM287">
            <v>25.81</v>
          </cell>
          <cell r="AN287">
            <v>-1.256</v>
          </cell>
          <cell r="AR287">
            <v>130</v>
          </cell>
          <cell r="AS287">
            <v>30.547000000000001</v>
          </cell>
          <cell r="AT287">
            <v>-0.13400000000000001</v>
          </cell>
          <cell r="AX287">
            <v>631.45100000000002</v>
          </cell>
          <cell r="AY287">
            <v>148.37900000000002</v>
          </cell>
          <cell r="AZ287">
            <v>-12.946</v>
          </cell>
          <cell r="BA287">
            <v>-8.7249543398998508</v>
          </cell>
          <cell r="BF287">
            <v>159.67699999999999</v>
          </cell>
          <cell r="BG287">
            <v>36.630000000000003</v>
          </cell>
          <cell r="BH287">
            <v>0.13200000000000001</v>
          </cell>
          <cell r="BL287">
            <v>159.67699999999999</v>
          </cell>
          <cell r="BM287">
            <v>36.630000000000003</v>
          </cell>
          <cell r="BN287">
            <v>8.5000000000000006E-2</v>
          </cell>
          <cell r="BR287">
            <v>159.67699999999999</v>
          </cell>
          <cell r="BS287">
            <v>36.630000000000003</v>
          </cell>
          <cell r="BT287">
            <v>0.99</v>
          </cell>
          <cell r="BX287">
            <v>159.67699999999999</v>
          </cell>
          <cell r="BY287">
            <v>36.630000000000003</v>
          </cell>
          <cell r="BZ287">
            <v>1.375</v>
          </cell>
          <cell r="CD287">
            <v>159.67699999999999</v>
          </cell>
          <cell r="CE287">
            <v>36.630000000000003</v>
          </cell>
          <cell r="CF287">
            <v>1.5860000000000001</v>
          </cell>
          <cell r="CJ287">
            <v>180</v>
          </cell>
          <cell r="CK287">
            <v>41.292000000000002</v>
          </cell>
          <cell r="CL287">
            <v>2.1989999999999998</v>
          </cell>
          <cell r="CP287">
            <v>978.3850000000001</v>
          </cell>
          <cell r="CQ287">
            <v>224.44199999999998</v>
          </cell>
          <cell r="CR287">
            <v>6.367</v>
          </cell>
          <cell r="CS287">
            <v>2.8368130742017983</v>
          </cell>
          <cell r="CX287">
            <v>295.80599999999998</v>
          </cell>
          <cell r="CY287">
            <v>69.509</v>
          </cell>
          <cell r="CZ287">
            <v>-8.6470000000000002</v>
          </cell>
          <cell r="DA287">
            <v>-12.440115668474586</v>
          </cell>
          <cell r="DF287">
            <v>335.64499999999998</v>
          </cell>
          <cell r="DG287">
            <v>78.87</v>
          </cell>
          <cell r="DH287">
            <v>-4.2990000000000004</v>
          </cell>
          <cell r="DI287">
            <v>-5.4507417268923541</v>
          </cell>
          <cell r="DN287">
            <v>479.03099999999995</v>
          </cell>
          <cell r="DO287">
            <v>109.89000000000001</v>
          </cell>
          <cell r="DP287">
            <v>1.2070000000000001</v>
          </cell>
          <cell r="DQ287">
            <v>1.0983710983710984</v>
          </cell>
          <cell r="DV287">
            <v>499.35399999999998</v>
          </cell>
          <cell r="DW287">
            <v>114.55200000000001</v>
          </cell>
          <cell r="DX287">
            <v>5.16</v>
          </cell>
          <cell r="DY287">
            <v>4.5045045045045047</v>
          </cell>
        </row>
        <row r="288">
          <cell r="F288">
            <v>9070.8040000000001</v>
          </cell>
          <cell r="G288">
            <v>2052.098</v>
          </cell>
          <cell r="H288">
            <v>-95.939999999999984</v>
          </cell>
          <cell r="I288">
            <v>-4.6752153162275869</v>
          </cell>
          <cell r="N288">
            <v>520</v>
          </cell>
          <cell r="O288">
            <v>119.688</v>
          </cell>
          <cell r="P288">
            <v>-25.646000000000001</v>
          </cell>
          <cell r="T288">
            <v>555</v>
          </cell>
          <cell r="U288">
            <v>127.64699999999999</v>
          </cell>
          <cell r="V288">
            <v>-25.572999999999997</v>
          </cell>
          <cell r="Z288">
            <v>560.80600000000004</v>
          </cell>
          <cell r="AA288">
            <v>128.85999999999999</v>
          </cell>
          <cell r="AB288">
            <v>-16.285</v>
          </cell>
          <cell r="AF288">
            <v>571.60599999999999</v>
          </cell>
          <cell r="AG288">
            <v>131.46899999999999</v>
          </cell>
          <cell r="AH288">
            <v>-18.489000000000001</v>
          </cell>
          <cell r="AL288">
            <v>621.67200000000003</v>
          </cell>
          <cell r="AM288">
            <v>142.73299999999998</v>
          </cell>
          <cell r="AN288">
            <v>-12.851000000000001</v>
          </cell>
          <cell r="AR288">
            <v>730</v>
          </cell>
          <cell r="AS288">
            <v>167.97300000000001</v>
          </cell>
          <cell r="AT288">
            <v>-8.6220000000000017</v>
          </cell>
          <cell r="AX288">
            <v>3559.0839999999998</v>
          </cell>
          <cell r="AY288">
            <v>818.37000000000012</v>
          </cell>
          <cell r="AZ288">
            <v>-107.46600000000001</v>
          </cell>
          <cell r="BA288">
            <v>-13.131713039334286</v>
          </cell>
          <cell r="BF288">
            <v>839.34400000000005</v>
          </cell>
          <cell r="BG288">
            <v>187.51599999999999</v>
          </cell>
          <cell r="BH288">
            <v>-5.4840000000000009</v>
          </cell>
          <cell r="BL288">
            <v>869.34400000000005</v>
          </cell>
          <cell r="BM288">
            <v>194.62</v>
          </cell>
          <cell r="BN288">
            <v>-4.3959999999999999</v>
          </cell>
          <cell r="BR288">
            <v>949.34400000000005</v>
          </cell>
          <cell r="BS288">
            <v>211.78799999999998</v>
          </cell>
          <cell r="BT288">
            <v>-2.0930000000000009</v>
          </cell>
          <cell r="BX288">
            <v>884.34400000000005</v>
          </cell>
          <cell r="BY288">
            <v>198.32</v>
          </cell>
          <cell r="BZ288">
            <v>5.1749999999999998</v>
          </cell>
          <cell r="CD288">
            <v>919.34400000000005</v>
          </cell>
          <cell r="CE288">
            <v>206.16399999999999</v>
          </cell>
          <cell r="CF288">
            <v>7.3890000000000002</v>
          </cell>
          <cell r="CJ288">
            <v>1050</v>
          </cell>
          <cell r="CK288">
            <v>235.32</v>
          </cell>
          <cell r="CL288">
            <v>10.935</v>
          </cell>
          <cell r="CP288">
            <v>5511.72</v>
          </cell>
          <cell r="CQ288">
            <v>1233.7280000000001</v>
          </cell>
          <cell r="CR288">
            <v>11.526</v>
          </cell>
          <cell r="CS288">
            <v>0.93424158323390571</v>
          </cell>
          <cell r="CX288">
            <v>1635.806</v>
          </cell>
          <cell r="CY288">
            <v>376.19500000000005</v>
          </cell>
          <cell r="CZ288">
            <v>-67.504000000000005</v>
          </cell>
          <cell r="DA288">
            <v>-17.943885484921381</v>
          </cell>
          <cell r="DF288">
            <v>1923.278</v>
          </cell>
          <cell r="DG288">
            <v>442.17500000000001</v>
          </cell>
          <cell r="DH288">
            <v>-39.961999999999996</v>
          </cell>
          <cell r="DI288">
            <v>-9.0375982359925366</v>
          </cell>
          <cell r="DN288">
            <v>2658.0320000000002</v>
          </cell>
          <cell r="DO288">
            <v>593.92399999999998</v>
          </cell>
          <cell r="DP288">
            <v>-11.973000000000001</v>
          </cell>
          <cell r="DQ288">
            <v>-2.0159144941103579</v>
          </cell>
          <cell r="DV288">
            <v>2853.6879999999996</v>
          </cell>
          <cell r="DW288">
            <v>639.80399999999997</v>
          </cell>
          <cell r="DX288">
            <v>23.498999999999999</v>
          </cell>
          <cell r="DY288">
            <v>3.6728435583397419</v>
          </cell>
        </row>
        <row r="289">
          <cell r="F289">
            <v>0</v>
          </cell>
          <cell r="G289">
            <v>0</v>
          </cell>
          <cell r="H289">
            <v>0</v>
          </cell>
          <cell r="I289">
            <v>0</v>
          </cell>
          <cell r="AX289">
            <v>0</v>
          </cell>
          <cell r="AY289">
            <v>0</v>
          </cell>
          <cell r="AZ289">
            <v>0</v>
          </cell>
          <cell r="BA289">
            <v>0</v>
          </cell>
          <cell r="CP289">
            <v>0</v>
          </cell>
          <cell r="CQ289">
            <v>0</v>
          </cell>
          <cell r="CR289">
            <v>0</v>
          </cell>
          <cell r="CS289">
            <v>0</v>
          </cell>
          <cell r="CX289">
            <v>0</v>
          </cell>
          <cell r="CY289">
            <v>0</v>
          </cell>
          <cell r="CZ289">
            <v>0</v>
          </cell>
          <cell r="DA289">
            <v>0</v>
          </cell>
          <cell r="DF289">
            <v>0</v>
          </cell>
          <cell r="DG289">
            <v>0</v>
          </cell>
          <cell r="DH289">
            <v>0</v>
          </cell>
          <cell r="DI289">
            <v>0</v>
          </cell>
          <cell r="DN289">
            <v>0</v>
          </cell>
          <cell r="DO289">
            <v>0</v>
          </cell>
          <cell r="DP289">
            <v>0</v>
          </cell>
          <cell r="DQ289">
            <v>0</v>
          </cell>
          <cell r="DV289">
            <v>0</v>
          </cell>
          <cell r="DW289">
            <v>0</v>
          </cell>
          <cell r="DX289">
            <v>0</v>
          </cell>
          <cell r="DY289">
            <v>0</v>
          </cell>
        </row>
        <row r="290">
          <cell r="F290">
            <v>0</v>
          </cell>
          <cell r="G290">
            <v>0</v>
          </cell>
          <cell r="H290">
            <v>0</v>
          </cell>
          <cell r="I290">
            <v>0</v>
          </cell>
          <cell r="AX290">
            <v>0</v>
          </cell>
          <cell r="AY290">
            <v>0</v>
          </cell>
          <cell r="AZ290">
            <v>0</v>
          </cell>
          <cell r="BA290">
            <v>0</v>
          </cell>
          <cell r="CP290">
            <v>0</v>
          </cell>
          <cell r="CQ290">
            <v>0</v>
          </cell>
          <cell r="CR290">
            <v>0</v>
          </cell>
          <cell r="CS290">
            <v>0</v>
          </cell>
          <cell r="CX290">
            <v>0</v>
          </cell>
          <cell r="CY290">
            <v>0</v>
          </cell>
          <cell r="CZ290">
            <v>0</v>
          </cell>
          <cell r="DA290">
            <v>0</v>
          </cell>
          <cell r="DF290">
            <v>0</v>
          </cell>
          <cell r="DG290">
            <v>0</v>
          </cell>
          <cell r="DH290">
            <v>0</v>
          </cell>
          <cell r="DI290">
            <v>0</v>
          </cell>
          <cell r="DN290">
            <v>0</v>
          </cell>
          <cell r="DO290">
            <v>0</v>
          </cell>
          <cell r="DP290">
            <v>0</v>
          </cell>
          <cell r="DQ290">
            <v>0</v>
          </cell>
          <cell r="DV290">
            <v>0</v>
          </cell>
          <cell r="DW290">
            <v>0</v>
          </cell>
          <cell r="DX290">
            <v>0</v>
          </cell>
          <cell r="DY290">
            <v>0</v>
          </cell>
        </row>
        <row r="291">
          <cell r="F291">
            <v>0</v>
          </cell>
          <cell r="G291">
            <v>0</v>
          </cell>
          <cell r="H291">
            <v>0</v>
          </cell>
          <cell r="I291">
            <v>0</v>
          </cell>
          <cell r="N291">
            <v>0</v>
          </cell>
          <cell r="O291">
            <v>0</v>
          </cell>
          <cell r="P291">
            <v>0</v>
          </cell>
          <cell r="T291">
            <v>0</v>
          </cell>
          <cell r="U291">
            <v>0</v>
          </cell>
          <cell r="V291">
            <v>0</v>
          </cell>
          <cell r="Z291">
            <v>0</v>
          </cell>
          <cell r="AA291">
            <v>0</v>
          </cell>
          <cell r="AB291">
            <v>0</v>
          </cell>
          <cell r="AF291">
            <v>0</v>
          </cell>
          <cell r="AG291">
            <v>0</v>
          </cell>
          <cell r="AH291">
            <v>0</v>
          </cell>
          <cell r="AL291">
            <v>0</v>
          </cell>
          <cell r="AM291">
            <v>0</v>
          </cell>
          <cell r="AN291">
            <v>0</v>
          </cell>
          <cell r="AR291">
            <v>0</v>
          </cell>
          <cell r="AS291">
            <v>0</v>
          </cell>
          <cell r="AT291">
            <v>0</v>
          </cell>
          <cell r="AX291">
            <v>0</v>
          </cell>
          <cell r="AY291">
            <v>0</v>
          </cell>
          <cell r="AZ291">
            <v>0</v>
          </cell>
          <cell r="BA291">
            <v>0</v>
          </cell>
          <cell r="BF291">
            <v>0</v>
          </cell>
          <cell r="BG291">
            <v>0</v>
          </cell>
          <cell r="BH291">
            <v>0</v>
          </cell>
          <cell r="BL291">
            <v>0</v>
          </cell>
          <cell r="BM291">
            <v>0</v>
          </cell>
          <cell r="BN291">
            <v>0</v>
          </cell>
          <cell r="BR291">
            <v>0</v>
          </cell>
          <cell r="BS291">
            <v>0</v>
          </cell>
          <cell r="BT291">
            <v>0</v>
          </cell>
          <cell r="BX291">
            <v>0</v>
          </cell>
          <cell r="BY291">
            <v>0</v>
          </cell>
          <cell r="BZ291">
            <v>0</v>
          </cell>
          <cell r="CD291">
            <v>0</v>
          </cell>
          <cell r="CE291">
            <v>0</v>
          </cell>
          <cell r="CF291">
            <v>0</v>
          </cell>
          <cell r="CJ291">
            <v>0</v>
          </cell>
          <cell r="CK291">
            <v>0</v>
          </cell>
          <cell r="CL291">
            <v>0</v>
          </cell>
          <cell r="CP291">
            <v>0</v>
          </cell>
          <cell r="CQ291">
            <v>0</v>
          </cell>
          <cell r="CR291">
            <v>0</v>
          </cell>
          <cell r="CS291">
            <v>0</v>
          </cell>
          <cell r="CX291">
            <v>0</v>
          </cell>
          <cell r="CY291">
            <v>0</v>
          </cell>
          <cell r="CZ291">
            <v>0</v>
          </cell>
          <cell r="DA291">
            <v>0</v>
          </cell>
          <cell r="DF291">
            <v>0</v>
          </cell>
          <cell r="DG291">
            <v>0</v>
          </cell>
          <cell r="DH291">
            <v>0</v>
          </cell>
          <cell r="DI291">
            <v>0</v>
          </cell>
          <cell r="DN291">
            <v>0</v>
          </cell>
          <cell r="DO291">
            <v>0</v>
          </cell>
          <cell r="DP291">
            <v>0</v>
          </cell>
          <cell r="DQ291">
            <v>0</v>
          </cell>
          <cell r="DV291">
            <v>0</v>
          </cell>
          <cell r="DW291">
            <v>0</v>
          </cell>
          <cell r="DX291">
            <v>0</v>
          </cell>
          <cell r="DY291">
            <v>0</v>
          </cell>
        </row>
        <row r="292">
          <cell r="F292">
            <v>0</v>
          </cell>
          <cell r="G292">
            <v>0</v>
          </cell>
          <cell r="H292">
            <v>0</v>
          </cell>
          <cell r="I292">
            <v>0</v>
          </cell>
          <cell r="AX292">
            <v>0</v>
          </cell>
          <cell r="AY292">
            <v>0</v>
          </cell>
          <cell r="AZ292">
            <v>0</v>
          </cell>
          <cell r="BA292">
            <v>0</v>
          </cell>
          <cell r="CP292">
            <v>0</v>
          </cell>
          <cell r="CQ292">
            <v>0</v>
          </cell>
          <cell r="CR292">
            <v>0</v>
          </cell>
          <cell r="CS292">
            <v>0</v>
          </cell>
          <cell r="CX292">
            <v>0</v>
          </cell>
          <cell r="CY292">
            <v>0</v>
          </cell>
          <cell r="CZ292">
            <v>0</v>
          </cell>
          <cell r="DA292">
            <v>0</v>
          </cell>
          <cell r="DF292">
            <v>0</v>
          </cell>
          <cell r="DG292">
            <v>0</v>
          </cell>
          <cell r="DH292">
            <v>0</v>
          </cell>
          <cell r="DI292">
            <v>0</v>
          </cell>
          <cell r="DN292">
            <v>0</v>
          </cell>
          <cell r="DO292">
            <v>0</v>
          </cell>
          <cell r="DP292">
            <v>0</v>
          </cell>
          <cell r="DQ292">
            <v>0</v>
          </cell>
          <cell r="DV292">
            <v>0</v>
          </cell>
          <cell r="DW292">
            <v>0</v>
          </cell>
          <cell r="DX292">
            <v>0</v>
          </cell>
          <cell r="DY292">
            <v>0</v>
          </cell>
        </row>
        <row r="293">
          <cell r="F293">
            <v>1500</v>
          </cell>
          <cell r="G293">
            <v>363.96799999999996</v>
          </cell>
          <cell r="H293">
            <v>15.986000000000004</v>
          </cell>
          <cell r="I293">
            <v>4.3921443643397238</v>
          </cell>
          <cell r="N293">
            <v>100</v>
          </cell>
          <cell r="O293">
            <v>24.635000000000002</v>
          </cell>
          <cell r="P293">
            <v>-12.388999999999999</v>
          </cell>
          <cell r="T293">
            <v>100</v>
          </cell>
          <cell r="U293">
            <v>24.635000000000002</v>
          </cell>
          <cell r="V293">
            <v>-12.435</v>
          </cell>
          <cell r="Z293">
            <v>100</v>
          </cell>
          <cell r="AA293">
            <v>24.635000000000002</v>
          </cell>
          <cell r="AB293">
            <v>-12.435</v>
          </cell>
          <cell r="AF293">
            <v>100</v>
          </cell>
          <cell r="AG293">
            <v>24.635000000000002</v>
          </cell>
          <cell r="AH293">
            <v>-10.35</v>
          </cell>
          <cell r="AL293">
            <v>50</v>
          </cell>
          <cell r="AM293">
            <v>12.318</v>
          </cell>
          <cell r="AN293">
            <v>-1.099</v>
          </cell>
          <cell r="AR293">
            <v>100</v>
          </cell>
          <cell r="AS293">
            <v>24.635000000000002</v>
          </cell>
          <cell r="AT293">
            <v>2.9009999999999998</v>
          </cell>
          <cell r="AX293">
            <v>550</v>
          </cell>
          <cell r="AY293">
            <v>135.49300000000002</v>
          </cell>
          <cell r="AZ293">
            <v>-45.807000000000002</v>
          </cell>
          <cell r="BA293">
            <v>-33.807650579734741</v>
          </cell>
          <cell r="BF293">
            <v>150</v>
          </cell>
          <cell r="BG293">
            <v>36.075000000000003</v>
          </cell>
          <cell r="BH293">
            <v>7.3010000000000002</v>
          </cell>
          <cell r="BL293">
            <v>150</v>
          </cell>
          <cell r="BM293">
            <v>36.075000000000003</v>
          </cell>
          <cell r="BN293">
            <v>8.6519999999999992</v>
          </cell>
          <cell r="BR293">
            <v>150</v>
          </cell>
          <cell r="BS293">
            <v>36.075000000000003</v>
          </cell>
          <cell r="BT293">
            <v>9.8710000000000004</v>
          </cell>
          <cell r="BX293">
            <v>150</v>
          </cell>
          <cell r="BY293">
            <v>36.075000000000003</v>
          </cell>
          <cell r="BZ293">
            <v>10.457000000000001</v>
          </cell>
          <cell r="CD293">
            <v>170</v>
          </cell>
          <cell r="CE293">
            <v>40.884999999999998</v>
          </cell>
          <cell r="CF293">
            <v>12.202</v>
          </cell>
          <cell r="CJ293">
            <v>180</v>
          </cell>
          <cell r="CK293">
            <v>43.29</v>
          </cell>
          <cell r="CL293">
            <v>13.31</v>
          </cell>
          <cell r="CP293">
            <v>950</v>
          </cell>
          <cell r="CQ293">
            <v>228.47499999999997</v>
          </cell>
          <cell r="CR293">
            <v>61.793000000000006</v>
          </cell>
          <cell r="CS293">
            <v>27.045847466900103</v>
          </cell>
          <cell r="CX293">
            <v>300</v>
          </cell>
          <cell r="CY293">
            <v>73.905000000000001</v>
          </cell>
          <cell r="CZ293">
            <v>-37.259</v>
          </cell>
          <cell r="DA293">
            <v>-50.414721602056687</v>
          </cell>
          <cell r="DF293">
            <v>250</v>
          </cell>
          <cell r="DG293">
            <v>61.588000000000008</v>
          </cell>
          <cell r="DH293">
            <v>-8.548</v>
          </cell>
          <cell r="DI293">
            <v>-13.879327141650968</v>
          </cell>
          <cell r="DN293">
            <v>450</v>
          </cell>
          <cell r="DO293">
            <v>108.22500000000001</v>
          </cell>
          <cell r="DP293">
            <v>25.823999999999998</v>
          </cell>
          <cell r="DQ293">
            <v>23.861399861399857</v>
          </cell>
          <cell r="DV293">
            <v>500</v>
          </cell>
          <cell r="DW293">
            <v>120.25</v>
          </cell>
          <cell r="DX293">
            <v>35.969000000000001</v>
          </cell>
          <cell r="DY293">
            <v>29.911850311850312</v>
          </cell>
        </row>
        <row r="294">
          <cell r="F294">
            <v>1642</v>
          </cell>
          <cell r="G294">
            <v>425.27800000000002</v>
          </cell>
          <cell r="H294">
            <v>139.64400000000001</v>
          </cell>
          <cell r="I294">
            <v>32.835933201341241</v>
          </cell>
          <cell r="N294">
            <v>0</v>
          </cell>
          <cell r="O294">
            <v>0</v>
          </cell>
          <cell r="P294">
            <v>0</v>
          </cell>
          <cell r="T294">
            <v>0</v>
          </cell>
          <cell r="U294">
            <v>0</v>
          </cell>
          <cell r="V294">
            <v>0</v>
          </cell>
          <cell r="Z294">
            <v>0</v>
          </cell>
          <cell r="AA294">
            <v>0</v>
          </cell>
          <cell r="AB294">
            <v>0</v>
          </cell>
          <cell r="AF294">
            <v>0</v>
          </cell>
          <cell r="AG294">
            <v>0</v>
          </cell>
          <cell r="AH294">
            <v>0</v>
          </cell>
          <cell r="AL294">
            <v>0</v>
          </cell>
          <cell r="AM294">
            <v>0</v>
          </cell>
          <cell r="AN294">
            <v>0</v>
          </cell>
          <cell r="AR294">
            <v>0</v>
          </cell>
          <cell r="AS294">
            <v>0</v>
          </cell>
          <cell r="AT294">
            <v>0</v>
          </cell>
          <cell r="AX294">
            <v>0</v>
          </cell>
          <cell r="AY294">
            <v>0</v>
          </cell>
          <cell r="AZ294">
            <v>0</v>
          </cell>
          <cell r="BA294">
            <v>0</v>
          </cell>
          <cell r="BF294">
            <v>236</v>
          </cell>
          <cell r="BG294">
            <v>61.124000000000002</v>
          </cell>
          <cell r="BH294">
            <v>19.585999999999999</v>
          </cell>
          <cell r="BL294">
            <v>280</v>
          </cell>
          <cell r="BM294">
            <v>72.52</v>
          </cell>
          <cell r="BN294">
            <v>22.513000000000002</v>
          </cell>
          <cell r="BR294">
            <v>266</v>
          </cell>
          <cell r="BS294">
            <v>68.894000000000005</v>
          </cell>
          <cell r="BT294">
            <v>22.462</v>
          </cell>
          <cell r="BX294">
            <v>270</v>
          </cell>
          <cell r="BY294">
            <v>69.930000000000007</v>
          </cell>
          <cell r="BZ294">
            <v>23.241</v>
          </cell>
          <cell r="CD294">
            <v>260</v>
          </cell>
          <cell r="CE294">
            <v>67.34</v>
          </cell>
          <cell r="CF294">
            <v>22.617999999999999</v>
          </cell>
          <cell r="CJ294">
            <v>330</v>
          </cell>
          <cell r="CK294">
            <v>85.47</v>
          </cell>
          <cell r="CL294">
            <v>29.224</v>
          </cell>
          <cell r="CP294">
            <v>1642</v>
          </cell>
          <cell r="CQ294">
            <v>425.27800000000002</v>
          </cell>
          <cell r="CR294">
            <v>139.64400000000001</v>
          </cell>
          <cell r="CS294">
            <v>32.835933201341241</v>
          </cell>
          <cell r="CX294">
            <v>0</v>
          </cell>
          <cell r="CY294">
            <v>0</v>
          </cell>
          <cell r="CZ294">
            <v>0</v>
          </cell>
          <cell r="DA294">
            <v>0</v>
          </cell>
          <cell r="DF294">
            <v>0</v>
          </cell>
          <cell r="DG294">
            <v>0</v>
          </cell>
          <cell r="DH294">
            <v>0</v>
          </cell>
          <cell r="DI294">
            <v>0</v>
          </cell>
          <cell r="DN294">
            <v>782</v>
          </cell>
          <cell r="DO294">
            <v>202.53800000000001</v>
          </cell>
          <cell r="DP294">
            <v>64.561000000000007</v>
          </cell>
          <cell r="DQ294">
            <v>31.875993640699523</v>
          </cell>
          <cell r="DV294">
            <v>860</v>
          </cell>
          <cell r="DW294">
            <v>222.74</v>
          </cell>
          <cell r="DX294">
            <v>75.082999999999998</v>
          </cell>
          <cell r="DY294">
            <v>33.708808476250333</v>
          </cell>
        </row>
        <row r="295">
          <cell r="F295">
            <v>0</v>
          </cell>
          <cell r="G295">
            <v>0</v>
          </cell>
          <cell r="H295">
            <v>0</v>
          </cell>
          <cell r="I295">
            <v>0</v>
          </cell>
          <cell r="AX295">
            <v>0</v>
          </cell>
          <cell r="AY295">
            <v>0</v>
          </cell>
          <cell r="AZ295">
            <v>0</v>
          </cell>
          <cell r="BA295">
            <v>0</v>
          </cell>
          <cell r="CP295">
            <v>0</v>
          </cell>
          <cell r="CQ295">
            <v>0</v>
          </cell>
          <cell r="CR295">
            <v>0</v>
          </cell>
          <cell r="CS295">
            <v>0</v>
          </cell>
          <cell r="CX295">
            <v>0</v>
          </cell>
          <cell r="CY295">
            <v>0</v>
          </cell>
          <cell r="CZ295">
            <v>0</v>
          </cell>
          <cell r="DA295">
            <v>0</v>
          </cell>
          <cell r="DF295">
            <v>0</v>
          </cell>
          <cell r="DG295">
            <v>0</v>
          </cell>
          <cell r="DH295">
            <v>0</v>
          </cell>
          <cell r="DI295">
            <v>0</v>
          </cell>
          <cell r="DN295">
            <v>0</v>
          </cell>
          <cell r="DO295">
            <v>0</v>
          </cell>
          <cell r="DP295">
            <v>0</v>
          </cell>
          <cell r="DQ295">
            <v>0</v>
          </cell>
          <cell r="DV295">
            <v>0</v>
          </cell>
          <cell r="DW295">
            <v>0</v>
          </cell>
          <cell r="DX295">
            <v>0</v>
          </cell>
          <cell r="DY295">
            <v>0</v>
          </cell>
        </row>
        <row r="296">
          <cell r="F296">
            <v>0</v>
          </cell>
          <cell r="G296">
            <v>0</v>
          </cell>
          <cell r="H296">
            <v>0</v>
          </cell>
          <cell r="I296">
            <v>0</v>
          </cell>
          <cell r="AX296">
            <v>0</v>
          </cell>
          <cell r="AY296">
            <v>0</v>
          </cell>
          <cell r="AZ296">
            <v>0</v>
          </cell>
          <cell r="BA296">
            <v>0</v>
          </cell>
          <cell r="CP296">
            <v>0</v>
          </cell>
          <cell r="CQ296">
            <v>0</v>
          </cell>
          <cell r="CR296">
            <v>0</v>
          </cell>
          <cell r="CS296">
            <v>0</v>
          </cell>
          <cell r="CX296">
            <v>0</v>
          </cell>
          <cell r="CY296">
            <v>0</v>
          </cell>
          <cell r="CZ296">
            <v>0</v>
          </cell>
          <cell r="DA296">
            <v>0</v>
          </cell>
          <cell r="DF296">
            <v>0</v>
          </cell>
          <cell r="DG296">
            <v>0</v>
          </cell>
          <cell r="DH296">
            <v>0</v>
          </cell>
          <cell r="DI296">
            <v>0</v>
          </cell>
          <cell r="DN296">
            <v>0</v>
          </cell>
          <cell r="DO296">
            <v>0</v>
          </cell>
          <cell r="DP296">
            <v>0</v>
          </cell>
          <cell r="DQ296">
            <v>0</v>
          </cell>
          <cell r="DV296">
            <v>0</v>
          </cell>
          <cell r="DW296">
            <v>0</v>
          </cell>
          <cell r="DX296">
            <v>0</v>
          </cell>
          <cell r="DY296">
            <v>0</v>
          </cell>
        </row>
        <row r="297">
          <cell r="F297">
            <v>3142</v>
          </cell>
          <cell r="G297">
            <v>789.24599999999998</v>
          </cell>
          <cell r="H297">
            <v>155.63</v>
          </cell>
          <cell r="I297">
            <v>19.718820241090864</v>
          </cell>
          <cell r="N297">
            <v>100</v>
          </cell>
          <cell r="O297">
            <v>24.635000000000002</v>
          </cell>
          <cell r="P297">
            <v>-12.388999999999999</v>
          </cell>
          <cell r="T297">
            <v>100</v>
          </cell>
          <cell r="U297">
            <v>24.635000000000002</v>
          </cell>
          <cell r="V297">
            <v>-12.435</v>
          </cell>
          <cell r="Z297">
            <v>100</v>
          </cell>
          <cell r="AA297">
            <v>24.635000000000002</v>
          </cell>
          <cell r="AB297">
            <v>-12.435</v>
          </cell>
          <cell r="AF297">
            <v>100</v>
          </cell>
          <cell r="AG297">
            <v>24.635000000000002</v>
          </cell>
          <cell r="AH297">
            <v>-10.35</v>
          </cell>
          <cell r="AL297">
            <v>50</v>
          </cell>
          <cell r="AM297">
            <v>12.318</v>
          </cell>
          <cell r="AN297">
            <v>-1.099</v>
          </cell>
          <cell r="AR297">
            <v>100</v>
          </cell>
          <cell r="AS297">
            <v>24.635000000000002</v>
          </cell>
          <cell r="AT297">
            <v>2.9009999999999998</v>
          </cell>
          <cell r="AX297">
            <v>550</v>
          </cell>
          <cell r="AY297">
            <v>135.49300000000002</v>
          </cell>
          <cell r="AZ297">
            <v>-45.807000000000002</v>
          </cell>
          <cell r="BA297">
            <v>-33.807650579734741</v>
          </cell>
          <cell r="BF297">
            <v>386</v>
          </cell>
          <cell r="BG297">
            <v>97.199000000000012</v>
          </cell>
          <cell r="BH297">
            <v>26.887</v>
          </cell>
          <cell r="BL297">
            <v>430</v>
          </cell>
          <cell r="BM297">
            <v>108.595</v>
          </cell>
          <cell r="BN297">
            <v>31.164999999999999</v>
          </cell>
          <cell r="BR297">
            <v>416</v>
          </cell>
          <cell r="BS297">
            <v>104.96900000000001</v>
          </cell>
          <cell r="BT297">
            <v>32.332999999999998</v>
          </cell>
          <cell r="BX297">
            <v>420</v>
          </cell>
          <cell r="BY297">
            <v>106.00500000000001</v>
          </cell>
          <cell r="BZ297">
            <v>33.698</v>
          </cell>
          <cell r="CD297">
            <v>430</v>
          </cell>
          <cell r="CE297">
            <v>108.22499999999999</v>
          </cell>
          <cell r="CF297">
            <v>34.82</v>
          </cell>
          <cell r="CJ297">
            <v>510</v>
          </cell>
          <cell r="CK297">
            <v>128.76</v>
          </cell>
          <cell r="CL297">
            <v>42.533999999999999</v>
          </cell>
          <cell r="CP297">
            <v>2592</v>
          </cell>
          <cell r="CQ297">
            <v>653.75299999999993</v>
          </cell>
          <cell r="CR297">
            <v>201.43700000000001</v>
          </cell>
          <cell r="CS297">
            <v>30.812401625690445</v>
          </cell>
          <cell r="CX297">
            <v>300</v>
          </cell>
          <cell r="CY297">
            <v>73.905000000000001</v>
          </cell>
          <cell r="CZ297">
            <v>-37.259</v>
          </cell>
          <cell r="DA297">
            <v>-50.414721602056687</v>
          </cell>
          <cell r="DF297">
            <v>250</v>
          </cell>
          <cell r="DG297">
            <v>61.588000000000008</v>
          </cell>
          <cell r="DH297">
            <v>-8.548</v>
          </cell>
          <cell r="DI297">
            <v>-13.879327141650968</v>
          </cell>
          <cell r="DN297">
            <v>1232</v>
          </cell>
          <cell r="DO297">
            <v>310.76300000000003</v>
          </cell>
          <cell r="DP297">
            <v>90.385000000000005</v>
          </cell>
          <cell r="DQ297">
            <v>29.084865315368948</v>
          </cell>
          <cell r="DV297">
            <v>1360</v>
          </cell>
          <cell r="DW297">
            <v>342.99</v>
          </cell>
          <cell r="DX297">
            <v>111.05199999999999</v>
          </cell>
          <cell r="DY297">
            <v>32.377620338785384</v>
          </cell>
        </row>
        <row r="298">
          <cell r="F298">
            <v>300</v>
          </cell>
          <cell r="G298">
            <v>89.448000000000008</v>
          </cell>
          <cell r="H298">
            <v>49.753999999999998</v>
          </cell>
          <cell r="I298">
            <v>55.623378946426968</v>
          </cell>
          <cell r="N298">
            <v>0</v>
          </cell>
          <cell r="O298">
            <v>0</v>
          </cell>
          <cell r="P298">
            <v>0</v>
          </cell>
          <cell r="T298">
            <v>0</v>
          </cell>
          <cell r="U298">
            <v>0</v>
          </cell>
          <cell r="V298">
            <v>0</v>
          </cell>
          <cell r="Z298">
            <v>0</v>
          </cell>
          <cell r="AA298">
            <v>0</v>
          </cell>
          <cell r="AB298">
            <v>0</v>
          </cell>
          <cell r="AF298">
            <v>30</v>
          </cell>
          <cell r="AG298">
            <v>9.0960000000000001</v>
          </cell>
          <cell r="AH298">
            <v>3.7690000000000001</v>
          </cell>
          <cell r="AL298">
            <v>30</v>
          </cell>
          <cell r="AM298">
            <v>9.0960000000000001</v>
          </cell>
          <cell r="AN298">
            <v>4.4610000000000003</v>
          </cell>
          <cell r="AR298">
            <v>30</v>
          </cell>
          <cell r="AS298">
            <v>9.0960000000000001</v>
          </cell>
          <cell r="AT298">
            <v>4.8099999999999996</v>
          </cell>
          <cell r="AX298">
            <v>90</v>
          </cell>
          <cell r="AY298">
            <v>27.288</v>
          </cell>
          <cell r="AZ298">
            <v>13.040000000000001</v>
          </cell>
          <cell r="BA298">
            <v>47.786572852535912</v>
          </cell>
          <cell r="BF298">
            <v>30</v>
          </cell>
          <cell r="BG298">
            <v>8.8800000000000008</v>
          </cell>
          <cell r="BH298">
            <v>5.0060000000000002</v>
          </cell>
          <cell r="BL298">
            <v>30</v>
          </cell>
          <cell r="BM298">
            <v>8.8800000000000008</v>
          </cell>
          <cell r="BN298">
            <v>5.1020000000000003</v>
          </cell>
          <cell r="BR298">
            <v>30</v>
          </cell>
          <cell r="BS298">
            <v>8.8800000000000008</v>
          </cell>
          <cell r="BT298">
            <v>5.2629999999999999</v>
          </cell>
          <cell r="BX298">
            <v>40</v>
          </cell>
          <cell r="BY298">
            <v>11.84</v>
          </cell>
          <cell r="BZ298">
            <v>7.0759999999999996</v>
          </cell>
          <cell r="CD298">
            <v>40</v>
          </cell>
          <cell r="CE298">
            <v>11.84</v>
          </cell>
          <cell r="CF298">
            <v>7.1109999999999998</v>
          </cell>
          <cell r="CJ298">
            <v>40</v>
          </cell>
          <cell r="CK298">
            <v>11.84</v>
          </cell>
          <cell r="CL298">
            <v>7.1559999999999997</v>
          </cell>
          <cell r="CP298">
            <v>210</v>
          </cell>
          <cell r="CQ298">
            <v>62.160000000000004</v>
          </cell>
          <cell r="CR298">
            <v>36.713999999999999</v>
          </cell>
          <cell r="CS298">
            <v>59.063706563706553</v>
          </cell>
          <cell r="CX298">
            <v>0</v>
          </cell>
          <cell r="CY298">
            <v>0</v>
          </cell>
          <cell r="CZ298">
            <v>0</v>
          </cell>
          <cell r="DA298">
            <v>0</v>
          </cell>
          <cell r="DF298">
            <v>90</v>
          </cell>
          <cell r="DG298">
            <v>27.288</v>
          </cell>
          <cell r="DH298">
            <v>13.04</v>
          </cell>
          <cell r="DI298">
            <v>47.786572852535905</v>
          </cell>
          <cell r="DN298">
            <v>90</v>
          </cell>
          <cell r="DO298">
            <v>26.64</v>
          </cell>
          <cell r="DP298">
            <v>15.371</v>
          </cell>
          <cell r="DQ298">
            <v>57.698948948948946</v>
          </cell>
          <cell r="DV298">
            <v>120</v>
          </cell>
          <cell r="DW298">
            <v>35.519999999999996</v>
          </cell>
          <cell r="DX298">
            <v>21.343</v>
          </cell>
          <cell r="DY298">
            <v>60.087274774774777</v>
          </cell>
        </row>
        <row r="299">
          <cell r="F299">
            <v>0</v>
          </cell>
          <cell r="G299">
            <v>0</v>
          </cell>
          <cell r="H299">
            <v>0</v>
          </cell>
          <cell r="I299">
            <v>0</v>
          </cell>
          <cell r="O299">
            <v>0</v>
          </cell>
          <cell r="T299">
            <v>0</v>
          </cell>
          <cell r="U299">
            <v>0</v>
          </cell>
          <cell r="Z299">
            <v>0</v>
          </cell>
          <cell r="AA299">
            <v>0</v>
          </cell>
          <cell r="AF299">
            <v>0</v>
          </cell>
          <cell r="AG299">
            <v>0</v>
          </cell>
          <cell r="AL299">
            <v>0</v>
          </cell>
          <cell r="AM299">
            <v>0</v>
          </cell>
          <cell r="AR299">
            <v>0</v>
          </cell>
          <cell r="AS299">
            <v>0</v>
          </cell>
          <cell r="AX299">
            <v>0</v>
          </cell>
          <cell r="AY299">
            <v>0</v>
          </cell>
          <cell r="AZ299">
            <v>0</v>
          </cell>
          <cell r="BA299">
            <v>0</v>
          </cell>
          <cell r="BF299">
            <v>0</v>
          </cell>
          <cell r="BG299">
            <v>0</v>
          </cell>
          <cell r="BL299">
            <v>0</v>
          </cell>
          <cell r="BM299">
            <v>0</v>
          </cell>
          <cell r="BR299">
            <v>0</v>
          </cell>
          <cell r="BS299">
            <v>0</v>
          </cell>
          <cell r="BX299">
            <v>0</v>
          </cell>
          <cell r="BY299">
            <v>0</v>
          </cell>
          <cell r="CD299">
            <v>0</v>
          </cell>
          <cell r="CE299">
            <v>0</v>
          </cell>
          <cell r="CJ299">
            <v>0</v>
          </cell>
          <cell r="CK299">
            <v>0</v>
          </cell>
          <cell r="CP299">
            <v>0</v>
          </cell>
          <cell r="CQ299">
            <v>0</v>
          </cell>
          <cell r="CR299">
            <v>0</v>
          </cell>
          <cell r="CS299">
            <v>0</v>
          </cell>
          <cell r="CX299">
            <v>0</v>
          </cell>
          <cell r="CY299">
            <v>0</v>
          </cell>
          <cell r="CZ299">
            <v>0</v>
          </cell>
          <cell r="DA299">
            <v>0</v>
          </cell>
          <cell r="DF299">
            <v>0</v>
          </cell>
          <cell r="DG299">
            <v>0</v>
          </cell>
          <cell r="DH299">
            <v>0</v>
          </cell>
          <cell r="DI299">
            <v>0</v>
          </cell>
          <cell r="DN299">
            <v>0</v>
          </cell>
          <cell r="DO299">
            <v>0</v>
          </cell>
          <cell r="DP299">
            <v>0</v>
          </cell>
          <cell r="DQ299">
            <v>0</v>
          </cell>
          <cell r="DV299">
            <v>0</v>
          </cell>
          <cell r="DW299">
            <v>0</v>
          </cell>
          <cell r="DX299">
            <v>0</v>
          </cell>
          <cell r="DY299">
            <v>0</v>
          </cell>
        </row>
        <row r="300">
          <cell r="F300">
            <v>0</v>
          </cell>
          <cell r="G300">
            <v>0</v>
          </cell>
          <cell r="H300">
            <v>0</v>
          </cell>
          <cell r="I300">
            <v>0</v>
          </cell>
          <cell r="O300">
            <v>0</v>
          </cell>
          <cell r="T300">
            <v>0</v>
          </cell>
          <cell r="U300">
            <v>0</v>
          </cell>
          <cell r="Z300">
            <v>0</v>
          </cell>
          <cell r="AA300">
            <v>0</v>
          </cell>
          <cell r="AF300">
            <v>0</v>
          </cell>
          <cell r="AG300">
            <v>0</v>
          </cell>
          <cell r="AL300">
            <v>0</v>
          </cell>
          <cell r="AM300">
            <v>0</v>
          </cell>
          <cell r="AR300">
            <v>0</v>
          </cell>
          <cell r="AS300">
            <v>0</v>
          </cell>
          <cell r="AX300">
            <v>0</v>
          </cell>
          <cell r="AY300">
            <v>0</v>
          </cell>
          <cell r="AZ300">
            <v>0</v>
          </cell>
          <cell r="BA300">
            <v>0</v>
          </cell>
          <cell r="BF300">
            <v>0</v>
          </cell>
          <cell r="BG300">
            <v>0</v>
          </cell>
          <cell r="BL300">
            <v>0</v>
          </cell>
          <cell r="BM300">
            <v>0</v>
          </cell>
          <cell r="BR300">
            <v>0</v>
          </cell>
          <cell r="BS300">
            <v>0</v>
          </cell>
          <cell r="BX300">
            <v>0</v>
          </cell>
          <cell r="BY300">
            <v>0</v>
          </cell>
          <cell r="CD300">
            <v>0</v>
          </cell>
          <cell r="CE300">
            <v>0</v>
          </cell>
          <cell r="CJ300">
            <v>0</v>
          </cell>
          <cell r="CK300">
            <v>0</v>
          </cell>
          <cell r="CP300">
            <v>0</v>
          </cell>
          <cell r="CQ300">
            <v>0</v>
          </cell>
          <cell r="CR300">
            <v>0</v>
          </cell>
          <cell r="CS300">
            <v>0</v>
          </cell>
          <cell r="CX300">
            <v>0</v>
          </cell>
          <cell r="CY300">
            <v>0</v>
          </cell>
          <cell r="CZ300">
            <v>0</v>
          </cell>
          <cell r="DA300">
            <v>0</v>
          </cell>
          <cell r="DF300">
            <v>0</v>
          </cell>
          <cell r="DG300">
            <v>0</v>
          </cell>
          <cell r="DH300">
            <v>0</v>
          </cell>
          <cell r="DI300">
            <v>0</v>
          </cell>
          <cell r="DN300">
            <v>0</v>
          </cell>
          <cell r="DO300">
            <v>0</v>
          </cell>
          <cell r="DP300">
            <v>0</v>
          </cell>
          <cell r="DQ300">
            <v>0</v>
          </cell>
          <cell r="DV300">
            <v>0</v>
          </cell>
          <cell r="DW300">
            <v>0</v>
          </cell>
          <cell r="DX300">
            <v>0</v>
          </cell>
          <cell r="DY300">
            <v>0</v>
          </cell>
        </row>
        <row r="301">
          <cell r="F301">
            <v>300</v>
          </cell>
          <cell r="G301">
            <v>89.448000000000008</v>
          </cell>
          <cell r="H301">
            <v>49.753999999999998</v>
          </cell>
          <cell r="I301">
            <v>55.623378946426968</v>
          </cell>
          <cell r="N301">
            <v>0</v>
          </cell>
          <cell r="O301">
            <v>0</v>
          </cell>
          <cell r="P301">
            <v>0</v>
          </cell>
          <cell r="T301">
            <v>0</v>
          </cell>
          <cell r="U301">
            <v>0</v>
          </cell>
          <cell r="V301">
            <v>0</v>
          </cell>
          <cell r="Z301">
            <v>0</v>
          </cell>
          <cell r="AA301">
            <v>0</v>
          </cell>
          <cell r="AB301">
            <v>0</v>
          </cell>
          <cell r="AF301">
            <v>30</v>
          </cell>
          <cell r="AG301">
            <v>9.0960000000000001</v>
          </cell>
          <cell r="AH301">
            <v>3.7690000000000001</v>
          </cell>
          <cell r="AL301">
            <v>30</v>
          </cell>
          <cell r="AM301">
            <v>9.0960000000000001</v>
          </cell>
          <cell r="AN301">
            <v>4.4610000000000003</v>
          </cell>
          <cell r="AR301">
            <v>30</v>
          </cell>
          <cell r="AS301">
            <v>9.0960000000000001</v>
          </cell>
          <cell r="AT301">
            <v>4.8099999999999996</v>
          </cell>
          <cell r="AX301">
            <v>90</v>
          </cell>
          <cell r="AY301">
            <v>27.288</v>
          </cell>
          <cell r="AZ301">
            <v>13.040000000000001</v>
          </cell>
          <cell r="BA301">
            <v>47.786572852535912</v>
          </cell>
          <cell r="BF301">
            <v>30</v>
          </cell>
          <cell r="BG301">
            <v>8.8800000000000008</v>
          </cell>
          <cell r="BH301">
            <v>5.0060000000000002</v>
          </cell>
          <cell r="BL301">
            <v>30</v>
          </cell>
          <cell r="BM301">
            <v>8.8800000000000008</v>
          </cell>
          <cell r="BN301">
            <v>5.1020000000000003</v>
          </cell>
          <cell r="BR301">
            <v>30</v>
          </cell>
          <cell r="BS301">
            <v>8.8800000000000008</v>
          </cell>
          <cell r="BT301">
            <v>5.2629999999999999</v>
          </cell>
          <cell r="BX301">
            <v>40</v>
          </cell>
          <cell r="BY301">
            <v>11.84</v>
          </cell>
          <cell r="BZ301">
            <v>7.0759999999999996</v>
          </cell>
          <cell r="CD301">
            <v>40</v>
          </cell>
          <cell r="CE301">
            <v>11.84</v>
          </cell>
          <cell r="CF301">
            <v>7.1109999999999998</v>
          </cell>
          <cell r="CJ301">
            <v>40</v>
          </cell>
          <cell r="CK301">
            <v>11.84</v>
          </cell>
          <cell r="CL301">
            <v>7.1559999999999997</v>
          </cell>
          <cell r="CP301">
            <v>210</v>
          </cell>
          <cell r="CQ301">
            <v>62.160000000000004</v>
          </cell>
          <cell r="CR301">
            <v>36.713999999999999</v>
          </cell>
          <cell r="CS301">
            <v>59.063706563706553</v>
          </cell>
          <cell r="CX301">
            <v>0</v>
          </cell>
          <cell r="CY301">
            <v>0</v>
          </cell>
          <cell r="CZ301">
            <v>0</v>
          </cell>
          <cell r="DA301">
            <v>0</v>
          </cell>
          <cell r="DF301">
            <v>90</v>
          </cell>
          <cell r="DG301">
            <v>27.288</v>
          </cell>
          <cell r="DH301">
            <v>13.04</v>
          </cell>
          <cell r="DI301">
            <v>47.786572852535905</v>
          </cell>
          <cell r="DN301">
            <v>90</v>
          </cell>
          <cell r="DO301">
            <v>26.64</v>
          </cell>
          <cell r="DP301">
            <v>15.371</v>
          </cell>
          <cell r="DQ301">
            <v>57.698948948948946</v>
          </cell>
          <cell r="DV301">
            <v>120</v>
          </cell>
          <cell r="DW301">
            <v>35.519999999999996</v>
          </cell>
          <cell r="DX301">
            <v>21.343</v>
          </cell>
          <cell r="DY301">
            <v>60.087274774774777</v>
          </cell>
        </row>
        <row r="302">
          <cell r="F302">
            <v>1000</v>
          </cell>
          <cell r="G302">
            <v>303.39800000000002</v>
          </cell>
          <cell r="H302">
            <v>55.394000000000005</v>
          </cell>
          <cell r="I302">
            <v>18.257865905510254</v>
          </cell>
          <cell r="N302">
            <v>0</v>
          </cell>
          <cell r="O302">
            <v>0</v>
          </cell>
          <cell r="P302">
            <v>0</v>
          </cell>
          <cell r="T302">
            <v>0</v>
          </cell>
          <cell r="U302">
            <v>0</v>
          </cell>
          <cell r="V302">
            <v>0</v>
          </cell>
          <cell r="Z302">
            <v>0</v>
          </cell>
          <cell r="AA302">
            <v>0</v>
          </cell>
          <cell r="AB302">
            <v>0</v>
          </cell>
          <cell r="AF302">
            <v>0</v>
          </cell>
          <cell r="AG302">
            <v>0</v>
          </cell>
          <cell r="AH302">
            <v>0</v>
          </cell>
          <cell r="AL302">
            <v>0</v>
          </cell>
          <cell r="AM302">
            <v>0</v>
          </cell>
          <cell r="AN302">
            <v>0</v>
          </cell>
          <cell r="AR302">
            <v>0</v>
          </cell>
          <cell r="AS302">
            <v>0</v>
          </cell>
          <cell r="AT302">
            <v>0</v>
          </cell>
          <cell r="AX302">
            <v>0</v>
          </cell>
          <cell r="AY302">
            <v>0</v>
          </cell>
          <cell r="AZ302">
            <v>0</v>
          </cell>
          <cell r="BA302">
            <v>0</v>
          </cell>
          <cell r="BF302">
            <v>166</v>
          </cell>
          <cell r="BG302">
            <v>50.363999999999997</v>
          </cell>
          <cell r="BH302">
            <v>8.0380000000000003</v>
          </cell>
          <cell r="BL302">
            <v>166</v>
          </cell>
          <cell r="BM302">
            <v>50.363999999999997</v>
          </cell>
          <cell r="BN302">
            <v>9.1880000000000006</v>
          </cell>
          <cell r="BR302">
            <v>166</v>
          </cell>
          <cell r="BS302">
            <v>50.363999999999997</v>
          </cell>
          <cell r="BT302">
            <v>8.9689999999999994</v>
          </cell>
          <cell r="BX302">
            <v>166</v>
          </cell>
          <cell r="BY302">
            <v>50.363999999999997</v>
          </cell>
          <cell r="BZ302">
            <v>9.077</v>
          </cell>
          <cell r="CD302">
            <v>166</v>
          </cell>
          <cell r="CE302">
            <v>50.363999999999997</v>
          </cell>
          <cell r="CF302">
            <v>9.3680000000000003</v>
          </cell>
          <cell r="CJ302">
            <v>170</v>
          </cell>
          <cell r="CK302">
            <v>51.578000000000003</v>
          </cell>
          <cell r="CL302">
            <v>10.754</v>
          </cell>
          <cell r="CP302">
            <v>1000</v>
          </cell>
          <cell r="CQ302">
            <v>303.39800000000002</v>
          </cell>
          <cell r="CR302">
            <v>55.394000000000005</v>
          </cell>
          <cell r="CS302">
            <v>18.257865905510254</v>
          </cell>
          <cell r="CX302">
            <v>0</v>
          </cell>
          <cell r="CY302">
            <v>0</v>
          </cell>
          <cell r="CZ302">
            <v>0</v>
          </cell>
          <cell r="DA302">
            <v>0</v>
          </cell>
          <cell r="DF302">
            <v>0</v>
          </cell>
          <cell r="DG302">
            <v>0</v>
          </cell>
          <cell r="DH302">
            <v>0</v>
          </cell>
          <cell r="DI302">
            <v>0</v>
          </cell>
          <cell r="DN302">
            <v>498</v>
          </cell>
          <cell r="DO302">
            <v>151.09199999999998</v>
          </cell>
          <cell r="DP302">
            <v>26.195</v>
          </cell>
          <cell r="DQ302">
            <v>17.337119106239911</v>
          </cell>
          <cell r="DV302">
            <v>502</v>
          </cell>
          <cell r="DW302">
            <v>152.30599999999998</v>
          </cell>
          <cell r="DX302">
            <v>29.198999999999998</v>
          </cell>
          <cell r="DY302">
            <v>19.171273620211942</v>
          </cell>
        </row>
        <row r="303">
          <cell r="F303">
            <v>0</v>
          </cell>
          <cell r="G303">
            <v>0</v>
          </cell>
          <cell r="H303">
            <v>0</v>
          </cell>
          <cell r="I303">
            <v>0</v>
          </cell>
          <cell r="N303">
            <v>0</v>
          </cell>
          <cell r="O303">
            <v>0</v>
          </cell>
          <cell r="T303">
            <v>0</v>
          </cell>
          <cell r="U303">
            <v>0</v>
          </cell>
          <cell r="Z303">
            <v>0</v>
          </cell>
          <cell r="AA303">
            <v>0</v>
          </cell>
          <cell r="AF303">
            <v>0</v>
          </cell>
          <cell r="AG303">
            <v>0</v>
          </cell>
          <cell r="AL303">
            <v>0</v>
          </cell>
          <cell r="AM303">
            <v>0</v>
          </cell>
          <cell r="AR303">
            <v>0</v>
          </cell>
          <cell r="AS303">
            <v>0</v>
          </cell>
          <cell r="AX303">
            <v>0</v>
          </cell>
          <cell r="AY303">
            <v>0</v>
          </cell>
          <cell r="AZ303">
            <v>0</v>
          </cell>
          <cell r="BA303">
            <v>0</v>
          </cell>
          <cell r="BF303">
            <v>0</v>
          </cell>
          <cell r="BG303">
            <v>0</v>
          </cell>
          <cell r="BL303">
            <v>0</v>
          </cell>
          <cell r="BM303">
            <v>0</v>
          </cell>
          <cell r="BR303">
            <v>0</v>
          </cell>
          <cell r="BS303">
            <v>0</v>
          </cell>
          <cell r="BX303">
            <v>0</v>
          </cell>
          <cell r="BY303">
            <v>0</v>
          </cell>
          <cell r="CD303">
            <v>0</v>
          </cell>
          <cell r="CE303">
            <v>0</v>
          </cell>
          <cell r="CJ303">
            <v>0</v>
          </cell>
          <cell r="CK303">
            <v>0</v>
          </cell>
          <cell r="CP303">
            <v>0</v>
          </cell>
          <cell r="CQ303">
            <v>0</v>
          </cell>
          <cell r="CR303">
            <v>0</v>
          </cell>
          <cell r="CS303">
            <v>0</v>
          </cell>
          <cell r="CX303">
            <v>0</v>
          </cell>
          <cell r="CY303">
            <v>0</v>
          </cell>
          <cell r="CZ303">
            <v>0</v>
          </cell>
          <cell r="DA303">
            <v>0</v>
          </cell>
          <cell r="DF303">
            <v>0</v>
          </cell>
          <cell r="DG303">
            <v>0</v>
          </cell>
          <cell r="DH303">
            <v>0</v>
          </cell>
          <cell r="DI303">
            <v>0</v>
          </cell>
          <cell r="DN303">
            <v>0</v>
          </cell>
          <cell r="DO303">
            <v>0</v>
          </cell>
          <cell r="DP303">
            <v>0</v>
          </cell>
          <cell r="DQ303">
            <v>0</v>
          </cell>
          <cell r="DV303">
            <v>0</v>
          </cell>
          <cell r="DW303">
            <v>0</v>
          </cell>
          <cell r="DX303">
            <v>0</v>
          </cell>
          <cell r="DY303">
            <v>0</v>
          </cell>
        </row>
        <row r="304">
          <cell r="F304">
            <v>1000</v>
          </cell>
          <cell r="G304">
            <v>303.39800000000002</v>
          </cell>
          <cell r="H304">
            <v>55.394000000000005</v>
          </cell>
          <cell r="I304">
            <v>18.257865905510254</v>
          </cell>
          <cell r="N304">
            <v>0</v>
          </cell>
          <cell r="O304">
            <v>0</v>
          </cell>
          <cell r="P304">
            <v>0</v>
          </cell>
          <cell r="T304">
            <v>0</v>
          </cell>
          <cell r="U304">
            <v>0</v>
          </cell>
          <cell r="V304">
            <v>0</v>
          </cell>
          <cell r="Z304">
            <v>0</v>
          </cell>
          <cell r="AA304">
            <v>0</v>
          </cell>
          <cell r="AB304">
            <v>0</v>
          </cell>
          <cell r="AF304">
            <v>0</v>
          </cell>
          <cell r="AG304">
            <v>0</v>
          </cell>
          <cell r="AH304">
            <v>0</v>
          </cell>
          <cell r="AL304">
            <v>0</v>
          </cell>
          <cell r="AM304">
            <v>0</v>
          </cell>
          <cell r="AN304">
            <v>0</v>
          </cell>
          <cell r="AR304">
            <v>0</v>
          </cell>
          <cell r="AS304">
            <v>0</v>
          </cell>
          <cell r="AT304">
            <v>0</v>
          </cell>
          <cell r="AX304">
            <v>0</v>
          </cell>
          <cell r="AY304">
            <v>0</v>
          </cell>
          <cell r="AZ304">
            <v>0</v>
          </cell>
          <cell r="BA304">
            <v>0</v>
          </cell>
          <cell r="BF304">
            <v>166</v>
          </cell>
          <cell r="BG304">
            <v>50.363999999999997</v>
          </cell>
          <cell r="BH304">
            <v>8.0380000000000003</v>
          </cell>
          <cell r="BL304">
            <v>166</v>
          </cell>
          <cell r="BM304">
            <v>50.363999999999997</v>
          </cell>
          <cell r="BN304">
            <v>9.1880000000000006</v>
          </cell>
          <cell r="BR304">
            <v>166</v>
          </cell>
          <cell r="BS304">
            <v>50.363999999999997</v>
          </cell>
          <cell r="BT304">
            <v>8.9689999999999994</v>
          </cell>
          <cell r="BX304">
            <v>166</v>
          </cell>
          <cell r="BY304">
            <v>50.363999999999997</v>
          </cell>
          <cell r="BZ304">
            <v>9.077</v>
          </cell>
          <cell r="CD304">
            <v>166</v>
          </cell>
          <cell r="CE304">
            <v>50.363999999999997</v>
          </cell>
          <cell r="CF304">
            <v>9.3680000000000003</v>
          </cell>
          <cell r="CJ304">
            <v>170</v>
          </cell>
          <cell r="CK304">
            <v>51.578000000000003</v>
          </cell>
          <cell r="CL304">
            <v>10.754</v>
          </cell>
          <cell r="CP304">
            <v>1000</v>
          </cell>
          <cell r="CQ304">
            <v>303.39800000000002</v>
          </cell>
          <cell r="CR304">
            <v>55.394000000000005</v>
          </cell>
          <cell r="CS304">
            <v>18.257865905510254</v>
          </cell>
          <cell r="CX304">
            <v>0</v>
          </cell>
          <cell r="CY304">
            <v>0</v>
          </cell>
          <cell r="CZ304">
            <v>0</v>
          </cell>
          <cell r="DA304">
            <v>0</v>
          </cell>
          <cell r="DF304">
            <v>0</v>
          </cell>
          <cell r="DG304">
            <v>0</v>
          </cell>
          <cell r="DH304">
            <v>0</v>
          </cell>
          <cell r="DI304">
            <v>0</v>
          </cell>
          <cell r="DN304">
            <v>498</v>
          </cell>
          <cell r="DO304">
            <v>151.09199999999998</v>
          </cell>
          <cell r="DP304">
            <v>26.195</v>
          </cell>
          <cell r="DQ304">
            <v>17.337119106239911</v>
          </cell>
          <cell r="DV304">
            <v>502</v>
          </cell>
          <cell r="DW304">
            <v>152.30599999999998</v>
          </cell>
          <cell r="DX304">
            <v>29.198999999999998</v>
          </cell>
          <cell r="DY304">
            <v>19.171273620211942</v>
          </cell>
        </row>
        <row r="305">
          <cell r="F305">
            <v>17209.804</v>
          </cell>
          <cell r="G305">
            <v>3854.9549999999999</v>
          </cell>
          <cell r="H305">
            <v>248.17699999999999</v>
          </cell>
          <cell r="I305">
            <v>6.437870221571977</v>
          </cell>
          <cell r="N305">
            <v>760</v>
          </cell>
          <cell r="O305">
            <v>167.13899999999998</v>
          </cell>
          <cell r="P305">
            <v>-33.418999999999997</v>
          </cell>
          <cell r="T305">
            <v>795</v>
          </cell>
          <cell r="U305">
            <v>175.09799999999998</v>
          </cell>
          <cell r="V305">
            <v>-34.68</v>
          </cell>
          <cell r="Z305">
            <v>800.80600000000004</v>
          </cell>
          <cell r="AA305">
            <v>176.31099999999998</v>
          </cell>
          <cell r="AB305">
            <v>-29.182000000000002</v>
          </cell>
          <cell r="AF305">
            <v>841.60599999999999</v>
          </cell>
          <cell r="AG305">
            <v>188.01599999999999</v>
          </cell>
          <cell r="AH305">
            <v>-27.198</v>
          </cell>
          <cell r="AL305">
            <v>801.67200000000003</v>
          </cell>
          <cell r="AM305">
            <v>180.44399999999999</v>
          </cell>
          <cell r="AN305">
            <v>-10.622000000000002</v>
          </cell>
          <cell r="AR305">
            <v>1030</v>
          </cell>
          <cell r="AS305">
            <v>229.40899999999999</v>
          </cell>
          <cell r="AT305">
            <v>-2.211000000000003</v>
          </cell>
          <cell r="AX305">
            <v>5029.0839999999998</v>
          </cell>
          <cell r="AY305">
            <v>1116.4170000000001</v>
          </cell>
          <cell r="AZ305">
            <v>-137.31200000000001</v>
          </cell>
          <cell r="BA305">
            <v>-12.299346928611801</v>
          </cell>
          <cell r="BF305">
            <v>1671.3440000000001</v>
          </cell>
          <cell r="BG305">
            <v>385.584</v>
          </cell>
          <cell r="BH305">
            <v>38.411000000000001</v>
          </cell>
          <cell r="BL305">
            <v>1985.3440000000001</v>
          </cell>
          <cell r="BM305">
            <v>445.59800000000001</v>
          </cell>
          <cell r="BN305">
            <v>53.128</v>
          </cell>
          <cell r="BR305">
            <v>2001.3440000000001</v>
          </cell>
          <cell r="BS305">
            <v>450.25999999999993</v>
          </cell>
          <cell r="BT305">
            <v>55.878</v>
          </cell>
          <cell r="BX305">
            <v>2070.3440000000001</v>
          </cell>
          <cell r="BY305">
            <v>461.54499999999996</v>
          </cell>
          <cell r="BZ305">
            <v>71.765000000000001</v>
          </cell>
          <cell r="CD305">
            <v>2095.3440000000001</v>
          </cell>
          <cell r="CE305">
            <v>468.0569999999999</v>
          </cell>
          <cell r="CF305">
            <v>74.872</v>
          </cell>
          <cell r="CJ305">
            <v>2357</v>
          </cell>
          <cell r="CK305">
            <v>527.49400000000003</v>
          </cell>
          <cell r="CL305">
            <v>91.435000000000016</v>
          </cell>
          <cell r="CP305">
            <v>12180.720000000001</v>
          </cell>
          <cell r="CQ305">
            <v>2738.538</v>
          </cell>
          <cell r="CR305">
            <v>385.48899999999998</v>
          </cell>
          <cell r="CS305">
            <v>14.076452472085469</v>
          </cell>
          <cell r="CX305">
            <v>2355.806</v>
          </cell>
          <cell r="CY305">
            <v>518.548</v>
          </cell>
          <cell r="CZ305">
            <v>-97.281000000000006</v>
          </cell>
          <cell r="DA305">
            <v>-18.760269058987792</v>
          </cell>
          <cell r="DF305">
            <v>2673.2780000000002</v>
          </cell>
          <cell r="DG305">
            <v>597.86900000000003</v>
          </cell>
          <cell r="DH305">
            <v>-40.030999999999999</v>
          </cell>
          <cell r="DI305">
            <v>-6.6956139221133721</v>
          </cell>
          <cell r="DN305">
            <v>5658.0320000000002</v>
          </cell>
          <cell r="DO305">
            <v>1281.442</v>
          </cell>
          <cell r="DP305">
            <v>147.417</v>
          </cell>
          <cell r="DQ305">
            <v>11.503993157708269</v>
          </cell>
          <cell r="DV305">
            <v>6522.6880000000001</v>
          </cell>
          <cell r="DW305">
            <v>1457.096</v>
          </cell>
          <cell r="DX305">
            <v>238.072</v>
          </cell>
          <cell r="DY305">
            <v>16.33879991435019</v>
          </cell>
        </row>
        <row r="306">
          <cell r="F306">
            <v>508</v>
          </cell>
          <cell r="G306">
            <v>26.576999999999998</v>
          </cell>
          <cell r="H306">
            <v>-8.9640000000000004</v>
          </cell>
          <cell r="I306">
            <v>-33.728411784625806</v>
          </cell>
          <cell r="N306">
            <v>40</v>
          </cell>
          <cell r="O306">
            <v>2.1219999999999999</v>
          </cell>
          <cell r="P306">
            <v>0.16600000000000001</v>
          </cell>
          <cell r="T306">
            <v>31</v>
          </cell>
          <cell r="U306">
            <v>1.645</v>
          </cell>
          <cell r="V306">
            <v>0.129</v>
          </cell>
          <cell r="Z306">
            <v>31</v>
          </cell>
          <cell r="AA306">
            <v>1.645</v>
          </cell>
          <cell r="AB306">
            <v>-4.9000000000000002E-2</v>
          </cell>
          <cell r="AF306">
            <v>31</v>
          </cell>
          <cell r="AG306">
            <v>1.645</v>
          </cell>
          <cell r="AH306">
            <v>-0.33900000000000002</v>
          </cell>
          <cell r="AL306">
            <v>36</v>
          </cell>
          <cell r="AM306">
            <v>1.91</v>
          </cell>
          <cell r="AN306">
            <v>-0.56299999999999994</v>
          </cell>
          <cell r="AR306">
            <v>40</v>
          </cell>
          <cell r="AS306">
            <v>2.1219999999999999</v>
          </cell>
          <cell r="AT306">
            <v>-0.81899999999999995</v>
          </cell>
          <cell r="AX306">
            <v>209</v>
          </cell>
          <cell r="AY306">
            <v>11.088999999999999</v>
          </cell>
          <cell r="AZ306">
            <v>-1.4749999999999999</v>
          </cell>
          <cell r="BA306">
            <v>-13.301469925151052</v>
          </cell>
          <cell r="BF306">
            <v>50</v>
          </cell>
          <cell r="BG306">
            <v>2.59</v>
          </cell>
          <cell r="BH306">
            <v>-1.1850000000000001</v>
          </cell>
          <cell r="BL306">
            <v>50</v>
          </cell>
          <cell r="BM306">
            <v>2.59</v>
          </cell>
          <cell r="BN306">
            <v>-1.2849999999999999</v>
          </cell>
          <cell r="BR306">
            <v>49</v>
          </cell>
          <cell r="BS306">
            <v>2.5379999999999998</v>
          </cell>
          <cell r="BT306">
            <v>-1.2529999999999999</v>
          </cell>
          <cell r="BX306">
            <v>50</v>
          </cell>
          <cell r="BY306">
            <v>2.59</v>
          </cell>
          <cell r="BZ306">
            <v>-1.272</v>
          </cell>
          <cell r="CD306">
            <v>50</v>
          </cell>
          <cell r="CE306">
            <v>2.59</v>
          </cell>
          <cell r="CF306">
            <v>-1.2609999999999999</v>
          </cell>
          <cell r="CJ306">
            <v>50</v>
          </cell>
          <cell r="CK306">
            <v>2.59</v>
          </cell>
          <cell r="CL306">
            <v>-1.2330000000000001</v>
          </cell>
          <cell r="CP306">
            <v>299</v>
          </cell>
          <cell r="CQ306">
            <v>15.488</v>
          </cell>
          <cell r="CR306">
            <v>-7.4890000000000008</v>
          </cell>
          <cell r="CS306">
            <v>-48.353564049586787</v>
          </cell>
          <cell r="CX306">
            <v>102</v>
          </cell>
          <cell r="CY306">
            <v>5.4119999999999999</v>
          </cell>
          <cell r="CZ306">
            <v>0.24600000000000005</v>
          </cell>
          <cell r="DA306">
            <v>4.5454545454545459</v>
          </cell>
          <cell r="DF306">
            <v>107</v>
          </cell>
          <cell r="DG306">
            <v>5.6769999999999996</v>
          </cell>
          <cell r="DH306">
            <v>-1.7209999999999999</v>
          </cell>
          <cell r="DI306">
            <v>-30.315307380658794</v>
          </cell>
          <cell r="DN306">
            <v>149</v>
          </cell>
          <cell r="DO306">
            <v>7.718</v>
          </cell>
          <cell r="DP306">
            <v>-3.7229999999999999</v>
          </cell>
          <cell r="DQ306">
            <v>-48.237885462555063</v>
          </cell>
          <cell r="DV306">
            <v>150</v>
          </cell>
          <cell r="DW306">
            <v>7.77</v>
          </cell>
          <cell r="DX306">
            <v>-3.766</v>
          </cell>
          <cell r="DY306">
            <v>-48.468468468468473</v>
          </cell>
        </row>
        <row r="307">
          <cell r="F307">
            <v>1860</v>
          </cell>
          <cell r="G307">
            <v>291.61500000000001</v>
          </cell>
          <cell r="H307">
            <v>82.277999999999992</v>
          </cell>
          <cell r="I307">
            <v>28.21459801450542</v>
          </cell>
          <cell r="N307">
            <v>125</v>
          </cell>
          <cell r="O307">
            <v>19.898</v>
          </cell>
          <cell r="P307">
            <v>2.9209999999999998</v>
          </cell>
          <cell r="T307">
            <v>125</v>
          </cell>
          <cell r="U307">
            <v>19.898</v>
          </cell>
          <cell r="V307">
            <v>4.202</v>
          </cell>
          <cell r="Z307">
            <v>100</v>
          </cell>
          <cell r="AA307">
            <v>15.917999999999999</v>
          </cell>
          <cell r="AB307">
            <v>1.617</v>
          </cell>
          <cell r="AF307">
            <v>100</v>
          </cell>
          <cell r="AG307">
            <v>15.917999999999999</v>
          </cell>
          <cell r="AH307">
            <v>3.5950000000000002</v>
          </cell>
          <cell r="AL307">
            <v>100</v>
          </cell>
          <cell r="AM307">
            <v>15.917999999999999</v>
          </cell>
          <cell r="AN307">
            <v>2.4670000000000001</v>
          </cell>
          <cell r="AR307">
            <v>130</v>
          </cell>
          <cell r="AS307">
            <v>20.693000000000001</v>
          </cell>
          <cell r="AT307">
            <v>4.5039999999999996</v>
          </cell>
          <cell r="AX307">
            <v>680</v>
          </cell>
          <cell r="AY307">
            <v>108.24299999999999</v>
          </cell>
          <cell r="AZ307">
            <v>19.305999999999997</v>
          </cell>
          <cell r="BA307">
            <v>17.835795386306735</v>
          </cell>
          <cell r="BF307">
            <v>175</v>
          </cell>
          <cell r="BG307">
            <v>27.195</v>
          </cell>
          <cell r="BH307">
            <v>8.6180000000000003</v>
          </cell>
          <cell r="BL307">
            <v>180</v>
          </cell>
          <cell r="BM307">
            <v>27.972000000000001</v>
          </cell>
          <cell r="BN307">
            <v>9.7569999999999997</v>
          </cell>
          <cell r="BR307">
            <v>185</v>
          </cell>
          <cell r="BS307">
            <v>28.748999999999999</v>
          </cell>
          <cell r="BT307">
            <v>9.4529999999999994</v>
          </cell>
          <cell r="BX307">
            <v>190</v>
          </cell>
          <cell r="BY307">
            <v>29.526</v>
          </cell>
          <cell r="BZ307">
            <v>10.144</v>
          </cell>
          <cell r="CD307">
            <v>210</v>
          </cell>
          <cell r="CE307">
            <v>32.634</v>
          </cell>
          <cell r="CF307">
            <v>11.526</v>
          </cell>
          <cell r="CJ307">
            <v>240</v>
          </cell>
          <cell r="CK307">
            <v>37.295999999999999</v>
          </cell>
          <cell r="CL307">
            <v>13.474</v>
          </cell>
          <cell r="CP307">
            <v>1180</v>
          </cell>
          <cell r="CQ307">
            <v>183.37200000000001</v>
          </cell>
          <cell r="CR307">
            <v>62.971999999999994</v>
          </cell>
          <cell r="CS307">
            <v>34.341120781798736</v>
          </cell>
          <cell r="CX307">
            <v>350</v>
          </cell>
          <cell r="CY307">
            <v>55.713999999999999</v>
          </cell>
          <cell r="CZ307">
            <v>8.7399999999999984</v>
          </cell>
          <cell r="DA307">
            <v>15.687259934666328</v>
          </cell>
          <cell r="DF307">
            <v>330</v>
          </cell>
          <cell r="DG307">
            <v>52.528999999999996</v>
          </cell>
          <cell r="DH307">
            <v>10.565999999999999</v>
          </cell>
          <cell r="DI307">
            <v>20.114603361952444</v>
          </cell>
          <cell r="DN307">
            <v>540</v>
          </cell>
          <cell r="DO307">
            <v>83.915999999999997</v>
          </cell>
          <cell r="DP307">
            <v>27.827999999999999</v>
          </cell>
          <cell r="DQ307">
            <v>33.161733161733167</v>
          </cell>
          <cell r="DV307">
            <v>640</v>
          </cell>
          <cell r="DW307">
            <v>99.455999999999989</v>
          </cell>
          <cell r="DX307">
            <v>35.144000000000005</v>
          </cell>
          <cell r="DY307">
            <v>35.336229086229096</v>
          </cell>
        </row>
        <row r="308">
          <cell r="F308">
            <v>0</v>
          </cell>
          <cell r="G308">
            <v>0</v>
          </cell>
          <cell r="H308">
            <v>0</v>
          </cell>
          <cell r="I308">
            <v>0</v>
          </cell>
          <cell r="AX308">
            <v>0</v>
          </cell>
          <cell r="AY308">
            <v>0</v>
          </cell>
          <cell r="AZ308">
            <v>0</v>
          </cell>
          <cell r="BA308">
            <v>0</v>
          </cell>
          <cell r="CP308">
            <v>0</v>
          </cell>
          <cell r="CQ308">
            <v>0</v>
          </cell>
          <cell r="CR308">
            <v>0</v>
          </cell>
          <cell r="CS308">
            <v>0</v>
          </cell>
          <cell r="CX308">
            <v>0</v>
          </cell>
          <cell r="CY308">
            <v>0</v>
          </cell>
          <cell r="CZ308">
            <v>0</v>
          </cell>
          <cell r="DA308">
            <v>0</v>
          </cell>
          <cell r="DF308">
            <v>0</v>
          </cell>
          <cell r="DG308">
            <v>0</v>
          </cell>
          <cell r="DH308">
            <v>0</v>
          </cell>
          <cell r="DI308">
            <v>0</v>
          </cell>
          <cell r="DN308">
            <v>0</v>
          </cell>
          <cell r="DO308">
            <v>0</v>
          </cell>
          <cell r="DP308">
            <v>0</v>
          </cell>
          <cell r="DQ308">
            <v>0</v>
          </cell>
          <cell r="DV308">
            <v>0</v>
          </cell>
          <cell r="DW308">
            <v>0</v>
          </cell>
          <cell r="DX308">
            <v>0</v>
          </cell>
          <cell r="DY308">
            <v>0</v>
          </cell>
        </row>
        <row r="309">
          <cell r="F309">
            <v>0</v>
          </cell>
          <cell r="G309">
            <v>0</v>
          </cell>
          <cell r="H309">
            <v>0</v>
          </cell>
          <cell r="I309">
            <v>0</v>
          </cell>
          <cell r="AX309">
            <v>0</v>
          </cell>
          <cell r="AY309">
            <v>0</v>
          </cell>
          <cell r="AZ309">
            <v>0</v>
          </cell>
          <cell r="BA309">
            <v>0</v>
          </cell>
          <cell r="CP309">
            <v>0</v>
          </cell>
          <cell r="CQ309">
            <v>0</v>
          </cell>
          <cell r="CR309">
            <v>0</v>
          </cell>
          <cell r="CS309">
            <v>0</v>
          </cell>
          <cell r="CX309">
            <v>0</v>
          </cell>
          <cell r="CY309">
            <v>0</v>
          </cell>
          <cell r="CZ309">
            <v>0</v>
          </cell>
          <cell r="DA309">
            <v>0</v>
          </cell>
          <cell r="DF309">
            <v>0</v>
          </cell>
          <cell r="DG309">
            <v>0</v>
          </cell>
          <cell r="DH309">
            <v>0</v>
          </cell>
          <cell r="DI309">
            <v>0</v>
          </cell>
          <cell r="DN309">
            <v>0</v>
          </cell>
          <cell r="DO309">
            <v>0</v>
          </cell>
          <cell r="DP309">
            <v>0</v>
          </cell>
          <cell r="DQ309">
            <v>0</v>
          </cell>
          <cell r="DV309">
            <v>0</v>
          </cell>
          <cell r="DW309">
            <v>0</v>
          </cell>
          <cell r="DX309">
            <v>0</v>
          </cell>
          <cell r="DY309">
            <v>0</v>
          </cell>
        </row>
        <row r="310">
          <cell r="F310">
            <v>0</v>
          </cell>
          <cell r="G310">
            <v>0</v>
          </cell>
          <cell r="H310">
            <v>0</v>
          </cell>
          <cell r="I310">
            <v>0</v>
          </cell>
          <cell r="AX310">
            <v>0</v>
          </cell>
          <cell r="AY310">
            <v>0</v>
          </cell>
          <cell r="AZ310">
            <v>0</v>
          </cell>
          <cell r="BA310">
            <v>0</v>
          </cell>
          <cell r="CP310">
            <v>0</v>
          </cell>
          <cell r="CQ310">
            <v>0</v>
          </cell>
          <cell r="CR310">
            <v>0</v>
          </cell>
          <cell r="CS310">
            <v>0</v>
          </cell>
          <cell r="CX310">
            <v>0</v>
          </cell>
          <cell r="CY310">
            <v>0</v>
          </cell>
          <cell r="CZ310">
            <v>0</v>
          </cell>
          <cell r="DA310">
            <v>0</v>
          </cell>
          <cell r="DF310">
            <v>0</v>
          </cell>
          <cell r="DG310">
            <v>0</v>
          </cell>
          <cell r="DH310">
            <v>0</v>
          </cell>
          <cell r="DI310">
            <v>0</v>
          </cell>
          <cell r="DN310">
            <v>0</v>
          </cell>
          <cell r="DO310">
            <v>0</v>
          </cell>
          <cell r="DP310">
            <v>0</v>
          </cell>
          <cell r="DQ310">
            <v>0</v>
          </cell>
          <cell r="DV310">
            <v>0</v>
          </cell>
          <cell r="DW310">
            <v>0</v>
          </cell>
          <cell r="DX310">
            <v>0</v>
          </cell>
          <cell r="DY310">
            <v>0</v>
          </cell>
        </row>
        <row r="311">
          <cell r="F311">
            <v>0</v>
          </cell>
          <cell r="G311">
            <v>0</v>
          </cell>
          <cell r="H311">
            <v>0</v>
          </cell>
          <cell r="I311">
            <v>0</v>
          </cell>
          <cell r="AX311">
            <v>0</v>
          </cell>
          <cell r="AY311">
            <v>0</v>
          </cell>
          <cell r="AZ311">
            <v>0</v>
          </cell>
          <cell r="BA311">
            <v>0</v>
          </cell>
          <cell r="CP311">
            <v>0</v>
          </cell>
          <cell r="CQ311">
            <v>0</v>
          </cell>
          <cell r="CR311">
            <v>0</v>
          </cell>
          <cell r="CS311">
            <v>0</v>
          </cell>
          <cell r="CX311">
            <v>0</v>
          </cell>
          <cell r="CY311">
            <v>0</v>
          </cell>
          <cell r="CZ311">
            <v>0</v>
          </cell>
          <cell r="DA311">
            <v>0</v>
          </cell>
          <cell r="DF311">
            <v>0</v>
          </cell>
          <cell r="DG311">
            <v>0</v>
          </cell>
          <cell r="DH311">
            <v>0</v>
          </cell>
          <cell r="DI311">
            <v>0</v>
          </cell>
          <cell r="DN311">
            <v>0</v>
          </cell>
          <cell r="DO311">
            <v>0</v>
          </cell>
          <cell r="DP311">
            <v>0</v>
          </cell>
          <cell r="DQ311">
            <v>0</v>
          </cell>
          <cell r="DV311">
            <v>0</v>
          </cell>
          <cell r="DW311">
            <v>0</v>
          </cell>
          <cell r="DX311">
            <v>0</v>
          </cell>
          <cell r="DY311">
            <v>0</v>
          </cell>
        </row>
        <row r="312">
          <cell r="F312">
            <v>0</v>
          </cell>
          <cell r="G312">
            <v>0</v>
          </cell>
          <cell r="H312">
            <v>0</v>
          </cell>
          <cell r="I312">
            <v>0</v>
          </cell>
          <cell r="AX312">
            <v>0</v>
          </cell>
          <cell r="AY312">
            <v>0</v>
          </cell>
          <cell r="AZ312">
            <v>0</v>
          </cell>
          <cell r="BA312">
            <v>0</v>
          </cell>
          <cell r="CP312">
            <v>0</v>
          </cell>
          <cell r="CQ312">
            <v>0</v>
          </cell>
          <cell r="CR312">
            <v>0</v>
          </cell>
          <cell r="CS312">
            <v>0</v>
          </cell>
          <cell r="CX312">
            <v>0</v>
          </cell>
          <cell r="CY312">
            <v>0</v>
          </cell>
          <cell r="CZ312">
            <v>0</v>
          </cell>
          <cell r="DA312">
            <v>0</v>
          </cell>
          <cell r="DF312">
            <v>0</v>
          </cell>
          <cell r="DG312">
            <v>0</v>
          </cell>
          <cell r="DH312">
            <v>0</v>
          </cell>
          <cell r="DI312">
            <v>0</v>
          </cell>
          <cell r="DN312">
            <v>0</v>
          </cell>
          <cell r="DO312">
            <v>0</v>
          </cell>
          <cell r="DP312">
            <v>0</v>
          </cell>
          <cell r="DQ312">
            <v>0</v>
          </cell>
          <cell r="DV312">
            <v>0</v>
          </cell>
          <cell r="DW312">
            <v>0</v>
          </cell>
          <cell r="DX312">
            <v>0</v>
          </cell>
          <cell r="DY312">
            <v>0</v>
          </cell>
        </row>
        <row r="313">
          <cell r="F313">
            <v>2368</v>
          </cell>
          <cell r="G313">
            <v>318.19200000000001</v>
          </cell>
          <cell r="H313">
            <v>73.313999999999993</v>
          </cell>
          <cell r="I313">
            <v>23.04080555136521</v>
          </cell>
          <cell r="N313">
            <v>165</v>
          </cell>
          <cell r="O313">
            <v>22.02</v>
          </cell>
          <cell r="P313">
            <v>3.0869999999999997</v>
          </cell>
          <cell r="T313">
            <v>156</v>
          </cell>
          <cell r="U313">
            <v>21.542999999999999</v>
          </cell>
          <cell r="V313">
            <v>4.3309999999999995</v>
          </cell>
          <cell r="Z313">
            <v>131</v>
          </cell>
          <cell r="AA313">
            <v>17.562999999999999</v>
          </cell>
          <cell r="AB313">
            <v>1.5680000000000001</v>
          </cell>
          <cell r="AF313">
            <v>131</v>
          </cell>
          <cell r="AG313">
            <v>17.562999999999999</v>
          </cell>
          <cell r="AH313">
            <v>3.2560000000000002</v>
          </cell>
          <cell r="AL313">
            <v>136</v>
          </cell>
          <cell r="AM313">
            <v>17.827999999999999</v>
          </cell>
          <cell r="AN313">
            <v>1.9040000000000001</v>
          </cell>
          <cell r="AR313">
            <v>170</v>
          </cell>
          <cell r="AS313">
            <v>22.815000000000001</v>
          </cell>
          <cell r="AT313">
            <v>3.6849999999999996</v>
          </cell>
          <cell r="AX313">
            <v>889</v>
          </cell>
          <cell r="AY313">
            <v>119.33199999999999</v>
          </cell>
          <cell r="AZ313">
            <v>17.830999999999996</v>
          </cell>
          <cell r="BA313">
            <v>14.942345724533231</v>
          </cell>
          <cell r="BF313">
            <v>225</v>
          </cell>
          <cell r="BG313">
            <v>29.785</v>
          </cell>
          <cell r="BH313">
            <v>7.4329999999999998</v>
          </cell>
          <cell r="BL313">
            <v>230</v>
          </cell>
          <cell r="BM313">
            <v>30.562000000000001</v>
          </cell>
          <cell r="BN313">
            <v>8.4719999999999995</v>
          </cell>
          <cell r="BR313">
            <v>234</v>
          </cell>
          <cell r="BS313">
            <v>31.286999999999999</v>
          </cell>
          <cell r="BT313">
            <v>8.1999999999999993</v>
          </cell>
          <cell r="BX313">
            <v>240</v>
          </cell>
          <cell r="BY313">
            <v>32.116</v>
          </cell>
          <cell r="BZ313">
            <v>8.8719999999999999</v>
          </cell>
          <cell r="CD313">
            <v>260</v>
          </cell>
          <cell r="CE313">
            <v>35.224000000000004</v>
          </cell>
          <cell r="CF313">
            <v>10.265000000000001</v>
          </cell>
          <cell r="CJ313">
            <v>290</v>
          </cell>
          <cell r="CK313">
            <v>39.885999999999996</v>
          </cell>
          <cell r="CL313">
            <v>12.241</v>
          </cell>
          <cell r="CP313">
            <v>1479</v>
          </cell>
          <cell r="CQ313">
            <v>198.86</v>
          </cell>
          <cell r="CR313">
            <v>55.48299999999999</v>
          </cell>
          <cell r="CS313">
            <v>27.900533038318407</v>
          </cell>
          <cell r="CX313">
            <v>452</v>
          </cell>
          <cell r="CY313">
            <v>61.125999999999998</v>
          </cell>
          <cell r="CZ313">
            <v>8.9859999999999989</v>
          </cell>
          <cell r="DA313">
            <v>14.700781991296665</v>
          </cell>
          <cell r="DF313">
            <v>437</v>
          </cell>
          <cell r="DG313">
            <v>58.205999999999996</v>
          </cell>
          <cell r="DH313">
            <v>8.8449999999999989</v>
          </cell>
          <cell r="DI313">
            <v>15.196027900903687</v>
          </cell>
          <cell r="DN313">
            <v>689</v>
          </cell>
          <cell r="DO313">
            <v>91.634</v>
          </cell>
          <cell r="DP313">
            <v>24.105</v>
          </cell>
          <cell r="DQ313">
            <v>26.305738044830523</v>
          </cell>
          <cell r="DV313">
            <v>790</v>
          </cell>
          <cell r="DW313">
            <v>107.22599999999998</v>
          </cell>
          <cell r="DX313">
            <v>31.378000000000007</v>
          </cell>
          <cell r="DY313">
            <v>29.26342491559884</v>
          </cell>
        </row>
        <row r="314">
          <cell r="F314">
            <v>200</v>
          </cell>
          <cell r="G314">
            <v>164.38400000000001</v>
          </cell>
          <cell r="H314">
            <v>44.445000000000007</v>
          </cell>
          <cell r="I314">
            <v>27.037302900525599</v>
          </cell>
          <cell r="N314">
            <v>10</v>
          </cell>
          <cell r="O314">
            <v>8.3379999999999992</v>
          </cell>
          <cell r="P314">
            <v>0.434</v>
          </cell>
          <cell r="T314">
            <v>15</v>
          </cell>
          <cell r="U314">
            <v>12.507</v>
          </cell>
          <cell r="V314">
            <v>0.65100000000000002</v>
          </cell>
          <cell r="Z314">
            <v>15</v>
          </cell>
          <cell r="AA314">
            <v>12.507</v>
          </cell>
          <cell r="AB314">
            <v>0.65100000000000002</v>
          </cell>
          <cell r="AF314">
            <v>15</v>
          </cell>
          <cell r="AG314">
            <v>12.507</v>
          </cell>
          <cell r="AH314">
            <v>2.121</v>
          </cell>
          <cell r="AL314">
            <v>10</v>
          </cell>
          <cell r="AM314">
            <v>8.3379999999999992</v>
          </cell>
          <cell r="AN314">
            <v>1.843</v>
          </cell>
          <cell r="AR314">
            <v>15</v>
          </cell>
          <cell r="AS314">
            <v>12.507</v>
          </cell>
          <cell r="AT314">
            <v>3.0670000000000002</v>
          </cell>
          <cell r="AX314">
            <v>80</v>
          </cell>
          <cell r="AY314">
            <v>66.703999999999994</v>
          </cell>
          <cell r="AZ314">
            <v>8.7669999999999995</v>
          </cell>
          <cell r="BA314">
            <v>13.143139841688656</v>
          </cell>
          <cell r="BF314">
            <v>20</v>
          </cell>
          <cell r="BG314">
            <v>16.28</v>
          </cell>
          <cell r="BH314">
            <v>5.0119999999999996</v>
          </cell>
          <cell r="BL314">
            <v>20</v>
          </cell>
          <cell r="BM314">
            <v>16.28</v>
          </cell>
          <cell r="BN314">
            <v>5.8109999999999999</v>
          </cell>
          <cell r="BR314">
            <v>15</v>
          </cell>
          <cell r="BS314">
            <v>12.21</v>
          </cell>
          <cell r="BT314">
            <v>4.484</v>
          </cell>
          <cell r="BX314">
            <v>20</v>
          </cell>
          <cell r="BY314">
            <v>16.28</v>
          </cell>
          <cell r="BZ314">
            <v>6.1280000000000001</v>
          </cell>
          <cell r="CD314">
            <v>25</v>
          </cell>
          <cell r="CE314">
            <v>20.350000000000001</v>
          </cell>
          <cell r="CF314">
            <v>7.835</v>
          </cell>
          <cell r="CJ314">
            <v>20</v>
          </cell>
          <cell r="CK314">
            <v>16.28</v>
          </cell>
          <cell r="CL314">
            <v>6.4080000000000004</v>
          </cell>
          <cell r="CP314">
            <v>120</v>
          </cell>
          <cell r="CQ314">
            <v>97.68</v>
          </cell>
          <cell r="CR314">
            <v>35.678000000000004</v>
          </cell>
          <cell r="CS314">
            <v>36.525389025389025</v>
          </cell>
          <cell r="CX314">
            <v>40</v>
          </cell>
          <cell r="CY314">
            <v>33.351999999999997</v>
          </cell>
          <cell r="CZ314">
            <v>1.736</v>
          </cell>
          <cell r="DA314">
            <v>5.2050851523147044</v>
          </cell>
          <cell r="DF314">
            <v>40</v>
          </cell>
          <cell r="DG314">
            <v>33.351999999999997</v>
          </cell>
          <cell r="DH314">
            <v>7.0310000000000006</v>
          </cell>
          <cell r="DI314">
            <v>21.081194531062607</v>
          </cell>
          <cell r="DN314">
            <v>55</v>
          </cell>
          <cell r="DO314">
            <v>44.77</v>
          </cell>
          <cell r="DP314">
            <v>15.307</v>
          </cell>
          <cell r="DQ314">
            <v>34.190306008487823</v>
          </cell>
          <cell r="DV314">
            <v>65</v>
          </cell>
          <cell r="DW314">
            <v>52.910000000000004</v>
          </cell>
          <cell r="DX314">
            <v>20.371000000000002</v>
          </cell>
          <cell r="DY314">
            <v>38.501228501228503</v>
          </cell>
        </row>
        <row r="315">
          <cell r="F315">
            <v>1116</v>
          </cell>
          <cell r="G315">
            <v>1002.176</v>
          </cell>
          <cell r="H315">
            <v>397.94599999999997</v>
          </cell>
          <cell r="I315">
            <v>39.708194967750174</v>
          </cell>
          <cell r="N315">
            <v>80</v>
          </cell>
          <cell r="O315">
            <v>72.768000000000001</v>
          </cell>
          <cell r="P315">
            <v>23.283999999999999</v>
          </cell>
          <cell r="T315">
            <v>86</v>
          </cell>
          <cell r="U315">
            <v>78.225999999999999</v>
          </cell>
          <cell r="V315">
            <v>26.536999999999999</v>
          </cell>
          <cell r="Z315">
            <v>80</v>
          </cell>
          <cell r="AA315">
            <v>72.768000000000001</v>
          </cell>
          <cell r="AB315">
            <v>24.529</v>
          </cell>
          <cell r="AF315">
            <v>75</v>
          </cell>
          <cell r="AG315">
            <v>68.22</v>
          </cell>
          <cell r="AH315">
            <v>22.707999999999998</v>
          </cell>
          <cell r="AL315">
            <v>91</v>
          </cell>
          <cell r="AM315">
            <v>82.774000000000001</v>
          </cell>
          <cell r="AN315">
            <v>28.678000000000001</v>
          </cell>
          <cell r="AR315">
            <v>105</v>
          </cell>
          <cell r="AS315">
            <v>95.507999999999996</v>
          </cell>
          <cell r="AT315">
            <v>34.380000000000003</v>
          </cell>
          <cell r="AX315">
            <v>517</v>
          </cell>
          <cell r="AY315">
            <v>470.26400000000001</v>
          </cell>
          <cell r="AZ315">
            <v>160.11599999999999</v>
          </cell>
          <cell r="BA315">
            <v>34.048109147202425</v>
          </cell>
          <cell r="BF315">
            <v>95</v>
          </cell>
          <cell r="BG315">
            <v>84.36</v>
          </cell>
          <cell r="BH315">
            <v>32.390999999999998</v>
          </cell>
          <cell r="BL315">
            <v>85</v>
          </cell>
          <cell r="BM315">
            <v>75.48</v>
          </cell>
          <cell r="BN315">
            <v>31.875</v>
          </cell>
          <cell r="BR315">
            <v>84</v>
          </cell>
          <cell r="BS315">
            <v>74.591999999999999</v>
          </cell>
          <cell r="BT315">
            <v>33.643999999999998</v>
          </cell>
          <cell r="BX315">
            <v>95</v>
          </cell>
          <cell r="BY315">
            <v>84.36</v>
          </cell>
          <cell r="BZ315">
            <v>38.445999999999998</v>
          </cell>
          <cell r="CD315">
            <v>110</v>
          </cell>
          <cell r="CE315">
            <v>97.68</v>
          </cell>
          <cell r="CF315">
            <v>46.338999999999999</v>
          </cell>
          <cell r="CJ315">
            <v>130</v>
          </cell>
          <cell r="CK315">
            <v>115.44</v>
          </cell>
          <cell r="CL315">
            <v>55.134999999999998</v>
          </cell>
          <cell r="CP315">
            <v>599</v>
          </cell>
          <cell r="CQ315">
            <v>531.91200000000003</v>
          </cell>
          <cell r="CR315">
            <v>237.82999999999998</v>
          </cell>
          <cell r="CS315">
            <v>44.712283234820795</v>
          </cell>
          <cell r="CX315">
            <v>246</v>
          </cell>
          <cell r="CY315">
            <v>223.762</v>
          </cell>
          <cell r="CZ315">
            <v>74.349999999999994</v>
          </cell>
          <cell r="DA315">
            <v>33.227268258238659</v>
          </cell>
          <cell r="DF315">
            <v>271</v>
          </cell>
          <cell r="DG315">
            <v>246.50200000000001</v>
          </cell>
          <cell r="DH315">
            <v>85.765999999999991</v>
          </cell>
          <cell r="DI315">
            <v>34.793226829802592</v>
          </cell>
          <cell r="DN315">
            <v>264</v>
          </cell>
          <cell r="DO315">
            <v>234.43200000000002</v>
          </cell>
          <cell r="DP315">
            <v>97.91</v>
          </cell>
          <cell r="DQ315">
            <v>41.764776139776131</v>
          </cell>
          <cell r="DV315">
            <v>335</v>
          </cell>
          <cell r="DW315">
            <v>297.48</v>
          </cell>
          <cell r="DX315">
            <v>139.91999999999999</v>
          </cell>
          <cell r="DY315">
            <v>47.035094796288817</v>
          </cell>
        </row>
        <row r="316">
          <cell r="F316">
            <v>200</v>
          </cell>
          <cell r="G316">
            <v>164.285</v>
          </cell>
          <cell r="H316">
            <v>59.657999999999994</v>
          </cell>
          <cell r="I316">
            <v>36.313723103143921</v>
          </cell>
          <cell r="N316">
            <v>10</v>
          </cell>
          <cell r="O316">
            <v>8.3379999999999992</v>
          </cell>
          <cell r="P316">
            <v>2.19</v>
          </cell>
          <cell r="T316">
            <v>10</v>
          </cell>
          <cell r="U316">
            <v>8.3379999999999992</v>
          </cell>
          <cell r="V316">
            <v>2.3519999999999999</v>
          </cell>
          <cell r="Z316">
            <v>15</v>
          </cell>
          <cell r="AA316">
            <v>12.507</v>
          </cell>
          <cell r="AB316">
            <v>3.4260000000000002</v>
          </cell>
          <cell r="AF316">
            <v>15</v>
          </cell>
          <cell r="AG316">
            <v>12.507</v>
          </cell>
          <cell r="AH316">
            <v>3.468</v>
          </cell>
          <cell r="AL316">
            <v>10</v>
          </cell>
          <cell r="AM316">
            <v>8.3379999999999992</v>
          </cell>
          <cell r="AN316">
            <v>2.4039999999999999</v>
          </cell>
          <cell r="AR316">
            <v>15</v>
          </cell>
          <cell r="AS316">
            <v>12.507</v>
          </cell>
          <cell r="AT316">
            <v>3.7629999999999999</v>
          </cell>
          <cell r="AX316">
            <v>75</v>
          </cell>
          <cell r="AY316">
            <v>62.534999999999997</v>
          </cell>
          <cell r="AZ316">
            <v>17.603000000000002</v>
          </cell>
          <cell r="BA316">
            <v>28.149036539537864</v>
          </cell>
          <cell r="BF316">
            <v>20</v>
          </cell>
          <cell r="BG316">
            <v>16.28</v>
          </cell>
          <cell r="BH316">
            <v>5.7839999999999998</v>
          </cell>
          <cell r="BL316">
            <v>20</v>
          </cell>
          <cell r="BM316">
            <v>16.28</v>
          </cell>
          <cell r="BN316">
            <v>6.5469999999999997</v>
          </cell>
          <cell r="BR316">
            <v>20</v>
          </cell>
          <cell r="BS316">
            <v>16.28</v>
          </cell>
          <cell r="BT316">
            <v>6.7350000000000003</v>
          </cell>
          <cell r="BX316">
            <v>20</v>
          </cell>
          <cell r="BY316">
            <v>16.28</v>
          </cell>
          <cell r="BZ316">
            <v>6.915</v>
          </cell>
          <cell r="CD316">
            <v>20</v>
          </cell>
          <cell r="CE316">
            <v>16.28</v>
          </cell>
          <cell r="CF316">
            <v>7.0679999999999996</v>
          </cell>
          <cell r="CJ316">
            <v>25</v>
          </cell>
          <cell r="CK316">
            <v>20.350000000000001</v>
          </cell>
          <cell r="CL316">
            <v>9.0060000000000002</v>
          </cell>
          <cell r="CP316">
            <v>125</v>
          </cell>
          <cell r="CQ316">
            <v>101.75</v>
          </cell>
          <cell r="CR316">
            <v>42.054999999999993</v>
          </cell>
          <cell r="CS316">
            <v>41.331695331695322</v>
          </cell>
          <cell r="CX316">
            <v>35</v>
          </cell>
          <cell r="CY316">
            <v>29.183</v>
          </cell>
          <cell r="CZ316">
            <v>7.968</v>
          </cell>
          <cell r="DA316">
            <v>27.303567145255798</v>
          </cell>
          <cell r="DF316">
            <v>40</v>
          </cell>
          <cell r="DG316">
            <v>33.351999999999997</v>
          </cell>
          <cell r="DH316">
            <v>9.6349999999999998</v>
          </cell>
          <cell r="DI316">
            <v>28.888822259534663</v>
          </cell>
          <cell r="DN316">
            <v>60</v>
          </cell>
          <cell r="DO316">
            <v>48.84</v>
          </cell>
          <cell r="DP316">
            <v>19.065999999999999</v>
          </cell>
          <cell r="DQ316">
            <v>39.03767403767403</v>
          </cell>
          <cell r="DV316">
            <v>65</v>
          </cell>
          <cell r="DW316">
            <v>52.910000000000004</v>
          </cell>
          <cell r="DX316">
            <v>22.989000000000001</v>
          </cell>
          <cell r="DY316">
            <v>43.449253449253447</v>
          </cell>
        </row>
        <row r="317">
          <cell r="F317">
            <v>0</v>
          </cell>
          <cell r="G317">
            <v>0</v>
          </cell>
          <cell r="H317">
            <v>0</v>
          </cell>
          <cell r="I317">
            <v>0</v>
          </cell>
          <cell r="AX317">
            <v>0</v>
          </cell>
          <cell r="AY317">
            <v>0</v>
          </cell>
          <cell r="AZ317">
            <v>0</v>
          </cell>
          <cell r="BA317">
            <v>0</v>
          </cell>
          <cell r="CP317">
            <v>0</v>
          </cell>
          <cell r="CQ317">
            <v>0</v>
          </cell>
          <cell r="CR317">
            <v>0</v>
          </cell>
          <cell r="CS317">
            <v>0</v>
          </cell>
          <cell r="CX317">
            <v>0</v>
          </cell>
          <cell r="CY317">
            <v>0</v>
          </cell>
          <cell r="CZ317">
            <v>0</v>
          </cell>
          <cell r="DA317">
            <v>0</v>
          </cell>
          <cell r="DF317">
            <v>0</v>
          </cell>
          <cell r="DG317">
            <v>0</v>
          </cell>
          <cell r="DH317">
            <v>0</v>
          </cell>
          <cell r="DI317">
            <v>0</v>
          </cell>
          <cell r="DN317">
            <v>0</v>
          </cell>
          <cell r="DO317">
            <v>0</v>
          </cell>
          <cell r="DP317">
            <v>0</v>
          </cell>
          <cell r="DQ317">
            <v>0</v>
          </cell>
          <cell r="DV317">
            <v>0</v>
          </cell>
          <cell r="DW317">
            <v>0</v>
          </cell>
          <cell r="DX317">
            <v>0</v>
          </cell>
          <cell r="DY317">
            <v>0</v>
          </cell>
        </row>
        <row r="318">
          <cell r="F318">
            <v>244</v>
          </cell>
          <cell r="G318">
            <v>189.58799999999997</v>
          </cell>
          <cell r="H318">
            <v>46.305999999999997</v>
          </cell>
          <cell r="I318">
            <v>24.424541637656393</v>
          </cell>
          <cell r="N318">
            <v>0</v>
          </cell>
          <cell r="O318">
            <v>0</v>
          </cell>
          <cell r="P318">
            <v>0</v>
          </cell>
          <cell r="T318">
            <v>0</v>
          </cell>
          <cell r="U318">
            <v>0</v>
          </cell>
          <cell r="V318">
            <v>0</v>
          </cell>
          <cell r="Z318">
            <v>0</v>
          </cell>
          <cell r="AA318">
            <v>0</v>
          </cell>
          <cell r="AB318">
            <v>0</v>
          </cell>
          <cell r="AF318">
            <v>0</v>
          </cell>
          <cell r="AG318">
            <v>0</v>
          </cell>
          <cell r="AH318">
            <v>0</v>
          </cell>
          <cell r="AL318">
            <v>0</v>
          </cell>
          <cell r="AM318">
            <v>0</v>
          </cell>
          <cell r="AN318">
            <v>0</v>
          </cell>
          <cell r="AR318">
            <v>0</v>
          </cell>
          <cell r="AS318">
            <v>0</v>
          </cell>
          <cell r="AT318">
            <v>0</v>
          </cell>
          <cell r="AX318">
            <v>0</v>
          </cell>
          <cell r="AY318">
            <v>0</v>
          </cell>
          <cell r="AZ318">
            <v>0</v>
          </cell>
          <cell r="BA318">
            <v>0</v>
          </cell>
          <cell r="BF318">
            <v>40</v>
          </cell>
          <cell r="BG318">
            <v>31.08</v>
          </cell>
          <cell r="BH318">
            <v>6.9359999999999999</v>
          </cell>
          <cell r="BL318">
            <v>30</v>
          </cell>
          <cell r="BM318">
            <v>23.31</v>
          </cell>
          <cell r="BN318">
            <v>5.7549999999999999</v>
          </cell>
          <cell r="BR318">
            <v>30</v>
          </cell>
          <cell r="BS318">
            <v>23.31</v>
          </cell>
          <cell r="BT318">
            <v>5.5940000000000003</v>
          </cell>
          <cell r="BX318">
            <v>37</v>
          </cell>
          <cell r="BY318">
            <v>28.748999999999999</v>
          </cell>
          <cell r="BZ318">
            <v>6.9740000000000002</v>
          </cell>
          <cell r="CD318">
            <v>47</v>
          </cell>
          <cell r="CE318">
            <v>36.518999999999998</v>
          </cell>
          <cell r="CF318">
            <v>9.1</v>
          </cell>
          <cell r="CJ318">
            <v>60</v>
          </cell>
          <cell r="CK318">
            <v>46.62</v>
          </cell>
          <cell r="CL318">
            <v>11.946999999999999</v>
          </cell>
          <cell r="CP318">
            <v>244</v>
          </cell>
          <cell r="CQ318">
            <v>189.58799999999997</v>
          </cell>
          <cell r="CR318">
            <v>46.305999999999997</v>
          </cell>
          <cell r="CS318">
            <v>24.424541637656393</v>
          </cell>
          <cell r="CX318">
            <v>0</v>
          </cell>
          <cell r="CY318">
            <v>0</v>
          </cell>
          <cell r="CZ318">
            <v>0</v>
          </cell>
          <cell r="DA318">
            <v>0</v>
          </cell>
          <cell r="DF318">
            <v>0</v>
          </cell>
          <cell r="DG318">
            <v>0</v>
          </cell>
          <cell r="DH318">
            <v>0</v>
          </cell>
          <cell r="DI318">
            <v>0</v>
          </cell>
          <cell r="DN318">
            <v>100</v>
          </cell>
          <cell r="DO318">
            <v>77.7</v>
          </cell>
          <cell r="DP318">
            <v>18.285</v>
          </cell>
          <cell r="DQ318">
            <v>23.532818532818531</v>
          </cell>
          <cell r="DV318">
            <v>144</v>
          </cell>
          <cell r="DW318">
            <v>111.88800000000001</v>
          </cell>
          <cell r="DX318">
            <v>28.020999999999997</v>
          </cell>
          <cell r="DY318">
            <v>25.043793793793789</v>
          </cell>
        </row>
        <row r="319">
          <cell r="F319">
            <v>100</v>
          </cell>
          <cell r="G319">
            <v>74.63</v>
          </cell>
          <cell r="H319">
            <v>25.255999999999997</v>
          </cell>
          <cell r="I319">
            <v>33.841618652016614</v>
          </cell>
          <cell r="N319">
            <v>5</v>
          </cell>
          <cell r="O319">
            <v>3.79</v>
          </cell>
          <cell r="P319">
            <v>0.92400000000000004</v>
          </cell>
          <cell r="T319">
            <v>5</v>
          </cell>
          <cell r="U319">
            <v>3.79</v>
          </cell>
          <cell r="V319">
            <v>1.05</v>
          </cell>
          <cell r="Z319">
            <v>5</v>
          </cell>
          <cell r="AA319">
            <v>3.79</v>
          </cell>
          <cell r="AB319">
            <v>0.97</v>
          </cell>
          <cell r="AF319">
            <v>5</v>
          </cell>
          <cell r="AG319">
            <v>3.79</v>
          </cell>
          <cell r="AH319">
            <v>0.97499999999999998</v>
          </cell>
          <cell r="AL319">
            <v>5</v>
          </cell>
          <cell r="AM319">
            <v>3.79</v>
          </cell>
          <cell r="AN319">
            <v>1.0049999999999999</v>
          </cell>
          <cell r="AR319">
            <v>10</v>
          </cell>
          <cell r="AS319">
            <v>7.58</v>
          </cell>
          <cell r="AT319">
            <v>2.0979999999999999</v>
          </cell>
          <cell r="AX319">
            <v>35</v>
          </cell>
          <cell r="AY319">
            <v>26.529999999999998</v>
          </cell>
          <cell r="AZ319">
            <v>7.0219999999999994</v>
          </cell>
          <cell r="BA319">
            <v>26.468149264983037</v>
          </cell>
          <cell r="BF319">
            <v>10</v>
          </cell>
          <cell r="BG319">
            <v>7.4</v>
          </cell>
          <cell r="BH319">
            <v>2.3039999999999998</v>
          </cell>
          <cell r="BL319">
            <v>10</v>
          </cell>
          <cell r="BM319">
            <v>7.4</v>
          </cell>
          <cell r="BN319">
            <v>2.7090000000000001</v>
          </cell>
          <cell r="BR319">
            <v>10</v>
          </cell>
          <cell r="BS319">
            <v>7.4</v>
          </cell>
          <cell r="BT319">
            <v>2.7879999999999998</v>
          </cell>
          <cell r="BX319">
            <v>10</v>
          </cell>
          <cell r="BY319">
            <v>7.4</v>
          </cell>
          <cell r="BZ319">
            <v>2.8980000000000001</v>
          </cell>
          <cell r="CD319">
            <v>10</v>
          </cell>
          <cell r="CE319">
            <v>7.4</v>
          </cell>
          <cell r="CF319">
            <v>2.9790000000000001</v>
          </cell>
          <cell r="CJ319">
            <v>15</v>
          </cell>
          <cell r="CK319">
            <v>11.1</v>
          </cell>
          <cell r="CL319">
            <v>4.556</v>
          </cell>
          <cell r="CP319">
            <v>65</v>
          </cell>
          <cell r="CQ319">
            <v>48.099999999999994</v>
          </cell>
          <cell r="CR319">
            <v>18.233999999999998</v>
          </cell>
          <cell r="CS319">
            <v>37.908523908523911</v>
          </cell>
          <cell r="CX319">
            <v>15</v>
          </cell>
          <cell r="CY319">
            <v>11.370000000000001</v>
          </cell>
          <cell r="CZ319">
            <v>2.944</v>
          </cell>
          <cell r="DA319">
            <v>25.892700087950743</v>
          </cell>
          <cell r="DF319">
            <v>20</v>
          </cell>
          <cell r="DG319">
            <v>15.16</v>
          </cell>
          <cell r="DH319">
            <v>4.0779999999999994</v>
          </cell>
          <cell r="DI319">
            <v>26.899736147757253</v>
          </cell>
          <cell r="DN319">
            <v>30</v>
          </cell>
          <cell r="DO319">
            <v>22.200000000000003</v>
          </cell>
          <cell r="DP319">
            <v>7.8010000000000002</v>
          </cell>
          <cell r="DQ319">
            <v>35.139639639639633</v>
          </cell>
          <cell r="DV319">
            <v>35</v>
          </cell>
          <cell r="DW319">
            <v>25.9</v>
          </cell>
          <cell r="DX319">
            <v>10.433</v>
          </cell>
          <cell r="DY319">
            <v>40.281853281853287</v>
          </cell>
        </row>
        <row r="320">
          <cell r="F320">
            <v>0</v>
          </cell>
          <cell r="G320">
            <v>0</v>
          </cell>
          <cell r="H320">
            <v>0</v>
          </cell>
          <cell r="I320">
            <v>0</v>
          </cell>
          <cell r="AX320">
            <v>0</v>
          </cell>
          <cell r="AY320">
            <v>0</v>
          </cell>
          <cell r="AZ320">
            <v>0</v>
          </cell>
          <cell r="BA320">
            <v>0</v>
          </cell>
          <cell r="CP320">
            <v>0</v>
          </cell>
          <cell r="CQ320">
            <v>0</v>
          </cell>
          <cell r="CR320">
            <v>0</v>
          </cell>
          <cell r="CS320">
            <v>0</v>
          </cell>
          <cell r="CX320">
            <v>0</v>
          </cell>
          <cell r="CY320">
            <v>0</v>
          </cell>
          <cell r="CZ320">
            <v>0</v>
          </cell>
          <cell r="DA320">
            <v>0</v>
          </cell>
          <cell r="DF320">
            <v>0</v>
          </cell>
          <cell r="DG320">
            <v>0</v>
          </cell>
          <cell r="DH320">
            <v>0</v>
          </cell>
          <cell r="DI320">
            <v>0</v>
          </cell>
          <cell r="DN320">
            <v>0</v>
          </cell>
          <cell r="DO320">
            <v>0</v>
          </cell>
          <cell r="DP320">
            <v>0</v>
          </cell>
          <cell r="DQ320">
            <v>0</v>
          </cell>
          <cell r="DV320">
            <v>0</v>
          </cell>
          <cell r="DW320">
            <v>0</v>
          </cell>
          <cell r="DX320">
            <v>0</v>
          </cell>
          <cell r="DY320">
            <v>0</v>
          </cell>
        </row>
        <row r="321">
          <cell r="F321">
            <v>0</v>
          </cell>
          <cell r="G321">
            <v>0</v>
          </cell>
          <cell r="H321">
            <v>0</v>
          </cell>
          <cell r="I321">
            <v>0</v>
          </cell>
          <cell r="N321">
            <v>0</v>
          </cell>
          <cell r="O321">
            <v>0</v>
          </cell>
          <cell r="T321">
            <v>0</v>
          </cell>
          <cell r="U321">
            <v>0</v>
          </cell>
          <cell r="Z321">
            <v>0</v>
          </cell>
          <cell r="AA321">
            <v>0</v>
          </cell>
          <cell r="AF321">
            <v>0</v>
          </cell>
          <cell r="AG321">
            <v>0</v>
          </cell>
          <cell r="AL321">
            <v>0</v>
          </cell>
          <cell r="AM321">
            <v>0</v>
          </cell>
          <cell r="AR321">
            <v>0</v>
          </cell>
          <cell r="AS321">
            <v>0</v>
          </cell>
          <cell r="AX321">
            <v>0</v>
          </cell>
          <cell r="AY321">
            <v>0</v>
          </cell>
          <cell r="AZ321">
            <v>0</v>
          </cell>
          <cell r="BA321">
            <v>0</v>
          </cell>
          <cell r="BF321">
            <v>0</v>
          </cell>
          <cell r="BG321">
            <v>0</v>
          </cell>
          <cell r="BL321">
            <v>0</v>
          </cell>
          <cell r="BM321">
            <v>0</v>
          </cell>
          <cell r="BR321">
            <v>0</v>
          </cell>
          <cell r="BS321">
            <v>0</v>
          </cell>
          <cell r="BX321">
            <v>0</v>
          </cell>
          <cell r="BY321">
            <v>0</v>
          </cell>
          <cell r="CD321">
            <v>0</v>
          </cell>
          <cell r="CE321">
            <v>0</v>
          </cell>
          <cell r="CJ321">
            <v>0</v>
          </cell>
          <cell r="CK321">
            <v>0</v>
          </cell>
          <cell r="CP321">
            <v>0</v>
          </cell>
          <cell r="CQ321">
            <v>0</v>
          </cell>
          <cell r="CR321">
            <v>0</v>
          </cell>
          <cell r="CS321">
            <v>0</v>
          </cell>
          <cell r="CX321">
            <v>0</v>
          </cell>
          <cell r="CY321">
            <v>0</v>
          </cell>
          <cell r="CZ321">
            <v>0</v>
          </cell>
          <cell r="DA321">
            <v>0</v>
          </cell>
          <cell r="DF321">
            <v>0</v>
          </cell>
          <cell r="DG321">
            <v>0</v>
          </cell>
          <cell r="DH321">
            <v>0</v>
          </cell>
          <cell r="DI321">
            <v>0</v>
          </cell>
          <cell r="DN321">
            <v>0</v>
          </cell>
          <cell r="DO321">
            <v>0</v>
          </cell>
          <cell r="DP321">
            <v>0</v>
          </cell>
          <cell r="DQ321">
            <v>0</v>
          </cell>
          <cell r="DV321">
            <v>0</v>
          </cell>
          <cell r="DW321">
            <v>0</v>
          </cell>
          <cell r="DX321">
            <v>0</v>
          </cell>
          <cell r="DY321">
            <v>0</v>
          </cell>
        </row>
        <row r="322">
          <cell r="F322">
            <v>335</v>
          </cell>
          <cell r="G322">
            <v>275.06599999999997</v>
          </cell>
          <cell r="H322">
            <v>98.688999999999993</v>
          </cell>
          <cell r="I322">
            <v>35.878298299317258</v>
          </cell>
          <cell r="N322">
            <v>10</v>
          </cell>
          <cell r="O322">
            <v>8.3379999999999992</v>
          </cell>
          <cell r="P322">
            <v>1.921</v>
          </cell>
          <cell r="T322">
            <v>40</v>
          </cell>
          <cell r="U322">
            <v>33.351999999999997</v>
          </cell>
          <cell r="V322">
            <v>8.9629999999999992</v>
          </cell>
          <cell r="Z322">
            <v>5</v>
          </cell>
          <cell r="AA322">
            <v>4.1689999999999996</v>
          </cell>
          <cell r="AB322">
            <v>0.96899999999999997</v>
          </cell>
          <cell r="AF322">
            <v>30</v>
          </cell>
          <cell r="AG322">
            <v>25.013999999999999</v>
          </cell>
          <cell r="AH322">
            <v>6.8680000000000003</v>
          </cell>
          <cell r="AL322">
            <v>5</v>
          </cell>
          <cell r="AM322">
            <v>4.1689999999999996</v>
          </cell>
          <cell r="AN322">
            <v>1.028</v>
          </cell>
          <cell r="AR322">
            <v>30</v>
          </cell>
          <cell r="AS322">
            <v>25.013999999999999</v>
          </cell>
          <cell r="AT322">
            <v>7.431</v>
          </cell>
          <cell r="AX322">
            <v>120</v>
          </cell>
          <cell r="AY322">
            <v>100.05599999999998</v>
          </cell>
          <cell r="AZ322">
            <v>27.18</v>
          </cell>
          <cell r="BA322">
            <v>27.164787718877431</v>
          </cell>
          <cell r="BF322">
            <v>10</v>
          </cell>
          <cell r="BG322">
            <v>8.14</v>
          </cell>
          <cell r="BH322">
            <v>2.7690000000000001</v>
          </cell>
          <cell r="BL322">
            <v>30</v>
          </cell>
          <cell r="BM322">
            <v>24.42</v>
          </cell>
          <cell r="BN322">
            <v>9.2810000000000006</v>
          </cell>
          <cell r="BR322">
            <v>50</v>
          </cell>
          <cell r="BS322">
            <v>40.700000000000003</v>
          </cell>
          <cell r="BT322">
            <v>17.061</v>
          </cell>
          <cell r="BX322">
            <v>80</v>
          </cell>
          <cell r="BY322">
            <v>65.12</v>
          </cell>
          <cell r="BZ322">
            <v>27.271000000000001</v>
          </cell>
          <cell r="CD322">
            <v>30</v>
          </cell>
          <cell r="CE322">
            <v>24.42</v>
          </cell>
          <cell r="CF322">
            <v>10.019</v>
          </cell>
          <cell r="CJ322">
            <v>15</v>
          </cell>
          <cell r="CK322">
            <v>12.21</v>
          </cell>
          <cell r="CL322">
            <v>5.1079999999999997</v>
          </cell>
          <cell r="CP322">
            <v>215</v>
          </cell>
          <cell r="CQ322">
            <v>175.01</v>
          </cell>
          <cell r="CR322">
            <v>71.509</v>
          </cell>
          <cell r="CS322">
            <v>40.859950859950864</v>
          </cell>
          <cell r="CX322">
            <v>55</v>
          </cell>
          <cell r="CY322">
            <v>45.858999999999995</v>
          </cell>
          <cell r="CZ322">
            <v>11.852999999999998</v>
          </cell>
          <cell r="DA322">
            <v>25.846616803680845</v>
          </cell>
          <cell r="DF322">
            <v>65</v>
          </cell>
          <cell r="DG322">
            <v>54.197000000000003</v>
          </cell>
          <cell r="DH322">
            <v>15.327000000000002</v>
          </cell>
          <cell r="DI322">
            <v>28.280163108659153</v>
          </cell>
          <cell r="DN322">
            <v>90</v>
          </cell>
          <cell r="DO322">
            <v>73.260000000000005</v>
          </cell>
          <cell r="DP322">
            <v>29.111000000000001</v>
          </cell>
          <cell r="DQ322">
            <v>39.736554736554737</v>
          </cell>
          <cell r="DV322">
            <v>125</v>
          </cell>
          <cell r="DW322">
            <v>101.75</v>
          </cell>
          <cell r="DX322">
            <v>42.397999999999996</v>
          </cell>
          <cell r="DY322">
            <v>41.668796068796063</v>
          </cell>
        </row>
        <row r="323">
          <cell r="F323">
            <v>0</v>
          </cell>
          <cell r="G323">
            <v>0</v>
          </cell>
          <cell r="H323">
            <v>0</v>
          </cell>
          <cell r="I323">
            <v>0</v>
          </cell>
          <cell r="AX323">
            <v>0</v>
          </cell>
          <cell r="AY323">
            <v>0</v>
          </cell>
          <cell r="AZ323">
            <v>0</v>
          </cell>
          <cell r="BA323">
            <v>0</v>
          </cell>
          <cell r="CP323">
            <v>0</v>
          </cell>
          <cell r="CQ323">
            <v>0</v>
          </cell>
          <cell r="CR323">
            <v>0</v>
          </cell>
          <cell r="CS323">
            <v>0</v>
          </cell>
          <cell r="CX323">
            <v>0</v>
          </cell>
          <cell r="CY323">
            <v>0</v>
          </cell>
          <cell r="CZ323">
            <v>0</v>
          </cell>
          <cell r="DA323">
            <v>0</v>
          </cell>
          <cell r="DF323">
            <v>0</v>
          </cell>
          <cell r="DG323">
            <v>0</v>
          </cell>
          <cell r="DH323">
            <v>0</v>
          </cell>
          <cell r="DI323">
            <v>0</v>
          </cell>
          <cell r="DN323">
            <v>0</v>
          </cell>
          <cell r="DO323">
            <v>0</v>
          </cell>
          <cell r="DP323">
            <v>0</v>
          </cell>
          <cell r="DQ323">
            <v>0</v>
          </cell>
          <cell r="DV323">
            <v>0</v>
          </cell>
          <cell r="DW323">
            <v>0</v>
          </cell>
          <cell r="DX323">
            <v>0</v>
          </cell>
          <cell r="DY323">
            <v>0</v>
          </cell>
        </row>
        <row r="324">
          <cell r="F324">
            <v>0</v>
          </cell>
          <cell r="G324">
            <v>38.201999999999998</v>
          </cell>
          <cell r="H324">
            <v>15.876000000000001</v>
          </cell>
          <cell r="I324">
            <v>41.558033610805722</v>
          </cell>
          <cell r="O324">
            <v>2.1219999999999999</v>
          </cell>
          <cell r="P324">
            <v>-0.53100000000000003</v>
          </cell>
          <cell r="U324">
            <v>2.653</v>
          </cell>
          <cell r="V324">
            <v>0.23799999999999999</v>
          </cell>
          <cell r="AA324">
            <v>2.653</v>
          </cell>
          <cell r="AB324">
            <v>0.77700000000000002</v>
          </cell>
          <cell r="AG324">
            <v>2.1219999999999999</v>
          </cell>
          <cell r="AH324">
            <v>0.80200000000000005</v>
          </cell>
          <cell r="AM324">
            <v>2.653</v>
          </cell>
          <cell r="AN324">
            <v>1.157</v>
          </cell>
          <cell r="AS324">
            <v>3.714</v>
          </cell>
          <cell r="AT324">
            <v>1.7569999999999999</v>
          </cell>
          <cell r="AX324">
            <v>0</v>
          </cell>
          <cell r="AY324">
            <v>15.917000000000002</v>
          </cell>
          <cell r="AZ324">
            <v>4.2</v>
          </cell>
          <cell r="BA324">
            <v>26.386881950116226</v>
          </cell>
          <cell r="BG324">
            <v>3.714</v>
          </cell>
          <cell r="BH324">
            <v>1.87</v>
          </cell>
          <cell r="BM324">
            <v>3.1840000000000002</v>
          </cell>
          <cell r="BN324">
            <v>1.62</v>
          </cell>
          <cell r="BS324">
            <v>2.653</v>
          </cell>
          <cell r="BT324">
            <v>1.387</v>
          </cell>
          <cell r="BY324">
            <v>3.1840000000000002</v>
          </cell>
          <cell r="BZ324">
            <v>1.6879999999999999</v>
          </cell>
          <cell r="CE324">
            <v>4.7750000000000004</v>
          </cell>
          <cell r="CF324">
            <v>2.544</v>
          </cell>
          <cell r="CK324">
            <v>4.7750000000000004</v>
          </cell>
          <cell r="CL324">
            <v>2.5670000000000002</v>
          </cell>
          <cell r="CP324">
            <v>0</v>
          </cell>
          <cell r="CQ324">
            <v>22.285</v>
          </cell>
          <cell r="CR324">
            <v>11.676000000000002</v>
          </cell>
          <cell r="CS324">
            <v>52.393986986762407</v>
          </cell>
          <cell r="CX324">
            <v>0</v>
          </cell>
          <cell r="CY324">
            <v>7.4280000000000008</v>
          </cell>
          <cell r="CZ324">
            <v>0.48399999999999999</v>
          </cell>
          <cell r="DA324">
            <v>6.515885837372104</v>
          </cell>
          <cell r="DF324">
            <v>0</v>
          </cell>
          <cell r="DG324">
            <v>8.4890000000000008</v>
          </cell>
          <cell r="DH324">
            <v>3.7160000000000002</v>
          </cell>
          <cell r="DI324">
            <v>43.774296147956179</v>
          </cell>
          <cell r="DN324">
            <v>0</v>
          </cell>
          <cell r="DO324">
            <v>9.5510000000000002</v>
          </cell>
          <cell r="DP324">
            <v>4.8770000000000007</v>
          </cell>
          <cell r="DQ324">
            <v>51.062715945974247</v>
          </cell>
          <cell r="DV324">
            <v>0</v>
          </cell>
          <cell r="DW324">
            <v>12.734000000000002</v>
          </cell>
          <cell r="DX324">
            <v>6.7990000000000004</v>
          </cell>
          <cell r="DY324">
            <v>53.39249253965761</v>
          </cell>
        </row>
        <row r="325">
          <cell r="F325">
            <v>0</v>
          </cell>
          <cell r="G325">
            <v>0</v>
          </cell>
          <cell r="H325">
            <v>0</v>
          </cell>
          <cell r="I325">
            <v>0</v>
          </cell>
          <cell r="N325">
            <v>0</v>
          </cell>
          <cell r="T325">
            <v>0</v>
          </cell>
          <cell r="Z325">
            <v>0</v>
          </cell>
          <cell r="AF325">
            <v>0</v>
          </cell>
          <cell r="AL325">
            <v>0</v>
          </cell>
          <cell r="AR325">
            <v>0</v>
          </cell>
          <cell r="AX325">
            <v>0</v>
          </cell>
          <cell r="AY325">
            <v>0</v>
          </cell>
          <cell r="AZ325">
            <v>0</v>
          </cell>
          <cell r="BA325">
            <v>0</v>
          </cell>
          <cell r="CP325">
            <v>0</v>
          </cell>
          <cell r="CQ325">
            <v>0</v>
          </cell>
          <cell r="CR325">
            <v>0</v>
          </cell>
          <cell r="CS325">
            <v>0</v>
          </cell>
          <cell r="CX325">
            <v>0</v>
          </cell>
          <cell r="CY325">
            <v>0</v>
          </cell>
          <cell r="CZ325">
            <v>0</v>
          </cell>
          <cell r="DA325">
            <v>0</v>
          </cell>
          <cell r="DF325">
            <v>0</v>
          </cell>
          <cell r="DG325">
            <v>0</v>
          </cell>
          <cell r="DH325">
            <v>0</v>
          </cell>
          <cell r="DI325">
            <v>0</v>
          </cell>
          <cell r="DN325">
            <v>0</v>
          </cell>
          <cell r="DO325">
            <v>0</v>
          </cell>
          <cell r="DP325">
            <v>0</v>
          </cell>
          <cell r="DQ325">
            <v>0</v>
          </cell>
          <cell r="DV325">
            <v>0</v>
          </cell>
          <cell r="DW325">
            <v>0</v>
          </cell>
          <cell r="DX325">
            <v>0</v>
          </cell>
          <cell r="DY325">
            <v>0</v>
          </cell>
        </row>
        <row r="326">
          <cell r="F326">
            <v>2195</v>
          </cell>
          <cell r="G326">
            <v>1908.3310000000001</v>
          </cell>
          <cell r="H326">
            <v>688.17599999999993</v>
          </cell>
          <cell r="I326">
            <v>36.061668547018307</v>
          </cell>
          <cell r="N326">
            <v>115</v>
          </cell>
          <cell r="O326">
            <v>103.69399999999999</v>
          </cell>
          <cell r="P326">
            <v>28.222000000000001</v>
          </cell>
          <cell r="T326">
            <v>156</v>
          </cell>
          <cell r="U326">
            <v>138.86599999999999</v>
          </cell>
          <cell r="V326">
            <v>39.790999999999997</v>
          </cell>
          <cell r="Z326">
            <v>120</v>
          </cell>
          <cell r="AA326">
            <v>108.39400000000002</v>
          </cell>
          <cell r="AB326">
            <v>31.322000000000003</v>
          </cell>
          <cell r="AF326">
            <v>140</v>
          </cell>
          <cell r="AG326">
            <v>124.16000000000001</v>
          </cell>
          <cell r="AH326">
            <v>36.942</v>
          </cell>
          <cell r="AL326">
            <v>121</v>
          </cell>
          <cell r="AM326">
            <v>110.062</v>
          </cell>
          <cell r="AN326">
            <v>36.114999999999995</v>
          </cell>
          <cell r="AR326">
            <v>175</v>
          </cell>
          <cell r="AS326">
            <v>156.83000000000001</v>
          </cell>
          <cell r="AT326">
            <v>52.495999999999995</v>
          </cell>
          <cell r="AX326">
            <v>827</v>
          </cell>
          <cell r="AY326">
            <v>742.00599999999997</v>
          </cell>
          <cell r="AZ326">
            <v>224.88799999999998</v>
          </cell>
          <cell r="BA326">
            <v>30.308110716085849</v>
          </cell>
          <cell r="BF326">
            <v>195</v>
          </cell>
          <cell r="BG326">
            <v>167.25400000000002</v>
          </cell>
          <cell r="BH326">
            <v>57.065999999999995</v>
          </cell>
          <cell r="BL326">
            <v>195</v>
          </cell>
          <cell r="BM326">
            <v>166.35400000000001</v>
          </cell>
          <cell r="BN326">
            <v>63.597999999999999</v>
          </cell>
          <cell r="BR326">
            <v>209</v>
          </cell>
          <cell r="BS326">
            <v>177.14500000000001</v>
          </cell>
          <cell r="BT326">
            <v>71.692999999999998</v>
          </cell>
          <cell r="BX326">
            <v>262</v>
          </cell>
          <cell r="BY326">
            <v>221.37300000000002</v>
          </cell>
          <cell r="BZ326">
            <v>90.320000000000007</v>
          </cell>
          <cell r="CD326">
            <v>242</v>
          </cell>
          <cell r="CE326">
            <v>207.42400000000001</v>
          </cell>
          <cell r="CF326">
            <v>85.884</v>
          </cell>
          <cell r="CJ326">
            <v>265</v>
          </cell>
          <cell r="CK326">
            <v>226.77500000000001</v>
          </cell>
          <cell r="CL326">
            <v>94.727000000000004</v>
          </cell>
          <cell r="CP326">
            <v>1368</v>
          </cell>
          <cell r="CQ326">
            <v>1166.325</v>
          </cell>
          <cell r="CR326">
            <v>463.28799999999995</v>
          </cell>
          <cell r="CS326">
            <v>39.72203288105802</v>
          </cell>
          <cell r="CX326">
            <v>391</v>
          </cell>
          <cell r="CY326">
            <v>350.95399999999995</v>
          </cell>
          <cell r="CZ326">
            <v>99.334999999999994</v>
          </cell>
          <cell r="DA326">
            <v>28.304279193284593</v>
          </cell>
          <cell r="DF326">
            <v>436</v>
          </cell>
          <cell r="DG326">
            <v>391.05199999999996</v>
          </cell>
          <cell r="DH326">
            <v>125.553</v>
          </cell>
          <cell r="DI326">
            <v>32.106471773574874</v>
          </cell>
          <cell r="DN326">
            <v>599</v>
          </cell>
          <cell r="DO326">
            <v>510.75299999999999</v>
          </cell>
          <cell r="DP326">
            <v>192.35699999999997</v>
          </cell>
          <cell r="DQ326">
            <v>37.661452796165655</v>
          </cell>
          <cell r="DV326">
            <v>769</v>
          </cell>
          <cell r="DW326">
            <v>655.57200000000012</v>
          </cell>
          <cell r="DX326">
            <v>270.93099999999993</v>
          </cell>
          <cell r="DY326">
            <v>41.327420939271335</v>
          </cell>
        </row>
        <row r="327">
          <cell r="F327">
            <v>531</v>
          </cell>
          <cell r="G327">
            <v>471.52800000000008</v>
          </cell>
          <cell r="H327">
            <v>-12.386000000000001</v>
          </cell>
          <cell r="I327">
            <v>-2.6267793216945758</v>
          </cell>
          <cell r="N327">
            <v>0</v>
          </cell>
          <cell r="O327">
            <v>0</v>
          </cell>
          <cell r="P327">
            <v>0</v>
          </cell>
          <cell r="T327">
            <v>0</v>
          </cell>
          <cell r="U327">
            <v>0</v>
          </cell>
          <cell r="V327">
            <v>0</v>
          </cell>
          <cell r="Z327">
            <v>0</v>
          </cell>
          <cell r="AA327">
            <v>0</v>
          </cell>
          <cell r="AB327">
            <v>0</v>
          </cell>
          <cell r="AF327">
            <v>0</v>
          </cell>
          <cell r="AG327">
            <v>0</v>
          </cell>
          <cell r="AH327">
            <v>0</v>
          </cell>
          <cell r="AL327">
            <v>0</v>
          </cell>
          <cell r="AM327">
            <v>0</v>
          </cell>
          <cell r="AN327">
            <v>0</v>
          </cell>
          <cell r="AR327">
            <v>0</v>
          </cell>
          <cell r="AS327">
            <v>0</v>
          </cell>
          <cell r="AT327">
            <v>0</v>
          </cell>
          <cell r="AX327">
            <v>0</v>
          </cell>
          <cell r="AY327">
            <v>0</v>
          </cell>
          <cell r="AZ327">
            <v>0</v>
          </cell>
          <cell r="BA327">
            <v>0</v>
          </cell>
          <cell r="BF327">
            <v>53</v>
          </cell>
          <cell r="BG327">
            <v>47.064</v>
          </cell>
          <cell r="BH327">
            <v>-2.1179999999999999</v>
          </cell>
          <cell r="BL327">
            <v>53</v>
          </cell>
          <cell r="BM327">
            <v>47.064</v>
          </cell>
          <cell r="BN327">
            <v>-1.151</v>
          </cell>
          <cell r="BR327">
            <v>95</v>
          </cell>
          <cell r="BS327">
            <v>84.36</v>
          </cell>
          <cell r="BT327">
            <v>-2.5110000000000001</v>
          </cell>
          <cell r="BX327">
            <v>100</v>
          </cell>
          <cell r="BY327">
            <v>88.8</v>
          </cell>
          <cell r="BZ327">
            <v>-2.569</v>
          </cell>
          <cell r="CD327">
            <v>110</v>
          </cell>
          <cell r="CE327">
            <v>97.68</v>
          </cell>
          <cell r="CF327">
            <v>-2.2429999999999999</v>
          </cell>
          <cell r="CJ327">
            <v>120</v>
          </cell>
          <cell r="CK327">
            <v>106.56</v>
          </cell>
          <cell r="CL327">
            <v>-1.794</v>
          </cell>
          <cell r="CP327">
            <v>531</v>
          </cell>
          <cell r="CQ327">
            <v>471.52800000000008</v>
          </cell>
          <cell r="CR327">
            <v>-12.386000000000001</v>
          </cell>
          <cell r="CS327">
            <v>-2.6267793216945758</v>
          </cell>
          <cell r="CX327">
            <v>0</v>
          </cell>
          <cell r="CY327">
            <v>0</v>
          </cell>
          <cell r="CZ327">
            <v>0</v>
          </cell>
          <cell r="DA327">
            <v>0</v>
          </cell>
          <cell r="DF327">
            <v>0</v>
          </cell>
          <cell r="DG327">
            <v>0</v>
          </cell>
          <cell r="DH327">
            <v>0</v>
          </cell>
          <cell r="DI327">
            <v>0</v>
          </cell>
          <cell r="DN327">
            <v>201</v>
          </cell>
          <cell r="DO327">
            <v>178.488</v>
          </cell>
          <cell r="DP327">
            <v>-5.78</v>
          </cell>
          <cell r="DQ327">
            <v>-3.2383129398054775</v>
          </cell>
          <cell r="DV327">
            <v>330</v>
          </cell>
          <cell r="DW327">
            <v>293.04000000000002</v>
          </cell>
          <cell r="DX327">
            <v>-6.6059999999999999</v>
          </cell>
          <cell r="DY327">
            <v>-2.2542997542997543</v>
          </cell>
        </row>
        <row r="328">
          <cell r="F328">
            <v>242</v>
          </cell>
          <cell r="G328">
            <v>173.541</v>
          </cell>
          <cell r="H328">
            <v>-33.323</v>
          </cell>
          <cell r="I328">
            <v>-19.201802455903795</v>
          </cell>
          <cell r="N328">
            <v>13</v>
          </cell>
          <cell r="O328">
            <v>9.4600000000000009</v>
          </cell>
          <cell r="P328">
            <v>-1.86</v>
          </cell>
          <cell r="T328">
            <v>13</v>
          </cell>
          <cell r="U328">
            <v>9.4600000000000009</v>
          </cell>
          <cell r="V328">
            <v>-2.226</v>
          </cell>
          <cell r="Z328">
            <v>13</v>
          </cell>
          <cell r="AA328">
            <v>9.4600000000000009</v>
          </cell>
          <cell r="AB328">
            <v>-2.5680000000000001</v>
          </cell>
          <cell r="AF328">
            <v>13</v>
          </cell>
          <cell r="AG328">
            <v>9.4600000000000009</v>
          </cell>
          <cell r="AH328">
            <v>-2.649</v>
          </cell>
          <cell r="AL328">
            <v>18</v>
          </cell>
          <cell r="AM328">
            <v>13.098000000000001</v>
          </cell>
          <cell r="AN328">
            <v>-3.556</v>
          </cell>
          <cell r="AR328">
            <v>24</v>
          </cell>
          <cell r="AS328">
            <v>17.463999999999999</v>
          </cell>
          <cell r="AT328">
            <v>-4.4649999999999999</v>
          </cell>
          <cell r="AX328">
            <v>94</v>
          </cell>
          <cell r="AY328">
            <v>68.402000000000001</v>
          </cell>
          <cell r="AZ328">
            <v>-17.324000000000002</v>
          </cell>
          <cell r="BA328">
            <v>-25.326744832022456</v>
          </cell>
          <cell r="BF328">
            <v>24</v>
          </cell>
          <cell r="BG328">
            <v>17.05</v>
          </cell>
          <cell r="BH328">
            <v>-3.5059999999999998</v>
          </cell>
          <cell r="BL328">
            <v>23</v>
          </cell>
          <cell r="BM328">
            <v>16.338999999999999</v>
          </cell>
          <cell r="BN328">
            <v>-2.6030000000000002</v>
          </cell>
          <cell r="BR328">
            <v>23</v>
          </cell>
          <cell r="BS328">
            <v>16.338999999999999</v>
          </cell>
          <cell r="BT328">
            <v>-2.5030000000000001</v>
          </cell>
          <cell r="BX328">
            <v>25</v>
          </cell>
          <cell r="BY328">
            <v>17.760000000000002</v>
          </cell>
          <cell r="BZ328">
            <v>-2.5329999999999999</v>
          </cell>
          <cell r="CD328">
            <v>25</v>
          </cell>
          <cell r="CE328">
            <v>17.760000000000002</v>
          </cell>
          <cell r="CF328">
            <v>-2.3639999999999999</v>
          </cell>
          <cell r="CJ328">
            <v>28</v>
          </cell>
          <cell r="CK328">
            <v>19.890999999999998</v>
          </cell>
          <cell r="CL328">
            <v>-2.4900000000000002</v>
          </cell>
          <cell r="CP328">
            <v>148</v>
          </cell>
          <cell r="CQ328">
            <v>105.139</v>
          </cell>
          <cell r="CR328">
            <v>-15.999000000000001</v>
          </cell>
          <cell r="CS328">
            <v>-15.216998449671387</v>
          </cell>
          <cell r="CX328">
            <v>39</v>
          </cell>
          <cell r="CY328">
            <v>28.380000000000003</v>
          </cell>
          <cell r="CZ328">
            <v>-6.6539999999999999</v>
          </cell>
          <cell r="DA328">
            <v>-23.446088794926002</v>
          </cell>
          <cell r="DF328">
            <v>55</v>
          </cell>
          <cell r="DG328">
            <v>40.021999999999998</v>
          </cell>
          <cell r="DH328">
            <v>-10.67</v>
          </cell>
          <cell r="DI328">
            <v>-26.66033681475189</v>
          </cell>
          <cell r="DN328">
            <v>70</v>
          </cell>
          <cell r="DO328">
            <v>49.727999999999994</v>
          </cell>
          <cell r="DP328">
            <v>-8.6120000000000001</v>
          </cell>
          <cell r="DQ328">
            <v>-17.31821106821107</v>
          </cell>
          <cell r="DV328">
            <v>78</v>
          </cell>
          <cell r="DW328">
            <v>55.411000000000001</v>
          </cell>
          <cell r="DX328">
            <v>-7.3870000000000005</v>
          </cell>
          <cell r="DY328">
            <v>-13.331288011405679</v>
          </cell>
        </row>
        <row r="329">
          <cell r="F329">
            <v>773</v>
          </cell>
          <cell r="G329">
            <v>645.06900000000007</v>
          </cell>
          <cell r="H329">
            <v>-45.709000000000003</v>
          </cell>
          <cell r="I329">
            <v>-7.0859086392308406</v>
          </cell>
          <cell r="N329">
            <v>13</v>
          </cell>
          <cell r="O329">
            <v>9.4600000000000009</v>
          </cell>
          <cell r="P329">
            <v>-1.86</v>
          </cell>
          <cell r="T329">
            <v>13</v>
          </cell>
          <cell r="U329">
            <v>9.4600000000000009</v>
          </cell>
          <cell r="V329">
            <v>-2.226</v>
          </cell>
          <cell r="Z329">
            <v>13</v>
          </cell>
          <cell r="AA329">
            <v>9.4600000000000009</v>
          </cell>
          <cell r="AB329">
            <v>-2.5680000000000001</v>
          </cell>
          <cell r="AF329">
            <v>13</v>
          </cell>
          <cell r="AG329">
            <v>9.4600000000000009</v>
          </cell>
          <cell r="AH329">
            <v>-2.649</v>
          </cell>
          <cell r="AL329">
            <v>18</v>
          </cell>
          <cell r="AM329">
            <v>13.098000000000001</v>
          </cell>
          <cell r="AN329">
            <v>-3.556</v>
          </cell>
          <cell r="AR329">
            <v>24</v>
          </cell>
          <cell r="AS329">
            <v>17.463999999999999</v>
          </cell>
          <cell r="AT329">
            <v>-4.4649999999999999</v>
          </cell>
          <cell r="AX329">
            <v>94</v>
          </cell>
          <cell r="AY329">
            <v>68.402000000000001</v>
          </cell>
          <cell r="AZ329">
            <v>-17.324000000000002</v>
          </cell>
          <cell r="BA329">
            <v>-25.326744832022456</v>
          </cell>
          <cell r="BF329">
            <v>77</v>
          </cell>
          <cell r="BG329">
            <v>64.114000000000004</v>
          </cell>
          <cell r="BH329">
            <v>-5.6239999999999997</v>
          </cell>
          <cell r="BL329">
            <v>76</v>
          </cell>
          <cell r="BM329">
            <v>63.402999999999999</v>
          </cell>
          <cell r="BN329">
            <v>-3.7540000000000004</v>
          </cell>
          <cell r="BR329">
            <v>118</v>
          </cell>
          <cell r="BS329">
            <v>100.699</v>
          </cell>
          <cell r="BT329">
            <v>-5.0140000000000002</v>
          </cell>
          <cell r="BX329">
            <v>125</v>
          </cell>
          <cell r="BY329">
            <v>106.56</v>
          </cell>
          <cell r="BZ329">
            <v>-5.1020000000000003</v>
          </cell>
          <cell r="CD329">
            <v>135</v>
          </cell>
          <cell r="CE329">
            <v>115.44000000000001</v>
          </cell>
          <cell r="CF329">
            <v>-4.6069999999999993</v>
          </cell>
          <cell r="CJ329">
            <v>148</v>
          </cell>
          <cell r="CK329">
            <v>126.45099999999999</v>
          </cell>
          <cell r="CL329">
            <v>-4.2840000000000007</v>
          </cell>
          <cell r="CP329">
            <v>679</v>
          </cell>
          <cell r="CQ329">
            <v>576.66700000000003</v>
          </cell>
          <cell r="CR329">
            <v>-28.385000000000002</v>
          </cell>
          <cell r="CS329">
            <v>-4.9222514900280405</v>
          </cell>
          <cell r="CX329">
            <v>39</v>
          </cell>
          <cell r="CY329">
            <v>28.380000000000003</v>
          </cell>
          <cell r="CZ329">
            <v>-6.6539999999999999</v>
          </cell>
          <cell r="DA329">
            <v>-23.446088794926002</v>
          </cell>
          <cell r="DF329">
            <v>55</v>
          </cell>
          <cell r="DG329">
            <v>40.021999999999998</v>
          </cell>
          <cell r="DH329">
            <v>-10.67</v>
          </cell>
          <cell r="DI329">
            <v>-26.66033681475189</v>
          </cell>
          <cell r="DN329">
            <v>271</v>
          </cell>
          <cell r="DO329">
            <v>228.21600000000001</v>
          </cell>
          <cell r="DP329">
            <v>-14.391999999999999</v>
          </cell>
          <cell r="DQ329">
            <v>-6.3063063063063058</v>
          </cell>
          <cell r="DV329">
            <v>408</v>
          </cell>
          <cell r="DW329">
            <v>348.45100000000002</v>
          </cell>
          <cell r="DX329">
            <v>-13.993</v>
          </cell>
          <cell r="DY329">
            <v>-4.0157726624403427</v>
          </cell>
        </row>
        <row r="330">
          <cell r="F330">
            <v>2968</v>
          </cell>
          <cell r="G330">
            <v>2553.4</v>
          </cell>
          <cell r="H330">
            <v>642.46699999999987</v>
          </cell>
          <cell r="I330">
            <v>25.161235999060072</v>
          </cell>
          <cell r="N330">
            <v>128</v>
          </cell>
          <cell r="O330">
            <v>113.154</v>
          </cell>
          <cell r="P330">
            <v>26.362000000000002</v>
          </cell>
          <cell r="T330">
            <v>169</v>
          </cell>
          <cell r="U330">
            <v>148.32599999999999</v>
          </cell>
          <cell r="V330">
            <v>37.564999999999998</v>
          </cell>
          <cell r="Z330">
            <v>133</v>
          </cell>
          <cell r="AA330">
            <v>117.85400000000001</v>
          </cell>
          <cell r="AB330">
            <v>28.754000000000001</v>
          </cell>
          <cell r="AF330">
            <v>153</v>
          </cell>
          <cell r="AG330">
            <v>133.62</v>
          </cell>
          <cell r="AH330">
            <v>34.292999999999999</v>
          </cell>
          <cell r="AL330">
            <v>139</v>
          </cell>
          <cell r="AM330">
            <v>123.16</v>
          </cell>
          <cell r="AN330">
            <v>32.558999999999997</v>
          </cell>
          <cell r="AR330">
            <v>199</v>
          </cell>
          <cell r="AS330">
            <v>174.29400000000001</v>
          </cell>
          <cell r="AT330">
            <v>48.030999999999992</v>
          </cell>
          <cell r="AX330">
            <v>921</v>
          </cell>
          <cell r="AY330">
            <v>810.40800000000002</v>
          </cell>
          <cell r="AZ330">
            <v>207.56399999999996</v>
          </cell>
          <cell r="BA330">
            <v>25.612284182782002</v>
          </cell>
          <cell r="BF330">
            <v>272</v>
          </cell>
          <cell r="BG330">
            <v>231.36800000000002</v>
          </cell>
          <cell r="BH330">
            <v>51.441999999999993</v>
          </cell>
          <cell r="BL330">
            <v>271</v>
          </cell>
          <cell r="BM330">
            <v>229.75700000000001</v>
          </cell>
          <cell r="BN330">
            <v>59.844000000000001</v>
          </cell>
          <cell r="BR330">
            <v>327</v>
          </cell>
          <cell r="BS330">
            <v>277.84399999999999</v>
          </cell>
          <cell r="BT330">
            <v>66.679000000000002</v>
          </cell>
          <cell r="BX330">
            <v>387</v>
          </cell>
          <cell r="BY330">
            <v>327.93299999999999</v>
          </cell>
          <cell r="BZ330">
            <v>85.218000000000004</v>
          </cell>
          <cell r="CD330">
            <v>377</v>
          </cell>
          <cell r="CE330">
            <v>322.86400000000003</v>
          </cell>
          <cell r="CF330">
            <v>81.277000000000001</v>
          </cell>
          <cell r="CJ330">
            <v>413</v>
          </cell>
          <cell r="CK330">
            <v>353.226</v>
          </cell>
          <cell r="CL330">
            <v>90.442999999999998</v>
          </cell>
          <cell r="CP330">
            <v>2047</v>
          </cell>
          <cell r="CQ330">
            <v>1742.9920000000002</v>
          </cell>
          <cell r="CR330">
            <v>434.90299999999996</v>
          </cell>
          <cell r="CS330">
            <v>24.95152014467077</v>
          </cell>
          <cell r="CX330">
            <v>430</v>
          </cell>
          <cell r="CY330">
            <v>379.33399999999995</v>
          </cell>
          <cell r="CZ330">
            <v>92.680999999999997</v>
          </cell>
          <cell r="DA330">
            <v>24.432558115012103</v>
          </cell>
          <cell r="DF330">
            <v>491</v>
          </cell>
          <cell r="DG330">
            <v>431.07399999999996</v>
          </cell>
          <cell r="DH330">
            <v>114.883</v>
          </cell>
          <cell r="DI330">
            <v>26.650412690164565</v>
          </cell>
          <cell r="DN330">
            <v>870</v>
          </cell>
          <cell r="DO330">
            <v>738.96900000000005</v>
          </cell>
          <cell r="DP330">
            <v>177.96499999999997</v>
          </cell>
          <cell r="DQ330">
            <v>24.082877630861372</v>
          </cell>
          <cell r="DV330">
            <v>1177</v>
          </cell>
          <cell r="DW330">
            <v>1004.0230000000001</v>
          </cell>
          <cell r="DX330">
            <v>256.93799999999993</v>
          </cell>
          <cell r="DY330">
            <v>25.59084801842188</v>
          </cell>
        </row>
        <row r="331">
          <cell r="F331">
            <v>42530</v>
          </cell>
          <cell r="G331">
            <v>2172.0168000000003</v>
          </cell>
          <cell r="H331">
            <v>258.928</v>
          </cell>
          <cell r="I331">
            <v>11.921086429902381</v>
          </cell>
          <cell r="N331">
            <v>2010</v>
          </cell>
          <cell r="O331">
            <v>108.9246</v>
          </cell>
          <cell r="P331">
            <v>14.507</v>
          </cell>
          <cell r="T331">
            <v>2700</v>
          </cell>
          <cell r="U331">
            <v>143.262</v>
          </cell>
          <cell r="V331">
            <v>18.954999999999998</v>
          </cell>
          <cell r="Z331">
            <v>2100</v>
          </cell>
          <cell r="AA331">
            <v>120.52200000000001</v>
          </cell>
          <cell r="AB331">
            <v>16.876999999999999</v>
          </cell>
          <cell r="AF331">
            <v>2120</v>
          </cell>
          <cell r="AG331">
            <v>122.1896</v>
          </cell>
          <cell r="AH331">
            <v>17.177</v>
          </cell>
          <cell r="AL331">
            <v>2060</v>
          </cell>
          <cell r="AM331">
            <v>110.202</v>
          </cell>
          <cell r="AN331">
            <v>14.037000000000001</v>
          </cell>
          <cell r="AR331">
            <v>2230</v>
          </cell>
          <cell r="AS331">
            <v>126.3586</v>
          </cell>
          <cell r="AT331">
            <v>17.853000000000002</v>
          </cell>
          <cell r="AX331">
            <v>13220</v>
          </cell>
          <cell r="AY331">
            <v>731.45880000000011</v>
          </cell>
          <cell r="AZ331">
            <v>99.406000000000006</v>
          </cell>
          <cell r="BA331">
            <v>13.590102409048873</v>
          </cell>
          <cell r="BF331">
            <v>4440</v>
          </cell>
          <cell r="BG331">
            <v>221.11199999999999</v>
          </cell>
          <cell r="BH331">
            <v>25.202000000000002</v>
          </cell>
          <cell r="BL331">
            <v>4050</v>
          </cell>
          <cell r="BM331">
            <v>207.57</v>
          </cell>
          <cell r="BN331">
            <v>24.439</v>
          </cell>
          <cell r="BR331">
            <v>4430</v>
          </cell>
          <cell r="BS331">
            <v>219.85399999999998</v>
          </cell>
          <cell r="BT331">
            <v>24.943000000000001</v>
          </cell>
          <cell r="BX331">
            <v>4530</v>
          </cell>
          <cell r="BY331">
            <v>223.55400000000003</v>
          </cell>
          <cell r="BZ331">
            <v>25.456</v>
          </cell>
          <cell r="CD331">
            <v>5480</v>
          </cell>
          <cell r="CE331">
            <v>263.14400000000001</v>
          </cell>
          <cell r="CF331">
            <v>27.367999999999999</v>
          </cell>
          <cell r="CJ331">
            <v>6380</v>
          </cell>
          <cell r="CK331">
            <v>305.32400000000001</v>
          </cell>
          <cell r="CL331">
            <v>32.113999999999997</v>
          </cell>
          <cell r="CP331">
            <v>29310</v>
          </cell>
          <cell r="CQ331">
            <v>1440.5580000000002</v>
          </cell>
          <cell r="CR331">
            <v>159.52199999999999</v>
          </cell>
          <cell r="CS331">
            <v>11.07362563673243</v>
          </cell>
          <cell r="CX331">
            <v>6810</v>
          </cell>
          <cell r="CY331">
            <v>372.70859999999999</v>
          </cell>
          <cell r="CZ331">
            <v>50.338999999999999</v>
          </cell>
          <cell r="DA331">
            <v>13.506261996637587</v>
          </cell>
          <cell r="DF331">
            <v>6410</v>
          </cell>
          <cell r="DG331">
            <v>358.75019999999995</v>
          </cell>
          <cell r="DH331">
            <v>49.067</v>
          </cell>
          <cell r="DI331">
            <v>13.677204918631405</v>
          </cell>
          <cell r="DN331">
            <v>12920</v>
          </cell>
          <cell r="DO331">
            <v>648.53600000000006</v>
          </cell>
          <cell r="DP331">
            <v>74.584000000000003</v>
          </cell>
          <cell r="DQ331">
            <v>11.500363896530031</v>
          </cell>
          <cell r="DV331">
            <v>16390</v>
          </cell>
          <cell r="DW331">
            <v>792.02200000000005</v>
          </cell>
          <cell r="DX331">
            <v>84.937999999999988</v>
          </cell>
          <cell r="DY331">
            <v>10.724197055132304</v>
          </cell>
        </row>
        <row r="332">
          <cell r="F332">
            <v>3642</v>
          </cell>
          <cell r="G332">
            <v>462.82092</v>
          </cell>
          <cell r="H332">
            <v>40.841999999999999</v>
          </cell>
          <cell r="I332">
            <v>8.8245794939433591</v>
          </cell>
          <cell r="N332">
            <v>230</v>
          </cell>
          <cell r="O332">
            <v>29.637799999999999</v>
          </cell>
          <cell r="P332">
            <v>2.6150000000000002</v>
          </cell>
          <cell r="T332">
            <v>224</v>
          </cell>
          <cell r="U332">
            <v>28.864640000000001</v>
          </cell>
          <cell r="V332">
            <v>2.5470000000000002</v>
          </cell>
          <cell r="Z332">
            <v>224</v>
          </cell>
          <cell r="AA332">
            <v>28.864640000000001</v>
          </cell>
          <cell r="AB332">
            <v>2.5470000000000002</v>
          </cell>
          <cell r="AF332">
            <v>240</v>
          </cell>
          <cell r="AG332">
            <v>30.926400000000001</v>
          </cell>
          <cell r="AH332">
            <v>2.7280000000000002</v>
          </cell>
          <cell r="AL332">
            <v>324</v>
          </cell>
          <cell r="AM332">
            <v>41.750639999999997</v>
          </cell>
          <cell r="AN332">
            <v>3.6840000000000002</v>
          </cell>
          <cell r="AR332">
            <v>280</v>
          </cell>
          <cell r="AS332">
            <v>36.080800000000004</v>
          </cell>
          <cell r="AT332">
            <v>3.1869999999999998</v>
          </cell>
          <cell r="AX332">
            <v>1522</v>
          </cell>
          <cell r="AY332">
            <v>196.12492</v>
          </cell>
          <cell r="AZ332">
            <v>17.308</v>
          </cell>
          <cell r="BA332">
            <v>8.8249876660242865</v>
          </cell>
          <cell r="BF332">
            <v>336</v>
          </cell>
          <cell r="BG332">
            <v>42.268799999999999</v>
          </cell>
          <cell r="BH332">
            <v>3.73</v>
          </cell>
          <cell r="BL332">
            <v>336</v>
          </cell>
          <cell r="BM332">
            <v>42.268799999999999</v>
          </cell>
          <cell r="BN332">
            <v>3.73</v>
          </cell>
          <cell r="BR332">
            <v>336</v>
          </cell>
          <cell r="BS332">
            <v>42.268799999999999</v>
          </cell>
          <cell r="BT332">
            <v>3.73</v>
          </cell>
          <cell r="BX332">
            <v>336</v>
          </cell>
          <cell r="BY332">
            <v>42.268799999999999</v>
          </cell>
          <cell r="BZ332">
            <v>3.73</v>
          </cell>
          <cell r="CD332">
            <v>390</v>
          </cell>
          <cell r="CE332">
            <v>49.061999999999998</v>
          </cell>
          <cell r="CF332">
            <v>4.3289999999999997</v>
          </cell>
          <cell r="CJ332">
            <v>386</v>
          </cell>
          <cell r="CK332">
            <v>48.558799999999998</v>
          </cell>
          <cell r="CL332">
            <v>4.2850000000000001</v>
          </cell>
          <cell r="CP332">
            <v>2120</v>
          </cell>
          <cell r="CQ332">
            <v>266.69600000000003</v>
          </cell>
          <cell r="CR332">
            <v>23.534000000000002</v>
          </cell>
          <cell r="CS332">
            <v>8.8242793292737804</v>
          </cell>
          <cell r="CX332">
            <v>678</v>
          </cell>
          <cell r="CY332">
            <v>87.367080000000001</v>
          </cell>
          <cell r="CZ332">
            <v>7.7090000000000014</v>
          </cell>
          <cell r="DA332">
            <v>8.8236896551882023</v>
          </cell>
          <cell r="DF332">
            <v>844</v>
          </cell>
          <cell r="DG332">
            <v>108.75784000000002</v>
          </cell>
          <cell r="DH332">
            <v>9.5990000000000002</v>
          </cell>
          <cell r="DI332">
            <v>8.8260303808902414</v>
          </cell>
          <cell r="DN332">
            <v>1008</v>
          </cell>
          <cell r="DO332">
            <v>126.8064</v>
          </cell>
          <cell r="DP332">
            <v>11.19</v>
          </cell>
          <cell r="DQ332">
            <v>8.8244757362404425</v>
          </cell>
          <cell r="DV332">
            <v>1112</v>
          </cell>
          <cell r="DW332">
            <v>139.8896</v>
          </cell>
          <cell r="DX332">
            <v>12.343999999999999</v>
          </cell>
          <cell r="DY332">
            <v>8.8241012913040002</v>
          </cell>
        </row>
        <row r="333">
          <cell r="F333">
            <v>0</v>
          </cell>
          <cell r="G333">
            <v>640.29880000000003</v>
          </cell>
          <cell r="H333">
            <v>92.456000000000017</v>
          </cell>
          <cell r="I333">
            <v>14.439508554443648</v>
          </cell>
          <cell r="O333">
            <v>43.206000000000003</v>
          </cell>
          <cell r="P333">
            <v>5.8389999999999969</v>
          </cell>
          <cell r="U333">
            <v>42.448</v>
          </cell>
          <cell r="V333">
            <v>5.7320000000000029</v>
          </cell>
          <cell r="AA333">
            <v>42.448</v>
          </cell>
          <cell r="AB333">
            <v>5.7360000000000007</v>
          </cell>
          <cell r="AG333">
            <v>43.206000000000003</v>
          </cell>
          <cell r="AH333">
            <v>5.835</v>
          </cell>
          <cell r="AM333">
            <v>53.200400000000002</v>
          </cell>
          <cell r="AN333">
            <v>13.388</v>
          </cell>
          <cell r="AS333">
            <v>46.086399999999998</v>
          </cell>
          <cell r="AT333">
            <v>6.27</v>
          </cell>
          <cell r="AX333">
            <v>0</v>
          </cell>
          <cell r="AY333">
            <v>270.59480000000002</v>
          </cell>
          <cell r="AZ333">
            <v>42.800000000000004</v>
          </cell>
          <cell r="BA333">
            <v>15.81700756999026</v>
          </cell>
          <cell r="BG333">
            <v>56.536000000000001</v>
          </cell>
          <cell r="BH333">
            <v>7.6239999999999988</v>
          </cell>
          <cell r="BM333">
            <v>50.32</v>
          </cell>
          <cell r="BN333">
            <v>6.6429999999999971</v>
          </cell>
          <cell r="BS333">
            <v>58.756</v>
          </cell>
          <cell r="BT333">
            <v>7.772000000000002</v>
          </cell>
          <cell r="BY333">
            <v>58.756</v>
          </cell>
          <cell r="BZ333">
            <v>7.7700000000000067</v>
          </cell>
          <cell r="CE333">
            <v>74.739999999999995</v>
          </cell>
          <cell r="CF333">
            <v>10.248999999999999</v>
          </cell>
          <cell r="CK333">
            <v>70.596000000000004</v>
          </cell>
          <cell r="CL333">
            <v>9.5980000000000061</v>
          </cell>
          <cell r="CP333">
            <v>0</v>
          </cell>
          <cell r="CQ333">
            <v>369.70400000000001</v>
          </cell>
          <cell r="CR333">
            <v>49.656000000000006</v>
          </cell>
          <cell r="CS333">
            <v>13.431285568995738</v>
          </cell>
          <cell r="CX333">
            <v>0</v>
          </cell>
          <cell r="CY333">
            <v>128.102</v>
          </cell>
          <cell r="CZ333">
            <v>17.307000000000002</v>
          </cell>
          <cell r="DA333">
            <v>13.510327707608003</v>
          </cell>
          <cell r="DF333">
            <v>0</v>
          </cell>
          <cell r="DG333">
            <v>142.49279999999999</v>
          </cell>
          <cell r="DH333">
            <v>25.492999999999999</v>
          </cell>
          <cell r="DI333">
            <v>17.89072851400211</v>
          </cell>
          <cell r="DN333">
            <v>0</v>
          </cell>
          <cell r="DO333">
            <v>165.61199999999999</v>
          </cell>
          <cell r="DP333">
            <v>22.038999999999998</v>
          </cell>
          <cell r="DQ333">
            <v>13.307610559621283</v>
          </cell>
          <cell r="DV333">
            <v>0</v>
          </cell>
          <cell r="DW333">
            <v>204.09199999999998</v>
          </cell>
          <cell r="DX333">
            <v>27.617000000000012</v>
          </cell>
          <cell r="DY333">
            <v>13.531642592556306</v>
          </cell>
        </row>
        <row r="334">
          <cell r="F334">
            <v>46172</v>
          </cell>
          <cell r="G334">
            <v>3275.1365200000005</v>
          </cell>
          <cell r="H334">
            <v>392.226</v>
          </cell>
          <cell r="I334">
            <v>11.975867192247605</v>
          </cell>
          <cell r="N334">
            <v>2240</v>
          </cell>
          <cell r="O334">
            <v>181.76839999999999</v>
          </cell>
          <cell r="P334">
            <v>22.960999999999999</v>
          </cell>
          <cell r="T334">
            <v>2924</v>
          </cell>
          <cell r="U334">
            <v>214.57464000000002</v>
          </cell>
          <cell r="V334">
            <v>27.234000000000002</v>
          </cell>
          <cell r="Z334">
            <v>2324</v>
          </cell>
          <cell r="AA334">
            <v>191.83464000000001</v>
          </cell>
          <cell r="AB334">
            <v>25.16</v>
          </cell>
          <cell r="AF334">
            <v>2360</v>
          </cell>
          <cell r="AG334">
            <v>196.322</v>
          </cell>
          <cell r="AH334">
            <v>25.740000000000002</v>
          </cell>
          <cell r="AL334">
            <v>2384</v>
          </cell>
          <cell r="AM334">
            <v>205.15304</v>
          </cell>
          <cell r="AN334">
            <v>31.109000000000002</v>
          </cell>
          <cell r="AR334">
            <v>2510</v>
          </cell>
          <cell r="AS334">
            <v>208.5258</v>
          </cell>
          <cell r="AT334">
            <v>27.310000000000002</v>
          </cell>
          <cell r="AX334">
            <v>14742</v>
          </cell>
          <cell r="AY334">
            <v>1198.1785200000002</v>
          </cell>
          <cell r="AZ334">
            <v>159.51400000000001</v>
          </cell>
          <cell r="BA334">
            <v>13.313041198568639</v>
          </cell>
          <cell r="BF334">
            <v>4776</v>
          </cell>
          <cell r="BG334">
            <v>319.91680000000002</v>
          </cell>
          <cell r="BH334">
            <v>36.555999999999997</v>
          </cell>
          <cell r="BL334">
            <v>4386</v>
          </cell>
          <cell r="BM334">
            <v>300.15879999999999</v>
          </cell>
          <cell r="BN334">
            <v>34.811999999999998</v>
          </cell>
          <cell r="BR334">
            <v>4766</v>
          </cell>
          <cell r="BS334">
            <v>320.87879999999996</v>
          </cell>
          <cell r="BT334">
            <v>36.445000000000007</v>
          </cell>
          <cell r="BX334">
            <v>4866</v>
          </cell>
          <cell r="BY334">
            <v>324.5788</v>
          </cell>
          <cell r="BZ334">
            <v>36.956000000000003</v>
          </cell>
          <cell r="CD334">
            <v>5870</v>
          </cell>
          <cell r="CE334">
            <v>386.94600000000003</v>
          </cell>
          <cell r="CF334">
            <v>41.945999999999998</v>
          </cell>
          <cell r="CJ334">
            <v>6766</v>
          </cell>
          <cell r="CK334">
            <v>424.47880000000004</v>
          </cell>
          <cell r="CL334">
            <v>45.997000000000007</v>
          </cell>
          <cell r="CP334">
            <v>31430</v>
          </cell>
          <cell r="CQ334">
            <v>2076.9580000000005</v>
          </cell>
          <cell r="CR334">
            <v>232.71199999999999</v>
          </cell>
          <cell r="CS334">
            <v>11.204463450873822</v>
          </cell>
          <cell r="CX334">
            <v>7488</v>
          </cell>
          <cell r="CY334">
            <v>588.17768000000001</v>
          </cell>
          <cell r="CZ334">
            <v>75.355000000000004</v>
          </cell>
          <cell r="DA334">
            <v>12.811604819822472</v>
          </cell>
          <cell r="DF334">
            <v>7254</v>
          </cell>
          <cell r="DG334">
            <v>610.00083999999993</v>
          </cell>
          <cell r="DH334">
            <v>84.158999999999992</v>
          </cell>
          <cell r="DI334">
            <v>13.796538378537315</v>
          </cell>
          <cell r="DN334">
            <v>13928</v>
          </cell>
          <cell r="DO334">
            <v>940.95439999999996</v>
          </cell>
          <cell r="DP334">
            <v>107.813</v>
          </cell>
          <cell r="DQ334">
            <v>11.457834726103625</v>
          </cell>
          <cell r="DV334">
            <v>17502</v>
          </cell>
          <cell r="DW334">
            <v>1136.0036</v>
          </cell>
          <cell r="DX334">
            <v>124.899</v>
          </cell>
          <cell r="DY334">
            <v>10.994595439662339</v>
          </cell>
        </row>
        <row r="335">
          <cell r="F335">
            <v>68717.804000000004</v>
          </cell>
          <cell r="G335">
            <v>10001.68352</v>
          </cell>
          <cell r="H335">
            <v>1356.1839999999997</v>
          </cell>
          <cell r="I335">
            <v>13.559557221422654</v>
          </cell>
          <cell r="N335">
            <v>3293</v>
          </cell>
          <cell r="O335">
            <v>484.08139999999997</v>
          </cell>
          <cell r="P335">
            <v>18.991000000000003</v>
          </cell>
          <cell r="T335">
            <v>4044</v>
          </cell>
          <cell r="U335">
            <v>559.54164000000003</v>
          </cell>
          <cell r="V335">
            <v>34.450000000000003</v>
          </cell>
          <cell r="Z335">
            <v>3388.806</v>
          </cell>
          <cell r="AA335">
            <v>503.56263999999999</v>
          </cell>
          <cell r="AB335">
            <v>26.3</v>
          </cell>
          <cell r="AF335">
            <v>3485.6059999999998</v>
          </cell>
          <cell r="AG335">
            <v>535.52099999999996</v>
          </cell>
          <cell r="AH335">
            <v>36.091000000000001</v>
          </cell>
          <cell r="AL335">
            <v>3460.672</v>
          </cell>
          <cell r="AM335">
            <v>526.58504000000005</v>
          </cell>
          <cell r="AN335">
            <v>54.949999999999996</v>
          </cell>
          <cell r="AR335">
            <v>3909</v>
          </cell>
          <cell r="AS335">
            <v>635.04380000000003</v>
          </cell>
          <cell r="AT335">
            <v>76.814999999999998</v>
          </cell>
          <cell r="AX335">
            <v>21581.083999999999</v>
          </cell>
          <cell r="AY335">
            <v>3244.3355200000005</v>
          </cell>
          <cell r="AZ335">
            <v>247.59699999999995</v>
          </cell>
          <cell r="BA335">
            <v>7.6316705986068891</v>
          </cell>
          <cell r="BF335">
            <v>6944.3440000000001</v>
          </cell>
          <cell r="BG335">
            <v>966.65380000000005</v>
          </cell>
          <cell r="BH335">
            <v>133.84199999999998</v>
          </cell>
          <cell r="BL335">
            <v>6872.3440000000001</v>
          </cell>
          <cell r="BM335">
            <v>1006.0758000000001</v>
          </cell>
          <cell r="BN335">
            <v>156.256</v>
          </cell>
          <cell r="BR335">
            <v>7328.3440000000001</v>
          </cell>
          <cell r="BS335">
            <v>1080.2697999999998</v>
          </cell>
          <cell r="BT335">
            <v>167.202</v>
          </cell>
          <cell r="BX335">
            <v>7563.3440000000001</v>
          </cell>
          <cell r="BY335">
            <v>1146.1727999999998</v>
          </cell>
          <cell r="BZ335">
            <v>202.81100000000004</v>
          </cell>
          <cell r="CD335">
            <v>8602.344000000001</v>
          </cell>
          <cell r="CE335">
            <v>1213.0909999999999</v>
          </cell>
          <cell r="CF335">
            <v>208.35999999999999</v>
          </cell>
          <cell r="CJ335">
            <v>9826</v>
          </cell>
          <cell r="CK335">
            <v>1345.0848000000001</v>
          </cell>
          <cell r="CL335">
            <v>240.11600000000004</v>
          </cell>
          <cell r="CP335">
            <v>47136.72</v>
          </cell>
          <cell r="CQ335">
            <v>6757.3480000000009</v>
          </cell>
          <cell r="CR335">
            <v>1108.587</v>
          </cell>
          <cell r="CS335">
            <v>16.405652039823902</v>
          </cell>
          <cell r="CX335">
            <v>10725.806</v>
          </cell>
          <cell r="CY335">
            <v>1547.18568</v>
          </cell>
          <cell r="CZ335">
            <v>79.741</v>
          </cell>
          <cell r="DA335">
            <v>5.1539386016033966</v>
          </cell>
          <cell r="DF335">
            <v>10855.278</v>
          </cell>
          <cell r="DG335">
            <v>1697.1498399999998</v>
          </cell>
          <cell r="DH335">
            <v>167.85599999999999</v>
          </cell>
          <cell r="DI335">
            <v>9.8904643564059143</v>
          </cell>
          <cell r="DN335">
            <v>21145.031999999999</v>
          </cell>
          <cell r="DO335">
            <v>3052.9994000000002</v>
          </cell>
          <cell r="DP335">
            <v>457.29999999999995</v>
          </cell>
          <cell r="DQ335">
            <v>14.978712409835387</v>
          </cell>
          <cell r="DV335">
            <v>25991.688000000002</v>
          </cell>
          <cell r="DW335">
            <v>3704.3486000000003</v>
          </cell>
          <cell r="DX335">
            <v>651.28699999999992</v>
          </cell>
          <cell r="DY335">
            <v>17.581687641384502</v>
          </cell>
        </row>
        <row r="336">
          <cell r="F336">
            <v>69037.804000000004</v>
          </cell>
          <cell r="G336">
            <v>15637.68352</v>
          </cell>
          <cell r="H336">
            <v>1637.0569999999998</v>
          </cell>
          <cell r="I336">
            <v>10.468666909048686</v>
          </cell>
          <cell r="N336">
            <v>3313</v>
          </cell>
          <cell r="O336">
            <v>832.08140000000003</v>
          </cell>
          <cell r="P336">
            <v>30.955000000000002</v>
          </cell>
          <cell r="T336">
            <v>4064</v>
          </cell>
          <cell r="U336">
            <v>907.54164000000003</v>
          </cell>
          <cell r="V336">
            <v>47.756</v>
          </cell>
          <cell r="Z336">
            <v>3410.806</v>
          </cell>
          <cell r="AA336">
            <v>887.56263999999999</v>
          </cell>
          <cell r="AB336">
            <v>37.096000000000004</v>
          </cell>
          <cell r="AF336">
            <v>3507.6059999999998</v>
          </cell>
          <cell r="AG336">
            <v>919.52099999999996</v>
          </cell>
          <cell r="AH336">
            <v>49.349000000000004</v>
          </cell>
          <cell r="AL336">
            <v>3486.672</v>
          </cell>
          <cell r="AM336">
            <v>984.58504000000005</v>
          </cell>
          <cell r="AN336">
            <v>65.42</v>
          </cell>
          <cell r="AR336">
            <v>3935</v>
          </cell>
          <cell r="AS336">
            <v>1093.0437999999999</v>
          </cell>
          <cell r="AT336">
            <v>96.325000000000003</v>
          </cell>
          <cell r="AX336">
            <v>21717.083999999999</v>
          </cell>
          <cell r="AY336">
            <v>5624.3355200000005</v>
          </cell>
          <cell r="AZ336">
            <v>326.90099999999995</v>
          </cell>
          <cell r="BA336">
            <v>5.8122599343077583</v>
          </cell>
          <cell r="BF336">
            <v>6972.3440000000001</v>
          </cell>
          <cell r="BG336">
            <v>1462.6538</v>
          </cell>
          <cell r="BH336">
            <v>162.37899999999999</v>
          </cell>
          <cell r="BL336">
            <v>6902.3440000000001</v>
          </cell>
          <cell r="BM336">
            <v>1538.0758000000001</v>
          </cell>
          <cell r="BN336">
            <v>192.14</v>
          </cell>
          <cell r="BR336">
            <v>7360.3440000000001</v>
          </cell>
          <cell r="BS336">
            <v>1648.2697999999998</v>
          </cell>
          <cell r="BT336">
            <v>204.827</v>
          </cell>
          <cell r="BX336">
            <v>7597.3440000000001</v>
          </cell>
          <cell r="BY336">
            <v>1740.1727999999998</v>
          </cell>
          <cell r="BZ336">
            <v>241.87300000000005</v>
          </cell>
          <cell r="CD336">
            <v>8634.344000000001</v>
          </cell>
          <cell r="CE336">
            <v>1783.0909999999999</v>
          </cell>
          <cell r="CF336">
            <v>241.01599999999999</v>
          </cell>
          <cell r="CJ336">
            <v>9854</v>
          </cell>
          <cell r="CK336">
            <v>1841.0848000000001</v>
          </cell>
          <cell r="CL336">
            <v>267.92100000000005</v>
          </cell>
          <cell r="CP336">
            <v>47320.72</v>
          </cell>
          <cell r="CQ336">
            <v>10013.348000000002</v>
          </cell>
          <cell r="CR336">
            <v>1310.1559999999999</v>
          </cell>
          <cell r="CS336">
            <v>13.084095349527447</v>
          </cell>
          <cell r="CX336">
            <v>10787.806</v>
          </cell>
          <cell r="CY336">
            <v>2627.18568</v>
          </cell>
          <cell r="CZ336">
            <v>115.80700000000002</v>
          </cell>
          <cell r="DA336">
            <v>4.4080249402090228</v>
          </cell>
          <cell r="DF336">
            <v>10929.278</v>
          </cell>
          <cell r="DG336">
            <v>2997.14984</v>
          </cell>
          <cell r="DH336">
            <v>211.09399999999999</v>
          </cell>
          <cell r="DI336">
            <v>7.0431580424420828</v>
          </cell>
          <cell r="DN336">
            <v>21235.031999999999</v>
          </cell>
          <cell r="DO336">
            <v>4648.9994000000006</v>
          </cell>
          <cell r="DP336">
            <v>559.346</v>
          </cell>
          <cell r="DQ336">
            <v>12.031535215943455</v>
          </cell>
          <cell r="DV336">
            <v>26085.688000000002</v>
          </cell>
          <cell r="DW336">
            <v>5364.3486000000003</v>
          </cell>
          <cell r="DX336">
            <v>750.81</v>
          </cell>
          <cell r="DY336">
            <v>13.996293976867943</v>
          </cell>
        </row>
        <row r="337">
          <cell r="F337">
            <v>120247.804</v>
          </cell>
          <cell r="G337">
            <v>52277.783519999997</v>
          </cell>
          <cell r="H337">
            <v>14514.603999999999</v>
          </cell>
          <cell r="I337">
            <v>27.764382922713477</v>
          </cell>
          <cell r="N337">
            <v>5615</v>
          </cell>
          <cell r="O337">
            <v>2761.2813999999998</v>
          </cell>
          <cell r="P337">
            <v>565.02800000000002</v>
          </cell>
          <cell r="T337">
            <v>6734</v>
          </cell>
          <cell r="U337">
            <v>3077.5416399999999</v>
          </cell>
          <cell r="V337">
            <v>646.11599999999999</v>
          </cell>
          <cell r="Z337">
            <v>6910.8060000000005</v>
          </cell>
          <cell r="AA337">
            <v>3594.7626399999999</v>
          </cell>
          <cell r="AB337">
            <v>872.94500000000005</v>
          </cell>
          <cell r="AF337">
            <v>7349.6059999999998</v>
          </cell>
          <cell r="AG337">
            <v>3948.5209999999997</v>
          </cell>
          <cell r="AH337">
            <v>1028.6289999999999</v>
          </cell>
          <cell r="AL337">
            <v>7786.6720000000005</v>
          </cell>
          <cell r="AM337">
            <v>4081.2850399999998</v>
          </cell>
          <cell r="AN337">
            <v>1112.835</v>
          </cell>
          <cell r="AR337">
            <v>8505</v>
          </cell>
          <cell r="AS337">
            <v>4241.2438000000002</v>
          </cell>
          <cell r="AT337">
            <v>1203.5440000000001</v>
          </cell>
          <cell r="AX337">
            <v>42901.084000000003</v>
          </cell>
          <cell r="AY337">
            <v>21704.63552</v>
          </cell>
          <cell r="AZ337">
            <v>5429.0969999999998</v>
          </cell>
          <cell r="BA337">
            <v>25.013536831785505</v>
          </cell>
          <cell r="BF337">
            <v>11924.344000000001</v>
          </cell>
          <cell r="BG337">
            <v>4693.0537999999997</v>
          </cell>
          <cell r="BH337">
            <v>1327.3939999999998</v>
          </cell>
          <cell r="BL337">
            <v>11172.344000000001</v>
          </cell>
          <cell r="BM337">
            <v>4503.4758000000002</v>
          </cell>
          <cell r="BN337">
            <v>1261.9959999999996</v>
          </cell>
          <cell r="BR337">
            <v>12146.344000000001</v>
          </cell>
          <cell r="BS337">
            <v>5213.1697999999997</v>
          </cell>
          <cell r="BT337">
            <v>1542.9580000000001</v>
          </cell>
          <cell r="BX337">
            <v>13361.344000000001</v>
          </cell>
          <cell r="BY337">
            <v>5579.6728000000003</v>
          </cell>
          <cell r="BZ337">
            <v>1697.5230000000001</v>
          </cell>
          <cell r="CD337">
            <v>14138.344000000001</v>
          </cell>
          <cell r="CE337">
            <v>5417.1909999999998</v>
          </cell>
          <cell r="CF337">
            <v>1639.3380000000002</v>
          </cell>
          <cell r="CJ337">
            <v>14604</v>
          </cell>
          <cell r="CK337">
            <v>5166.5848000000005</v>
          </cell>
          <cell r="CL337">
            <v>1616.298</v>
          </cell>
          <cell r="CP337">
            <v>77346.720000000001</v>
          </cell>
          <cell r="CQ337">
            <v>30573.148000000001</v>
          </cell>
          <cell r="CR337">
            <v>9085.5070000000014</v>
          </cell>
          <cell r="CS337">
            <v>29.71727674232304</v>
          </cell>
          <cell r="CX337">
            <v>19259.806</v>
          </cell>
          <cell r="CY337">
            <v>9433.5856800000001</v>
          </cell>
          <cell r="CZ337">
            <v>2084.0889999999999</v>
          </cell>
          <cell r="DA337">
            <v>22.092225275681177</v>
          </cell>
          <cell r="DF337">
            <v>23641.277999999998</v>
          </cell>
          <cell r="DG337">
            <v>12271.04984</v>
          </cell>
          <cell r="DH337">
            <v>3345.0079999999998</v>
          </cell>
          <cell r="DI337">
            <v>27.259346540149004</v>
          </cell>
          <cell r="DN337">
            <v>35243.031999999999</v>
          </cell>
          <cell r="DO337">
            <v>14409.699400000001</v>
          </cell>
          <cell r="DP337">
            <v>4132.348</v>
          </cell>
          <cell r="DQ337">
            <v>28.677544793196724</v>
          </cell>
          <cell r="DV337">
            <v>42103.688000000002</v>
          </cell>
          <cell r="DW337">
            <v>16163.4486</v>
          </cell>
          <cell r="DX337">
            <v>4953.1589999999997</v>
          </cell>
          <cell r="DY337">
            <v>30.644196808346951</v>
          </cell>
        </row>
        <row r="338">
          <cell r="F338">
            <v>0</v>
          </cell>
          <cell r="G338">
            <v>5002.9830000000002</v>
          </cell>
          <cell r="H338">
            <v>1273.4670000000001</v>
          </cell>
          <cell r="I338">
            <v>25.454154051692761</v>
          </cell>
          <cell r="O338">
            <v>304.71199999999999</v>
          </cell>
          <cell r="P338">
            <v>70.525999999999996</v>
          </cell>
          <cell r="U338">
            <v>304.71199999999999</v>
          </cell>
          <cell r="V338">
            <v>61.301000000000002</v>
          </cell>
          <cell r="AA338">
            <v>319.49200000000002</v>
          </cell>
          <cell r="AB338">
            <v>62.973999999999997</v>
          </cell>
          <cell r="AF338">
            <v>0</v>
          </cell>
          <cell r="AG338">
            <v>394.85700000000003</v>
          </cell>
          <cell r="AH338">
            <v>75.421000000000006</v>
          </cell>
          <cell r="AL338">
            <v>0</v>
          </cell>
          <cell r="AM338">
            <v>414.36200000000002</v>
          </cell>
          <cell r="AN338">
            <v>86.75</v>
          </cell>
          <cell r="AR338">
            <v>0</v>
          </cell>
          <cell r="AS338">
            <v>414.80599999999998</v>
          </cell>
          <cell r="AT338">
            <v>94.509</v>
          </cell>
          <cell r="AX338">
            <v>0</v>
          </cell>
          <cell r="AY338">
            <v>2152.9409999999998</v>
          </cell>
          <cell r="AZ338">
            <v>451.48099999999999</v>
          </cell>
          <cell r="BA338">
            <v>20.970430680636394</v>
          </cell>
          <cell r="BF338">
            <v>0</v>
          </cell>
          <cell r="BG338">
            <v>404.94200000000001</v>
          </cell>
          <cell r="BH338">
            <v>103.601</v>
          </cell>
          <cell r="BL338">
            <v>0</v>
          </cell>
          <cell r="BM338">
            <v>434.90699999999998</v>
          </cell>
          <cell r="BN338">
            <v>115.834</v>
          </cell>
          <cell r="BR338">
            <v>0</v>
          </cell>
          <cell r="BS338">
            <v>405.38900000000001</v>
          </cell>
          <cell r="BT338">
            <v>105.69799999999999</v>
          </cell>
          <cell r="BX338">
            <v>0</v>
          </cell>
          <cell r="BY338">
            <v>544.46699999999998</v>
          </cell>
          <cell r="BZ338">
            <v>163.31100000000001</v>
          </cell>
          <cell r="CD338">
            <v>0</v>
          </cell>
          <cell r="CE338">
            <v>544.36300000000006</v>
          </cell>
          <cell r="CF338">
            <v>171.14699999999999</v>
          </cell>
          <cell r="CJ338">
            <v>0</v>
          </cell>
          <cell r="CK338">
            <v>515.97400000000005</v>
          </cell>
          <cell r="CL338">
            <v>162.39500000000001</v>
          </cell>
          <cell r="CP338">
            <v>0</v>
          </cell>
          <cell r="CQ338">
            <v>2850.0420000000004</v>
          </cell>
          <cell r="CR338">
            <v>821.98599999999999</v>
          </cell>
          <cell r="CS338">
            <v>28.841189007039191</v>
          </cell>
          <cell r="CX338">
            <v>0</v>
          </cell>
          <cell r="CY338">
            <v>928.91599999999994</v>
          </cell>
          <cell r="CZ338">
            <v>194.80099999999999</v>
          </cell>
          <cell r="DA338">
            <v>20.970787455485748</v>
          </cell>
          <cell r="DF338">
            <v>0</v>
          </cell>
          <cell r="DG338">
            <v>1224.0250000000001</v>
          </cell>
          <cell r="DH338">
            <v>256.68</v>
          </cell>
          <cell r="DI338">
            <v>20.970159923204182</v>
          </cell>
          <cell r="DN338">
            <v>0</v>
          </cell>
          <cell r="DO338">
            <v>1245.2379999999998</v>
          </cell>
          <cell r="DP338">
            <v>325.13299999999998</v>
          </cell>
          <cell r="DQ338">
            <v>26.11010907151886</v>
          </cell>
          <cell r="DV338">
            <v>0</v>
          </cell>
          <cell r="DW338">
            <v>1604.8040000000001</v>
          </cell>
          <cell r="DX338">
            <v>496.85299999999995</v>
          </cell>
          <cell r="DY338">
            <v>30.960354037003889</v>
          </cell>
        </row>
        <row r="339">
          <cell r="F339">
            <v>0</v>
          </cell>
          <cell r="G339">
            <v>800.23199999999997</v>
          </cell>
          <cell r="H339">
            <v>375.14699999999999</v>
          </cell>
          <cell r="I339">
            <v>46.879779863839488</v>
          </cell>
          <cell r="O339">
            <v>69.655000000000001</v>
          </cell>
          <cell r="P339">
            <v>31.52</v>
          </cell>
          <cell r="U339">
            <v>69.655000000000001</v>
          </cell>
          <cell r="V339">
            <v>31.363</v>
          </cell>
          <cell r="AA339">
            <v>60.28</v>
          </cell>
          <cell r="AB339">
            <v>27.341999999999999</v>
          </cell>
          <cell r="AF339">
            <v>0</v>
          </cell>
          <cell r="AG339">
            <v>69.966999999999999</v>
          </cell>
          <cell r="AH339">
            <v>32.661000000000001</v>
          </cell>
          <cell r="AL339">
            <v>0</v>
          </cell>
          <cell r="AM339">
            <v>69.966999999999999</v>
          </cell>
          <cell r="AN339">
            <v>32.472000000000001</v>
          </cell>
          <cell r="AR339">
            <v>0</v>
          </cell>
          <cell r="AS339">
            <v>60.39</v>
          </cell>
          <cell r="AT339">
            <v>28.164999999999999</v>
          </cell>
          <cell r="AX339">
            <v>0</v>
          </cell>
          <cell r="AY339">
            <v>399.91399999999999</v>
          </cell>
          <cell r="AZ339">
            <v>183.523</v>
          </cell>
          <cell r="BA339">
            <v>45.890616482543749</v>
          </cell>
          <cell r="BF339">
            <v>0</v>
          </cell>
          <cell r="BG339">
            <v>69.966999999999999</v>
          </cell>
          <cell r="BH339">
            <v>32.981999999999999</v>
          </cell>
          <cell r="BL339">
            <v>0</v>
          </cell>
          <cell r="BM339">
            <v>69.856999999999999</v>
          </cell>
          <cell r="BN339">
            <v>32.969000000000001</v>
          </cell>
          <cell r="BR339">
            <v>0</v>
          </cell>
          <cell r="BS339">
            <v>60.39</v>
          </cell>
          <cell r="BT339">
            <v>28.457000000000001</v>
          </cell>
          <cell r="BX339">
            <v>0</v>
          </cell>
          <cell r="BY339">
            <v>69.856999999999999</v>
          </cell>
          <cell r="BZ339">
            <v>33.747</v>
          </cell>
          <cell r="CD339">
            <v>0</v>
          </cell>
          <cell r="CE339">
            <v>69.856999999999999</v>
          </cell>
          <cell r="CF339">
            <v>33.917000000000002</v>
          </cell>
          <cell r="CJ339">
            <v>0</v>
          </cell>
          <cell r="CK339">
            <v>60.39</v>
          </cell>
          <cell r="CL339">
            <v>29.552</v>
          </cell>
          <cell r="CP339">
            <v>0</v>
          </cell>
          <cell r="CQ339">
            <v>400.31799999999998</v>
          </cell>
          <cell r="CR339">
            <v>191.624</v>
          </cell>
          <cell r="CS339">
            <v>47.867944983737928</v>
          </cell>
          <cell r="CX339">
            <v>0</v>
          </cell>
          <cell r="CY339">
            <v>199.59</v>
          </cell>
          <cell r="CZ339">
            <v>90.224999999999994</v>
          </cell>
          <cell r="DA339">
            <v>45.205170599729442</v>
          </cell>
          <cell r="DF339">
            <v>0</v>
          </cell>
          <cell r="DG339">
            <v>200.32400000000001</v>
          </cell>
          <cell r="DH339">
            <v>93.298000000000002</v>
          </cell>
          <cell r="DI339">
            <v>46.573550847626841</v>
          </cell>
          <cell r="DN339">
            <v>0</v>
          </cell>
          <cell r="DO339">
            <v>200.214</v>
          </cell>
          <cell r="DP339">
            <v>94.407999999999987</v>
          </cell>
          <cell r="DQ339">
            <v>47.153545706094476</v>
          </cell>
          <cell r="DV339">
            <v>0</v>
          </cell>
          <cell r="DW339">
            <v>200.10399999999998</v>
          </cell>
          <cell r="DX339">
            <v>97.216000000000008</v>
          </cell>
          <cell r="DY339">
            <v>48.582736976772082</v>
          </cell>
        </row>
        <row r="340">
          <cell r="F340">
            <v>0</v>
          </cell>
          <cell r="G340">
            <v>2399.9209999999994</v>
          </cell>
          <cell r="H340">
            <v>1031.345</v>
          </cell>
          <cell r="I340">
            <v>42.97412289821208</v>
          </cell>
          <cell r="O340">
            <v>180.00200000000001</v>
          </cell>
          <cell r="P340">
            <v>61.090999999999994</v>
          </cell>
          <cell r="U340">
            <v>199.94399999999999</v>
          </cell>
          <cell r="V340">
            <v>68.974000000000004</v>
          </cell>
          <cell r="AA340">
            <v>200.28</v>
          </cell>
          <cell r="AB340">
            <v>71.405000000000001</v>
          </cell>
          <cell r="AF340">
            <v>0</v>
          </cell>
          <cell r="AG340">
            <v>209.858</v>
          </cell>
          <cell r="AH340">
            <v>80.632000000000005</v>
          </cell>
          <cell r="AL340">
            <v>0</v>
          </cell>
          <cell r="AM340">
            <v>209.72499999999999</v>
          </cell>
          <cell r="AN340">
            <v>86.757999999999996</v>
          </cell>
          <cell r="AR340">
            <v>0</v>
          </cell>
          <cell r="AS340">
            <v>190.19</v>
          </cell>
          <cell r="AT340">
            <v>79.326999999999998</v>
          </cell>
          <cell r="AX340">
            <v>0</v>
          </cell>
          <cell r="AY340">
            <v>1189.9989999999998</v>
          </cell>
          <cell r="AZ340">
            <v>448.18699999999995</v>
          </cell>
          <cell r="BA340">
            <v>37.662804758659462</v>
          </cell>
          <cell r="BF340">
            <v>0</v>
          </cell>
          <cell r="BG340">
            <v>190.10899999999998</v>
          </cell>
          <cell r="BH340">
            <v>88.475999999999999</v>
          </cell>
          <cell r="BL340">
            <v>0</v>
          </cell>
          <cell r="BM340">
            <v>189.85899999999998</v>
          </cell>
          <cell r="BN340">
            <v>92.343999999999994</v>
          </cell>
          <cell r="BR340">
            <v>0</v>
          </cell>
          <cell r="BS340">
            <v>200.267</v>
          </cell>
          <cell r="BT340">
            <v>95.759</v>
          </cell>
          <cell r="BX340">
            <v>0</v>
          </cell>
          <cell r="BY340">
            <v>219.96</v>
          </cell>
          <cell r="BZ340">
            <v>103.63800000000001</v>
          </cell>
          <cell r="CD340">
            <v>0</v>
          </cell>
          <cell r="CE340">
            <v>219.84899999999999</v>
          </cell>
          <cell r="CF340">
            <v>106.301</v>
          </cell>
          <cell r="CJ340">
            <v>0</v>
          </cell>
          <cell r="CK340">
            <v>189.87799999999999</v>
          </cell>
          <cell r="CL340">
            <v>96.64</v>
          </cell>
          <cell r="CP340">
            <v>0</v>
          </cell>
          <cell r="CQ340">
            <v>1209.9219999999998</v>
          </cell>
          <cell r="CR340">
            <v>583.15800000000002</v>
          </cell>
          <cell r="CS340">
            <v>48.197983010475063</v>
          </cell>
          <cell r="CX340">
            <v>0</v>
          </cell>
          <cell r="CY340">
            <v>580.226</v>
          </cell>
          <cell r="CZ340">
            <v>201.47</v>
          </cell>
          <cell r="DA340">
            <v>34.722677025848547</v>
          </cell>
          <cell r="DF340">
            <v>0</v>
          </cell>
          <cell r="DG340">
            <v>609.77299999999991</v>
          </cell>
          <cell r="DH340">
            <v>246.71699999999998</v>
          </cell>
          <cell r="DI340">
            <v>40.460466435870401</v>
          </cell>
          <cell r="DN340">
            <v>0</v>
          </cell>
          <cell r="DO340">
            <v>580.2349999999999</v>
          </cell>
          <cell r="DP340">
            <v>276.57900000000001</v>
          </cell>
          <cell r="DQ340">
            <v>47.666721242255299</v>
          </cell>
          <cell r="DV340">
            <v>0</v>
          </cell>
          <cell r="DW340">
            <v>629.6869999999999</v>
          </cell>
          <cell r="DX340">
            <v>306.57900000000001</v>
          </cell>
          <cell r="DY340">
            <v>48.68752253103527</v>
          </cell>
        </row>
        <row r="341">
          <cell r="F341">
            <v>0</v>
          </cell>
          <cell r="G341">
            <v>800</v>
          </cell>
          <cell r="H341">
            <v>160</v>
          </cell>
          <cell r="I341">
            <v>20</v>
          </cell>
          <cell r="O341">
            <v>70</v>
          </cell>
          <cell r="P341">
            <v>14</v>
          </cell>
          <cell r="U341">
            <v>50</v>
          </cell>
          <cell r="V341">
            <v>10</v>
          </cell>
          <cell r="AA341">
            <v>60</v>
          </cell>
          <cell r="AB341">
            <v>12</v>
          </cell>
          <cell r="AF341">
            <v>0</v>
          </cell>
          <cell r="AG341">
            <v>60</v>
          </cell>
          <cell r="AH341">
            <v>12</v>
          </cell>
          <cell r="AL341">
            <v>0</v>
          </cell>
          <cell r="AM341">
            <v>70</v>
          </cell>
          <cell r="AN341">
            <v>14</v>
          </cell>
          <cell r="AR341">
            <v>0</v>
          </cell>
          <cell r="AS341">
            <v>70</v>
          </cell>
          <cell r="AT341">
            <v>14</v>
          </cell>
          <cell r="AX341">
            <v>0</v>
          </cell>
          <cell r="AY341">
            <v>380</v>
          </cell>
          <cell r="AZ341">
            <v>76</v>
          </cell>
          <cell r="BA341">
            <v>20</v>
          </cell>
          <cell r="BF341">
            <v>0</v>
          </cell>
          <cell r="BG341">
            <v>80</v>
          </cell>
          <cell r="BH341">
            <v>16</v>
          </cell>
          <cell r="BL341">
            <v>0</v>
          </cell>
          <cell r="BM341">
            <v>80</v>
          </cell>
          <cell r="BN341">
            <v>16</v>
          </cell>
          <cell r="BR341">
            <v>0</v>
          </cell>
          <cell r="BS341">
            <v>60</v>
          </cell>
          <cell r="BT341">
            <v>12</v>
          </cell>
          <cell r="BX341">
            <v>0</v>
          </cell>
          <cell r="BY341">
            <v>60</v>
          </cell>
          <cell r="BZ341">
            <v>12</v>
          </cell>
          <cell r="CD341">
            <v>0</v>
          </cell>
          <cell r="CE341">
            <v>60</v>
          </cell>
          <cell r="CF341">
            <v>12</v>
          </cell>
          <cell r="CJ341">
            <v>0</v>
          </cell>
          <cell r="CK341">
            <v>80</v>
          </cell>
          <cell r="CL341">
            <v>16</v>
          </cell>
          <cell r="CP341">
            <v>0</v>
          </cell>
          <cell r="CQ341">
            <v>420</v>
          </cell>
          <cell r="CR341">
            <v>84</v>
          </cell>
          <cell r="CS341">
            <v>20</v>
          </cell>
          <cell r="CX341">
            <v>0</v>
          </cell>
          <cell r="CY341">
            <v>180</v>
          </cell>
          <cell r="CZ341">
            <v>36</v>
          </cell>
          <cell r="DA341">
            <v>20</v>
          </cell>
          <cell r="DF341">
            <v>0</v>
          </cell>
          <cell r="DG341">
            <v>200</v>
          </cell>
          <cell r="DH341">
            <v>40</v>
          </cell>
          <cell r="DI341">
            <v>20</v>
          </cell>
          <cell r="DN341">
            <v>0</v>
          </cell>
          <cell r="DO341">
            <v>220</v>
          </cell>
          <cell r="DP341">
            <v>44</v>
          </cell>
          <cell r="DQ341">
            <v>20</v>
          </cell>
          <cell r="DV341">
            <v>0</v>
          </cell>
          <cell r="DW341">
            <v>200</v>
          </cell>
          <cell r="DX341">
            <v>40</v>
          </cell>
          <cell r="DY341">
            <v>20</v>
          </cell>
        </row>
        <row r="342">
          <cell r="F342">
            <v>0</v>
          </cell>
          <cell r="G342">
            <v>9003.1359999999986</v>
          </cell>
          <cell r="H342">
            <v>2839.9589999999998</v>
          </cell>
          <cell r="I342">
            <v>31.544108630592721</v>
          </cell>
          <cell r="N342">
            <v>0</v>
          </cell>
          <cell r="O342">
            <v>624.36899999999991</v>
          </cell>
          <cell r="P342">
            <v>177.137</v>
          </cell>
          <cell r="T342">
            <v>0</v>
          </cell>
          <cell r="U342">
            <v>624.31099999999992</v>
          </cell>
          <cell r="V342">
            <v>171.63800000000001</v>
          </cell>
          <cell r="Z342">
            <v>0</v>
          </cell>
          <cell r="AA342">
            <v>640.05200000000002</v>
          </cell>
          <cell r="AB342">
            <v>173.721</v>
          </cell>
          <cell r="AF342">
            <v>0</v>
          </cell>
          <cell r="AG342">
            <v>734.68200000000002</v>
          </cell>
          <cell r="AH342">
            <v>200.714</v>
          </cell>
          <cell r="AL342">
            <v>0</v>
          </cell>
          <cell r="AM342">
            <v>764.05399999999997</v>
          </cell>
          <cell r="AN342">
            <v>219.98000000000002</v>
          </cell>
          <cell r="AR342">
            <v>0</v>
          </cell>
          <cell r="AS342">
            <v>735.38599999999997</v>
          </cell>
          <cell r="AT342">
            <v>216.001</v>
          </cell>
          <cell r="AX342">
            <v>0</v>
          </cell>
          <cell r="AY342">
            <v>4122.8539999999994</v>
          </cell>
          <cell r="AZ342">
            <v>1159.191</v>
          </cell>
          <cell r="BA342">
            <v>28.116227254227294</v>
          </cell>
          <cell r="BF342">
            <v>0</v>
          </cell>
          <cell r="BG342">
            <v>745.01800000000003</v>
          </cell>
          <cell r="BH342">
            <v>241.059</v>
          </cell>
          <cell r="BL342">
            <v>0</v>
          </cell>
          <cell r="BM342">
            <v>774.62300000000005</v>
          </cell>
          <cell r="BN342">
            <v>257.14699999999999</v>
          </cell>
          <cell r="BR342">
            <v>0</v>
          </cell>
          <cell r="BS342">
            <v>726.04600000000005</v>
          </cell>
          <cell r="BT342">
            <v>241.91399999999999</v>
          </cell>
          <cell r="BX342">
            <v>0</v>
          </cell>
          <cell r="BY342">
            <v>894.28399999999999</v>
          </cell>
          <cell r="BZ342">
            <v>312.69600000000003</v>
          </cell>
          <cell r="CD342">
            <v>0</v>
          </cell>
          <cell r="CE342">
            <v>894.06899999999996</v>
          </cell>
          <cell r="CF342">
            <v>323.36500000000001</v>
          </cell>
          <cell r="CJ342">
            <v>0</v>
          </cell>
          <cell r="CK342">
            <v>846.24199999999996</v>
          </cell>
          <cell r="CL342">
            <v>304.58699999999999</v>
          </cell>
          <cell r="CP342">
            <v>0</v>
          </cell>
          <cell r="CQ342">
            <v>4880.2820000000002</v>
          </cell>
          <cell r="CR342">
            <v>1680.768</v>
          </cell>
          <cell r="CS342">
            <v>34.439977034114008</v>
          </cell>
          <cell r="CX342">
            <v>0</v>
          </cell>
          <cell r="CY342">
            <v>1888.732</v>
          </cell>
          <cell r="CZ342">
            <v>522.49599999999998</v>
          </cell>
          <cell r="DA342">
            <v>27.663850668067251</v>
          </cell>
          <cell r="DF342">
            <v>0</v>
          </cell>
          <cell r="DG342">
            <v>2234.1220000000003</v>
          </cell>
          <cell r="DH342">
            <v>636.69499999999994</v>
          </cell>
          <cell r="DI342">
            <v>28.498667485481988</v>
          </cell>
          <cell r="DN342">
            <v>0</v>
          </cell>
          <cell r="DO342">
            <v>2245.6869999999999</v>
          </cell>
          <cell r="DP342">
            <v>740.11999999999989</v>
          </cell>
          <cell r="DQ342">
            <v>32.957397892048171</v>
          </cell>
          <cell r="DV342">
            <v>0</v>
          </cell>
          <cell r="DW342">
            <v>2634.5950000000003</v>
          </cell>
          <cell r="DX342">
            <v>940.64799999999991</v>
          </cell>
          <cell r="DY342">
            <v>35.703703984862948</v>
          </cell>
        </row>
        <row r="343">
          <cell r="F343">
            <v>0</v>
          </cell>
          <cell r="G343">
            <v>13502.728999999999</v>
          </cell>
          <cell r="H343">
            <v>5493.3940000000002</v>
          </cell>
          <cell r="I343">
            <v>40.683583296384015</v>
          </cell>
          <cell r="O343">
            <v>952.875</v>
          </cell>
          <cell r="P343">
            <v>382.28</v>
          </cell>
          <cell r="U343">
            <v>967.81500000000005</v>
          </cell>
          <cell r="V343">
            <v>396.95499999999998</v>
          </cell>
          <cell r="AA343">
            <v>1089.8430000000001</v>
          </cell>
          <cell r="AB343">
            <v>451.86100000000005</v>
          </cell>
          <cell r="AF343">
            <v>0</v>
          </cell>
          <cell r="AG343">
            <v>1142.0989999999999</v>
          </cell>
          <cell r="AH343">
            <v>474.65899999999999</v>
          </cell>
          <cell r="AL343">
            <v>0</v>
          </cell>
          <cell r="AM343">
            <v>1146.1610000000001</v>
          </cell>
          <cell r="AN343">
            <v>467.43099999999998</v>
          </cell>
          <cell r="AR343">
            <v>0</v>
          </cell>
          <cell r="AS343">
            <v>1151.809</v>
          </cell>
          <cell r="AT343">
            <v>455.935</v>
          </cell>
          <cell r="AX343">
            <v>0</v>
          </cell>
          <cell r="AY343">
            <v>6450.6020000000008</v>
          </cell>
          <cell r="AZ343">
            <v>2629.1210000000001</v>
          </cell>
          <cell r="BA343">
            <v>40.757761833701714</v>
          </cell>
          <cell r="BF343">
            <v>0</v>
          </cell>
          <cell r="BG343">
            <v>1164.941</v>
          </cell>
          <cell r="BH343">
            <v>468.42500000000001</v>
          </cell>
          <cell r="BL343">
            <v>0</v>
          </cell>
          <cell r="BM343">
            <v>1192.4209999999998</v>
          </cell>
          <cell r="BN343">
            <v>478.15</v>
          </cell>
          <cell r="BR343">
            <v>0</v>
          </cell>
          <cell r="BS343">
            <v>1140.298</v>
          </cell>
          <cell r="BT343">
            <v>450.548</v>
          </cell>
          <cell r="BX343">
            <v>0</v>
          </cell>
          <cell r="BY343">
            <v>1211.086</v>
          </cell>
          <cell r="BZ343">
            <v>491.34300000000002</v>
          </cell>
          <cell r="CD343">
            <v>0</v>
          </cell>
          <cell r="CE343">
            <v>1206.2169999999999</v>
          </cell>
          <cell r="CF343">
            <v>495.52499999999998</v>
          </cell>
          <cell r="CJ343">
            <v>0</v>
          </cell>
          <cell r="CK343">
            <v>1137.164</v>
          </cell>
          <cell r="CL343">
            <v>480.28199999999998</v>
          </cell>
          <cell r="CP343">
            <v>0</v>
          </cell>
          <cell r="CQ343">
            <v>7052.1269999999995</v>
          </cell>
          <cell r="CR343">
            <v>2864.2730000000001</v>
          </cell>
          <cell r="CS343">
            <v>40.615731962853197</v>
          </cell>
          <cell r="CX343">
            <v>0</v>
          </cell>
          <cell r="CY343">
            <v>3010.5330000000004</v>
          </cell>
          <cell r="CZ343">
            <v>1231.096</v>
          </cell>
          <cell r="DA343">
            <v>40.89295815724325</v>
          </cell>
          <cell r="DF343">
            <v>0</v>
          </cell>
          <cell r="DG343">
            <v>3440.0690000000004</v>
          </cell>
          <cell r="DH343">
            <v>1398.0249999999999</v>
          </cell>
          <cell r="DI343">
            <v>40.639446476218929</v>
          </cell>
          <cell r="DN343">
            <v>0</v>
          </cell>
          <cell r="DO343">
            <v>3497.66</v>
          </cell>
          <cell r="DP343">
            <v>1397.123</v>
          </cell>
          <cell r="DQ343">
            <v>39.944505755276388</v>
          </cell>
          <cell r="DV343">
            <v>0</v>
          </cell>
          <cell r="DW343">
            <v>3554.4669999999996</v>
          </cell>
          <cell r="DX343">
            <v>1467.1499999999999</v>
          </cell>
          <cell r="DY343">
            <v>41.27623072601321</v>
          </cell>
        </row>
        <row r="344">
          <cell r="F344">
            <v>0</v>
          </cell>
          <cell r="G344">
            <v>700</v>
          </cell>
          <cell r="H344">
            <v>140</v>
          </cell>
          <cell r="I344">
            <v>20</v>
          </cell>
          <cell r="O344">
            <v>60</v>
          </cell>
          <cell r="P344">
            <v>12</v>
          </cell>
          <cell r="U344">
            <v>60</v>
          </cell>
          <cell r="V344">
            <v>12</v>
          </cell>
          <cell r="AA344">
            <v>60</v>
          </cell>
          <cell r="AB344">
            <v>12</v>
          </cell>
          <cell r="AF344">
            <v>0</v>
          </cell>
          <cell r="AG344">
            <v>50</v>
          </cell>
          <cell r="AH344">
            <v>10</v>
          </cell>
          <cell r="AL344">
            <v>0</v>
          </cell>
          <cell r="AM344">
            <v>60</v>
          </cell>
          <cell r="AN344">
            <v>12</v>
          </cell>
          <cell r="AR344">
            <v>0</v>
          </cell>
          <cell r="AS344">
            <v>60</v>
          </cell>
          <cell r="AT344">
            <v>12</v>
          </cell>
          <cell r="AX344">
            <v>0</v>
          </cell>
          <cell r="AY344">
            <v>350</v>
          </cell>
          <cell r="AZ344">
            <v>70</v>
          </cell>
          <cell r="BA344">
            <v>20</v>
          </cell>
          <cell r="BF344">
            <v>0</v>
          </cell>
          <cell r="BG344">
            <v>70</v>
          </cell>
          <cell r="BH344">
            <v>14</v>
          </cell>
          <cell r="BL344">
            <v>0</v>
          </cell>
          <cell r="BM344">
            <v>50</v>
          </cell>
          <cell r="BN344">
            <v>10</v>
          </cell>
          <cell r="BR344">
            <v>0</v>
          </cell>
          <cell r="BS344">
            <v>50</v>
          </cell>
          <cell r="BT344">
            <v>10</v>
          </cell>
          <cell r="BX344">
            <v>0</v>
          </cell>
          <cell r="BY344">
            <v>50</v>
          </cell>
          <cell r="BZ344">
            <v>10</v>
          </cell>
          <cell r="CD344">
            <v>0</v>
          </cell>
          <cell r="CE344">
            <v>60</v>
          </cell>
          <cell r="CF344">
            <v>12</v>
          </cell>
          <cell r="CJ344">
            <v>0</v>
          </cell>
          <cell r="CK344">
            <v>70</v>
          </cell>
          <cell r="CL344">
            <v>14</v>
          </cell>
          <cell r="CP344">
            <v>0</v>
          </cell>
          <cell r="CQ344">
            <v>350</v>
          </cell>
          <cell r="CR344">
            <v>70</v>
          </cell>
          <cell r="CS344">
            <v>20</v>
          </cell>
          <cell r="CX344">
            <v>0</v>
          </cell>
          <cell r="CY344">
            <v>180</v>
          </cell>
          <cell r="CZ344">
            <v>36</v>
          </cell>
          <cell r="DA344">
            <v>20</v>
          </cell>
          <cell r="DF344">
            <v>0</v>
          </cell>
          <cell r="DG344">
            <v>170</v>
          </cell>
          <cell r="DH344">
            <v>34</v>
          </cell>
          <cell r="DI344">
            <v>20</v>
          </cell>
          <cell r="DN344">
            <v>0</v>
          </cell>
          <cell r="DO344">
            <v>170</v>
          </cell>
          <cell r="DP344">
            <v>34</v>
          </cell>
          <cell r="DQ344">
            <v>20</v>
          </cell>
          <cell r="DV344">
            <v>0</v>
          </cell>
          <cell r="DW344">
            <v>180</v>
          </cell>
          <cell r="DX344">
            <v>36</v>
          </cell>
          <cell r="DY344">
            <v>20</v>
          </cell>
        </row>
        <row r="345">
          <cell r="F345">
            <v>0</v>
          </cell>
          <cell r="G345">
            <v>14202.728999999999</v>
          </cell>
          <cell r="H345">
            <v>5633.3940000000002</v>
          </cell>
          <cell r="I345">
            <v>39.664165950079031</v>
          </cell>
          <cell r="N345">
            <v>0</v>
          </cell>
          <cell r="O345">
            <v>1012.875</v>
          </cell>
          <cell r="P345">
            <v>394.28</v>
          </cell>
          <cell r="T345">
            <v>0</v>
          </cell>
          <cell r="U345">
            <v>1027.8150000000001</v>
          </cell>
          <cell r="V345">
            <v>408.95499999999998</v>
          </cell>
          <cell r="Z345">
            <v>0</v>
          </cell>
          <cell r="AA345">
            <v>1149.8430000000001</v>
          </cell>
          <cell r="AB345">
            <v>463.86100000000005</v>
          </cell>
          <cell r="AF345">
            <v>0</v>
          </cell>
          <cell r="AG345">
            <v>1192.0989999999999</v>
          </cell>
          <cell r="AH345">
            <v>484.65899999999999</v>
          </cell>
          <cell r="AL345">
            <v>0</v>
          </cell>
          <cell r="AM345">
            <v>1206.1610000000001</v>
          </cell>
          <cell r="AN345">
            <v>479.43099999999998</v>
          </cell>
          <cell r="AR345">
            <v>0</v>
          </cell>
          <cell r="AS345">
            <v>1211.809</v>
          </cell>
          <cell r="AT345">
            <v>467.935</v>
          </cell>
          <cell r="AX345">
            <v>0</v>
          </cell>
          <cell r="AY345">
            <v>6800.6020000000008</v>
          </cell>
          <cell r="AZ345">
            <v>2699.1210000000001</v>
          </cell>
          <cell r="BA345">
            <v>39.689442199381759</v>
          </cell>
          <cell r="BF345">
            <v>0</v>
          </cell>
          <cell r="BG345">
            <v>1234.941</v>
          </cell>
          <cell r="BH345">
            <v>482.42500000000001</v>
          </cell>
          <cell r="BL345">
            <v>0</v>
          </cell>
          <cell r="BM345">
            <v>1242.4209999999998</v>
          </cell>
          <cell r="BN345">
            <v>488.15</v>
          </cell>
          <cell r="BR345">
            <v>0</v>
          </cell>
          <cell r="BS345">
            <v>1190.298</v>
          </cell>
          <cell r="BT345">
            <v>460.548</v>
          </cell>
          <cell r="BX345">
            <v>0</v>
          </cell>
          <cell r="BY345">
            <v>1261.086</v>
          </cell>
          <cell r="BZ345">
            <v>501.34300000000002</v>
          </cell>
          <cell r="CD345">
            <v>0</v>
          </cell>
          <cell r="CE345">
            <v>1266.2169999999999</v>
          </cell>
          <cell r="CF345">
            <v>507.52499999999998</v>
          </cell>
          <cell r="CJ345">
            <v>0</v>
          </cell>
          <cell r="CK345">
            <v>1207.164</v>
          </cell>
          <cell r="CL345">
            <v>494.28199999999998</v>
          </cell>
          <cell r="CP345">
            <v>0</v>
          </cell>
          <cell r="CQ345">
            <v>7402.1269999999995</v>
          </cell>
          <cell r="CR345">
            <v>2934.2730000000001</v>
          </cell>
          <cell r="CS345">
            <v>39.640943744953312</v>
          </cell>
          <cell r="CX345">
            <v>0</v>
          </cell>
          <cell r="CY345">
            <v>3190.5330000000004</v>
          </cell>
          <cell r="CZ345">
            <v>1267.096</v>
          </cell>
          <cell r="DA345">
            <v>39.714242103121947</v>
          </cell>
          <cell r="DF345">
            <v>0</v>
          </cell>
          <cell r="DG345">
            <v>3610.0690000000004</v>
          </cell>
          <cell r="DH345">
            <v>1432.0249999999999</v>
          </cell>
          <cell r="DI345">
            <v>39.667524360337701</v>
          </cell>
          <cell r="DN345">
            <v>0</v>
          </cell>
          <cell r="DO345">
            <v>3667.66</v>
          </cell>
          <cell r="DP345">
            <v>1431.123</v>
          </cell>
          <cell r="DQ345">
            <v>39.020056384724867</v>
          </cell>
          <cell r="DV345">
            <v>0</v>
          </cell>
          <cell r="DW345">
            <v>3734.4669999999996</v>
          </cell>
          <cell r="DX345">
            <v>1503.1499999999999</v>
          </cell>
          <cell r="DY345">
            <v>40.250723865012063</v>
          </cell>
        </row>
        <row r="346">
          <cell r="F346">
            <v>0</v>
          </cell>
          <cell r="G346">
            <v>1503</v>
          </cell>
          <cell r="H346">
            <v>424</v>
          </cell>
          <cell r="I346">
            <v>28.210246174318033</v>
          </cell>
          <cell r="O346">
            <v>91</v>
          </cell>
          <cell r="P346">
            <v>26</v>
          </cell>
          <cell r="U346">
            <v>91</v>
          </cell>
          <cell r="V346">
            <v>26</v>
          </cell>
          <cell r="AA346">
            <v>91</v>
          </cell>
          <cell r="AB346">
            <v>26</v>
          </cell>
          <cell r="AF346">
            <v>0</v>
          </cell>
          <cell r="AG346">
            <v>110</v>
          </cell>
          <cell r="AH346">
            <v>32</v>
          </cell>
          <cell r="AL346">
            <v>0</v>
          </cell>
          <cell r="AM346">
            <v>140</v>
          </cell>
          <cell r="AN346">
            <v>40</v>
          </cell>
          <cell r="AR346">
            <v>0</v>
          </cell>
          <cell r="AS346">
            <v>120</v>
          </cell>
          <cell r="AT346">
            <v>34</v>
          </cell>
          <cell r="AX346">
            <v>0</v>
          </cell>
          <cell r="AY346">
            <v>643</v>
          </cell>
          <cell r="AZ346">
            <v>184</v>
          </cell>
          <cell r="BA346">
            <v>28.615863141524105</v>
          </cell>
          <cell r="BF346">
            <v>0</v>
          </cell>
          <cell r="BG346">
            <v>150</v>
          </cell>
          <cell r="BH346">
            <v>42</v>
          </cell>
          <cell r="BL346">
            <v>0</v>
          </cell>
          <cell r="BM346">
            <v>150</v>
          </cell>
          <cell r="BN346">
            <v>42</v>
          </cell>
          <cell r="BR346">
            <v>0</v>
          </cell>
          <cell r="BS346">
            <v>130</v>
          </cell>
          <cell r="BT346">
            <v>36</v>
          </cell>
          <cell r="BX346">
            <v>0</v>
          </cell>
          <cell r="BY346">
            <v>150</v>
          </cell>
          <cell r="BZ346">
            <v>42</v>
          </cell>
          <cell r="CD346">
            <v>0</v>
          </cell>
          <cell r="CE346">
            <v>150</v>
          </cell>
          <cell r="CF346">
            <v>42</v>
          </cell>
          <cell r="CJ346">
            <v>0</v>
          </cell>
          <cell r="CK346">
            <v>130</v>
          </cell>
          <cell r="CL346">
            <v>36</v>
          </cell>
          <cell r="CP346">
            <v>0</v>
          </cell>
          <cell r="CQ346">
            <v>860</v>
          </cell>
          <cell r="CR346">
            <v>240</v>
          </cell>
          <cell r="CS346">
            <v>27.906976744186046</v>
          </cell>
          <cell r="CX346">
            <v>0</v>
          </cell>
          <cell r="CY346">
            <v>273</v>
          </cell>
          <cell r="CZ346">
            <v>78</v>
          </cell>
          <cell r="DA346">
            <v>28.571428571428569</v>
          </cell>
          <cell r="DF346">
            <v>0</v>
          </cell>
          <cell r="DG346">
            <v>370</v>
          </cell>
          <cell r="DH346">
            <v>106</v>
          </cell>
          <cell r="DI346">
            <v>28.648648648648649</v>
          </cell>
          <cell r="DN346">
            <v>0</v>
          </cell>
          <cell r="DO346">
            <v>430</v>
          </cell>
          <cell r="DP346">
            <v>120</v>
          </cell>
          <cell r="DQ346">
            <v>27.906976744186046</v>
          </cell>
          <cell r="DV346">
            <v>0</v>
          </cell>
          <cell r="DW346">
            <v>430</v>
          </cell>
          <cell r="DX346">
            <v>120</v>
          </cell>
          <cell r="DY346">
            <v>27.906976744186046</v>
          </cell>
        </row>
        <row r="347">
          <cell r="F347">
            <v>0</v>
          </cell>
          <cell r="G347">
            <v>5500.7800000000007</v>
          </cell>
          <cell r="H347">
            <v>834.02200000000005</v>
          </cell>
          <cell r="I347">
            <v>15.161886132512114</v>
          </cell>
          <cell r="O347">
            <v>320</v>
          </cell>
          <cell r="P347">
            <v>51.871000000000002</v>
          </cell>
          <cell r="U347">
            <v>340</v>
          </cell>
          <cell r="V347">
            <v>47.273000000000003</v>
          </cell>
          <cell r="AA347">
            <v>340</v>
          </cell>
          <cell r="AB347">
            <v>46.109000000000002</v>
          </cell>
          <cell r="AF347">
            <v>0</v>
          </cell>
          <cell r="AG347">
            <v>360</v>
          </cell>
          <cell r="AH347">
            <v>50.838000000000001</v>
          </cell>
          <cell r="AL347">
            <v>0</v>
          </cell>
          <cell r="AM347">
            <v>356.25</v>
          </cell>
          <cell r="AN347">
            <v>37.67</v>
          </cell>
          <cell r="AR347">
            <v>0</v>
          </cell>
          <cell r="AS347">
            <v>447.52</v>
          </cell>
          <cell r="AT347">
            <v>53.661000000000001</v>
          </cell>
          <cell r="AX347">
            <v>0</v>
          </cell>
          <cell r="AY347">
            <v>2163.77</v>
          </cell>
          <cell r="AZ347">
            <v>287.42200000000003</v>
          </cell>
          <cell r="BA347">
            <v>13.283389639379417</v>
          </cell>
          <cell r="BF347">
            <v>0</v>
          </cell>
          <cell r="BG347">
            <v>439.26</v>
          </cell>
          <cell r="BH347">
            <v>69.287000000000006</v>
          </cell>
          <cell r="BL347">
            <v>0</v>
          </cell>
          <cell r="BM347">
            <v>544.63</v>
          </cell>
          <cell r="BN347">
            <v>77.855000000000004</v>
          </cell>
          <cell r="BR347">
            <v>0</v>
          </cell>
          <cell r="BS347">
            <v>612.54</v>
          </cell>
          <cell r="BT347">
            <v>76.852000000000004</v>
          </cell>
          <cell r="BX347">
            <v>0</v>
          </cell>
          <cell r="BY347">
            <v>562.86</v>
          </cell>
          <cell r="BZ347">
            <v>98.98</v>
          </cell>
          <cell r="CD347">
            <v>0</v>
          </cell>
          <cell r="CE347">
            <v>588.86</v>
          </cell>
          <cell r="CF347">
            <v>112.34699999999999</v>
          </cell>
          <cell r="CJ347">
            <v>0</v>
          </cell>
          <cell r="CK347">
            <v>588.86</v>
          </cell>
          <cell r="CL347">
            <v>111.279</v>
          </cell>
          <cell r="CP347">
            <v>0</v>
          </cell>
          <cell r="CQ347">
            <v>3337.01</v>
          </cell>
          <cell r="CR347">
            <v>546.6</v>
          </cell>
          <cell r="CS347">
            <v>16.379932933973826</v>
          </cell>
          <cell r="CX347">
            <v>0</v>
          </cell>
          <cell r="CY347">
            <v>1000</v>
          </cell>
          <cell r="CZ347">
            <v>145.25300000000001</v>
          </cell>
          <cell r="DA347">
            <v>14.525300000000001</v>
          </cell>
          <cell r="DF347">
            <v>0</v>
          </cell>
          <cell r="DG347">
            <v>1163.77</v>
          </cell>
          <cell r="DH347">
            <v>142.16900000000001</v>
          </cell>
          <cell r="DI347">
            <v>12.216245478058381</v>
          </cell>
          <cell r="DN347">
            <v>0</v>
          </cell>
          <cell r="DO347">
            <v>1596.4299999999998</v>
          </cell>
          <cell r="DP347">
            <v>223.994</v>
          </cell>
          <cell r="DQ347">
            <v>14.030931515944953</v>
          </cell>
          <cell r="DV347">
            <v>0</v>
          </cell>
          <cell r="DW347">
            <v>1740.58</v>
          </cell>
          <cell r="DX347">
            <v>322.60599999999999</v>
          </cell>
          <cell r="DY347">
            <v>18.534396580450196</v>
          </cell>
        </row>
        <row r="348">
          <cell r="F348">
            <v>0</v>
          </cell>
          <cell r="G348">
            <v>0</v>
          </cell>
          <cell r="H348">
            <v>0</v>
          </cell>
          <cell r="I348">
            <v>0</v>
          </cell>
          <cell r="N348">
            <v>0</v>
          </cell>
          <cell r="AR348">
            <v>0</v>
          </cell>
          <cell r="AX348">
            <v>0</v>
          </cell>
          <cell r="AY348">
            <v>0</v>
          </cell>
          <cell r="AZ348">
            <v>0</v>
          </cell>
          <cell r="BA348">
            <v>0</v>
          </cell>
          <cell r="BF348">
            <v>0</v>
          </cell>
          <cell r="BL348">
            <v>0</v>
          </cell>
          <cell r="BR348">
            <v>0</v>
          </cell>
          <cell r="BX348">
            <v>0</v>
          </cell>
          <cell r="CD348">
            <v>0</v>
          </cell>
          <cell r="CJ348">
            <v>0</v>
          </cell>
          <cell r="CP348">
            <v>0</v>
          </cell>
          <cell r="CQ348">
            <v>0</v>
          </cell>
          <cell r="CR348">
            <v>0</v>
          </cell>
          <cell r="CS348">
            <v>0</v>
          </cell>
          <cell r="CX348">
            <v>0</v>
          </cell>
          <cell r="CY348">
            <v>0</v>
          </cell>
          <cell r="CZ348">
            <v>0</v>
          </cell>
          <cell r="DA348">
            <v>0</v>
          </cell>
          <cell r="DF348">
            <v>0</v>
          </cell>
          <cell r="DG348">
            <v>0</v>
          </cell>
          <cell r="DH348">
            <v>0</v>
          </cell>
          <cell r="DI348">
            <v>0</v>
          </cell>
          <cell r="DN348">
            <v>0</v>
          </cell>
          <cell r="DO348">
            <v>0</v>
          </cell>
          <cell r="DP348">
            <v>0</v>
          </cell>
          <cell r="DQ348">
            <v>0</v>
          </cell>
          <cell r="DV348">
            <v>0</v>
          </cell>
          <cell r="DW348">
            <v>0</v>
          </cell>
          <cell r="DX348">
            <v>0</v>
          </cell>
          <cell r="DY348">
            <v>0</v>
          </cell>
        </row>
        <row r="349">
          <cell r="F349">
            <v>0</v>
          </cell>
          <cell r="G349">
            <v>30209.644999999997</v>
          </cell>
          <cell r="H349">
            <v>9731.375</v>
          </cell>
          <cell r="I349">
            <v>32.212808194204207</v>
          </cell>
          <cell r="N349">
            <v>0</v>
          </cell>
          <cell r="O349">
            <v>2048.2439999999997</v>
          </cell>
          <cell r="P349">
            <v>649.2879999999999</v>
          </cell>
          <cell r="T349">
            <v>0</v>
          </cell>
          <cell r="U349">
            <v>2083.1260000000002</v>
          </cell>
          <cell r="V349">
            <v>653.86599999999999</v>
          </cell>
          <cell r="Z349">
            <v>0</v>
          </cell>
          <cell r="AA349">
            <v>2220.895</v>
          </cell>
          <cell r="AB349">
            <v>709.69100000000014</v>
          </cell>
          <cell r="AF349">
            <v>0</v>
          </cell>
          <cell r="AG349">
            <v>2396.7809999999999</v>
          </cell>
          <cell r="AH349">
            <v>768.21100000000001</v>
          </cell>
          <cell r="AL349">
            <v>0</v>
          </cell>
          <cell r="AM349">
            <v>2466.4650000000001</v>
          </cell>
          <cell r="AN349">
            <v>777.08100000000002</v>
          </cell>
          <cell r="AR349">
            <v>0</v>
          </cell>
          <cell r="AS349">
            <v>2514.7149999999997</v>
          </cell>
          <cell r="AT349">
            <v>771.59699999999998</v>
          </cell>
          <cell r="AX349">
            <v>0</v>
          </cell>
          <cell r="AY349">
            <v>13730.226000000001</v>
          </cell>
          <cell r="AZ349">
            <v>4329.7340000000004</v>
          </cell>
          <cell r="BA349">
            <v>31.534324343969285</v>
          </cell>
          <cell r="BF349">
            <v>0</v>
          </cell>
          <cell r="BG349">
            <v>2569.2190000000001</v>
          </cell>
          <cell r="BH349">
            <v>834.77100000000007</v>
          </cell>
          <cell r="BL349">
            <v>0</v>
          </cell>
          <cell r="BM349">
            <v>2711.674</v>
          </cell>
          <cell r="BN349">
            <v>865.15200000000004</v>
          </cell>
          <cell r="BR349">
            <v>0</v>
          </cell>
          <cell r="BS349">
            <v>2658.884</v>
          </cell>
          <cell r="BT349">
            <v>815.31399999999996</v>
          </cell>
          <cell r="BX349">
            <v>0</v>
          </cell>
          <cell r="BY349">
            <v>2868.23</v>
          </cell>
          <cell r="BZ349">
            <v>955.01900000000001</v>
          </cell>
          <cell r="CD349">
            <v>0</v>
          </cell>
          <cell r="CE349">
            <v>2899.1460000000002</v>
          </cell>
          <cell r="CF349">
            <v>985.23699999999997</v>
          </cell>
          <cell r="CJ349">
            <v>0</v>
          </cell>
          <cell r="CK349">
            <v>2772.2660000000001</v>
          </cell>
          <cell r="CL349">
            <v>946.14799999999991</v>
          </cell>
          <cell r="CP349">
            <v>0</v>
          </cell>
          <cell r="CQ349">
            <v>16479.419000000002</v>
          </cell>
          <cell r="CR349">
            <v>5401.6410000000005</v>
          </cell>
          <cell r="CS349">
            <v>32.778103402795935</v>
          </cell>
          <cell r="CX349">
            <v>0</v>
          </cell>
          <cell r="CY349">
            <v>6352.2650000000003</v>
          </cell>
          <cell r="CZ349">
            <v>2012.845</v>
          </cell>
          <cell r="DA349">
            <v>31.687043912683109</v>
          </cell>
          <cell r="DF349">
            <v>0</v>
          </cell>
          <cell r="DG349">
            <v>7377.9610000000011</v>
          </cell>
          <cell r="DH349">
            <v>2316.8889999999997</v>
          </cell>
          <cell r="DI349">
            <v>31.402836095230096</v>
          </cell>
          <cell r="DN349">
            <v>0</v>
          </cell>
          <cell r="DO349">
            <v>7939.777</v>
          </cell>
          <cell r="DP349">
            <v>2515.2370000000001</v>
          </cell>
          <cell r="DQ349">
            <v>31.678937582251997</v>
          </cell>
          <cell r="DV349">
            <v>0</v>
          </cell>
          <cell r="DW349">
            <v>8539.6419999999998</v>
          </cell>
          <cell r="DX349">
            <v>2886.4039999999995</v>
          </cell>
          <cell r="DY349">
            <v>33.800058597304186</v>
          </cell>
        </row>
        <row r="350">
          <cell r="F350">
            <v>0</v>
          </cell>
          <cell r="G350">
            <v>1500</v>
          </cell>
          <cell r="H350">
            <v>300</v>
          </cell>
          <cell r="I350">
            <v>20</v>
          </cell>
          <cell r="N350">
            <v>0</v>
          </cell>
          <cell r="O350">
            <v>130</v>
          </cell>
          <cell r="P350">
            <v>26</v>
          </cell>
          <cell r="T350">
            <v>0</v>
          </cell>
          <cell r="U350">
            <v>110</v>
          </cell>
          <cell r="V350">
            <v>22</v>
          </cell>
          <cell r="Z350">
            <v>0</v>
          </cell>
          <cell r="AA350">
            <v>120</v>
          </cell>
          <cell r="AB350">
            <v>24</v>
          </cell>
          <cell r="AF350">
            <v>0</v>
          </cell>
          <cell r="AG350">
            <v>110</v>
          </cell>
          <cell r="AH350">
            <v>22</v>
          </cell>
          <cell r="AL350">
            <v>0</v>
          </cell>
          <cell r="AM350">
            <v>130</v>
          </cell>
          <cell r="AN350">
            <v>26</v>
          </cell>
          <cell r="AR350">
            <v>0</v>
          </cell>
          <cell r="AS350">
            <v>130</v>
          </cell>
          <cell r="AT350">
            <v>26</v>
          </cell>
          <cell r="AX350">
            <v>0</v>
          </cell>
          <cell r="AY350">
            <v>730</v>
          </cell>
          <cell r="AZ350">
            <v>146</v>
          </cell>
          <cell r="BA350">
            <v>20</v>
          </cell>
          <cell r="BF350">
            <v>0</v>
          </cell>
          <cell r="BG350">
            <v>150</v>
          </cell>
          <cell r="BH350">
            <v>30</v>
          </cell>
          <cell r="BL350">
            <v>0</v>
          </cell>
          <cell r="BM350">
            <v>130</v>
          </cell>
          <cell r="BN350">
            <v>26</v>
          </cell>
          <cell r="BR350">
            <v>0</v>
          </cell>
          <cell r="BS350">
            <v>110</v>
          </cell>
          <cell r="BT350">
            <v>22</v>
          </cell>
          <cell r="BX350">
            <v>0</v>
          </cell>
          <cell r="BY350">
            <v>110</v>
          </cell>
          <cell r="BZ350">
            <v>22</v>
          </cell>
          <cell r="CD350">
            <v>0</v>
          </cell>
          <cell r="CE350">
            <v>120</v>
          </cell>
          <cell r="CF350">
            <v>24</v>
          </cell>
          <cell r="CJ350">
            <v>0</v>
          </cell>
          <cell r="CK350">
            <v>150</v>
          </cell>
          <cell r="CL350">
            <v>30</v>
          </cell>
          <cell r="CP350">
            <v>0</v>
          </cell>
          <cell r="CQ350">
            <v>770</v>
          </cell>
          <cell r="CR350">
            <v>154</v>
          </cell>
          <cell r="CS350">
            <v>20</v>
          </cell>
          <cell r="CX350">
            <v>0</v>
          </cell>
          <cell r="CY350">
            <v>360</v>
          </cell>
          <cell r="CZ350">
            <v>72</v>
          </cell>
          <cell r="DA350">
            <v>20</v>
          </cell>
          <cell r="DF350">
            <v>0</v>
          </cell>
          <cell r="DG350">
            <v>370</v>
          </cell>
          <cell r="DH350">
            <v>74</v>
          </cell>
          <cell r="DI350">
            <v>20</v>
          </cell>
          <cell r="DN350">
            <v>0</v>
          </cell>
          <cell r="DO350">
            <v>390</v>
          </cell>
          <cell r="DP350">
            <v>78</v>
          </cell>
          <cell r="DQ350">
            <v>20</v>
          </cell>
          <cell r="DV350">
            <v>0</v>
          </cell>
          <cell r="DW350">
            <v>380</v>
          </cell>
          <cell r="DX350">
            <v>76</v>
          </cell>
          <cell r="DY350">
            <v>20</v>
          </cell>
        </row>
        <row r="351">
          <cell r="F351">
            <v>0</v>
          </cell>
          <cell r="G351">
            <v>1871.473</v>
          </cell>
          <cell r="H351">
            <v>78.224999999999994</v>
          </cell>
          <cell r="I351">
            <v>4.179862600208498</v>
          </cell>
          <cell r="O351">
            <v>132.41</v>
          </cell>
          <cell r="P351">
            <v>-0.437</v>
          </cell>
          <cell r="U351">
            <v>127.63200000000001</v>
          </cell>
          <cell r="V351">
            <v>-0.63600000000000001</v>
          </cell>
          <cell r="AA351">
            <v>174.64400000000001</v>
          </cell>
          <cell r="AB351">
            <v>-2.5529999999999999</v>
          </cell>
          <cell r="AF351">
            <v>0</v>
          </cell>
          <cell r="AG351">
            <v>189.047</v>
          </cell>
          <cell r="AH351">
            <v>11.587</v>
          </cell>
          <cell r="AL351">
            <v>0</v>
          </cell>
          <cell r="AM351">
            <v>169.416</v>
          </cell>
          <cell r="AN351">
            <v>1.3049999999999999</v>
          </cell>
          <cell r="AR351">
            <v>0</v>
          </cell>
          <cell r="AS351">
            <v>149.845</v>
          </cell>
          <cell r="AT351">
            <v>3.4009999999999998</v>
          </cell>
          <cell r="AX351">
            <v>0</v>
          </cell>
          <cell r="AY351">
            <v>942.99400000000003</v>
          </cell>
          <cell r="AZ351">
            <v>12.667</v>
          </cell>
          <cell r="BA351">
            <v>1.3432747186090261</v>
          </cell>
          <cell r="BF351">
            <v>0</v>
          </cell>
          <cell r="BG351">
            <v>162.922</v>
          </cell>
          <cell r="BH351">
            <v>6.351</v>
          </cell>
          <cell r="BL351">
            <v>0</v>
          </cell>
          <cell r="BM351">
            <v>140.16399999999999</v>
          </cell>
          <cell r="BN351">
            <v>7.3780000000000001</v>
          </cell>
          <cell r="BR351">
            <v>0</v>
          </cell>
          <cell r="BS351">
            <v>163.92099999999999</v>
          </cell>
          <cell r="BT351">
            <v>7.6959999999999997</v>
          </cell>
          <cell r="BX351">
            <v>0</v>
          </cell>
          <cell r="BY351">
            <v>158.904</v>
          </cell>
          <cell r="BZ351">
            <v>12.958</v>
          </cell>
          <cell r="CD351">
            <v>0</v>
          </cell>
          <cell r="CE351">
            <v>162.64400000000001</v>
          </cell>
          <cell r="CF351">
            <v>15.981999999999999</v>
          </cell>
          <cell r="CJ351">
            <v>0</v>
          </cell>
          <cell r="CK351">
            <v>139.92400000000001</v>
          </cell>
          <cell r="CL351">
            <v>15.193</v>
          </cell>
          <cell r="CP351">
            <v>0</v>
          </cell>
          <cell r="CQ351">
            <v>928.47900000000004</v>
          </cell>
          <cell r="CR351">
            <v>65.557999999999993</v>
          </cell>
          <cell r="CS351">
            <v>7.0607951283766237</v>
          </cell>
          <cell r="CX351">
            <v>0</v>
          </cell>
          <cell r="CY351">
            <v>434.68600000000004</v>
          </cell>
          <cell r="CZ351">
            <v>-3.6259999999999999</v>
          </cell>
          <cell r="DA351">
            <v>-0.83416535154111227</v>
          </cell>
          <cell r="DF351">
            <v>0</v>
          </cell>
          <cell r="DG351">
            <v>508.30799999999999</v>
          </cell>
          <cell r="DH351">
            <v>16.292999999999999</v>
          </cell>
          <cell r="DI351">
            <v>3.2053400694067378</v>
          </cell>
          <cell r="DN351">
            <v>0</v>
          </cell>
          <cell r="DO351">
            <v>467.00700000000001</v>
          </cell>
          <cell r="DP351">
            <v>21.424999999999997</v>
          </cell>
          <cell r="DQ351">
            <v>4.5877256657823109</v>
          </cell>
          <cell r="DV351">
            <v>0</v>
          </cell>
          <cell r="DW351">
            <v>461.47199999999998</v>
          </cell>
          <cell r="DX351">
            <v>44.132999999999996</v>
          </cell>
          <cell r="DY351">
            <v>9.5635271479092978</v>
          </cell>
        </row>
        <row r="352">
          <cell r="F352">
            <v>0</v>
          </cell>
          <cell r="G352">
            <v>128.02799999999999</v>
          </cell>
          <cell r="H352">
            <v>-69.781000000000006</v>
          </cell>
          <cell r="I352">
            <v>-54.50448339425752</v>
          </cell>
          <cell r="O352">
            <v>7.8259999999999996</v>
          </cell>
          <cell r="P352">
            <v>-7.7030000000000003</v>
          </cell>
          <cell r="U352">
            <v>7.8259999999999996</v>
          </cell>
          <cell r="V352">
            <v>-9.1039999999999992</v>
          </cell>
          <cell r="AA352">
            <v>7.8259999999999996</v>
          </cell>
          <cell r="AB352">
            <v>-8.9339999999999993</v>
          </cell>
          <cell r="AF352">
            <v>0</v>
          </cell>
          <cell r="AG352">
            <v>7.8259999999999996</v>
          </cell>
          <cell r="AH352">
            <v>-8.4819999999999993</v>
          </cell>
          <cell r="AL352">
            <v>0</v>
          </cell>
          <cell r="AM352">
            <v>7.8259999999999996</v>
          </cell>
          <cell r="AN352">
            <v>-7.2119999999999997</v>
          </cell>
          <cell r="AR352">
            <v>0</v>
          </cell>
          <cell r="AS352">
            <v>7.8259999999999996</v>
          </cell>
          <cell r="AT352">
            <v>-6.3760000000000003</v>
          </cell>
          <cell r="AX352">
            <v>0</v>
          </cell>
          <cell r="AY352">
            <v>46.955999999999996</v>
          </cell>
          <cell r="AZ352">
            <v>-47.811</v>
          </cell>
          <cell r="BA352">
            <v>-101.82085356503963</v>
          </cell>
          <cell r="BF352">
            <v>0</v>
          </cell>
          <cell r="BG352">
            <v>20.911999999999999</v>
          </cell>
          <cell r="BH352">
            <v>-3.9810000000000003</v>
          </cell>
          <cell r="BL352">
            <v>0</v>
          </cell>
          <cell r="BM352">
            <v>6.1120000000000001</v>
          </cell>
          <cell r="BN352">
            <v>-4.6619999999999999</v>
          </cell>
          <cell r="BR352">
            <v>0</v>
          </cell>
          <cell r="BS352">
            <v>20.911999999999999</v>
          </cell>
          <cell r="BT352">
            <v>-5.8009999999999993</v>
          </cell>
          <cell r="BX352">
            <v>0</v>
          </cell>
          <cell r="BY352">
            <v>6.1120000000000001</v>
          </cell>
          <cell r="BZ352">
            <v>-3.5819999999999999</v>
          </cell>
          <cell r="CD352">
            <v>0</v>
          </cell>
          <cell r="CE352">
            <v>20.911999999999999</v>
          </cell>
          <cell r="CF352">
            <v>-0.2110000000000003</v>
          </cell>
          <cell r="CJ352">
            <v>0</v>
          </cell>
          <cell r="CK352">
            <v>6.1120000000000001</v>
          </cell>
          <cell r="CL352">
            <v>-3.7330000000000001</v>
          </cell>
          <cell r="CP352">
            <v>0</v>
          </cell>
          <cell r="CQ352">
            <v>81.072000000000003</v>
          </cell>
          <cell r="CR352">
            <v>-21.97</v>
          </cell>
          <cell r="CS352">
            <v>-27.099368462601142</v>
          </cell>
          <cell r="CX352">
            <v>0</v>
          </cell>
          <cell r="CY352">
            <v>23.477999999999998</v>
          </cell>
          <cell r="CZ352">
            <v>-25.741</v>
          </cell>
          <cell r="DA352">
            <v>-109.63881080160152</v>
          </cell>
          <cell r="DF352">
            <v>0</v>
          </cell>
          <cell r="DG352">
            <v>23.477999999999998</v>
          </cell>
          <cell r="DH352">
            <v>-22.07</v>
          </cell>
          <cell r="DI352">
            <v>-94.002896328477732</v>
          </cell>
          <cell r="DN352">
            <v>0</v>
          </cell>
          <cell r="DO352">
            <v>47.936</v>
          </cell>
          <cell r="DP352">
            <v>-14.443999999999999</v>
          </cell>
          <cell r="DQ352">
            <v>-30.131842456608808</v>
          </cell>
          <cell r="DV352">
            <v>0</v>
          </cell>
          <cell r="DW352">
            <v>33.136000000000003</v>
          </cell>
          <cell r="DX352">
            <v>-7.5259999999999998</v>
          </cell>
          <cell r="DY352">
            <v>-22.712457749879285</v>
          </cell>
        </row>
        <row r="353">
          <cell r="F353">
            <v>0</v>
          </cell>
          <cell r="G353">
            <v>1999.501</v>
          </cell>
          <cell r="H353">
            <v>8.4439999999999884</v>
          </cell>
          <cell r="I353">
            <v>0.42230536518861395</v>
          </cell>
          <cell r="N353">
            <v>0</v>
          </cell>
          <cell r="O353">
            <v>140.23599999999999</v>
          </cell>
          <cell r="P353">
            <v>-8.14</v>
          </cell>
          <cell r="T353">
            <v>0</v>
          </cell>
          <cell r="U353">
            <v>135.458</v>
          </cell>
          <cell r="V353">
            <v>-9.7399999999999984</v>
          </cell>
          <cell r="Z353">
            <v>0</v>
          </cell>
          <cell r="AA353">
            <v>182.47</v>
          </cell>
          <cell r="AB353">
            <v>-11.486999999999998</v>
          </cell>
          <cell r="AF353">
            <v>0</v>
          </cell>
          <cell r="AG353">
            <v>196.87299999999999</v>
          </cell>
          <cell r="AH353">
            <v>3.1050000000000004</v>
          </cell>
          <cell r="AL353">
            <v>0</v>
          </cell>
          <cell r="AM353">
            <v>177.24199999999999</v>
          </cell>
          <cell r="AN353">
            <v>-5.907</v>
          </cell>
          <cell r="AR353">
            <v>0</v>
          </cell>
          <cell r="AS353">
            <v>157.67099999999999</v>
          </cell>
          <cell r="AT353">
            <v>-2.9750000000000005</v>
          </cell>
          <cell r="AX353">
            <v>0</v>
          </cell>
          <cell r="AY353">
            <v>989.95</v>
          </cell>
          <cell r="AZ353">
            <v>-35.143999999999998</v>
          </cell>
          <cell r="BA353">
            <v>-3.5500782867821599</v>
          </cell>
          <cell r="BF353">
            <v>0</v>
          </cell>
          <cell r="BG353">
            <v>183.834</v>
          </cell>
          <cell r="BH353">
            <v>2.3699999999999997</v>
          </cell>
          <cell r="BL353">
            <v>0</v>
          </cell>
          <cell r="BM353">
            <v>146.27599999999998</v>
          </cell>
          <cell r="BN353">
            <v>2.7160000000000002</v>
          </cell>
          <cell r="BR353">
            <v>0</v>
          </cell>
          <cell r="BS353">
            <v>184.833</v>
          </cell>
          <cell r="BT353">
            <v>1.8950000000000005</v>
          </cell>
          <cell r="BX353">
            <v>0</v>
          </cell>
          <cell r="BY353">
            <v>165.01599999999999</v>
          </cell>
          <cell r="BZ353">
            <v>9.3760000000000012</v>
          </cell>
          <cell r="CD353">
            <v>0</v>
          </cell>
          <cell r="CE353">
            <v>183.55600000000001</v>
          </cell>
          <cell r="CF353">
            <v>15.770999999999999</v>
          </cell>
          <cell r="CJ353">
            <v>0</v>
          </cell>
          <cell r="CK353">
            <v>146.036</v>
          </cell>
          <cell r="CL353">
            <v>11.459999999999999</v>
          </cell>
          <cell r="CP353">
            <v>0</v>
          </cell>
          <cell r="CQ353">
            <v>1009.551</v>
          </cell>
          <cell r="CR353">
            <v>43.587999999999994</v>
          </cell>
          <cell r="CS353">
            <v>4.3175629562052826</v>
          </cell>
          <cell r="CX353">
            <v>0</v>
          </cell>
          <cell r="CY353">
            <v>458.16400000000004</v>
          </cell>
          <cell r="CZ353">
            <v>-29.367000000000001</v>
          </cell>
          <cell r="DA353">
            <v>-6.4097135523524322</v>
          </cell>
          <cell r="DF353">
            <v>0</v>
          </cell>
          <cell r="DG353">
            <v>531.78599999999994</v>
          </cell>
          <cell r="DH353">
            <v>-5.777000000000001</v>
          </cell>
          <cell r="DI353">
            <v>-1.086339241725055</v>
          </cell>
          <cell r="DN353">
            <v>0</v>
          </cell>
          <cell r="DO353">
            <v>514.94299999999998</v>
          </cell>
          <cell r="DP353">
            <v>6.9809999999999981</v>
          </cell>
          <cell r="DQ353">
            <v>1.3556840271641712</v>
          </cell>
          <cell r="DV353">
            <v>0</v>
          </cell>
          <cell r="DW353">
            <v>494.608</v>
          </cell>
          <cell r="DX353">
            <v>36.606999999999999</v>
          </cell>
          <cell r="DY353">
            <v>7.401214699317439</v>
          </cell>
        </row>
        <row r="354">
          <cell r="F354">
            <v>0</v>
          </cell>
          <cell r="G354">
            <v>32209.145999999997</v>
          </cell>
          <cell r="H354">
            <v>9739.8189999999995</v>
          </cell>
          <cell r="I354">
            <v>30.239296006171664</v>
          </cell>
          <cell r="N354">
            <v>0</v>
          </cell>
          <cell r="O354">
            <v>2188.4799999999996</v>
          </cell>
          <cell r="P354">
            <v>641.14799999999991</v>
          </cell>
          <cell r="T354">
            <v>0</v>
          </cell>
          <cell r="U354">
            <v>2218.5840000000003</v>
          </cell>
          <cell r="V354">
            <v>644.12599999999998</v>
          </cell>
          <cell r="Z354">
            <v>0</v>
          </cell>
          <cell r="AA354">
            <v>2403.3649999999998</v>
          </cell>
          <cell r="AB354">
            <v>698.20400000000018</v>
          </cell>
          <cell r="AF354">
            <v>0</v>
          </cell>
          <cell r="AG354">
            <v>2593.654</v>
          </cell>
          <cell r="AH354">
            <v>771.31600000000003</v>
          </cell>
          <cell r="AL354">
            <v>0</v>
          </cell>
          <cell r="AM354">
            <v>2643.7070000000003</v>
          </cell>
          <cell r="AN354">
            <v>771.17399999999998</v>
          </cell>
          <cell r="AR354">
            <v>0</v>
          </cell>
          <cell r="AS354">
            <v>2672.3859999999995</v>
          </cell>
          <cell r="AT354">
            <v>768.62199999999996</v>
          </cell>
          <cell r="AX354">
            <v>0</v>
          </cell>
          <cell r="AY354">
            <v>14720.176000000001</v>
          </cell>
          <cell r="AZ354">
            <v>4294.59</v>
          </cell>
          <cell r="BA354">
            <v>29.174854974560084</v>
          </cell>
          <cell r="BF354">
            <v>0</v>
          </cell>
          <cell r="BG354">
            <v>2753.0529999999999</v>
          </cell>
          <cell r="BH354">
            <v>837.14100000000008</v>
          </cell>
          <cell r="BL354">
            <v>0</v>
          </cell>
          <cell r="BM354">
            <v>2857.95</v>
          </cell>
          <cell r="BN354">
            <v>867.86800000000005</v>
          </cell>
          <cell r="BR354">
            <v>0</v>
          </cell>
          <cell r="BS354">
            <v>2843.7170000000001</v>
          </cell>
          <cell r="BT354">
            <v>817.20899999999995</v>
          </cell>
          <cell r="BX354">
            <v>0</v>
          </cell>
          <cell r="BY354">
            <v>3033.2460000000001</v>
          </cell>
          <cell r="BZ354">
            <v>964.39499999999998</v>
          </cell>
          <cell r="CD354">
            <v>0</v>
          </cell>
          <cell r="CE354">
            <v>3082.7020000000002</v>
          </cell>
          <cell r="CF354">
            <v>1001.0079999999999</v>
          </cell>
          <cell r="CJ354">
            <v>0</v>
          </cell>
          <cell r="CK354">
            <v>2918.3020000000001</v>
          </cell>
          <cell r="CL354">
            <v>957.60799999999995</v>
          </cell>
          <cell r="CP354">
            <v>0</v>
          </cell>
          <cell r="CQ354">
            <v>17488.97</v>
          </cell>
          <cell r="CR354">
            <v>5445.2290000000003</v>
          </cell>
          <cell r="CS354">
            <v>31.135218369063473</v>
          </cell>
          <cell r="CX354">
            <v>0</v>
          </cell>
          <cell r="CY354">
            <v>6810.4290000000001</v>
          </cell>
          <cell r="CZ354">
            <v>1983.4780000000001</v>
          </cell>
          <cell r="DA354">
            <v>29.124127129142675</v>
          </cell>
          <cell r="DF354">
            <v>0</v>
          </cell>
          <cell r="DG354">
            <v>7909.7470000000012</v>
          </cell>
          <cell r="DH354">
            <v>2311.1119999999996</v>
          </cell>
          <cell r="DI354">
            <v>29.218532527020137</v>
          </cell>
          <cell r="DN354">
            <v>0</v>
          </cell>
          <cell r="DO354">
            <v>8454.7199999999993</v>
          </cell>
          <cell r="DP354">
            <v>2522.2180000000003</v>
          </cell>
          <cell r="DQ354">
            <v>29.832070133605846</v>
          </cell>
          <cell r="DV354">
            <v>0</v>
          </cell>
          <cell r="DW354">
            <v>9034.25</v>
          </cell>
          <cell r="DX354">
            <v>2923.0109999999995</v>
          </cell>
          <cell r="DY354">
            <v>32.35477211722057</v>
          </cell>
        </row>
        <row r="355">
          <cell r="F355">
            <v>120247.804</v>
          </cell>
          <cell r="G355">
            <v>84486.929519999991</v>
          </cell>
          <cell r="H355">
            <v>24254.422999999999</v>
          </cell>
          <cell r="I355">
            <v>28.707899716320522</v>
          </cell>
          <cell r="N355">
            <v>5615</v>
          </cell>
          <cell r="O355">
            <v>4949.7613999999994</v>
          </cell>
          <cell r="P355">
            <v>1206.1759999999999</v>
          </cell>
          <cell r="T355">
            <v>6734</v>
          </cell>
          <cell r="U355">
            <v>5296.1256400000002</v>
          </cell>
          <cell r="V355">
            <v>1290.242</v>
          </cell>
          <cell r="Z355">
            <v>6910.8060000000005</v>
          </cell>
          <cell r="AA355">
            <v>5998.1276399999997</v>
          </cell>
          <cell r="AB355">
            <v>1571.1490000000003</v>
          </cell>
          <cell r="AF355">
            <v>7349.6059999999998</v>
          </cell>
          <cell r="AG355">
            <v>6542.1749999999993</v>
          </cell>
          <cell r="AH355">
            <v>1799.9449999999999</v>
          </cell>
          <cell r="AL355">
            <v>7786.6720000000005</v>
          </cell>
          <cell r="AM355">
            <v>6724.9920400000001</v>
          </cell>
          <cell r="AN355">
            <v>1884.009</v>
          </cell>
          <cell r="AR355">
            <v>8505</v>
          </cell>
          <cell r="AS355">
            <v>6913.6297999999997</v>
          </cell>
          <cell r="AT355">
            <v>1972.1660000000002</v>
          </cell>
          <cell r="AX355">
            <v>42901.084000000003</v>
          </cell>
          <cell r="AY355">
            <v>36424.811520000003</v>
          </cell>
          <cell r="AZ355">
            <v>9723.6869999999999</v>
          </cell>
          <cell r="BA355">
            <v>26.695229417071804</v>
          </cell>
          <cell r="BF355">
            <v>11924.344000000001</v>
          </cell>
          <cell r="BG355">
            <v>7446.1067999999996</v>
          </cell>
          <cell r="BH355">
            <v>2164.5349999999999</v>
          </cell>
          <cell r="BL355">
            <v>11172.344000000001</v>
          </cell>
          <cell r="BM355">
            <v>7361.4258</v>
          </cell>
          <cell r="BN355">
            <v>2129.8639999999996</v>
          </cell>
          <cell r="BR355">
            <v>12146.344000000001</v>
          </cell>
          <cell r="BS355">
            <v>8056.8868000000002</v>
          </cell>
          <cell r="BT355">
            <v>2360.1669999999999</v>
          </cell>
          <cell r="BX355">
            <v>13361.344000000001</v>
          </cell>
          <cell r="BY355">
            <v>8612.9187999999995</v>
          </cell>
          <cell r="BZ355">
            <v>2661.9180000000001</v>
          </cell>
          <cell r="CD355">
            <v>14138.344000000001</v>
          </cell>
          <cell r="CE355">
            <v>8499.893</v>
          </cell>
          <cell r="CF355">
            <v>2640.346</v>
          </cell>
          <cell r="CJ355">
            <v>14604</v>
          </cell>
          <cell r="CK355">
            <v>8084.8868000000002</v>
          </cell>
          <cell r="CL355">
            <v>2573.9059999999999</v>
          </cell>
          <cell r="CP355">
            <v>77346.720000000001</v>
          </cell>
          <cell r="CQ355">
            <v>48062.118000000002</v>
          </cell>
          <cell r="CR355">
            <v>14530.736000000001</v>
          </cell>
          <cell r="CS355">
            <v>30.233241073562343</v>
          </cell>
          <cell r="CX355">
            <v>19259.806</v>
          </cell>
          <cell r="CY355">
            <v>16244.01468</v>
          </cell>
          <cell r="CZ355">
            <v>4067.567</v>
          </cell>
          <cell r="DA355">
            <v>25.040404605199484</v>
          </cell>
          <cell r="DF355">
            <v>23641.277999999998</v>
          </cell>
          <cell r="DG355">
            <v>20180.796840000003</v>
          </cell>
          <cell r="DH355">
            <v>5656.119999999999</v>
          </cell>
          <cell r="DI355">
            <v>28.027238195020637</v>
          </cell>
          <cell r="DN355">
            <v>35243.031999999999</v>
          </cell>
          <cell r="DO355">
            <v>22864.419399999999</v>
          </cell>
          <cell r="DP355">
            <v>6654.5660000000007</v>
          </cell>
          <cell r="DQ355">
            <v>29.10446088125903</v>
          </cell>
          <cell r="DV355">
            <v>42103.688000000002</v>
          </cell>
          <cell r="DW355">
            <v>25197.6986</v>
          </cell>
          <cell r="DX355">
            <v>7876.1699999999992</v>
          </cell>
          <cell r="DY355">
            <v>31.257497460502204</v>
          </cell>
        </row>
        <row r="356">
          <cell r="F356">
            <v>2166225.804</v>
          </cell>
          <cell r="G356">
            <v>325670.62290099997</v>
          </cell>
          <cell r="H356">
            <v>80451.419000000009</v>
          </cell>
          <cell r="I356">
            <v>24.703308601603986</v>
          </cell>
          <cell r="N356">
            <v>134931</v>
          </cell>
          <cell r="O356">
            <v>20032.020338300001</v>
          </cell>
          <cell r="P356">
            <v>3889.8119999999999</v>
          </cell>
          <cell r="T356">
            <v>157560</v>
          </cell>
          <cell r="U356">
            <v>23106.948534299998</v>
          </cell>
          <cell r="V356">
            <v>5328.4709999999995</v>
          </cell>
          <cell r="Z356">
            <v>165476.80600000001</v>
          </cell>
          <cell r="AA356">
            <v>24572.146308599997</v>
          </cell>
          <cell r="AB356">
            <v>5705.6940000000004</v>
          </cell>
          <cell r="AF356">
            <v>153855.606</v>
          </cell>
          <cell r="AG356">
            <v>24397.263252599998</v>
          </cell>
          <cell r="AH356">
            <v>6056.8010000000004</v>
          </cell>
          <cell r="AL356">
            <v>160442.67199999999</v>
          </cell>
          <cell r="AM356">
            <v>25365.4826526</v>
          </cell>
          <cell r="AN356">
            <v>6462.7330000000002</v>
          </cell>
          <cell r="AR356">
            <v>166731</v>
          </cell>
          <cell r="AS356">
            <v>26644.7679446</v>
          </cell>
          <cell r="AT356">
            <v>6716.1439999999993</v>
          </cell>
          <cell r="AX356">
            <v>938997.08400000003</v>
          </cell>
          <cell r="AY356">
            <v>144118.62903100002</v>
          </cell>
          <cell r="AZ356">
            <v>34159.654999999999</v>
          </cell>
          <cell r="BA356">
            <v>23.70245625404349</v>
          </cell>
          <cell r="BF356">
            <v>185655.34400000001</v>
          </cell>
          <cell r="BG356">
            <v>28133.125036500001</v>
          </cell>
          <cell r="BH356">
            <v>6950.3320000000003</v>
          </cell>
          <cell r="BL356">
            <v>194538.34400000001</v>
          </cell>
          <cell r="BM356">
            <v>28620.512516499999</v>
          </cell>
          <cell r="BN356">
            <v>7161.6049999999996</v>
          </cell>
          <cell r="BR356">
            <v>212228.34400000001</v>
          </cell>
          <cell r="BS356">
            <v>31198.732698699998</v>
          </cell>
          <cell r="BT356">
            <v>7803.0020000000004</v>
          </cell>
          <cell r="BX356">
            <v>230038.34400000001</v>
          </cell>
          <cell r="BY356">
            <v>33578.698147499992</v>
          </cell>
          <cell r="BZ356">
            <v>8831.612000000001</v>
          </cell>
          <cell r="CD356">
            <v>205316.34400000001</v>
          </cell>
          <cell r="CE356">
            <v>30720.201759800002</v>
          </cell>
          <cell r="CF356">
            <v>8126.6229999999996</v>
          </cell>
          <cell r="CJ356">
            <v>199452</v>
          </cell>
          <cell r="CK356">
            <v>29300.723711000002</v>
          </cell>
          <cell r="CL356">
            <v>7418.5899999999992</v>
          </cell>
          <cell r="CP356">
            <v>1227228.72</v>
          </cell>
          <cell r="CQ356">
            <v>181551.99387000001</v>
          </cell>
          <cell r="CR356">
            <v>46291.76400000001</v>
          </cell>
          <cell r="CS356">
            <v>25.497799838622072</v>
          </cell>
          <cell r="CX356">
            <v>457967.80599999998</v>
          </cell>
          <cell r="CY356">
            <v>67711.115181200003</v>
          </cell>
          <cell r="CZ356">
            <v>14923.976999999999</v>
          </cell>
          <cell r="DA356">
            <v>22.040660473634681</v>
          </cell>
          <cell r="DF356">
            <v>481029.27799999999</v>
          </cell>
          <cell r="DG356">
            <v>76407.513849799987</v>
          </cell>
          <cell r="DH356">
            <v>19235.678</v>
          </cell>
          <cell r="DI356">
            <v>25.175113062588352</v>
          </cell>
          <cell r="DN356">
            <v>592422.03200000001</v>
          </cell>
          <cell r="DO356">
            <v>87952.370251700006</v>
          </cell>
          <cell r="DP356">
            <v>21914.938999999998</v>
          </cell>
          <cell r="DQ356">
            <v>24.916825933495989</v>
          </cell>
          <cell r="DV356">
            <v>634806.68799999997</v>
          </cell>
          <cell r="DW356">
            <v>93599.6236183</v>
          </cell>
          <cell r="DX356">
            <v>24376.825000000001</v>
          </cell>
          <cell r="DY356">
            <v>26.043721179274058</v>
          </cell>
        </row>
        <row r="357">
          <cell r="F357">
            <v>481188</v>
          </cell>
          <cell r="G357">
            <v>147912.14499999999</v>
          </cell>
          <cell r="H357">
            <v>62927.58</v>
          </cell>
          <cell r="I357">
            <v>42.543889820541786</v>
          </cell>
          <cell r="N357">
            <v>30912</v>
          </cell>
          <cell r="O357">
            <v>9057.6440000000002</v>
          </cell>
          <cell r="P357">
            <v>3590.8599999999997</v>
          </cell>
          <cell r="T357">
            <v>42530</v>
          </cell>
          <cell r="U357">
            <v>11233.126</v>
          </cell>
          <cell r="V357">
            <v>4698.2459999999992</v>
          </cell>
          <cell r="Z357">
            <v>39370</v>
          </cell>
          <cell r="AA357">
            <v>11408.095000000001</v>
          </cell>
          <cell r="AB357">
            <v>4748.1289999999999</v>
          </cell>
          <cell r="AF357">
            <v>42162</v>
          </cell>
          <cell r="AG357">
            <v>12407.780999999999</v>
          </cell>
          <cell r="AH357">
            <v>5211.0060000000003</v>
          </cell>
          <cell r="AL357">
            <v>45870</v>
          </cell>
          <cell r="AM357">
            <v>13145.165000000001</v>
          </cell>
          <cell r="AN357">
            <v>5627.4709999999995</v>
          </cell>
          <cell r="AR357">
            <v>42340</v>
          </cell>
          <cell r="AS357">
            <v>12574.915000000001</v>
          </cell>
          <cell r="AT357">
            <v>5339.9529999999995</v>
          </cell>
          <cell r="AX357">
            <v>243184</v>
          </cell>
          <cell r="AY357">
            <v>69826.725999999995</v>
          </cell>
          <cell r="AZ357">
            <v>29215.664999999997</v>
          </cell>
          <cell r="BA357">
            <v>41.840233208127216</v>
          </cell>
          <cell r="BF357">
            <v>42452</v>
          </cell>
          <cell r="BG357">
            <v>13009.819</v>
          </cell>
          <cell r="BH357">
            <v>5562.0680000000002</v>
          </cell>
          <cell r="BL357">
            <v>39045</v>
          </cell>
          <cell r="BM357">
            <v>12487.074000000001</v>
          </cell>
          <cell r="BN357">
            <v>5324.6309999999994</v>
          </cell>
          <cell r="BR357">
            <v>40563</v>
          </cell>
          <cell r="BS357">
            <v>13133.784</v>
          </cell>
          <cell r="BT357">
            <v>5604.56</v>
          </cell>
          <cell r="BX357">
            <v>41490</v>
          </cell>
          <cell r="BY357">
            <v>13717.73</v>
          </cell>
          <cell r="BZ357">
            <v>5970.027</v>
          </cell>
          <cell r="CD357">
            <v>38430</v>
          </cell>
          <cell r="CE357">
            <v>13149.246000000001</v>
          </cell>
          <cell r="CF357">
            <v>5744.7300000000005</v>
          </cell>
          <cell r="CJ357">
            <v>36024</v>
          </cell>
          <cell r="CK357">
            <v>12587.766</v>
          </cell>
          <cell r="CL357">
            <v>5505.8990000000003</v>
          </cell>
          <cell r="CP357">
            <v>238004</v>
          </cell>
          <cell r="CQ357">
            <v>78085.418999999994</v>
          </cell>
          <cell r="CR357">
            <v>33711.915000000008</v>
          </cell>
          <cell r="CS357">
            <v>43.173124293538095</v>
          </cell>
          <cell r="CX357">
            <v>112812</v>
          </cell>
          <cell r="CY357">
            <v>31698.864999999998</v>
          </cell>
          <cell r="CZ357">
            <v>13037.234999999999</v>
          </cell>
          <cell r="DA357">
            <v>41.128396868468322</v>
          </cell>
          <cell r="DF357">
            <v>130372</v>
          </cell>
          <cell r="DG357">
            <v>38127.861000000004</v>
          </cell>
          <cell r="DH357">
            <v>16178.429999999997</v>
          </cell>
          <cell r="DI357">
            <v>42.432042017778009</v>
          </cell>
          <cell r="DN357">
            <v>122060</v>
          </cell>
          <cell r="DO357">
            <v>38630.677000000003</v>
          </cell>
          <cell r="DP357">
            <v>16491.258999999998</v>
          </cell>
          <cell r="DQ357">
            <v>42.689541785664268</v>
          </cell>
          <cell r="DV357">
            <v>115944</v>
          </cell>
          <cell r="DW357">
            <v>39454.741999999998</v>
          </cell>
          <cell r="DX357">
            <v>17220.656000000003</v>
          </cell>
          <cell r="DY357">
            <v>43.646606534646722</v>
          </cell>
        </row>
        <row r="358">
          <cell r="F358">
            <v>1685037.804</v>
          </cell>
          <cell r="G358">
            <v>177758.47790099998</v>
          </cell>
          <cell r="H358">
            <v>17523.839</v>
          </cell>
          <cell r="I358">
            <v>9.8582296647249912</v>
          </cell>
          <cell r="N358">
            <v>104019</v>
          </cell>
          <cell r="O358">
            <v>10974.3763383</v>
          </cell>
          <cell r="P358">
            <v>298.952</v>
          </cell>
          <cell r="T358">
            <v>115030</v>
          </cell>
          <cell r="U358">
            <v>11873.822534299998</v>
          </cell>
          <cell r="V358">
            <v>630.22500000000002</v>
          </cell>
          <cell r="Z358">
            <v>126106.806</v>
          </cell>
          <cell r="AA358">
            <v>13164.051308599997</v>
          </cell>
          <cell r="AB358">
            <v>957.56500000000005</v>
          </cell>
          <cell r="AF358">
            <v>111693.606</v>
          </cell>
          <cell r="AG358">
            <v>11989.482252600001</v>
          </cell>
          <cell r="AH358">
            <v>845.79500000000007</v>
          </cell>
          <cell r="AL358">
            <v>114572.67200000001</v>
          </cell>
          <cell r="AM358">
            <v>12220.317652600001</v>
          </cell>
          <cell r="AN358">
            <v>835.26199999999994</v>
          </cell>
          <cell r="AR358">
            <v>124391</v>
          </cell>
          <cell r="AS358">
            <v>14069.852944599999</v>
          </cell>
          <cell r="AT358">
            <v>1376.191</v>
          </cell>
          <cell r="AX358">
            <v>695813.08400000003</v>
          </cell>
          <cell r="AY358">
            <v>74291.903031000009</v>
          </cell>
          <cell r="AZ358">
            <v>4943.99</v>
          </cell>
          <cell r="BA358">
            <v>6.654816740845912</v>
          </cell>
          <cell r="BF358">
            <v>143203.34400000001</v>
          </cell>
          <cell r="BG358">
            <v>15123.3060365</v>
          </cell>
          <cell r="BH358">
            <v>1388.2639999999997</v>
          </cell>
          <cell r="BL358">
            <v>155493.34400000001</v>
          </cell>
          <cell r="BM358">
            <v>16133.438516499999</v>
          </cell>
          <cell r="BN358">
            <v>1836.9739999999997</v>
          </cell>
          <cell r="BR358">
            <v>171665.34400000001</v>
          </cell>
          <cell r="BS358">
            <v>18064.948698699998</v>
          </cell>
          <cell r="BT358">
            <v>2198.442</v>
          </cell>
          <cell r="BX358">
            <v>188548.34400000001</v>
          </cell>
          <cell r="BY358">
            <v>19860.968147499996</v>
          </cell>
          <cell r="BZ358">
            <v>2861.5850000000005</v>
          </cell>
          <cell r="CD358">
            <v>166886.34400000001</v>
          </cell>
          <cell r="CE358">
            <v>17570.955759800003</v>
          </cell>
          <cell r="CF358">
            <v>2381.893</v>
          </cell>
          <cell r="CJ358">
            <v>163428</v>
          </cell>
          <cell r="CK358">
            <v>16712.957711000003</v>
          </cell>
          <cell r="CL358">
            <v>1912.691</v>
          </cell>
          <cell r="CP358">
            <v>989224.72</v>
          </cell>
          <cell r="CQ358">
            <v>103466.57487000001</v>
          </cell>
          <cell r="CR358">
            <v>12579.849000000002</v>
          </cell>
          <cell r="CS358">
            <v>12.158370000945602</v>
          </cell>
          <cell r="CX358">
            <v>345155.80599999998</v>
          </cell>
          <cell r="CY358">
            <v>36012.250181199997</v>
          </cell>
          <cell r="CZ358">
            <v>1886.7420000000002</v>
          </cell>
          <cell r="DA358">
            <v>5.2391672014568087</v>
          </cell>
          <cell r="DF358">
            <v>350657.27799999999</v>
          </cell>
          <cell r="DG358">
            <v>38279.65284979999</v>
          </cell>
          <cell r="DH358">
            <v>3057.248</v>
          </cell>
          <cell r="DI358">
            <v>7.9866137030967721</v>
          </cell>
          <cell r="DN358">
            <v>470362.03200000001</v>
          </cell>
          <cell r="DO358">
            <v>49321.693251700002</v>
          </cell>
          <cell r="DP358">
            <v>5423.6799999999985</v>
          </cell>
          <cell r="DQ358">
            <v>10.996540553305227</v>
          </cell>
          <cell r="DV358">
            <v>518862.68800000002</v>
          </cell>
          <cell r="DW358">
            <v>54144.881618299994</v>
          </cell>
          <cell r="DX358">
            <v>7156.1689999999999</v>
          </cell>
          <cell r="DY358">
            <v>13.216704490090425</v>
          </cell>
        </row>
        <row r="359">
          <cell r="F359">
            <v>0</v>
          </cell>
          <cell r="G359">
            <v>42213.704601999998</v>
          </cell>
          <cell r="H359">
            <v>7263</v>
          </cell>
          <cell r="I359">
            <v>17.205312986569517</v>
          </cell>
          <cell r="O359">
            <v>3290.3767309999998</v>
          </cell>
          <cell r="P359">
            <v>245</v>
          </cell>
          <cell r="U359">
            <v>3288.269491</v>
          </cell>
          <cell r="V359">
            <v>397</v>
          </cell>
          <cell r="AA359">
            <v>3353.6497199999999</v>
          </cell>
          <cell r="AB359">
            <v>437</v>
          </cell>
          <cell r="AG359">
            <v>3289.4451490000001</v>
          </cell>
          <cell r="AH359">
            <v>454</v>
          </cell>
          <cell r="AM359">
            <v>3331.5775180000001</v>
          </cell>
          <cell r="AN359">
            <v>436</v>
          </cell>
          <cell r="AS359">
            <v>3302.0203689999998</v>
          </cell>
          <cell r="AT359">
            <v>458</v>
          </cell>
          <cell r="AX359">
            <v>0</v>
          </cell>
          <cell r="AY359">
            <v>19855.338978</v>
          </cell>
          <cell r="AZ359">
            <v>2427</v>
          </cell>
          <cell r="BA359">
            <v>12.223412567718691</v>
          </cell>
          <cell r="BG359">
            <v>3717.8698159999999</v>
          </cell>
          <cell r="BH359">
            <v>754</v>
          </cell>
          <cell r="BM359">
            <v>3723.789816</v>
          </cell>
          <cell r="BN359">
            <v>813</v>
          </cell>
          <cell r="BS359">
            <v>3724.5250799999999</v>
          </cell>
          <cell r="BT359">
            <v>793</v>
          </cell>
          <cell r="BY359">
            <v>3732.4478159999999</v>
          </cell>
          <cell r="BZ359">
            <v>831</v>
          </cell>
          <cell r="CE359">
            <v>3734.690016</v>
          </cell>
          <cell r="CF359">
            <v>826</v>
          </cell>
          <cell r="CK359">
            <v>3725.0430799999999</v>
          </cell>
          <cell r="CL359">
            <v>819</v>
          </cell>
          <cell r="CP359">
            <v>0</v>
          </cell>
          <cell r="CQ359">
            <v>22358.365623999998</v>
          </cell>
          <cell r="CR359">
            <v>4836</v>
          </cell>
          <cell r="CS359">
            <v>21.629487956887704</v>
          </cell>
          <cell r="CX359">
            <v>0</v>
          </cell>
          <cell r="CY359">
            <v>9932.2959419999988</v>
          </cell>
          <cell r="CZ359">
            <v>1079</v>
          </cell>
          <cell r="DA359">
            <v>10.863550646304333</v>
          </cell>
          <cell r="DF359">
            <v>0</v>
          </cell>
          <cell r="DG359">
            <v>9923.0430359999991</v>
          </cell>
          <cell r="DH359">
            <v>1348</v>
          </cell>
          <cell r="DI359">
            <v>13.584542514927778</v>
          </cell>
          <cell r="DN359">
            <v>0</v>
          </cell>
          <cell r="DO359">
            <v>11166.184712</v>
          </cell>
          <cell r="DP359">
            <v>2360</v>
          </cell>
          <cell r="DQ359">
            <v>21.135240557715036</v>
          </cell>
          <cell r="DV359">
            <v>0</v>
          </cell>
          <cell r="DW359">
            <v>11192.180912</v>
          </cell>
          <cell r="DX359">
            <v>2476</v>
          </cell>
          <cell r="DY359">
            <v>22.12258736226547</v>
          </cell>
        </row>
        <row r="360">
          <cell r="F360">
            <v>0</v>
          </cell>
          <cell r="G360">
            <v>56877.313567999998</v>
          </cell>
          <cell r="H360">
            <v>8762</v>
          </cell>
          <cell r="I360">
            <v>15.405087635731144</v>
          </cell>
          <cell r="O360">
            <v>3854.1757670000002</v>
          </cell>
          <cell r="P360">
            <v>214</v>
          </cell>
          <cell r="U360">
            <v>4039.2237289999998</v>
          </cell>
          <cell r="V360">
            <v>247</v>
          </cell>
          <cell r="AA360">
            <v>4015.9096199999999</v>
          </cell>
          <cell r="AB360">
            <v>231</v>
          </cell>
          <cell r="AG360">
            <v>4513.3876730000002</v>
          </cell>
          <cell r="AH360">
            <v>353</v>
          </cell>
          <cell r="AM360">
            <v>4596.4201300000004</v>
          </cell>
          <cell r="AN360">
            <v>460</v>
          </cell>
          <cell r="AS360">
            <v>4790.9392269999998</v>
          </cell>
          <cell r="AT360">
            <v>648</v>
          </cell>
          <cell r="AX360">
            <v>0</v>
          </cell>
          <cell r="AY360">
            <v>25810.056146000003</v>
          </cell>
          <cell r="AZ360">
            <v>2153</v>
          </cell>
          <cell r="BA360">
            <v>8.3417098661897651</v>
          </cell>
          <cell r="BG360">
            <v>4990.6468759999998</v>
          </cell>
          <cell r="BH360">
            <v>822</v>
          </cell>
          <cell r="BM360">
            <v>5329.7758519999998</v>
          </cell>
          <cell r="BN360">
            <v>1021</v>
          </cell>
          <cell r="BS360">
            <v>5179.402376</v>
          </cell>
          <cell r="BT360">
            <v>964</v>
          </cell>
          <cell r="BY360">
            <v>5398.439934</v>
          </cell>
          <cell r="BZ360">
            <v>1305</v>
          </cell>
          <cell r="CE360">
            <v>5104.1202519999997</v>
          </cell>
          <cell r="CF360">
            <v>1212</v>
          </cell>
          <cell r="CK360">
            <v>5064.8721320000004</v>
          </cell>
          <cell r="CL360">
            <v>1285</v>
          </cell>
          <cell r="CP360">
            <v>0</v>
          </cell>
          <cell r="CQ360">
            <v>31067.257421999999</v>
          </cell>
          <cell r="CR360">
            <v>6609</v>
          </cell>
          <cell r="CS360">
            <v>21.273200624783495</v>
          </cell>
          <cell r="CX360">
            <v>0</v>
          </cell>
          <cell r="CY360">
            <v>11909.309116</v>
          </cell>
          <cell r="CZ360">
            <v>692</v>
          </cell>
          <cell r="DA360">
            <v>5.8105805572743687</v>
          </cell>
          <cell r="DF360">
            <v>0</v>
          </cell>
          <cell r="DG360">
            <v>13900.747029999999</v>
          </cell>
          <cell r="DH360">
            <v>1461</v>
          </cell>
          <cell r="DI360">
            <v>10.510226514063827</v>
          </cell>
          <cell r="DN360">
            <v>0</v>
          </cell>
          <cell r="DO360">
            <v>15499.825104</v>
          </cell>
          <cell r="DP360">
            <v>2807</v>
          </cell>
          <cell r="DQ360">
            <v>18.109881764250389</v>
          </cell>
          <cell r="DV360">
            <v>0</v>
          </cell>
          <cell r="DW360">
            <v>15567.432317999999</v>
          </cell>
          <cell r="DX360">
            <v>3802</v>
          </cell>
          <cell r="DY360">
            <v>24.422781627281587</v>
          </cell>
        </row>
        <row r="361">
          <cell r="F361">
            <v>0</v>
          </cell>
          <cell r="G361">
            <v>99091.018169999996</v>
          </cell>
          <cell r="H361">
            <v>16025</v>
          </cell>
          <cell r="I361">
            <v>16.172000546515324</v>
          </cell>
          <cell r="N361">
            <v>0</v>
          </cell>
          <cell r="O361">
            <v>7144.552498</v>
          </cell>
          <cell r="P361">
            <v>459</v>
          </cell>
          <cell r="T361">
            <v>0</v>
          </cell>
          <cell r="U361">
            <v>7327.4932200000003</v>
          </cell>
          <cell r="V361">
            <v>644</v>
          </cell>
          <cell r="Z361">
            <v>0</v>
          </cell>
          <cell r="AA361">
            <v>7369.5593399999998</v>
          </cell>
          <cell r="AB361">
            <v>668</v>
          </cell>
          <cell r="AF361">
            <v>0</v>
          </cell>
          <cell r="AG361">
            <v>7802.8328220000003</v>
          </cell>
          <cell r="AH361">
            <v>807</v>
          </cell>
          <cell r="AL361">
            <v>0</v>
          </cell>
          <cell r="AM361">
            <v>7927.9976480000005</v>
          </cell>
          <cell r="AN361">
            <v>896</v>
          </cell>
          <cell r="AR361">
            <v>0</v>
          </cell>
          <cell r="AS361">
            <v>8092.9595959999997</v>
          </cell>
          <cell r="AT361">
            <v>1106</v>
          </cell>
          <cell r="AX361">
            <v>0</v>
          </cell>
          <cell r="AY361">
            <v>45665.395124000002</v>
          </cell>
          <cell r="AZ361">
            <v>4580</v>
          </cell>
          <cell r="BA361">
            <v>10.029476341031209</v>
          </cell>
          <cell r="BF361">
            <v>0</v>
          </cell>
          <cell r="BG361">
            <v>8708.5166919999992</v>
          </cell>
          <cell r="BH361">
            <v>1576</v>
          </cell>
          <cell r="BL361">
            <v>0</v>
          </cell>
          <cell r="BM361">
            <v>9053.5656679999993</v>
          </cell>
          <cell r="BN361">
            <v>1834</v>
          </cell>
          <cell r="BR361">
            <v>0</v>
          </cell>
          <cell r="BS361">
            <v>8903.9274559999994</v>
          </cell>
          <cell r="BT361">
            <v>1757</v>
          </cell>
          <cell r="BX361">
            <v>0</v>
          </cell>
          <cell r="BY361">
            <v>9130.8877499999999</v>
          </cell>
          <cell r="BZ361">
            <v>2136</v>
          </cell>
          <cell r="CD361">
            <v>0</v>
          </cell>
          <cell r="CE361">
            <v>8838.8102679999993</v>
          </cell>
          <cell r="CF361">
            <v>2038</v>
          </cell>
          <cell r="CJ361">
            <v>0</v>
          </cell>
          <cell r="CK361">
            <v>8789.9152119999999</v>
          </cell>
          <cell r="CL361">
            <v>2104</v>
          </cell>
          <cell r="CP361">
            <v>0</v>
          </cell>
          <cell r="CQ361">
            <v>53425.623045999993</v>
          </cell>
          <cell r="CR361">
            <v>11445</v>
          </cell>
          <cell r="CS361">
            <v>21.422305155235609</v>
          </cell>
          <cell r="CX361">
            <v>0</v>
          </cell>
          <cell r="CY361">
            <v>21841.605058000001</v>
          </cell>
          <cell r="CZ361">
            <v>1771</v>
          </cell>
          <cell r="DA361">
            <v>8.1083784607273159</v>
          </cell>
          <cell r="DF361">
            <v>0</v>
          </cell>
          <cell r="DG361">
            <v>23823.790065999998</v>
          </cell>
          <cell r="DH361">
            <v>2809</v>
          </cell>
          <cell r="DI361">
            <v>11.790735194602181</v>
          </cell>
          <cell r="DN361">
            <v>0</v>
          </cell>
          <cell r="DO361">
            <v>26666.009815999998</v>
          </cell>
          <cell r="DP361">
            <v>5167</v>
          </cell>
          <cell r="DQ361">
            <v>19.376727285608826</v>
          </cell>
          <cell r="DV361">
            <v>0</v>
          </cell>
          <cell r="DW361">
            <v>26759.613229999999</v>
          </cell>
          <cell r="DX361">
            <v>6278</v>
          </cell>
          <cell r="DY361">
            <v>23.460727724426832</v>
          </cell>
        </row>
        <row r="362">
          <cell r="F362">
            <v>0</v>
          </cell>
          <cell r="G362">
            <v>24308.676200000002</v>
          </cell>
          <cell r="H362">
            <v>5221</v>
          </cell>
          <cell r="I362">
            <v>21.477928115229901</v>
          </cell>
          <cell r="O362">
            <v>1847.81071</v>
          </cell>
          <cell r="P362">
            <v>305</v>
          </cell>
          <cell r="U362">
            <v>1920.3551</v>
          </cell>
          <cell r="V362">
            <v>347</v>
          </cell>
          <cell r="AA362">
            <v>1924.9372100000001</v>
          </cell>
          <cell r="AB362">
            <v>314</v>
          </cell>
          <cell r="AG362">
            <v>1916.9986759999999</v>
          </cell>
          <cell r="AH362">
            <v>265</v>
          </cell>
          <cell r="AM362">
            <v>1949.585096</v>
          </cell>
          <cell r="AN362">
            <v>328</v>
          </cell>
          <cell r="AS362">
            <v>1951.0283280000001</v>
          </cell>
          <cell r="AT362">
            <v>334</v>
          </cell>
          <cell r="AX362">
            <v>0</v>
          </cell>
          <cell r="AY362">
            <v>11510.715120000001</v>
          </cell>
          <cell r="AZ362">
            <v>1893</v>
          </cell>
          <cell r="BA362">
            <v>16.445546434477304</v>
          </cell>
          <cell r="BG362">
            <v>1872.30656</v>
          </cell>
          <cell r="BH362">
            <v>324</v>
          </cell>
          <cell r="BM362">
            <v>2156.7418400000001</v>
          </cell>
          <cell r="BN362">
            <v>559</v>
          </cell>
          <cell r="BS362">
            <v>2108.9230400000001</v>
          </cell>
          <cell r="BT362">
            <v>504</v>
          </cell>
          <cell r="BY362">
            <v>2197.8932399999999</v>
          </cell>
          <cell r="BZ362">
            <v>613</v>
          </cell>
          <cell r="CE362">
            <v>2277.9538400000001</v>
          </cell>
          <cell r="CF362">
            <v>702</v>
          </cell>
          <cell r="CK362">
            <v>2184.1425599999998</v>
          </cell>
          <cell r="CL362">
            <v>626</v>
          </cell>
          <cell r="CP362">
            <v>0</v>
          </cell>
          <cell r="CQ362">
            <v>12797.961080000001</v>
          </cell>
          <cell r="CR362">
            <v>3328</v>
          </cell>
          <cell r="CS362">
            <v>26.004142216066185</v>
          </cell>
          <cell r="CX362">
            <v>0</v>
          </cell>
          <cell r="CY362">
            <v>5693.1030200000005</v>
          </cell>
          <cell r="CZ362">
            <v>966</v>
          </cell>
          <cell r="DA362">
            <v>16.967899519935262</v>
          </cell>
          <cell r="DF362">
            <v>0</v>
          </cell>
          <cell r="DG362">
            <v>5817.6121000000003</v>
          </cell>
          <cell r="DH362">
            <v>927</v>
          </cell>
          <cell r="DI362">
            <v>15.934372798763945</v>
          </cell>
          <cell r="DN362">
            <v>0</v>
          </cell>
          <cell r="DO362">
            <v>6137.9714400000003</v>
          </cell>
          <cell r="DP362">
            <v>1387</v>
          </cell>
          <cell r="DQ362">
            <v>22.597042256684073</v>
          </cell>
          <cell r="DV362">
            <v>0</v>
          </cell>
          <cell r="DW362">
            <v>6659.9896399999998</v>
          </cell>
          <cell r="DX362">
            <v>1941</v>
          </cell>
          <cell r="DY362">
            <v>29.144189479550004</v>
          </cell>
        </row>
        <row r="363">
          <cell r="F363">
            <v>0</v>
          </cell>
          <cell r="G363">
            <v>21169.887500000001</v>
          </cell>
          <cell r="H363">
            <v>4714</v>
          </cell>
          <cell r="I363">
            <v>22.267477803082325</v>
          </cell>
          <cell r="O363">
            <v>563.952</v>
          </cell>
          <cell r="P363">
            <v>-96</v>
          </cell>
          <cell r="U363">
            <v>690.72749999999996</v>
          </cell>
          <cell r="V363">
            <v>-91</v>
          </cell>
          <cell r="AA363">
            <v>773.91800000000001</v>
          </cell>
          <cell r="AB363">
            <v>-102</v>
          </cell>
          <cell r="AG363">
            <v>856.91899999999998</v>
          </cell>
          <cell r="AH363">
            <v>-127</v>
          </cell>
          <cell r="AM363">
            <v>949.774</v>
          </cell>
          <cell r="AN363">
            <v>-177</v>
          </cell>
          <cell r="AS363">
            <v>1086.972</v>
          </cell>
          <cell r="AT363">
            <v>-31</v>
          </cell>
          <cell r="AX363">
            <v>0</v>
          </cell>
          <cell r="AY363">
            <v>4922.2624999999998</v>
          </cell>
          <cell r="AZ363">
            <v>-624</v>
          </cell>
          <cell r="BA363">
            <v>-12.677097168222948</v>
          </cell>
          <cell r="BG363">
            <v>1381.58</v>
          </cell>
          <cell r="BH363">
            <v>138</v>
          </cell>
          <cell r="BM363">
            <v>1827.06</v>
          </cell>
          <cell r="BN363">
            <v>389</v>
          </cell>
          <cell r="BS363">
            <v>2325.8200000000002</v>
          </cell>
          <cell r="BT363">
            <v>604</v>
          </cell>
          <cell r="BY363">
            <v>2976.28</v>
          </cell>
          <cell r="BZ363">
            <v>1047</v>
          </cell>
          <cell r="CE363">
            <v>3579.9349999999999</v>
          </cell>
          <cell r="CF363">
            <v>1406</v>
          </cell>
          <cell r="CK363">
            <v>4156.95</v>
          </cell>
          <cell r="CL363">
            <v>1754</v>
          </cell>
          <cell r="CP363">
            <v>0</v>
          </cell>
          <cell r="CQ363">
            <v>16247.625</v>
          </cell>
          <cell r="CR363">
            <v>5338</v>
          </cell>
          <cell r="CS363">
            <v>32.854032512444128</v>
          </cell>
          <cell r="CX363">
            <v>0</v>
          </cell>
          <cell r="CY363">
            <v>2028.5974999999999</v>
          </cell>
          <cell r="CZ363">
            <v>-289</v>
          </cell>
          <cell r="DA363">
            <v>-14.246295778240881</v>
          </cell>
          <cell r="DF363">
            <v>0</v>
          </cell>
          <cell r="DG363">
            <v>2893.665</v>
          </cell>
          <cell r="DH363">
            <v>-335</v>
          </cell>
          <cell r="DI363">
            <v>-11.577013925247048</v>
          </cell>
          <cell r="DN363">
            <v>0</v>
          </cell>
          <cell r="DO363">
            <v>5534.46</v>
          </cell>
          <cell r="DP363">
            <v>1131</v>
          </cell>
          <cell r="DQ363">
            <v>20.435598052926572</v>
          </cell>
          <cell r="DV363">
            <v>0</v>
          </cell>
          <cell r="DW363">
            <v>10713.165000000001</v>
          </cell>
          <cell r="DX363">
            <v>4207</v>
          </cell>
          <cell r="DY363">
            <v>39.269440916853235</v>
          </cell>
        </row>
        <row r="364">
          <cell r="F364">
            <v>0</v>
          </cell>
          <cell r="G364">
            <v>2546</v>
          </cell>
          <cell r="H364">
            <v>240.92000000000002</v>
          </cell>
          <cell r="I364">
            <v>9.4626865671641802</v>
          </cell>
          <cell r="O364">
            <v>216</v>
          </cell>
          <cell r="P364">
            <v>-184</v>
          </cell>
          <cell r="U364">
            <v>166</v>
          </cell>
          <cell r="V364">
            <v>-87.68</v>
          </cell>
          <cell r="AA364">
            <v>170</v>
          </cell>
          <cell r="AB364">
            <v>-87</v>
          </cell>
          <cell r="AG364">
            <v>410</v>
          </cell>
          <cell r="AH364">
            <v>295</v>
          </cell>
          <cell r="AM364">
            <v>345</v>
          </cell>
          <cell r="AN364">
            <v>93</v>
          </cell>
          <cell r="AS364">
            <v>184</v>
          </cell>
          <cell r="AT364">
            <v>-4.4000000000000004</v>
          </cell>
          <cell r="AX364">
            <v>0</v>
          </cell>
          <cell r="AY364">
            <v>1491</v>
          </cell>
          <cell r="AZ364">
            <v>24.920000000000016</v>
          </cell>
          <cell r="BA364">
            <v>1.6713615023474189</v>
          </cell>
          <cell r="BG364">
            <v>226</v>
          </cell>
          <cell r="BH364">
            <v>31</v>
          </cell>
          <cell r="BM364">
            <v>224</v>
          </cell>
          <cell r="BN364">
            <v>25</v>
          </cell>
          <cell r="BS364">
            <v>120</v>
          </cell>
          <cell r="BT364">
            <v>27</v>
          </cell>
          <cell r="BY364">
            <v>110</v>
          </cell>
          <cell r="BZ364">
            <v>22</v>
          </cell>
          <cell r="CE364">
            <v>115</v>
          </cell>
          <cell r="CF364">
            <v>-4</v>
          </cell>
          <cell r="CK364">
            <v>260</v>
          </cell>
          <cell r="CL364">
            <v>115</v>
          </cell>
          <cell r="CP364">
            <v>0</v>
          </cell>
          <cell r="CQ364">
            <v>1055</v>
          </cell>
          <cell r="CR364">
            <v>216</v>
          </cell>
          <cell r="CS364">
            <v>20.473933649289101</v>
          </cell>
          <cell r="CX364">
            <v>0</v>
          </cell>
          <cell r="CY364">
            <v>552</v>
          </cell>
          <cell r="CZ364">
            <v>-358.68</v>
          </cell>
          <cell r="DA364">
            <v>-64.978260869565219</v>
          </cell>
          <cell r="DF364">
            <v>0</v>
          </cell>
          <cell r="DG364">
            <v>939</v>
          </cell>
          <cell r="DH364">
            <v>383.6</v>
          </cell>
          <cell r="DI364">
            <v>40.851970181043669</v>
          </cell>
          <cell r="DN364">
            <v>0</v>
          </cell>
          <cell r="DO364">
            <v>570</v>
          </cell>
          <cell r="DP364">
            <v>83</v>
          </cell>
          <cell r="DQ364">
            <v>14.561403508771932</v>
          </cell>
          <cell r="DV364">
            <v>0</v>
          </cell>
          <cell r="DW364">
            <v>485</v>
          </cell>
          <cell r="DX364">
            <v>133</v>
          </cell>
          <cell r="DY364">
            <v>27.422680412371136</v>
          </cell>
        </row>
        <row r="365">
          <cell r="F365">
            <v>0</v>
          </cell>
          <cell r="G365">
            <v>0</v>
          </cell>
          <cell r="H365">
            <v>4000</v>
          </cell>
          <cell r="I365">
            <v>0</v>
          </cell>
          <cell r="N365">
            <v>0</v>
          </cell>
          <cell r="O365">
            <v>0</v>
          </cell>
          <cell r="P365">
            <v>300</v>
          </cell>
          <cell r="T365">
            <v>0</v>
          </cell>
          <cell r="U365">
            <v>0</v>
          </cell>
          <cell r="V365">
            <v>400</v>
          </cell>
          <cell r="Z365">
            <v>0</v>
          </cell>
          <cell r="AA365">
            <v>0</v>
          </cell>
          <cell r="AB365">
            <v>300</v>
          </cell>
          <cell r="AF365">
            <v>0</v>
          </cell>
          <cell r="AG365">
            <v>0</v>
          </cell>
          <cell r="AH365">
            <v>400</v>
          </cell>
          <cell r="AL365">
            <v>0</v>
          </cell>
          <cell r="AM365">
            <v>0</v>
          </cell>
          <cell r="AN365">
            <v>300</v>
          </cell>
          <cell r="AR365">
            <v>0</v>
          </cell>
          <cell r="AS365">
            <v>0</v>
          </cell>
          <cell r="AT365">
            <v>300</v>
          </cell>
          <cell r="AX365">
            <v>0</v>
          </cell>
          <cell r="AY365">
            <v>0</v>
          </cell>
          <cell r="AZ365">
            <v>2000</v>
          </cell>
          <cell r="BA365">
            <v>0</v>
          </cell>
          <cell r="BF365">
            <v>0</v>
          </cell>
          <cell r="BG365">
            <v>0</v>
          </cell>
          <cell r="BH365">
            <v>300</v>
          </cell>
          <cell r="BL365">
            <v>0</v>
          </cell>
          <cell r="BM365">
            <v>0</v>
          </cell>
          <cell r="BN365">
            <v>400</v>
          </cell>
          <cell r="BR365">
            <v>0</v>
          </cell>
          <cell r="BS365">
            <v>0</v>
          </cell>
          <cell r="BT365">
            <v>300</v>
          </cell>
          <cell r="BX365">
            <v>0</v>
          </cell>
          <cell r="BY365">
            <v>0</v>
          </cell>
          <cell r="BZ365">
            <v>400</v>
          </cell>
          <cell r="CD365">
            <v>0</v>
          </cell>
          <cell r="CE365">
            <v>0</v>
          </cell>
          <cell r="CF365">
            <v>300</v>
          </cell>
          <cell r="CJ365">
            <v>0</v>
          </cell>
          <cell r="CK365">
            <v>0</v>
          </cell>
          <cell r="CL365">
            <v>300</v>
          </cell>
          <cell r="CP365">
            <v>0</v>
          </cell>
          <cell r="CQ365">
            <v>0</v>
          </cell>
          <cell r="CR365">
            <v>2000</v>
          </cell>
          <cell r="CS365">
            <v>0</v>
          </cell>
          <cell r="CX365">
            <v>0</v>
          </cell>
          <cell r="CY365">
            <v>0</v>
          </cell>
          <cell r="CZ365">
            <v>1000</v>
          </cell>
          <cell r="DA365">
            <v>0</v>
          </cell>
          <cell r="DF365">
            <v>0</v>
          </cell>
          <cell r="DG365">
            <v>0</v>
          </cell>
          <cell r="DH365">
            <v>1000</v>
          </cell>
          <cell r="DI365">
            <v>0</v>
          </cell>
          <cell r="DN365">
            <v>0</v>
          </cell>
          <cell r="DO365">
            <v>0</v>
          </cell>
          <cell r="DP365">
            <v>1000</v>
          </cell>
          <cell r="DQ365">
            <v>0</v>
          </cell>
          <cell r="DV365">
            <v>0</v>
          </cell>
          <cell r="DW365">
            <v>0</v>
          </cell>
          <cell r="DX365">
            <v>1000</v>
          </cell>
          <cell r="DY365">
            <v>0</v>
          </cell>
        </row>
        <row r="366">
          <cell r="F366">
            <v>0</v>
          </cell>
          <cell r="G366">
            <v>2546</v>
          </cell>
          <cell r="H366">
            <v>4240.92</v>
          </cell>
          <cell r="I366">
            <v>166.57187745483111</v>
          </cell>
          <cell r="N366">
            <v>0</v>
          </cell>
          <cell r="O366">
            <v>216</v>
          </cell>
          <cell r="P366">
            <v>116</v>
          </cell>
          <cell r="T366">
            <v>0</v>
          </cell>
          <cell r="U366">
            <v>166</v>
          </cell>
          <cell r="V366">
            <v>312.32</v>
          </cell>
          <cell r="Z366">
            <v>0</v>
          </cell>
          <cell r="AA366">
            <v>170</v>
          </cell>
          <cell r="AB366">
            <v>213</v>
          </cell>
          <cell r="AF366">
            <v>0</v>
          </cell>
          <cell r="AG366">
            <v>410</v>
          </cell>
          <cell r="AH366">
            <v>695</v>
          </cell>
          <cell r="AL366">
            <v>0</v>
          </cell>
          <cell r="AM366">
            <v>345</v>
          </cell>
          <cell r="AN366">
            <v>393</v>
          </cell>
          <cell r="AR366">
            <v>0</v>
          </cell>
          <cell r="AS366">
            <v>184</v>
          </cell>
          <cell r="AT366">
            <v>295.60000000000002</v>
          </cell>
          <cell r="AX366">
            <v>0</v>
          </cell>
          <cell r="AY366">
            <v>1491</v>
          </cell>
          <cell r="AZ366">
            <v>2024.92</v>
          </cell>
          <cell r="BA366">
            <v>135.80952380952382</v>
          </cell>
          <cell r="BF366">
            <v>0</v>
          </cell>
          <cell r="BG366">
            <v>226</v>
          </cell>
          <cell r="BH366">
            <v>331</v>
          </cell>
          <cell r="BL366">
            <v>0</v>
          </cell>
          <cell r="BM366">
            <v>224</v>
          </cell>
          <cell r="BN366">
            <v>425</v>
          </cell>
          <cell r="BR366">
            <v>0</v>
          </cell>
          <cell r="BS366">
            <v>120</v>
          </cell>
          <cell r="BT366">
            <v>327</v>
          </cell>
          <cell r="BX366">
            <v>0</v>
          </cell>
          <cell r="BY366">
            <v>110</v>
          </cell>
          <cell r="BZ366">
            <v>422</v>
          </cell>
          <cell r="CD366">
            <v>0</v>
          </cell>
          <cell r="CE366">
            <v>115</v>
          </cell>
          <cell r="CF366">
            <v>296</v>
          </cell>
          <cell r="CJ366">
            <v>0</v>
          </cell>
          <cell r="CK366">
            <v>260</v>
          </cell>
          <cell r="CL366">
            <v>415</v>
          </cell>
          <cell r="CP366">
            <v>0</v>
          </cell>
          <cell r="CQ366">
            <v>1055</v>
          </cell>
          <cell r="CR366">
            <v>2216</v>
          </cell>
          <cell r="CS366">
            <v>210.04739336492889</v>
          </cell>
          <cell r="CX366">
            <v>0</v>
          </cell>
          <cell r="CY366">
            <v>552</v>
          </cell>
          <cell r="CZ366">
            <v>641.31999999999994</v>
          </cell>
          <cell r="DA366">
            <v>116.18115942028983</v>
          </cell>
          <cell r="DF366">
            <v>0</v>
          </cell>
          <cell r="DG366">
            <v>939</v>
          </cell>
          <cell r="DH366">
            <v>1383.6</v>
          </cell>
          <cell r="DI366">
            <v>147.34824281150159</v>
          </cell>
          <cell r="DN366">
            <v>0</v>
          </cell>
          <cell r="DO366">
            <v>570</v>
          </cell>
          <cell r="DP366">
            <v>1083</v>
          </cell>
          <cell r="DQ366">
            <v>190</v>
          </cell>
          <cell r="DV366">
            <v>0</v>
          </cell>
          <cell r="DW366">
            <v>485</v>
          </cell>
          <cell r="DX366">
            <v>1133</v>
          </cell>
          <cell r="DY366">
            <v>233.60824742268042</v>
          </cell>
        </row>
        <row r="367">
          <cell r="F367">
            <v>0</v>
          </cell>
          <cell r="G367">
            <v>12000</v>
          </cell>
          <cell r="H367">
            <v>9491</v>
          </cell>
          <cell r="I367">
            <v>79.091666666666669</v>
          </cell>
          <cell r="N367">
            <v>0</v>
          </cell>
          <cell r="O367">
            <v>0</v>
          </cell>
          <cell r="P367">
            <v>0</v>
          </cell>
          <cell r="T367">
            <v>0</v>
          </cell>
          <cell r="U367">
            <v>0</v>
          </cell>
          <cell r="V367">
            <v>0</v>
          </cell>
          <cell r="Z367">
            <v>0</v>
          </cell>
          <cell r="AA367">
            <v>0</v>
          </cell>
          <cell r="AB367">
            <v>0</v>
          </cell>
          <cell r="AF367">
            <v>0</v>
          </cell>
          <cell r="AG367">
            <v>0</v>
          </cell>
          <cell r="AH367">
            <v>0</v>
          </cell>
          <cell r="AL367">
            <v>0</v>
          </cell>
          <cell r="AM367">
            <v>2000</v>
          </cell>
          <cell r="AN367">
            <v>1582</v>
          </cell>
          <cell r="AR367">
            <v>0</v>
          </cell>
          <cell r="AS367">
            <v>2000</v>
          </cell>
          <cell r="AT367">
            <v>1582</v>
          </cell>
          <cell r="AX367">
            <v>0</v>
          </cell>
          <cell r="AY367">
            <v>4000</v>
          </cell>
          <cell r="AZ367">
            <v>3164</v>
          </cell>
          <cell r="BA367">
            <v>79.100000000000009</v>
          </cell>
          <cell r="BF367">
            <v>0</v>
          </cell>
          <cell r="BG367">
            <v>2000</v>
          </cell>
          <cell r="BH367">
            <v>1582</v>
          </cell>
          <cell r="BL367">
            <v>0</v>
          </cell>
          <cell r="BM367">
            <v>1200</v>
          </cell>
          <cell r="BN367">
            <v>949</v>
          </cell>
          <cell r="BR367">
            <v>0</v>
          </cell>
          <cell r="BS367">
            <v>1200</v>
          </cell>
          <cell r="BT367">
            <v>949</v>
          </cell>
          <cell r="BX367">
            <v>0</v>
          </cell>
          <cell r="BY367">
            <v>1200</v>
          </cell>
          <cell r="BZ367">
            <v>949</v>
          </cell>
          <cell r="CD367">
            <v>0</v>
          </cell>
          <cell r="CE367">
            <v>1200</v>
          </cell>
          <cell r="CF367">
            <v>949</v>
          </cell>
          <cell r="CJ367">
            <v>0</v>
          </cell>
          <cell r="CK367">
            <v>1200</v>
          </cell>
          <cell r="CL367">
            <v>949</v>
          </cell>
          <cell r="CP367">
            <v>0</v>
          </cell>
          <cell r="CQ367">
            <v>8000</v>
          </cell>
          <cell r="CR367">
            <v>6327</v>
          </cell>
          <cell r="CS367">
            <v>79.087500000000006</v>
          </cell>
          <cell r="CX367">
            <v>0</v>
          </cell>
          <cell r="CY367">
            <v>0</v>
          </cell>
          <cell r="CZ367">
            <v>0</v>
          </cell>
          <cell r="DA367">
            <v>0</v>
          </cell>
          <cell r="DF367">
            <v>0</v>
          </cell>
          <cell r="DG367">
            <v>4000</v>
          </cell>
          <cell r="DH367">
            <v>3164</v>
          </cell>
          <cell r="DI367">
            <v>79.100000000000009</v>
          </cell>
          <cell r="DN367">
            <v>0</v>
          </cell>
          <cell r="DO367">
            <v>4400</v>
          </cell>
          <cell r="DP367">
            <v>3480</v>
          </cell>
          <cell r="DQ367">
            <v>79.090909090909093</v>
          </cell>
          <cell r="DV367">
            <v>0</v>
          </cell>
          <cell r="DW367">
            <v>3600</v>
          </cell>
          <cell r="DX367">
            <v>2847</v>
          </cell>
          <cell r="DY367">
            <v>79.083333333333343</v>
          </cell>
        </row>
        <row r="368">
          <cell r="F368">
            <v>0</v>
          </cell>
          <cell r="G368">
            <v>0</v>
          </cell>
          <cell r="H368">
            <v>0</v>
          </cell>
          <cell r="I368">
            <v>0</v>
          </cell>
          <cell r="N368">
            <v>0</v>
          </cell>
          <cell r="O368">
            <v>0</v>
          </cell>
          <cell r="P368">
            <v>0</v>
          </cell>
          <cell r="T368">
            <v>0</v>
          </cell>
          <cell r="U368">
            <v>0</v>
          </cell>
          <cell r="V368">
            <v>0</v>
          </cell>
          <cell r="Z368">
            <v>0</v>
          </cell>
          <cell r="AA368">
            <v>0</v>
          </cell>
          <cell r="AB368">
            <v>0</v>
          </cell>
          <cell r="AF368">
            <v>0</v>
          </cell>
          <cell r="AG368">
            <v>0</v>
          </cell>
          <cell r="AH368">
            <v>0</v>
          </cell>
          <cell r="AL368">
            <v>0</v>
          </cell>
          <cell r="AR368">
            <v>0</v>
          </cell>
          <cell r="AX368">
            <v>0</v>
          </cell>
          <cell r="AY368">
            <v>0</v>
          </cell>
          <cell r="AZ368">
            <v>0</v>
          </cell>
          <cell r="BA368">
            <v>0</v>
          </cell>
          <cell r="BF368">
            <v>0</v>
          </cell>
          <cell r="BL368">
            <v>0</v>
          </cell>
          <cell r="BR368">
            <v>0</v>
          </cell>
          <cell r="BX368">
            <v>0</v>
          </cell>
          <cell r="CD368">
            <v>0</v>
          </cell>
          <cell r="CJ368">
            <v>0</v>
          </cell>
          <cell r="CP368">
            <v>0</v>
          </cell>
          <cell r="CQ368">
            <v>0</v>
          </cell>
          <cell r="CR368">
            <v>0</v>
          </cell>
          <cell r="CS368">
            <v>0</v>
          </cell>
          <cell r="CX368">
            <v>0</v>
          </cell>
          <cell r="CY368">
            <v>0</v>
          </cell>
          <cell r="CZ368">
            <v>0</v>
          </cell>
          <cell r="DA368">
            <v>0</v>
          </cell>
          <cell r="DF368">
            <v>0</v>
          </cell>
          <cell r="DG368">
            <v>0</v>
          </cell>
          <cell r="DH368">
            <v>0</v>
          </cell>
          <cell r="DI368">
            <v>0</v>
          </cell>
          <cell r="DN368">
            <v>0</v>
          </cell>
          <cell r="DO368">
            <v>0</v>
          </cell>
          <cell r="DP368">
            <v>0</v>
          </cell>
          <cell r="DQ368">
            <v>0</v>
          </cell>
          <cell r="DV368">
            <v>0</v>
          </cell>
          <cell r="DW368">
            <v>0</v>
          </cell>
          <cell r="DX368">
            <v>0</v>
          </cell>
          <cell r="DY368">
            <v>0</v>
          </cell>
        </row>
        <row r="369">
          <cell r="F369">
            <v>0</v>
          </cell>
          <cell r="G369">
            <v>159115.58186999999</v>
          </cell>
          <cell r="H369">
            <v>39691.919999999998</v>
          </cell>
          <cell r="I369">
            <v>24.945338183427531</v>
          </cell>
          <cell r="N369">
            <v>0</v>
          </cell>
          <cell r="O369">
            <v>9772.315208</v>
          </cell>
          <cell r="P369">
            <v>784</v>
          </cell>
          <cell r="T369">
            <v>0</v>
          </cell>
          <cell r="U369">
            <v>10104.57582</v>
          </cell>
          <cell r="V369">
            <v>1212.32</v>
          </cell>
          <cell r="Z369">
            <v>0</v>
          </cell>
          <cell r="AA369">
            <v>10238.41455</v>
          </cell>
          <cell r="AB369">
            <v>1093</v>
          </cell>
          <cell r="AF369">
            <v>0</v>
          </cell>
          <cell r="AG369">
            <v>10986.750498000001</v>
          </cell>
          <cell r="AH369">
            <v>1640</v>
          </cell>
          <cell r="AL369">
            <v>0</v>
          </cell>
          <cell r="AM369">
            <v>13172.356744000001</v>
          </cell>
          <cell r="AN369">
            <v>3022</v>
          </cell>
          <cell r="AR369">
            <v>0</v>
          </cell>
          <cell r="AS369">
            <v>13314.959923999999</v>
          </cell>
          <cell r="AT369">
            <v>3286.6</v>
          </cell>
          <cell r="AX369">
            <v>0</v>
          </cell>
          <cell r="AY369">
            <v>67589.372744000008</v>
          </cell>
          <cell r="AZ369">
            <v>11037.92</v>
          </cell>
          <cell r="BA369">
            <v>16.330851362990124</v>
          </cell>
          <cell r="BF369">
            <v>0</v>
          </cell>
          <cell r="BG369">
            <v>14188.403252</v>
          </cell>
          <cell r="BH369">
            <v>3951</v>
          </cell>
          <cell r="BL369">
            <v>0</v>
          </cell>
          <cell r="BM369">
            <v>14461.367507999999</v>
          </cell>
          <cell r="BN369">
            <v>4156</v>
          </cell>
          <cell r="BR369">
            <v>0</v>
          </cell>
          <cell r="BS369">
            <v>14658.670495999999</v>
          </cell>
          <cell r="BT369">
            <v>4141</v>
          </cell>
          <cell r="BX369">
            <v>0</v>
          </cell>
          <cell r="BY369">
            <v>15615.06099</v>
          </cell>
          <cell r="BZ369">
            <v>5167</v>
          </cell>
          <cell r="CD369">
            <v>0</v>
          </cell>
          <cell r="CE369">
            <v>16011.699107999999</v>
          </cell>
          <cell r="CF369">
            <v>5391</v>
          </cell>
          <cell r="CJ369">
            <v>0</v>
          </cell>
          <cell r="CK369">
            <v>16591.007771999997</v>
          </cell>
          <cell r="CL369">
            <v>5848</v>
          </cell>
          <cell r="CP369">
            <v>0</v>
          </cell>
          <cell r="CQ369">
            <v>91526.209126000002</v>
          </cell>
          <cell r="CR369">
            <v>28654</v>
          </cell>
          <cell r="CS369">
            <v>31.306879497820489</v>
          </cell>
          <cell r="CX369">
            <v>0</v>
          </cell>
          <cell r="CY369">
            <v>30115.305578</v>
          </cell>
          <cell r="CZ369">
            <v>3089.3199999999997</v>
          </cell>
          <cell r="DA369">
            <v>10.258305339119078</v>
          </cell>
          <cell r="DF369">
            <v>0</v>
          </cell>
          <cell r="DG369">
            <v>37474.067165999993</v>
          </cell>
          <cell r="DH369">
            <v>7948.6</v>
          </cell>
          <cell r="DI369">
            <v>21.210934924116589</v>
          </cell>
          <cell r="DN369">
            <v>0</v>
          </cell>
          <cell r="DO369">
            <v>43308.441255999998</v>
          </cell>
          <cell r="DP369">
            <v>12248</v>
          </cell>
          <cell r="DQ369">
            <v>28.280860831727921</v>
          </cell>
          <cell r="DV369">
            <v>0</v>
          </cell>
          <cell r="DW369">
            <v>48217.767869999996</v>
          </cell>
          <cell r="DX369">
            <v>16406</v>
          </cell>
          <cell r="DY369">
            <v>34.024801903381849</v>
          </cell>
        </row>
        <row r="370">
          <cell r="F370">
            <v>0</v>
          </cell>
          <cell r="G370">
            <v>147115.58186999999</v>
          </cell>
          <cell r="H370">
            <v>30200.92</v>
          </cell>
          <cell r="I370">
            <v>20.528702409434313</v>
          </cell>
          <cell r="N370">
            <v>0</v>
          </cell>
          <cell r="O370">
            <v>9772.315208</v>
          </cell>
          <cell r="P370">
            <v>784</v>
          </cell>
          <cell r="T370">
            <v>0</v>
          </cell>
          <cell r="U370">
            <v>10104.57582</v>
          </cell>
          <cell r="V370">
            <v>1212.32</v>
          </cell>
          <cell r="Z370">
            <v>0</v>
          </cell>
          <cell r="AA370">
            <v>10238.41455</v>
          </cell>
          <cell r="AB370">
            <v>1093</v>
          </cell>
          <cell r="AF370">
            <v>0</v>
          </cell>
          <cell r="AG370">
            <v>10986.750498000001</v>
          </cell>
          <cell r="AH370">
            <v>1640</v>
          </cell>
          <cell r="AL370">
            <v>0</v>
          </cell>
          <cell r="AM370">
            <v>11172.356744000001</v>
          </cell>
          <cell r="AN370">
            <v>1440</v>
          </cell>
          <cell r="AR370">
            <v>0</v>
          </cell>
          <cell r="AS370">
            <v>11314.959923999999</v>
          </cell>
          <cell r="AT370">
            <v>1704.6</v>
          </cell>
          <cell r="AX370">
            <v>0</v>
          </cell>
          <cell r="AY370">
            <v>63589.372744000008</v>
          </cell>
          <cell r="AZ370">
            <v>7873.92</v>
          </cell>
          <cell r="BA370">
            <v>12.382446406098488</v>
          </cell>
          <cell r="BF370">
            <v>0</v>
          </cell>
          <cell r="BG370">
            <v>12188.403252</v>
          </cell>
          <cell r="BH370">
            <v>2369</v>
          </cell>
          <cell r="BL370">
            <v>0</v>
          </cell>
          <cell r="BM370">
            <v>13261.367507999999</v>
          </cell>
          <cell r="BN370">
            <v>3207</v>
          </cell>
          <cell r="BR370">
            <v>0</v>
          </cell>
          <cell r="BS370">
            <v>13458.670495999999</v>
          </cell>
          <cell r="BT370">
            <v>3192</v>
          </cell>
          <cell r="BX370">
            <v>0</v>
          </cell>
          <cell r="BY370">
            <v>14415.06099</v>
          </cell>
          <cell r="BZ370">
            <v>4218</v>
          </cell>
          <cell r="CD370">
            <v>0</v>
          </cell>
          <cell r="CE370">
            <v>14811.699107999999</v>
          </cell>
          <cell r="CF370">
            <v>4442</v>
          </cell>
          <cell r="CJ370">
            <v>0</v>
          </cell>
          <cell r="CK370">
            <v>15391.007771999997</v>
          </cell>
          <cell r="CL370">
            <v>4899</v>
          </cell>
          <cell r="CP370">
            <v>0</v>
          </cell>
          <cell r="CQ370">
            <v>83526.209126000002</v>
          </cell>
          <cell r="CR370">
            <v>22327</v>
          </cell>
          <cell r="CS370">
            <v>26.730531929588146</v>
          </cell>
          <cell r="CX370">
            <v>0</v>
          </cell>
          <cell r="CY370">
            <v>30115.305578</v>
          </cell>
          <cell r="CZ370">
            <v>3089.3199999999997</v>
          </cell>
          <cell r="DA370">
            <v>10.258305339119078</v>
          </cell>
          <cell r="DF370">
            <v>0</v>
          </cell>
          <cell r="DG370">
            <v>33474.067165999993</v>
          </cell>
          <cell r="DH370">
            <v>4784.6000000000004</v>
          </cell>
          <cell r="DI370">
            <v>14.293452828044078</v>
          </cell>
          <cell r="DN370">
            <v>0</v>
          </cell>
          <cell r="DO370">
            <v>38908.441255999998</v>
          </cell>
          <cell r="DP370">
            <v>8768</v>
          </cell>
          <cell r="DQ370">
            <v>22.534955698457601</v>
          </cell>
          <cell r="DV370">
            <v>0</v>
          </cell>
          <cell r="DW370">
            <v>44617.767869999996</v>
          </cell>
          <cell r="DX370">
            <v>13559</v>
          </cell>
          <cell r="DY370">
            <v>30.389238743421704</v>
          </cell>
        </row>
        <row r="371">
          <cell r="F371">
            <v>2166225.804</v>
          </cell>
          <cell r="G371">
            <v>484786.20477099996</v>
          </cell>
          <cell r="H371">
            <v>120143.33899999999</v>
          </cell>
          <cell r="I371">
            <v>24.782747078529699</v>
          </cell>
          <cell r="N371">
            <v>134931</v>
          </cell>
          <cell r="O371">
            <v>29804.335546300001</v>
          </cell>
          <cell r="P371">
            <v>4673.8119999999999</v>
          </cell>
          <cell r="T371">
            <v>157560</v>
          </cell>
          <cell r="U371">
            <v>33211.524354299996</v>
          </cell>
          <cell r="V371">
            <v>6540.7909999999993</v>
          </cell>
          <cell r="Z371">
            <v>165476.80599999998</v>
          </cell>
          <cell r="AA371">
            <v>34810.560858600002</v>
          </cell>
          <cell r="AB371">
            <v>6798.6939999999995</v>
          </cell>
          <cell r="AF371">
            <v>153855.606</v>
          </cell>
          <cell r="AG371">
            <v>35384.013750600003</v>
          </cell>
          <cell r="AH371">
            <v>7696.8010000000004</v>
          </cell>
          <cell r="AL371">
            <v>160442.67200000002</v>
          </cell>
          <cell r="AM371">
            <v>38537.8393966</v>
          </cell>
          <cell r="AN371">
            <v>9484.7330000000002</v>
          </cell>
          <cell r="AR371">
            <v>166731</v>
          </cell>
          <cell r="AS371">
            <v>39959.727868599999</v>
          </cell>
          <cell r="AT371">
            <v>10002.743999999999</v>
          </cell>
          <cell r="AX371">
            <v>938997.08400000003</v>
          </cell>
          <cell r="AY371">
            <v>211708.00177500001</v>
          </cell>
          <cell r="AZ371">
            <v>45197.574999999997</v>
          </cell>
          <cell r="BA371">
            <v>21.349015918649723</v>
          </cell>
          <cell r="BF371">
            <v>185655.34400000001</v>
          </cell>
          <cell r="BG371">
            <v>42321.528288500005</v>
          </cell>
          <cell r="BH371">
            <v>10901.332</v>
          </cell>
          <cell r="BL371">
            <v>194538.34400000001</v>
          </cell>
          <cell r="BM371">
            <v>43081.880024500002</v>
          </cell>
          <cell r="BN371">
            <v>11317.605</v>
          </cell>
          <cell r="BR371">
            <v>212228.34400000001</v>
          </cell>
          <cell r="BS371">
            <v>45857.403194699997</v>
          </cell>
          <cell r="BT371">
            <v>11944.002</v>
          </cell>
          <cell r="BX371">
            <v>230038.34400000001</v>
          </cell>
          <cell r="BY371">
            <v>49193.75913749999</v>
          </cell>
          <cell r="BZ371">
            <v>13998.612000000001</v>
          </cell>
          <cell r="CD371">
            <v>205316.34400000001</v>
          </cell>
          <cell r="CE371">
            <v>46731.900867800003</v>
          </cell>
          <cell r="CF371">
            <v>13517.623</v>
          </cell>
          <cell r="CJ371">
            <v>199452</v>
          </cell>
          <cell r="CK371">
            <v>45891.731482999996</v>
          </cell>
          <cell r="CL371">
            <v>13266.59</v>
          </cell>
          <cell r="CP371">
            <v>1227228.72</v>
          </cell>
          <cell r="CQ371">
            <v>273078.20299600001</v>
          </cell>
          <cell r="CR371">
            <v>74945.76400000001</v>
          </cell>
          <cell r="CS371">
            <v>27.444799027441164</v>
          </cell>
          <cell r="CX371">
            <v>457967.80599999998</v>
          </cell>
          <cell r="CY371">
            <v>97826.420759200002</v>
          </cell>
          <cell r="CZ371">
            <v>18013.296999999999</v>
          </cell>
          <cell r="DA371">
            <v>18.413529658148057</v>
          </cell>
          <cell r="DF371">
            <v>481029.27799999999</v>
          </cell>
          <cell r="DG371">
            <v>113881.58101579998</v>
          </cell>
          <cell r="DH371">
            <v>27184.277999999998</v>
          </cell>
          <cell r="DI371">
            <v>23.870653847199787</v>
          </cell>
          <cell r="DN371">
            <v>592422.03200000001</v>
          </cell>
          <cell r="DO371">
            <v>131260.81150770001</v>
          </cell>
          <cell r="DP371">
            <v>34162.938999999998</v>
          </cell>
          <cell r="DQ371">
            <v>26.026761992093839</v>
          </cell>
          <cell r="DV371">
            <v>634806.68800000008</v>
          </cell>
          <cell r="DW371">
            <v>141817.3914883</v>
          </cell>
          <cell r="DX371">
            <v>40782.825000000004</v>
          </cell>
          <cell r="DY371">
            <v>28.757280451999151</v>
          </cell>
        </row>
        <row r="372">
          <cell r="F372">
            <v>481188</v>
          </cell>
          <cell r="G372">
            <v>162458.14499999999</v>
          </cell>
          <cell r="H372">
            <v>76659.5</v>
          </cell>
          <cell r="I372">
            <v>47.18723090184244</v>
          </cell>
          <cell r="N372">
            <v>30912</v>
          </cell>
          <cell r="O372">
            <v>9273.6440000000002</v>
          </cell>
          <cell r="P372">
            <v>3706.8599999999997</v>
          </cell>
          <cell r="T372">
            <v>42530</v>
          </cell>
          <cell r="U372">
            <v>11399.126</v>
          </cell>
          <cell r="V372">
            <v>5010.5659999999989</v>
          </cell>
          <cell r="Z372">
            <v>39370</v>
          </cell>
          <cell r="AA372">
            <v>11578.095000000001</v>
          </cell>
          <cell r="AB372">
            <v>4961.1289999999999</v>
          </cell>
          <cell r="AF372">
            <v>42162</v>
          </cell>
          <cell r="AG372">
            <v>12817.780999999999</v>
          </cell>
          <cell r="AH372">
            <v>5906.0060000000003</v>
          </cell>
          <cell r="AL372">
            <v>45870</v>
          </cell>
          <cell r="AM372">
            <v>15490.165000000001</v>
          </cell>
          <cell r="AN372">
            <v>7602.4709999999995</v>
          </cell>
          <cell r="AR372">
            <v>42340</v>
          </cell>
          <cell r="AS372">
            <v>14758.915000000001</v>
          </cell>
          <cell r="AT372">
            <v>7217.5529999999999</v>
          </cell>
          <cell r="AX372">
            <v>243184</v>
          </cell>
          <cell r="AY372">
            <v>75317.725999999995</v>
          </cell>
          <cell r="AZ372">
            <v>34404.584999999999</v>
          </cell>
          <cell r="BA372">
            <v>45.679266790396724</v>
          </cell>
          <cell r="BF372">
            <v>42452</v>
          </cell>
          <cell r="BG372">
            <v>15235.819</v>
          </cell>
          <cell r="BH372">
            <v>7475.0680000000002</v>
          </cell>
          <cell r="BL372">
            <v>39045</v>
          </cell>
          <cell r="BM372">
            <v>13911.074000000001</v>
          </cell>
          <cell r="BN372">
            <v>6698.6309999999994</v>
          </cell>
          <cell r="BR372">
            <v>40563</v>
          </cell>
          <cell r="BS372">
            <v>14453.784</v>
          </cell>
          <cell r="BT372">
            <v>6880.56</v>
          </cell>
          <cell r="BX372">
            <v>41490</v>
          </cell>
          <cell r="BY372">
            <v>15027.73</v>
          </cell>
          <cell r="BZ372">
            <v>7341.027</v>
          </cell>
          <cell r="CD372">
            <v>38430</v>
          </cell>
          <cell r="CE372">
            <v>14464.246000000001</v>
          </cell>
          <cell r="CF372">
            <v>6989.7300000000005</v>
          </cell>
          <cell r="CJ372">
            <v>36024</v>
          </cell>
          <cell r="CK372">
            <v>14047.766</v>
          </cell>
          <cell r="CL372">
            <v>6869.8990000000003</v>
          </cell>
          <cell r="CP372">
            <v>238004</v>
          </cell>
          <cell r="CQ372">
            <v>87140.418999999994</v>
          </cell>
          <cell r="CR372">
            <v>42254.915000000008</v>
          </cell>
          <cell r="CS372">
            <v>48.49060342480108</v>
          </cell>
          <cell r="CX372">
            <v>112812</v>
          </cell>
          <cell r="CY372">
            <v>32250.864999999998</v>
          </cell>
          <cell r="CZ372">
            <v>13678.554999999998</v>
          </cell>
          <cell r="DA372">
            <v>42.412986442379143</v>
          </cell>
          <cell r="DF372">
            <v>130372</v>
          </cell>
          <cell r="DG372">
            <v>43066.861000000004</v>
          </cell>
          <cell r="DH372">
            <v>20726.029999999995</v>
          </cell>
          <cell r="DI372">
            <v>48.125239496790797</v>
          </cell>
          <cell r="DN372">
            <v>122060</v>
          </cell>
          <cell r="DO372">
            <v>43600.677000000003</v>
          </cell>
          <cell r="DP372">
            <v>21054.258999999998</v>
          </cell>
          <cell r="DQ372">
            <v>48.288835056391434</v>
          </cell>
          <cell r="DV372">
            <v>115944</v>
          </cell>
          <cell r="DW372">
            <v>43539.741999999998</v>
          </cell>
          <cell r="DX372">
            <v>21200.656000000003</v>
          </cell>
          <cell r="DY372">
            <v>48.692654173283813</v>
          </cell>
        </row>
        <row r="373">
          <cell r="F373">
            <v>1685037.804</v>
          </cell>
          <cell r="G373">
            <v>322328.05977099994</v>
          </cell>
          <cell r="H373">
            <v>43483.838999999993</v>
          </cell>
          <cell r="I373">
            <v>13.490553391750431</v>
          </cell>
          <cell r="N373">
            <v>104019</v>
          </cell>
          <cell r="O373">
            <v>20530.6915463</v>
          </cell>
          <cell r="P373">
            <v>966.95200000000023</v>
          </cell>
          <cell r="T373">
            <v>115030</v>
          </cell>
          <cell r="U373">
            <v>21812.398354299996</v>
          </cell>
          <cell r="V373">
            <v>1530.2250000000004</v>
          </cell>
          <cell r="Z373">
            <v>126106.80599999998</v>
          </cell>
          <cell r="AA373">
            <v>23232.465858600001</v>
          </cell>
          <cell r="AB373">
            <v>1837.5649999999996</v>
          </cell>
          <cell r="AF373">
            <v>111693.606</v>
          </cell>
          <cell r="AG373">
            <v>22566.232750600004</v>
          </cell>
          <cell r="AH373">
            <v>1790.7950000000001</v>
          </cell>
          <cell r="AL373">
            <v>114572.67200000002</v>
          </cell>
          <cell r="AM373">
            <v>23047.674396599999</v>
          </cell>
          <cell r="AN373">
            <v>1882.2620000000006</v>
          </cell>
          <cell r="AR373">
            <v>124391</v>
          </cell>
          <cell r="AS373">
            <v>25200.812868599998</v>
          </cell>
          <cell r="AT373">
            <v>2785.1909999999989</v>
          </cell>
          <cell r="AX373">
            <v>695813.08400000003</v>
          </cell>
          <cell r="AY373">
            <v>136390.27577500002</v>
          </cell>
          <cell r="AZ373">
            <v>10792.989999999998</v>
          </cell>
          <cell r="BA373">
            <v>7.913313422582231</v>
          </cell>
          <cell r="BF373">
            <v>143203.34400000001</v>
          </cell>
          <cell r="BG373">
            <v>27085.709288500006</v>
          </cell>
          <cell r="BH373">
            <v>3426.2640000000001</v>
          </cell>
          <cell r="BL373">
            <v>155493.34400000001</v>
          </cell>
          <cell r="BM373">
            <v>29170.806024500002</v>
          </cell>
          <cell r="BN373">
            <v>4618.9740000000002</v>
          </cell>
          <cell r="BR373">
            <v>171665.34400000001</v>
          </cell>
          <cell r="BS373">
            <v>31403.619194699997</v>
          </cell>
          <cell r="BT373">
            <v>5063.442</v>
          </cell>
          <cell r="BX373">
            <v>188548.34400000001</v>
          </cell>
          <cell r="BY373">
            <v>34166.029137499994</v>
          </cell>
          <cell r="BZ373">
            <v>6657.5850000000009</v>
          </cell>
          <cell r="CD373">
            <v>166886.34400000001</v>
          </cell>
          <cell r="CE373">
            <v>32267.654867800004</v>
          </cell>
          <cell r="CF373">
            <v>6527.8929999999991</v>
          </cell>
          <cell r="CJ373">
            <v>163428</v>
          </cell>
          <cell r="CK373">
            <v>31843.965482999996</v>
          </cell>
          <cell r="CL373">
            <v>6396.6909999999998</v>
          </cell>
          <cell r="CP373">
            <v>989224.72</v>
          </cell>
          <cell r="CQ373">
            <v>185937.78399600001</v>
          </cell>
          <cell r="CR373">
            <v>32690.849000000002</v>
          </cell>
          <cell r="CS373">
            <v>17.58160622195178</v>
          </cell>
          <cell r="CX373">
            <v>345155.80599999998</v>
          </cell>
          <cell r="CY373">
            <v>65575.555759200011</v>
          </cell>
          <cell r="CZ373">
            <v>4334.7420000000002</v>
          </cell>
          <cell r="DA373">
            <v>6.6103015823725615</v>
          </cell>
          <cell r="DF373">
            <v>350657.27799999999</v>
          </cell>
          <cell r="DG373">
            <v>70814.720015799976</v>
          </cell>
          <cell r="DH373">
            <v>6458.2480000000032</v>
          </cell>
          <cell r="DI373">
            <v>9.1199230874019648</v>
          </cell>
          <cell r="DN373">
            <v>470362.03200000001</v>
          </cell>
          <cell r="DO373">
            <v>87660.134507700015</v>
          </cell>
          <cell r="DP373">
            <v>13108.68</v>
          </cell>
          <cell r="DQ373">
            <v>14.953981161012866</v>
          </cell>
          <cell r="DV373">
            <v>518862.68800000008</v>
          </cell>
          <cell r="DW373">
            <v>98277.649488299998</v>
          </cell>
          <cell r="DX373">
            <v>19582.169000000002</v>
          </cell>
          <cell r="DY373">
            <v>19.925353426702852</v>
          </cell>
        </row>
        <row r="374">
          <cell r="F374">
            <v>0</v>
          </cell>
          <cell r="G374">
            <v>62924</v>
          </cell>
          <cell r="H374">
            <v>15746.122000000001</v>
          </cell>
          <cell r="I374">
            <v>25.024032165787304</v>
          </cell>
          <cell r="O374">
            <v>94</v>
          </cell>
          <cell r="P374">
            <v>20.962</v>
          </cell>
          <cell r="U374">
            <v>0</v>
          </cell>
          <cell r="V374">
            <v>0</v>
          </cell>
          <cell r="AA374">
            <v>5130</v>
          </cell>
          <cell r="AB374">
            <v>1379.97</v>
          </cell>
          <cell r="AG374">
            <v>2000</v>
          </cell>
          <cell r="AH374">
            <v>500</v>
          </cell>
          <cell r="AM374">
            <v>9500</v>
          </cell>
          <cell r="AN374">
            <v>1520</v>
          </cell>
          <cell r="AS374">
            <v>5000</v>
          </cell>
          <cell r="AT374">
            <v>1197.5</v>
          </cell>
          <cell r="AX374">
            <v>0</v>
          </cell>
          <cell r="AY374">
            <v>21724</v>
          </cell>
          <cell r="AZ374">
            <v>4618.4320000000007</v>
          </cell>
          <cell r="BA374">
            <v>21.259583870373781</v>
          </cell>
          <cell r="BG374">
            <v>0</v>
          </cell>
          <cell r="BH374">
            <v>0</v>
          </cell>
          <cell r="BM374">
            <v>9700</v>
          </cell>
          <cell r="BN374">
            <v>1880.5</v>
          </cell>
          <cell r="BS374">
            <v>4900</v>
          </cell>
          <cell r="BT374">
            <v>1297.2</v>
          </cell>
          <cell r="BY374">
            <v>10000</v>
          </cell>
          <cell r="BZ374">
            <v>2000</v>
          </cell>
          <cell r="CE374">
            <v>6600</v>
          </cell>
          <cell r="CF374">
            <v>1287</v>
          </cell>
          <cell r="CK374">
            <v>10000</v>
          </cell>
          <cell r="CL374">
            <v>4662.99</v>
          </cell>
          <cell r="CP374">
            <v>0</v>
          </cell>
          <cell r="CQ374">
            <v>41200</v>
          </cell>
          <cell r="CR374">
            <v>11127.69</v>
          </cell>
          <cell r="CS374">
            <v>27.008956310679611</v>
          </cell>
          <cell r="CX374">
            <v>0</v>
          </cell>
          <cell r="CY374">
            <v>5224</v>
          </cell>
          <cell r="CZ374">
            <v>1400.932</v>
          </cell>
          <cell r="DA374">
            <v>26.817228177641656</v>
          </cell>
          <cell r="DF374">
            <v>0</v>
          </cell>
          <cell r="DG374">
            <v>16500</v>
          </cell>
          <cell r="DH374">
            <v>3217.5</v>
          </cell>
          <cell r="DI374">
            <v>19.5</v>
          </cell>
          <cell r="DN374">
            <v>0</v>
          </cell>
          <cell r="DO374">
            <v>14600</v>
          </cell>
          <cell r="DP374">
            <v>3177.7</v>
          </cell>
          <cell r="DQ374">
            <v>21.765068493150682</v>
          </cell>
          <cell r="DV374">
            <v>0</v>
          </cell>
          <cell r="DW374">
            <v>26600</v>
          </cell>
          <cell r="DX374">
            <v>7949.99</v>
          </cell>
          <cell r="DY374">
            <v>29.887180451127822</v>
          </cell>
        </row>
        <row r="375">
          <cell r="F375">
            <v>0</v>
          </cell>
          <cell r="G375">
            <v>4020</v>
          </cell>
          <cell r="H375">
            <v>834</v>
          </cell>
          <cell r="I375">
            <v>20.746268656716417</v>
          </cell>
          <cell r="O375">
            <v>0</v>
          </cell>
          <cell r="P375">
            <v>0</v>
          </cell>
          <cell r="U375">
            <v>0</v>
          </cell>
          <cell r="V375">
            <v>0</v>
          </cell>
          <cell r="AA375">
            <v>320</v>
          </cell>
          <cell r="AB375">
            <v>64</v>
          </cell>
          <cell r="AG375">
            <v>560</v>
          </cell>
          <cell r="AH375">
            <v>112</v>
          </cell>
          <cell r="AM375">
            <v>400</v>
          </cell>
          <cell r="AN375">
            <v>110</v>
          </cell>
          <cell r="AS375">
            <v>1140</v>
          </cell>
          <cell r="AT375">
            <v>228</v>
          </cell>
          <cell r="AX375">
            <v>0</v>
          </cell>
          <cell r="AY375">
            <v>2420</v>
          </cell>
          <cell r="AZ375">
            <v>514</v>
          </cell>
          <cell r="BA375">
            <v>21.239669421487601</v>
          </cell>
          <cell r="BG375">
            <v>0</v>
          </cell>
          <cell r="BH375">
            <v>0</v>
          </cell>
          <cell r="BM375">
            <v>0</v>
          </cell>
          <cell r="BN375">
            <v>0</v>
          </cell>
          <cell r="BS375">
            <v>800</v>
          </cell>
          <cell r="BT375">
            <v>160</v>
          </cell>
          <cell r="BY375">
            <v>0</v>
          </cell>
          <cell r="BZ375">
            <v>0</v>
          </cell>
          <cell r="CE375">
            <v>200</v>
          </cell>
          <cell r="CF375">
            <v>40</v>
          </cell>
          <cell r="CK375">
            <v>600</v>
          </cell>
          <cell r="CL375">
            <v>120</v>
          </cell>
          <cell r="CP375">
            <v>0</v>
          </cell>
          <cell r="CQ375">
            <v>1600</v>
          </cell>
          <cell r="CR375">
            <v>320</v>
          </cell>
          <cell r="CS375">
            <v>20</v>
          </cell>
          <cell r="CX375">
            <v>0</v>
          </cell>
          <cell r="CY375">
            <v>320</v>
          </cell>
          <cell r="CZ375">
            <v>64</v>
          </cell>
          <cell r="DA375">
            <v>20</v>
          </cell>
          <cell r="DF375">
            <v>0</v>
          </cell>
          <cell r="DG375">
            <v>2100</v>
          </cell>
          <cell r="DH375">
            <v>450</v>
          </cell>
          <cell r="DI375">
            <v>21.428571428571427</v>
          </cell>
          <cell r="DN375">
            <v>0</v>
          </cell>
          <cell r="DO375">
            <v>800</v>
          </cell>
          <cell r="DP375">
            <v>160</v>
          </cell>
          <cell r="DQ375">
            <v>20</v>
          </cell>
          <cell r="DV375">
            <v>0</v>
          </cell>
          <cell r="DW375">
            <v>800</v>
          </cell>
          <cell r="DX375">
            <v>160</v>
          </cell>
          <cell r="DY375">
            <v>20</v>
          </cell>
        </row>
        <row r="376">
          <cell r="F376">
            <v>0</v>
          </cell>
          <cell r="G376">
            <v>3500</v>
          </cell>
          <cell r="H376">
            <v>826</v>
          </cell>
          <cell r="I376">
            <v>23.599999999999998</v>
          </cell>
          <cell r="O376">
            <v>0</v>
          </cell>
          <cell r="P376">
            <v>0</v>
          </cell>
          <cell r="U376">
            <v>0</v>
          </cell>
          <cell r="V376">
            <v>0</v>
          </cell>
          <cell r="AA376">
            <v>0</v>
          </cell>
          <cell r="AB376">
            <v>0</v>
          </cell>
          <cell r="AG376">
            <v>0</v>
          </cell>
          <cell r="AH376">
            <v>0</v>
          </cell>
          <cell r="AM376">
            <v>700</v>
          </cell>
          <cell r="AN376">
            <v>266</v>
          </cell>
          <cell r="AS376">
            <v>0</v>
          </cell>
          <cell r="AT376">
            <v>0</v>
          </cell>
          <cell r="AX376">
            <v>0</v>
          </cell>
          <cell r="AY376">
            <v>700</v>
          </cell>
          <cell r="AZ376">
            <v>266</v>
          </cell>
          <cell r="BA376">
            <v>38</v>
          </cell>
          <cell r="BG376">
            <v>0</v>
          </cell>
          <cell r="BH376">
            <v>0</v>
          </cell>
          <cell r="BM376">
            <v>0</v>
          </cell>
          <cell r="BN376">
            <v>0</v>
          </cell>
          <cell r="BS376">
            <v>150</v>
          </cell>
          <cell r="BT376">
            <v>30</v>
          </cell>
          <cell r="BY376">
            <v>400</v>
          </cell>
          <cell r="BZ376">
            <v>80</v>
          </cell>
          <cell r="CE376">
            <v>1100</v>
          </cell>
          <cell r="CF376">
            <v>220</v>
          </cell>
          <cell r="CK376">
            <v>1150</v>
          </cell>
          <cell r="CL376">
            <v>230</v>
          </cell>
          <cell r="CP376">
            <v>0</v>
          </cell>
          <cell r="CQ376">
            <v>2800</v>
          </cell>
          <cell r="CR376">
            <v>560</v>
          </cell>
          <cell r="CS376">
            <v>20</v>
          </cell>
          <cell r="CX376">
            <v>0</v>
          </cell>
          <cell r="CY376">
            <v>0</v>
          </cell>
          <cell r="CZ376">
            <v>0</v>
          </cell>
          <cell r="DA376">
            <v>0</v>
          </cell>
          <cell r="DF376">
            <v>0</v>
          </cell>
          <cell r="DG376">
            <v>700</v>
          </cell>
          <cell r="DH376">
            <v>266</v>
          </cell>
          <cell r="DI376">
            <v>38</v>
          </cell>
          <cell r="DN376">
            <v>0</v>
          </cell>
          <cell r="DO376">
            <v>150</v>
          </cell>
          <cell r="DP376">
            <v>30</v>
          </cell>
          <cell r="DQ376">
            <v>20</v>
          </cell>
          <cell r="DV376">
            <v>0</v>
          </cell>
          <cell r="DW376">
            <v>2650</v>
          </cell>
          <cell r="DX376">
            <v>530</v>
          </cell>
          <cell r="DY376">
            <v>20</v>
          </cell>
        </row>
        <row r="377">
          <cell r="F377">
            <v>0</v>
          </cell>
          <cell r="G377">
            <v>0</v>
          </cell>
          <cell r="H377">
            <v>0</v>
          </cell>
          <cell r="I377">
            <v>0</v>
          </cell>
          <cell r="AA377">
            <v>0</v>
          </cell>
          <cell r="AB377">
            <v>0</v>
          </cell>
          <cell r="AG377">
            <v>0</v>
          </cell>
          <cell r="AH377">
            <v>0</v>
          </cell>
          <cell r="AM377">
            <v>0</v>
          </cell>
          <cell r="AN377">
            <v>0</v>
          </cell>
          <cell r="AX377">
            <v>0</v>
          </cell>
          <cell r="AY377">
            <v>0</v>
          </cell>
          <cell r="AZ377">
            <v>0</v>
          </cell>
          <cell r="BA377">
            <v>0</v>
          </cell>
          <cell r="BM377">
            <v>0</v>
          </cell>
          <cell r="BN377">
            <v>0</v>
          </cell>
          <cell r="BS377">
            <v>0</v>
          </cell>
          <cell r="BT377">
            <v>0</v>
          </cell>
          <cell r="CP377">
            <v>0</v>
          </cell>
          <cell r="CQ377">
            <v>0</v>
          </cell>
          <cell r="CR377">
            <v>0</v>
          </cell>
          <cell r="CS377">
            <v>0</v>
          </cell>
          <cell r="CX377">
            <v>0</v>
          </cell>
          <cell r="CY377">
            <v>0</v>
          </cell>
          <cell r="CZ377">
            <v>0</v>
          </cell>
          <cell r="DA377">
            <v>0</v>
          </cell>
          <cell r="DF377">
            <v>0</v>
          </cell>
          <cell r="DG377">
            <v>0</v>
          </cell>
          <cell r="DH377">
            <v>0</v>
          </cell>
          <cell r="DI377">
            <v>0</v>
          </cell>
          <cell r="DN377">
            <v>0</v>
          </cell>
          <cell r="DO377">
            <v>0</v>
          </cell>
          <cell r="DP377">
            <v>0</v>
          </cell>
          <cell r="DQ377">
            <v>0</v>
          </cell>
          <cell r="DV377">
            <v>0</v>
          </cell>
          <cell r="DW377">
            <v>0</v>
          </cell>
          <cell r="DX377">
            <v>0</v>
          </cell>
          <cell r="DY377">
            <v>0</v>
          </cell>
        </row>
        <row r="378">
          <cell r="F378">
            <v>0</v>
          </cell>
          <cell r="G378">
            <v>7908</v>
          </cell>
          <cell r="H378">
            <v>521.04330000000004</v>
          </cell>
          <cell r="I378">
            <v>6.5888125948406682</v>
          </cell>
          <cell r="O378">
            <v>154</v>
          </cell>
          <cell r="P378">
            <v>7.7</v>
          </cell>
          <cell r="U378">
            <v>617</v>
          </cell>
          <cell r="V378">
            <v>30.85</v>
          </cell>
          <cell r="AA378">
            <v>0</v>
          </cell>
          <cell r="AB378">
            <v>0</v>
          </cell>
          <cell r="AG378">
            <v>0</v>
          </cell>
          <cell r="AH378">
            <v>0</v>
          </cell>
          <cell r="AM378">
            <v>0</v>
          </cell>
          <cell r="AN378">
            <v>0</v>
          </cell>
          <cell r="AS378">
            <v>323</v>
          </cell>
          <cell r="AT378">
            <v>16.149999999999999</v>
          </cell>
          <cell r="AX378">
            <v>0</v>
          </cell>
          <cell r="AY378">
            <v>1094</v>
          </cell>
          <cell r="AZ378">
            <v>54.7</v>
          </cell>
          <cell r="BA378">
            <v>5</v>
          </cell>
          <cell r="BG378">
            <v>246</v>
          </cell>
          <cell r="BH378">
            <v>12.3</v>
          </cell>
          <cell r="BM378">
            <v>0</v>
          </cell>
          <cell r="BN378">
            <v>0</v>
          </cell>
          <cell r="BS378">
            <v>0</v>
          </cell>
          <cell r="BT378">
            <v>0</v>
          </cell>
          <cell r="BY378">
            <v>3627</v>
          </cell>
          <cell r="BZ378">
            <v>248.131</v>
          </cell>
          <cell r="CE378">
            <v>378</v>
          </cell>
          <cell r="CF378">
            <v>18.899999999999999</v>
          </cell>
          <cell r="CK378">
            <v>2563</v>
          </cell>
          <cell r="CL378">
            <v>187.01229999999998</v>
          </cell>
          <cell r="CP378">
            <v>0</v>
          </cell>
          <cell r="CQ378">
            <v>6814</v>
          </cell>
          <cell r="CR378">
            <v>466.3433</v>
          </cell>
          <cell r="CS378">
            <v>6.8438993249192839</v>
          </cell>
          <cell r="CX378">
            <v>0</v>
          </cell>
          <cell r="CY378">
            <v>771</v>
          </cell>
          <cell r="CZ378">
            <v>38.550000000000004</v>
          </cell>
          <cell r="DA378">
            <v>5</v>
          </cell>
          <cell r="DF378">
            <v>0</v>
          </cell>
          <cell r="DG378">
            <v>323</v>
          </cell>
          <cell r="DH378">
            <v>16.149999999999999</v>
          </cell>
          <cell r="DI378">
            <v>5</v>
          </cell>
          <cell r="DN378">
            <v>0</v>
          </cell>
          <cell r="DO378">
            <v>246</v>
          </cell>
          <cell r="DP378">
            <v>12.3</v>
          </cell>
          <cell r="DQ378">
            <v>5</v>
          </cell>
          <cell r="DV378">
            <v>0</v>
          </cell>
          <cell r="DW378">
            <v>6568</v>
          </cell>
          <cell r="DX378">
            <v>454.04329999999999</v>
          </cell>
          <cell r="DY378">
            <v>6.9129613276492083</v>
          </cell>
        </row>
        <row r="379">
          <cell r="F379">
            <v>0</v>
          </cell>
          <cell r="G379">
            <v>8928</v>
          </cell>
          <cell r="H379">
            <v>1785.1</v>
          </cell>
          <cell r="I379">
            <v>19.994399641577061</v>
          </cell>
          <cell r="O379">
            <v>0</v>
          </cell>
          <cell r="P379">
            <v>0</v>
          </cell>
          <cell r="U379">
            <v>48</v>
          </cell>
          <cell r="V379">
            <v>9.6</v>
          </cell>
          <cell r="AA379">
            <v>230</v>
          </cell>
          <cell r="AB379">
            <v>39.5</v>
          </cell>
          <cell r="AG379">
            <v>150</v>
          </cell>
          <cell r="AH379">
            <v>30</v>
          </cell>
          <cell r="AM379">
            <v>570</v>
          </cell>
          <cell r="AN379">
            <v>120</v>
          </cell>
          <cell r="AS379">
            <v>880</v>
          </cell>
          <cell r="AT379">
            <v>176</v>
          </cell>
          <cell r="AX379">
            <v>0</v>
          </cell>
          <cell r="AY379">
            <v>1878</v>
          </cell>
          <cell r="AZ379">
            <v>375.1</v>
          </cell>
          <cell r="BA379">
            <v>19.973375931842384</v>
          </cell>
          <cell r="BG379">
            <v>2320</v>
          </cell>
          <cell r="BH379">
            <v>464</v>
          </cell>
          <cell r="BM379">
            <v>380</v>
          </cell>
          <cell r="BN379">
            <v>76</v>
          </cell>
          <cell r="BS379">
            <v>500</v>
          </cell>
          <cell r="BT379">
            <v>100</v>
          </cell>
          <cell r="BY379">
            <v>250</v>
          </cell>
          <cell r="BZ379">
            <v>50</v>
          </cell>
          <cell r="CE379">
            <v>1400</v>
          </cell>
          <cell r="CF379">
            <v>280</v>
          </cell>
          <cell r="CK379">
            <v>2200</v>
          </cell>
          <cell r="CL379">
            <v>440</v>
          </cell>
          <cell r="CP379">
            <v>0</v>
          </cell>
          <cell r="CQ379">
            <v>7050</v>
          </cell>
          <cell r="CR379">
            <v>1410</v>
          </cell>
          <cell r="CS379">
            <v>20</v>
          </cell>
          <cell r="CX379">
            <v>0</v>
          </cell>
          <cell r="CY379">
            <v>278</v>
          </cell>
          <cell r="CZ379">
            <v>49.1</v>
          </cell>
          <cell r="DA379">
            <v>17.661870503597125</v>
          </cell>
          <cell r="DF379">
            <v>0</v>
          </cell>
          <cell r="DG379">
            <v>1600</v>
          </cell>
          <cell r="DH379">
            <v>326</v>
          </cell>
          <cell r="DI379">
            <v>20.375</v>
          </cell>
          <cell r="DN379">
            <v>0</v>
          </cell>
          <cell r="DO379">
            <v>3200</v>
          </cell>
          <cell r="DP379">
            <v>640</v>
          </cell>
          <cell r="DQ379">
            <v>20</v>
          </cell>
          <cell r="DV379">
            <v>0</v>
          </cell>
          <cell r="DW379">
            <v>3850</v>
          </cell>
          <cell r="DX379">
            <v>770</v>
          </cell>
          <cell r="DY379">
            <v>20</v>
          </cell>
        </row>
        <row r="380">
          <cell r="F380">
            <v>0</v>
          </cell>
          <cell r="G380">
            <v>7267</v>
          </cell>
          <cell r="H380">
            <v>1315.327</v>
          </cell>
          <cell r="I380">
            <v>18.099999999999998</v>
          </cell>
          <cell r="O380">
            <v>78</v>
          </cell>
          <cell r="P380">
            <v>14.118000000000002</v>
          </cell>
          <cell r="U380">
            <v>90</v>
          </cell>
          <cell r="V380">
            <v>16.29</v>
          </cell>
          <cell r="AA380">
            <v>159</v>
          </cell>
          <cell r="AB380">
            <v>28.779000000000003</v>
          </cell>
          <cell r="AG380">
            <v>800</v>
          </cell>
          <cell r="AH380">
            <v>144.80000000000001</v>
          </cell>
          <cell r="AM380">
            <v>650</v>
          </cell>
          <cell r="AN380">
            <v>117.65</v>
          </cell>
          <cell r="AS380">
            <v>640</v>
          </cell>
          <cell r="AT380">
            <v>115.84</v>
          </cell>
          <cell r="AX380">
            <v>0</v>
          </cell>
          <cell r="AY380">
            <v>2417</v>
          </cell>
          <cell r="AZ380">
            <v>437.47700000000003</v>
          </cell>
          <cell r="BA380">
            <v>18.100000000000001</v>
          </cell>
          <cell r="BG380">
            <v>420</v>
          </cell>
          <cell r="BH380">
            <v>76.02</v>
          </cell>
          <cell r="BM380">
            <v>470</v>
          </cell>
          <cell r="BN380">
            <v>85.07</v>
          </cell>
          <cell r="BS380">
            <v>610</v>
          </cell>
          <cell r="BT380">
            <v>110.41</v>
          </cell>
          <cell r="BY380">
            <v>710</v>
          </cell>
          <cell r="BZ380">
            <v>128.51</v>
          </cell>
          <cell r="CE380">
            <v>800</v>
          </cell>
          <cell r="CF380">
            <v>144.80000000000001</v>
          </cell>
          <cell r="CK380">
            <v>1840</v>
          </cell>
          <cell r="CL380">
            <v>333.04</v>
          </cell>
          <cell r="CP380">
            <v>0</v>
          </cell>
          <cell r="CQ380">
            <v>4850</v>
          </cell>
          <cell r="CR380">
            <v>877.84999999999991</v>
          </cell>
          <cell r="CS380">
            <v>18.099999999999998</v>
          </cell>
          <cell r="CX380">
            <v>0</v>
          </cell>
          <cell r="CY380">
            <v>327</v>
          </cell>
          <cell r="CZ380">
            <v>59.187000000000005</v>
          </cell>
          <cell r="DA380">
            <v>18.100000000000001</v>
          </cell>
          <cell r="DF380">
            <v>0</v>
          </cell>
          <cell r="DG380">
            <v>2090</v>
          </cell>
          <cell r="DH380">
            <v>378.29000000000008</v>
          </cell>
          <cell r="DI380">
            <v>18.100000000000005</v>
          </cell>
          <cell r="DN380">
            <v>0</v>
          </cell>
          <cell r="DO380">
            <v>1500</v>
          </cell>
          <cell r="DP380">
            <v>271.5</v>
          </cell>
          <cell r="DQ380">
            <v>18.099999999999998</v>
          </cell>
          <cell r="DV380">
            <v>0</v>
          </cell>
          <cell r="DW380">
            <v>3350</v>
          </cell>
          <cell r="DX380">
            <v>606.35</v>
          </cell>
          <cell r="DY380">
            <v>18.099999999999998</v>
          </cell>
        </row>
        <row r="381">
          <cell r="F381">
            <v>0</v>
          </cell>
          <cell r="G381">
            <v>2597</v>
          </cell>
          <cell r="H381">
            <v>519.4</v>
          </cell>
          <cell r="I381">
            <v>20</v>
          </cell>
          <cell r="O381">
            <v>0</v>
          </cell>
          <cell r="P381">
            <v>0</v>
          </cell>
          <cell r="U381">
            <v>0</v>
          </cell>
          <cell r="V381">
            <v>0</v>
          </cell>
          <cell r="AA381">
            <v>201</v>
          </cell>
          <cell r="AB381">
            <v>40.200000000000003</v>
          </cell>
          <cell r="AG381">
            <v>185</v>
          </cell>
          <cell r="AH381">
            <v>37</v>
          </cell>
          <cell r="AM381">
            <v>361</v>
          </cell>
          <cell r="AN381">
            <v>72.2</v>
          </cell>
          <cell r="AS381">
            <v>500</v>
          </cell>
          <cell r="AT381">
            <v>100</v>
          </cell>
          <cell r="AX381">
            <v>0</v>
          </cell>
          <cell r="AY381">
            <v>1247</v>
          </cell>
          <cell r="AZ381">
            <v>249.39999999999998</v>
          </cell>
          <cell r="BA381">
            <v>20</v>
          </cell>
          <cell r="BG381">
            <v>350</v>
          </cell>
          <cell r="BH381">
            <v>70</v>
          </cell>
          <cell r="BM381">
            <v>400</v>
          </cell>
          <cell r="BN381">
            <v>80</v>
          </cell>
          <cell r="BS381">
            <v>300</v>
          </cell>
          <cell r="BT381">
            <v>60</v>
          </cell>
          <cell r="BY381">
            <v>0</v>
          </cell>
          <cell r="BZ381">
            <v>0</v>
          </cell>
          <cell r="CE381">
            <v>100</v>
          </cell>
          <cell r="CF381">
            <v>20</v>
          </cell>
          <cell r="CK381">
            <v>200</v>
          </cell>
          <cell r="CL381">
            <v>40</v>
          </cell>
          <cell r="CP381">
            <v>0</v>
          </cell>
          <cell r="CQ381">
            <v>1350</v>
          </cell>
          <cell r="CR381">
            <v>270</v>
          </cell>
          <cell r="CS381">
            <v>20</v>
          </cell>
          <cell r="CX381">
            <v>0</v>
          </cell>
          <cell r="CY381">
            <v>201</v>
          </cell>
          <cell r="CZ381">
            <v>40.200000000000003</v>
          </cell>
          <cell r="DA381">
            <v>20</v>
          </cell>
          <cell r="DF381">
            <v>0</v>
          </cell>
          <cell r="DG381">
            <v>1046</v>
          </cell>
          <cell r="DH381">
            <v>209.2</v>
          </cell>
          <cell r="DI381">
            <v>20</v>
          </cell>
          <cell r="DN381">
            <v>0</v>
          </cell>
          <cell r="DO381">
            <v>1050</v>
          </cell>
          <cell r="DP381">
            <v>210</v>
          </cell>
          <cell r="DQ381">
            <v>20</v>
          </cell>
          <cell r="DV381">
            <v>0</v>
          </cell>
          <cell r="DW381">
            <v>300</v>
          </cell>
          <cell r="DX381">
            <v>60</v>
          </cell>
          <cell r="DY381">
            <v>20</v>
          </cell>
        </row>
        <row r="382">
          <cell r="F382">
            <v>0</v>
          </cell>
          <cell r="G382">
            <v>6000</v>
          </cell>
          <cell r="H382">
            <v>1437.559</v>
          </cell>
          <cell r="I382">
            <v>23.959316666666666</v>
          </cell>
          <cell r="O382">
            <v>13</v>
          </cell>
          <cell r="P382">
            <v>4.03</v>
          </cell>
          <cell r="U382">
            <v>690</v>
          </cell>
          <cell r="V382">
            <v>149.99400000000003</v>
          </cell>
          <cell r="AA382">
            <v>1672</v>
          </cell>
          <cell r="AB382">
            <v>401.78</v>
          </cell>
          <cell r="AG382">
            <v>327</v>
          </cell>
          <cell r="AH382">
            <v>61.443000000000012</v>
          </cell>
          <cell r="AM382">
            <v>872</v>
          </cell>
          <cell r="AN382">
            <v>286.846</v>
          </cell>
          <cell r="AS382">
            <v>140</v>
          </cell>
          <cell r="AT382">
            <v>28.98</v>
          </cell>
          <cell r="AX382">
            <v>0</v>
          </cell>
          <cell r="AY382">
            <v>3714</v>
          </cell>
          <cell r="AZ382">
            <v>933.07299999999998</v>
          </cell>
          <cell r="BA382">
            <v>25.123128702207865</v>
          </cell>
          <cell r="BG382">
            <v>525</v>
          </cell>
          <cell r="BH382">
            <v>108.675</v>
          </cell>
          <cell r="BM382">
            <v>993</v>
          </cell>
          <cell r="BN382">
            <v>236.83500000000001</v>
          </cell>
          <cell r="BS382">
            <v>0</v>
          </cell>
          <cell r="BT382">
            <v>0</v>
          </cell>
          <cell r="BY382">
            <v>345</v>
          </cell>
          <cell r="BZ382">
            <v>71.415000000000006</v>
          </cell>
          <cell r="CE382">
            <v>248</v>
          </cell>
          <cell r="CF382">
            <v>51.335999999999999</v>
          </cell>
          <cell r="CK382">
            <v>175</v>
          </cell>
          <cell r="CL382">
            <v>36.225000000000001</v>
          </cell>
          <cell r="CP382">
            <v>0</v>
          </cell>
          <cell r="CQ382">
            <v>2286</v>
          </cell>
          <cell r="CR382">
            <v>504.48600000000005</v>
          </cell>
          <cell r="CS382">
            <v>22.068503937007875</v>
          </cell>
          <cell r="CX382">
            <v>0</v>
          </cell>
          <cell r="CY382">
            <v>2375</v>
          </cell>
          <cell r="CZ382">
            <v>555.80399999999997</v>
          </cell>
          <cell r="DA382">
            <v>23.402273684210524</v>
          </cell>
          <cell r="DF382">
            <v>0</v>
          </cell>
          <cell r="DG382">
            <v>1339</v>
          </cell>
          <cell r="DH382">
            <v>377.26900000000001</v>
          </cell>
          <cell r="DI382">
            <v>28.175429424943989</v>
          </cell>
          <cell r="DN382">
            <v>0</v>
          </cell>
          <cell r="DO382">
            <v>1518</v>
          </cell>
          <cell r="DP382">
            <v>345.51</v>
          </cell>
          <cell r="DQ382">
            <v>22.760869565217391</v>
          </cell>
          <cell r="DV382">
            <v>0</v>
          </cell>
          <cell r="DW382">
            <v>768</v>
          </cell>
          <cell r="DX382">
            <v>158.976</v>
          </cell>
          <cell r="DY382">
            <v>20.7</v>
          </cell>
        </row>
        <row r="383">
          <cell r="F383">
            <v>0</v>
          </cell>
          <cell r="G383">
            <v>3009</v>
          </cell>
          <cell r="H383">
            <v>300.90000000000003</v>
          </cell>
          <cell r="I383">
            <v>10</v>
          </cell>
          <cell r="O383">
            <v>0</v>
          </cell>
          <cell r="P383">
            <v>0</v>
          </cell>
          <cell r="U383">
            <v>0</v>
          </cell>
          <cell r="V383">
            <v>0</v>
          </cell>
          <cell r="AA383">
            <v>0</v>
          </cell>
          <cell r="AB383">
            <v>0</v>
          </cell>
          <cell r="AG383">
            <v>0</v>
          </cell>
          <cell r="AH383">
            <v>0</v>
          </cell>
          <cell r="AM383">
            <v>1938</v>
          </cell>
          <cell r="AN383">
            <v>193.8</v>
          </cell>
          <cell r="AS383">
            <v>0</v>
          </cell>
          <cell r="AT383">
            <v>0</v>
          </cell>
          <cell r="AX383">
            <v>0</v>
          </cell>
          <cell r="AY383">
            <v>1938</v>
          </cell>
          <cell r="AZ383">
            <v>193.8</v>
          </cell>
          <cell r="BA383">
            <v>10</v>
          </cell>
          <cell r="BG383">
            <v>109</v>
          </cell>
          <cell r="BH383">
            <v>10.9</v>
          </cell>
          <cell r="BM383">
            <v>0</v>
          </cell>
          <cell r="BN383">
            <v>0</v>
          </cell>
          <cell r="BS383">
            <v>0</v>
          </cell>
          <cell r="BT383">
            <v>0</v>
          </cell>
          <cell r="BY383">
            <v>962</v>
          </cell>
          <cell r="BZ383">
            <v>96.2</v>
          </cell>
          <cell r="CE383">
            <v>0</v>
          </cell>
          <cell r="CF383">
            <v>0</v>
          </cell>
          <cell r="CK383">
            <v>0</v>
          </cell>
          <cell r="CL383">
            <v>0</v>
          </cell>
          <cell r="CP383">
            <v>0</v>
          </cell>
          <cell r="CQ383">
            <v>1071</v>
          </cell>
          <cell r="CR383">
            <v>107.10000000000001</v>
          </cell>
          <cell r="CS383">
            <v>10</v>
          </cell>
          <cell r="CX383">
            <v>0</v>
          </cell>
          <cell r="CY383">
            <v>0</v>
          </cell>
          <cell r="CZ383">
            <v>0</v>
          </cell>
          <cell r="DA383">
            <v>0</v>
          </cell>
          <cell r="DF383">
            <v>0</v>
          </cell>
          <cell r="DG383">
            <v>1938</v>
          </cell>
          <cell r="DH383">
            <v>193.8</v>
          </cell>
          <cell r="DI383">
            <v>10</v>
          </cell>
          <cell r="DN383">
            <v>0</v>
          </cell>
          <cell r="DO383">
            <v>109</v>
          </cell>
          <cell r="DP383">
            <v>10.9</v>
          </cell>
          <cell r="DQ383">
            <v>10</v>
          </cell>
          <cell r="DV383">
            <v>0</v>
          </cell>
          <cell r="DW383">
            <v>962</v>
          </cell>
          <cell r="DX383">
            <v>96.2</v>
          </cell>
          <cell r="DY383">
            <v>10</v>
          </cell>
        </row>
        <row r="384">
          <cell r="F384">
            <v>0</v>
          </cell>
          <cell r="G384">
            <v>106153</v>
          </cell>
          <cell r="H384">
            <v>23285.451300000008</v>
          </cell>
          <cell r="I384">
            <v>21.935744915358029</v>
          </cell>
          <cell r="N384">
            <v>0</v>
          </cell>
          <cell r="O384">
            <v>339</v>
          </cell>
          <cell r="P384">
            <v>46.81</v>
          </cell>
          <cell r="T384">
            <v>0</v>
          </cell>
          <cell r="U384">
            <v>1445</v>
          </cell>
          <cell r="V384">
            <v>206.73400000000004</v>
          </cell>
          <cell r="Z384">
            <v>0</v>
          </cell>
          <cell r="AA384">
            <v>7712</v>
          </cell>
          <cell r="AB384">
            <v>1954.229</v>
          </cell>
          <cell r="AF384">
            <v>0</v>
          </cell>
          <cell r="AG384">
            <v>4022</v>
          </cell>
          <cell r="AH384">
            <v>885.24299999999994</v>
          </cell>
          <cell r="AL384">
            <v>0</v>
          </cell>
          <cell r="AM384">
            <v>14991</v>
          </cell>
          <cell r="AN384">
            <v>2686.4960000000001</v>
          </cell>
          <cell r="AR384">
            <v>0</v>
          </cell>
          <cell r="AS384">
            <v>8623</v>
          </cell>
          <cell r="AT384">
            <v>1862.47</v>
          </cell>
          <cell r="AX384">
            <v>0</v>
          </cell>
          <cell r="AY384">
            <v>37132</v>
          </cell>
          <cell r="AZ384">
            <v>7641.9820000000009</v>
          </cell>
          <cell r="BA384">
            <v>20.580582785737374</v>
          </cell>
          <cell r="BF384">
            <v>0</v>
          </cell>
          <cell r="BG384">
            <v>3970</v>
          </cell>
          <cell r="BH384">
            <v>741.89499999999998</v>
          </cell>
          <cell r="BL384">
            <v>0</v>
          </cell>
          <cell r="BM384">
            <v>11943</v>
          </cell>
          <cell r="BN384">
            <v>2358.4049999999997</v>
          </cell>
          <cell r="BR384">
            <v>0</v>
          </cell>
          <cell r="BS384">
            <v>7260</v>
          </cell>
          <cell r="BT384">
            <v>1757.6100000000001</v>
          </cell>
          <cell r="BX384">
            <v>0</v>
          </cell>
          <cell r="BY384">
            <v>16294</v>
          </cell>
          <cell r="BZ384">
            <v>2674.2559999999994</v>
          </cell>
          <cell r="CD384">
            <v>0</v>
          </cell>
          <cell r="CE384">
            <v>10826</v>
          </cell>
          <cell r="CF384">
            <v>2062.0360000000001</v>
          </cell>
          <cell r="CJ384">
            <v>0</v>
          </cell>
          <cell r="CK384">
            <v>18728</v>
          </cell>
          <cell r="CL384">
            <v>6049.2673000000004</v>
          </cell>
          <cell r="CP384">
            <v>0</v>
          </cell>
          <cell r="CQ384">
            <v>69021</v>
          </cell>
          <cell r="CR384">
            <v>15643.469300000002</v>
          </cell>
          <cell r="CS384">
            <v>22.664796656090182</v>
          </cell>
          <cell r="CX384">
            <v>0</v>
          </cell>
          <cell r="CY384">
            <v>9496</v>
          </cell>
          <cell r="CZ384">
            <v>2207.7729999999997</v>
          </cell>
          <cell r="DA384">
            <v>23.249505054759894</v>
          </cell>
          <cell r="DF384">
            <v>0</v>
          </cell>
          <cell r="DG384">
            <v>27636</v>
          </cell>
          <cell r="DH384">
            <v>5434.2089999999998</v>
          </cell>
          <cell r="DI384">
            <v>19.66351498046027</v>
          </cell>
          <cell r="DN384">
            <v>0</v>
          </cell>
          <cell r="DO384">
            <v>23173</v>
          </cell>
          <cell r="DP384">
            <v>4857.91</v>
          </cell>
          <cell r="DQ384">
            <v>20.963664609675053</v>
          </cell>
          <cell r="DV384">
            <v>0</v>
          </cell>
          <cell r="DW384">
            <v>45848</v>
          </cell>
          <cell r="DX384">
            <v>10785.559300000001</v>
          </cell>
          <cell r="DY384">
            <v>23.524601509335199</v>
          </cell>
        </row>
        <row r="385">
          <cell r="F385">
            <v>0</v>
          </cell>
          <cell r="G385">
            <v>8133</v>
          </cell>
          <cell r="H385">
            <v>590</v>
          </cell>
          <cell r="I385">
            <v>7.2543956719537688</v>
          </cell>
          <cell r="O385">
            <v>154</v>
          </cell>
          <cell r="P385">
            <v>8</v>
          </cell>
          <cell r="U385">
            <v>617</v>
          </cell>
          <cell r="V385">
            <v>31</v>
          </cell>
          <cell r="AA385">
            <v>140</v>
          </cell>
          <cell r="AB385">
            <v>44</v>
          </cell>
          <cell r="AG385">
            <v>85</v>
          </cell>
          <cell r="AH385">
            <v>25</v>
          </cell>
          <cell r="AS385">
            <v>323</v>
          </cell>
          <cell r="AT385">
            <v>16</v>
          </cell>
          <cell r="AX385">
            <v>0</v>
          </cell>
          <cell r="AY385">
            <v>1319</v>
          </cell>
          <cell r="AZ385">
            <v>124</v>
          </cell>
          <cell r="BA385">
            <v>9.4010614101592118</v>
          </cell>
          <cell r="BG385">
            <v>246</v>
          </cell>
          <cell r="BH385">
            <v>12</v>
          </cell>
          <cell r="BY385">
            <v>3627</v>
          </cell>
          <cell r="BZ385">
            <v>248</v>
          </cell>
          <cell r="CE385">
            <v>378</v>
          </cell>
          <cell r="CF385">
            <v>19</v>
          </cell>
          <cell r="CK385">
            <v>2563</v>
          </cell>
          <cell r="CL385">
            <v>187</v>
          </cell>
          <cell r="CP385">
            <v>0</v>
          </cell>
          <cell r="CQ385">
            <v>6814</v>
          </cell>
          <cell r="CR385">
            <v>466</v>
          </cell>
          <cell r="CS385">
            <v>6.8388611681831524</v>
          </cell>
          <cell r="CX385">
            <v>0</v>
          </cell>
          <cell r="CY385">
            <v>911</v>
          </cell>
          <cell r="CZ385">
            <v>83</v>
          </cell>
          <cell r="DA385">
            <v>9.1108671789242592</v>
          </cell>
          <cell r="DF385">
            <v>0</v>
          </cell>
          <cell r="DG385">
            <v>408</v>
          </cell>
          <cell r="DH385">
            <v>41</v>
          </cell>
          <cell r="DI385">
            <v>10.049019607843137</v>
          </cell>
          <cell r="DN385">
            <v>0</v>
          </cell>
          <cell r="DO385">
            <v>246</v>
          </cell>
          <cell r="DP385">
            <v>12</v>
          </cell>
          <cell r="DQ385">
            <v>4.8780487804878048</v>
          </cell>
          <cell r="DV385">
            <v>0</v>
          </cell>
          <cell r="DW385">
            <v>6568</v>
          </cell>
          <cell r="DX385">
            <v>454</v>
          </cell>
          <cell r="DY385">
            <v>6.9123020706455538</v>
          </cell>
        </row>
        <row r="386">
          <cell r="F386">
            <v>0</v>
          </cell>
          <cell r="G386">
            <v>17200</v>
          </cell>
          <cell r="H386">
            <v>2210.0360000000001</v>
          </cell>
          <cell r="I386">
            <v>12.849046511627908</v>
          </cell>
          <cell r="O386">
            <v>10</v>
          </cell>
          <cell r="P386">
            <v>3.79</v>
          </cell>
          <cell r="U386">
            <v>720</v>
          </cell>
          <cell r="V386">
            <v>139.25</v>
          </cell>
          <cell r="AA386">
            <v>2123</v>
          </cell>
          <cell r="AB386">
            <v>126.84100000000001</v>
          </cell>
          <cell r="AG386">
            <v>1424</v>
          </cell>
          <cell r="AH386">
            <v>271.95999999999998</v>
          </cell>
          <cell r="AM386">
            <v>580</v>
          </cell>
          <cell r="AN386">
            <v>108</v>
          </cell>
          <cell r="AS386">
            <v>3809</v>
          </cell>
          <cell r="AT386">
            <v>311.983</v>
          </cell>
          <cell r="AX386">
            <v>0</v>
          </cell>
          <cell r="AY386">
            <v>8666</v>
          </cell>
          <cell r="AZ386">
            <v>961.82399999999996</v>
          </cell>
          <cell r="BA386">
            <v>11.098822986383567</v>
          </cell>
          <cell r="BG386">
            <v>500</v>
          </cell>
          <cell r="BH386">
            <v>89</v>
          </cell>
          <cell r="BM386">
            <v>1048</v>
          </cell>
          <cell r="BN386">
            <v>168.67199999999997</v>
          </cell>
          <cell r="BS386">
            <v>2660</v>
          </cell>
          <cell r="BT386">
            <v>268.83999999999997</v>
          </cell>
          <cell r="BY386">
            <v>1580</v>
          </cell>
          <cell r="BZ386">
            <v>206.64</v>
          </cell>
          <cell r="CE386">
            <v>1150</v>
          </cell>
          <cell r="CF386">
            <v>246</v>
          </cell>
          <cell r="CK386">
            <v>1596</v>
          </cell>
          <cell r="CL386">
            <v>269.06</v>
          </cell>
          <cell r="CP386">
            <v>0</v>
          </cell>
          <cell r="CQ386">
            <v>8534</v>
          </cell>
          <cell r="CR386">
            <v>1248.212</v>
          </cell>
          <cell r="CS386">
            <v>14.626341692055309</v>
          </cell>
          <cell r="CX386">
            <v>0</v>
          </cell>
          <cell r="CY386">
            <v>2853</v>
          </cell>
          <cell r="CZ386">
            <v>269.88099999999997</v>
          </cell>
          <cell r="DA386">
            <v>9.4595513494567118</v>
          </cell>
          <cell r="DF386">
            <v>0</v>
          </cell>
          <cell r="DG386">
            <v>5813</v>
          </cell>
          <cell r="DH386">
            <v>691.94299999999998</v>
          </cell>
          <cell r="DI386">
            <v>11.903371752967487</v>
          </cell>
          <cell r="DN386">
            <v>0</v>
          </cell>
          <cell r="DO386">
            <v>4208</v>
          </cell>
          <cell r="DP386">
            <v>526.51199999999994</v>
          </cell>
          <cell r="DQ386">
            <v>12.512167300380227</v>
          </cell>
          <cell r="DV386">
            <v>0</v>
          </cell>
          <cell r="DW386">
            <v>4326</v>
          </cell>
          <cell r="DX386">
            <v>721.7</v>
          </cell>
          <cell r="DY386">
            <v>16.68284789644013</v>
          </cell>
        </row>
        <row r="387">
          <cell r="F387">
            <v>0</v>
          </cell>
          <cell r="G387">
            <v>12650</v>
          </cell>
          <cell r="H387">
            <v>2372.3330000000001</v>
          </cell>
          <cell r="I387">
            <v>18.753620553359685</v>
          </cell>
          <cell r="O387">
            <v>7</v>
          </cell>
          <cell r="P387">
            <v>1.968</v>
          </cell>
          <cell r="U387">
            <v>89</v>
          </cell>
          <cell r="V387">
            <v>11.013</v>
          </cell>
          <cell r="AA387">
            <v>769</v>
          </cell>
          <cell r="AB387">
            <v>134.161</v>
          </cell>
          <cell r="AG387">
            <v>609</v>
          </cell>
          <cell r="AH387">
            <v>123.35299999999999</v>
          </cell>
          <cell r="AM387">
            <v>1603</v>
          </cell>
          <cell r="AN387">
            <v>274.40100000000001</v>
          </cell>
          <cell r="AS387">
            <v>534</v>
          </cell>
          <cell r="AT387">
            <v>112.568</v>
          </cell>
          <cell r="AX387">
            <v>0</v>
          </cell>
          <cell r="AY387">
            <v>3611</v>
          </cell>
          <cell r="AZ387">
            <v>657.46399999999994</v>
          </cell>
          <cell r="BA387">
            <v>18.207255607864855</v>
          </cell>
          <cell r="BG387">
            <v>493</v>
          </cell>
          <cell r="BH387">
            <v>102.001</v>
          </cell>
          <cell r="BM387">
            <v>1374</v>
          </cell>
          <cell r="BN387">
            <v>250.16800000000003</v>
          </cell>
          <cell r="BS387">
            <v>590</v>
          </cell>
          <cell r="BT387">
            <v>114.2</v>
          </cell>
          <cell r="BY387">
            <v>1490</v>
          </cell>
          <cell r="BZ387">
            <v>251.3</v>
          </cell>
          <cell r="CE387">
            <v>3290</v>
          </cell>
          <cell r="CF387">
            <v>713.2</v>
          </cell>
          <cell r="CK387">
            <v>1802</v>
          </cell>
          <cell r="CL387">
            <v>284</v>
          </cell>
          <cell r="CP387">
            <v>0</v>
          </cell>
          <cell r="CQ387">
            <v>9039</v>
          </cell>
          <cell r="CR387">
            <v>1714.8690000000001</v>
          </cell>
          <cell r="CS387">
            <v>18.971888483239301</v>
          </cell>
          <cell r="CX387">
            <v>0</v>
          </cell>
          <cell r="CY387">
            <v>865</v>
          </cell>
          <cell r="CZ387">
            <v>147.142</v>
          </cell>
          <cell r="DA387">
            <v>17.010635838150289</v>
          </cell>
          <cell r="DF387">
            <v>0</v>
          </cell>
          <cell r="DG387">
            <v>2746</v>
          </cell>
          <cell r="DH387">
            <v>510.322</v>
          </cell>
          <cell r="DI387">
            <v>18.584195193008014</v>
          </cell>
          <cell r="DN387">
            <v>0</v>
          </cell>
          <cell r="DO387">
            <v>2457</v>
          </cell>
          <cell r="DP387">
            <v>466.36900000000003</v>
          </cell>
          <cell r="DQ387">
            <v>18.981237281237281</v>
          </cell>
          <cell r="DV387">
            <v>0</v>
          </cell>
          <cell r="DW387">
            <v>6582</v>
          </cell>
          <cell r="DX387">
            <v>1248.5</v>
          </cell>
          <cell r="DY387">
            <v>18.968398663020359</v>
          </cell>
        </row>
        <row r="388">
          <cell r="F388">
            <v>0</v>
          </cell>
          <cell r="G388">
            <v>7850</v>
          </cell>
          <cell r="H388">
            <v>1482.6560000000002</v>
          </cell>
          <cell r="I388">
            <v>18.887337579617835</v>
          </cell>
          <cell r="O388">
            <v>2</v>
          </cell>
          <cell r="P388">
            <v>1.42</v>
          </cell>
          <cell r="U388">
            <v>3</v>
          </cell>
          <cell r="V388">
            <v>2.13</v>
          </cell>
          <cell r="AA388">
            <v>0</v>
          </cell>
          <cell r="AB388">
            <v>0</v>
          </cell>
          <cell r="AG388">
            <v>198</v>
          </cell>
          <cell r="AH388">
            <v>29.7</v>
          </cell>
          <cell r="AM388">
            <v>22</v>
          </cell>
          <cell r="AN388">
            <v>3.3</v>
          </cell>
          <cell r="AS388">
            <v>1526</v>
          </cell>
          <cell r="AT388">
            <v>198.37599999999998</v>
          </cell>
          <cell r="AX388">
            <v>0</v>
          </cell>
          <cell r="AY388">
            <v>1751</v>
          </cell>
          <cell r="AZ388">
            <v>234.92599999999996</v>
          </cell>
          <cell r="BA388">
            <v>13.416676185037119</v>
          </cell>
          <cell r="BG388">
            <v>330</v>
          </cell>
          <cell r="BH388">
            <v>42.9</v>
          </cell>
          <cell r="BM388">
            <v>370</v>
          </cell>
          <cell r="BN388">
            <v>202.2</v>
          </cell>
          <cell r="BS388">
            <v>792</v>
          </cell>
          <cell r="BT388">
            <v>277.5</v>
          </cell>
          <cell r="BY388">
            <v>1277</v>
          </cell>
          <cell r="BZ388">
            <v>140.31</v>
          </cell>
          <cell r="CE388">
            <v>533</v>
          </cell>
          <cell r="CF388">
            <v>111.39</v>
          </cell>
          <cell r="CK388">
            <v>2797</v>
          </cell>
          <cell r="CL388">
            <v>473.43</v>
          </cell>
          <cell r="CP388">
            <v>0</v>
          </cell>
          <cell r="CQ388">
            <v>6099</v>
          </cell>
          <cell r="CR388">
            <v>1247.7300000000002</v>
          </cell>
          <cell r="CS388">
            <v>20.45794392523365</v>
          </cell>
          <cell r="CX388">
            <v>0</v>
          </cell>
          <cell r="CY388">
            <v>5</v>
          </cell>
          <cell r="CZ388">
            <v>3.55</v>
          </cell>
          <cell r="DA388">
            <v>71</v>
          </cell>
          <cell r="DF388">
            <v>0</v>
          </cell>
          <cell r="DG388">
            <v>1746</v>
          </cell>
          <cell r="DH388">
            <v>231.37599999999998</v>
          </cell>
          <cell r="DI388">
            <v>13.251775486827032</v>
          </cell>
          <cell r="DN388">
            <v>0</v>
          </cell>
          <cell r="DO388">
            <v>1492</v>
          </cell>
          <cell r="DP388">
            <v>522.6</v>
          </cell>
          <cell r="DQ388">
            <v>35.026809651474537</v>
          </cell>
          <cell r="DV388">
            <v>0</v>
          </cell>
          <cell r="DW388">
            <v>4607</v>
          </cell>
          <cell r="DX388">
            <v>725.13</v>
          </cell>
          <cell r="DY388">
            <v>15.739743868026915</v>
          </cell>
        </row>
        <row r="389">
          <cell r="F389">
            <v>0</v>
          </cell>
          <cell r="G389">
            <v>11020</v>
          </cell>
          <cell r="H389">
            <v>1602.71</v>
          </cell>
          <cell r="I389">
            <v>14.543647912885662</v>
          </cell>
          <cell r="O389">
            <v>0</v>
          </cell>
          <cell r="P389">
            <v>0</v>
          </cell>
          <cell r="U389">
            <v>1120</v>
          </cell>
          <cell r="V389">
            <v>123.08</v>
          </cell>
          <cell r="AA389">
            <v>0</v>
          </cell>
          <cell r="AB389">
            <v>0</v>
          </cell>
          <cell r="AG389">
            <v>1130</v>
          </cell>
          <cell r="AH389">
            <v>129.38</v>
          </cell>
          <cell r="AM389">
            <v>5</v>
          </cell>
          <cell r="AN389">
            <v>5</v>
          </cell>
          <cell r="AS389">
            <v>605</v>
          </cell>
          <cell r="AT389">
            <v>65</v>
          </cell>
          <cell r="AX389">
            <v>0</v>
          </cell>
          <cell r="AY389">
            <v>2860</v>
          </cell>
          <cell r="AZ389">
            <v>322.45999999999998</v>
          </cell>
          <cell r="BA389">
            <v>11.274825174825175</v>
          </cell>
          <cell r="BG389">
            <v>35</v>
          </cell>
          <cell r="BH389">
            <v>29</v>
          </cell>
          <cell r="BM389">
            <v>1005</v>
          </cell>
          <cell r="BN389">
            <v>117</v>
          </cell>
          <cell r="BS389">
            <v>1405</v>
          </cell>
          <cell r="BT389">
            <v>187</v>
          </cell>
          <cell r="BY389">
            <v>1530</v>
          </cell>
          <cell r="BZ389">
            <v>193.5</v>
          </cell>
          <cell r="CE389">
            <v>1655</v>
          </cell>
          <cell r="CF389">
            <v>387</v>
          </cell>
          <cell r="CK389">
            <v>2530</v>
          </cell>
          <cell r="CL389">
            <v>366.75</v>
          </cell>
          <cell r="CP389">
            <v>0</v>
          </cell>
          <cell r="CQ389">
            <v>8160</v>
          </cell>
          <cell r="CR389">
            <v>1280.25</v>
          </cell>
          <cell r="CS389">
            <v>15.689338235294118</v>
          </cell>
          <cell r="CX389">
            <v>0</v>
          </cell>
          <cell r="CY389">
            <v>1120</v>
          </cell>
          <cell r="CZ389">
            <v>123.08</v>
          </cell>
          <cell r="DA389">
            <v>10.989285714285714</v>
          </cell>
          <cell r="DF389">
            <v>0</v>
          </cell>
          <cell r="DG389">
            <v>1740</v>
          </cell>
          <cell r="DH389">
            <v>199.38</v>
          </cell>
          <cell r="DI389">
            <v>11.458620689655172</v>
          </cell>
          <cell r="DN389">
            <v>0</v>
          </cell>
          <cell r="DO389">
            <v>2445</v>
          </cell>
          <cell r="DP389">
            <v>333</v>
          </cell>
          <cell r="DQ389">
            <v>13.61963190184049</v>
          </cell>
          <cell r="DV389">
            <v>0</v>
          </cell>
          <cell r="DW389">
            <v>5715</v>
          </cell>
          <cell r="DX389">
            <v>947.25</v>
          </cell>
          <cell r="DY389">
            <v>16.5748031496063</v>
          </cell>
        </row>
        <row r="390">
          <cell r="F390">
            <v>0</v>
          </cell>
          <cell r="G390">
            <v>15280</v>
          </cell>
          <cell r="H390">
            <v>2678.79</v>
          </cell>
          <cell r="I390">
            <v>17.531348167539267</v>
          </cell>
          <cell r="O390">
            <v>8</v>
          </cell>
          <cell r="P390">
            <v>6.8</v>
          </cell>
          <cell r="U390">
            <v>10</v>
          </cell>
          <cell r="V390">
            <v>8.8000000000000007</v>
          </cell>
          <cell r="AA390">
            <v>715</v>
          </cell>
          <cell r="AB390">
            <v>83.8</v>
          </cell>
          <cell r="AG390">
            <v>1658</v>
          </cell>
          <cell r="AH390">
            <v>299</v>
          </cell>
          <cell r="AM390">
            <v>16</v>
          </cell>
          <cell r="AN390">
            <v>14.5</v>
          </cell>
          <cell r="AS390">
            <v>3016</v>
          </cell>
          <cell r="AT390">
            <v>504.2</v>
          </cell>
          <cell r="AX390">
            <v>0</v>
          </cell>
          <cell r="AY390">
            <v>5423</v>
          </cell>
          <cell r="AZ390">
            <v>917.09999999999991</v>
          </cell>
          <cell r="BA390">
            <v>16.91130370643555</v>
          </cell>
          <cell r="BG390">
            <v>517</v>
          </cell>
          <cell r="BH390">
            <v>97</v>
          </cell>
          <cell r="BM390">
            <v>2566</v>
          </cell>
          <cell r="BN390">
            <v>494.2</v>
          </cell>
          <cell r="BS390">
            <v>973</v>
          </cell>
          <cell r="BT390">
            <v>207.09</v>
          </cell>
          <cell r="BY390">
            <v>2916</v>
          </cell>
          <cell r="BZ390">
            <v>421.2</v>
          </cell>
          <cell r="CE390">
            <v>468</v>
          </cell>
          <cell r="CF390">
            <v>122</v>
          </cell>
          <cell r="CK390">
            <v>2417</v>
          </cell>
          <cell r="CL390">
            <v>420.2</v>
          </cell>
          <cell r="CP390">
            <v>0</v>
          </cell>
          <cell r="CQ390">
            <v>9857</v>
          </cell>
          <cell r="CR390">
            <v>1761.69</v>
          </cell>
          <cell r="CS390">
            <v>17.872476412701634</v>
          </cell>
          <cell r="CX390">
            <v>0</v>
          </cell>
          <cell r="CY390">
            <v>733</v>
          </cell>
          <cell r="CZ390">
            <v>99.4</v>
          </cell>
          <cell r="DA390">
            <v>13.560709413369715</v>
          </cell>
          <cell r="DF390">
            <v>0</v>
          </cell>
          <cell r="DG390">
            <v>4690</v>
          </cell>
          <cell r="DH390">
            <v>817.7</v>
          </cell>
          <cell r="DI390">
            <v>17.434968017057571</v>
          </cell>
          <cell r="DN390">
            <v>0</v>
          </cell>
          <cell r="DO390">
            <v>4056</v>
          </cell>
          <cell r="DP390">
            <v>798.29000000000008</v>
          </cell>
          <cell r="DQ390">
            <v>19.681706114398423</v>
          </cell>
          <cell r="DV390">
            <v>0</v>
          </cell>
          <cell r="DW390">
            <v>5801</v>
          </cell>
          <cell r="DX390">
            <v>963.40000000000009</v>
          </cell>
          <cell r="DY390">
            <v>16.607481468712294</v>
          </cell>
        </row>
        <row r="391">
          <cell r="F391">
            <v>0</v>
          </cell>
          <cell r="G391">
            <v>1000</v>
          </cell>
          <cell r="H391">
            <v>100</v>
          </cell>
          <cell r="I391">
            <v>10</v>
          </cell>
          <cell r="O391">
            <v>0</v>
          </cell>
          <cell r="P391">
            <v>0</v>
          </cell>
          <cell r="U391">
            <v>0</v>
          </cell>
          <cell r="V391">
            <v>0</v>
          </cell>
          <cell r="AA391">
            <v>0</v>
          </cell>
          <cell r="AB391">
            <v>0</v>
          </cell>
          <cell r="AG391">
            <v>0</v>
          </cell>
          <cell r="AH391">
            <v>0</v>
          </cell>
          <cell r="AM391">
            <v>0</v>
          </cell>
          <cell r="AN391">
            <v>0</v>
          </cell>
          <cell r="AS391">
            <v>0</v>
          </cell>
          <cell r="AT391">
            <v>0</v>
          </cell>
          <cell r="AX391">
            <v>0</v>
          </cell>
          <cell r="AY391">
            <v>0</v>
          </cell>
          <cell r="AZ391">
            <v>0</v>
          </cell>
          <cell r="BA391">
            <v>0</v>
          </cell>
          <cell r="BG391">
            <v>0</v>
          </cell>
          <cell r="BH391">
            <v>0</v>
          </cell>
          <cell r="BM391">
            <v>0</v>
          </cell>
          <cell r="BN391">
            <v>0</v>
          </cell>
          <cell r="BS391">
            <v>0</v>
          </cell>
          <cell r="BT391">
            <v>0</v>
          </cell>
          <cell r="BY391">
            <v>0</v>
          </cell>
          <cell r="BZ391">
            <v>0</v>
          </cell>
          <cell r="CE391">
            <v>0</v>
          </cell>
          <cell r="CF391">
            <v>0</v>
          </cell>
          <cell r="CK391">
            <v>1000</v>
          </cell>
          <cell r="CL391">
            <v>100</v>
          </cell>
          <cell r="CP391">
            <v>0</v>
          </cell>
          <cell r="CQ391">
            <v>1000</v>
          </cell>
          <cell r="CR391">
            <v>100</v>
          </cell>
          <cell r="CS391">
            <v>10</v>
          </cell>
          <cell r="CX391">
            <v>0</v>
          </cell>
          <cell r="CY391">
            <v>0</v>
          </cell>
          <cell r="CZ391">
            <v>0</v>
          </cell>
          <cell r="DA391">
            <v>0</v>
          </cell>
          <cell r="DF391">
            <v>0</v>
          </cell>
          <cell r="DG391">
            <v>0</v>
          </cell>
          <cell r="DH391">
            <v>0</v>
          </cell>
          <cell r="DI391">
            <v>0</v>
          </cell>
          <cell r="DN391">
            <v>0</v>
          </cell>
          <cell r="DO391">
            <v>0</v>
          </cell>
          <cell r="DP391">
            <v>0</v>
          </cell>
          <cell r="DQ391">
            <v>0</v>
          </cell>
          <cell r="DV391">
            <v>0</v>
          </cell>
          <cell r="DW391">
            <v>1000</v>
          </cell>
          <cell r="DX391">
            <v>100</v>
          </cell>
          <cell r="DY391">
            <v>10</v>
          </cell>
        </row>
        <row r="392">
          <cell r="F392">
            <v>0</v>
          </cell>
          <cell r="G392">
            <v>9000</v>
          </cell>
          <cell r="H392">
            <v>1198.9009999999998</v>
          </cell>
          <cell r="I392">
            <v>13.32112222222222</v>
          </cell>
          <cell r="O392">
            <v>0</v>
          </cell>
          <cell r="P392">
            <v>0</v>
          </cell>
          <cell r="U392">
            <v>0</v>
          </cell>
          <cell r="V392">
            <v>0</v>
          </cell>
          <cell r="AA392">
            <v>0</v>
          </cell>
          <cell r="AB392">
            <v>0</v>
          </cell>
          <cell r="AG392">
            <v>0</v>
          </cell>
          <cell r="AH392">
            <v>0</v>
          </cell>
          <cell r="AM392">
            <v>5178</v>
          </cell>
          <cell r="AN392">
            <v>678.31799999999998</v>
          </cell>
          <cell r="AS392">
            <v>0</v>
          </cell>
          <cell r="AT392">
            <v>0</v>
          </cell>
          <cell r="AX392">
            <v>0</v>
          </cell>
          <cell r="AY392">
            <v>5178</v>
          </cell>
          <cell r="AZ392">
            <v>678.31799999999998</v>
          </cell>
          <cell r="BA392">
            <v>13.100000000000001</v>
          </cell>
          <cell r="BG392">
            <v>0</v>
          </cell>
          <cell r="BH392">
            <v>0</v>
          </cell>
          <cell r="BM392">
            <v>0</v>
          </cell>
          <cell r="BN392">
            <v>0</v>
          </cell>
          <cell r="BS392">
            <v>0</v>
          </cell>
          <cell r="BT392">
            <v>0</v>
          </cell>
          <cell r="BY392">
            <v>0</v>
          </cell>
          <cell r="BZ392">
            <v>0</v>
          </cell>
          <cell r="CE392">
            <v>1200</v>
          </cell>
          <cell r="CF392">
            <v>149</v>
          </cell>
          <cell r="CK392">
            <v>2622</v>
          </cell>
          <cell r="CL392">
            <v>371.58299999999997</v>
          </cell>
          <cell r="CP392">
            <v>0</v>
          </cell>
          <cell r="CQ392">
            <v>3822</v>
          </cell>
          <cell r="CR392">
            <v>520.58299999999997</v>
          </cell>
          <cell r="CS392">
            <v>13.620695970695969</v>
          </cell>
          <cell r="CX392">
            <v>0</v>
          </cell>
          <cell r="CY392">
            <v>0</v>
          </cell>
          <cell r="CZ392">
            <v>0</v>
          </cell>
          <cell r="DA392">
            <v>0</v>
          </cell>
          <cell r="DF392">
            <v>0</v>
          </cell>
          <cell r="DG392">
            <v>5178</v>
          </cell>
          <cell r="DH392">
            <v>678.31799999999998</v>
          </cell>
          <cell r="DI392">
            <v>13.100000000000001</v>
          </cell>
          <cell r="DN392">
            <v>0</v>
          </cell>
          <cell r="DO392">
            <v>0</v>
          </cell>
          <cell r="DP392">
            <v>0</v>
          </cell>
          <cell r="DQ392">
            <v>0</v>
          </cell>
          <cell r="DV392">
            <v>0</v>
          </cell>
          <cell r="DW392">
            <v>3822</v>
          </cell>
          <cell r="DX392">
            <v>520.58299999999997</v>
          </cell>
          <cell r="DY392">
            <v>13.620695970695969</v>
          </cell>
        </row>
        <row r="393">
          <cell r="F393">
            <v>0</v>
          </cell>
          <cell r="G393">
            <v>74000</v>
          </cell>
          <cell r="H393">
            <v>11645.426000000001</v>
          </cell>
          <cell r="I393">
            <v>15.737062162162163</v>
          </cell>
          <cell r="N393">
            <v>0</v>
          </cell>
          <cell r="O393">
            <v>27</v>
          </cell>
          <cell r="P393">
            <v>13.978</v>
          </cell>
          <cell r="T393">
            <v>0</v>
          </cell>
          <cell r="U393">
            <v>1942</v>
          </cell>
          <cell r="V393">
            <v>284.27300000000002</v>
          </cell>
          <cell r="Z393">
            <v>0</v>
          </cell>
          <cell r="AA393">
            <v>3607</v>
          </cell>
          <cell r="AB393">
            <v>344.80200000000002</v>
          </cell>
          <cell r="AF393">
            <v>0</v>
          </cell>
          <cell r="AG393">
            <v>5019</v>
          </cell>
          <cell r="AH393">
            <v>853.39300000000003</v>
          </cell>
          <cell r="AL393">
            <v>0</v>
          </cell>
          <cell r="AM393">
            <v>7404</v>
          </cell>
          <cell r="AN393">
            <v>1083.519</v>
          </cell>
          <cell r="AR393">
            <v>0</v>
          </cell>
          <cell r="AS393">
            <v>9490</v>
          </cell>
          <cell r="AT393">
            <v>1192.127</v>
          </cell>
          <cell r="AX393">
            <v>0</v>
          </cell>
          <cell r="AY393">
            <v>27489</v>
          </cell>
          <cell r="AZ393">
            <v>3772.0919999999996</v>
          </cell>
          <cell r="BA393">
            <v>13.722187056640836</v>
          </cell>
          <cell r="BF393">
            <v>0</v>
          </cell>
          <cell r="BG393">
            <v>1875</v>
          </cell>
          <cell r="BH393">
            <v>359.90100000000001</v>
          </cell>
          <cell r="BL393">
            <v>0</v>
          </cell>
          <cell r="BM393">
            <v>6363</v>
          </cell>
          <cell r="BN393">
            <v>1232.24</v>
          </cell>
          <cell r="BR393">
            <v>0</v>
          </cell>
          <cell r="BS393">
            <v>6420</v>
          </cell>
          <cell r="BT393">
            <v>1054.6299999999999</v>
          </cell>
          <cell r="BX393">
            <v>0</v>
          </cell>
          <cell r="BY393">
            <v>8793</v>
          </cell>
          <cell r="BZ393">
            <v>1212.95</v>
          </cell>
          <cell r="CD393">
            <v>0</v>
          </cell>
          <cell r="CE393">
            <v>8296</v>
          </cell>
          <cell r="CF393">
            <v>1728.5900000000001</v>
          </cell>
          <cell r="CJ393">
            <v>0</v>
          </cell>
          <cell r="CK393">
            <v>14764</v>
          </cell>
          <cell r="CL393">
            <v>2285.0230000000001</v>
          </cell>
          <cell r="CP393">
            <v>0</v>
          </cell>
          <cell r="CQ393">
            <v>46511</v>
          </cell>
          <cell r="CR393">
            <v>7873.3339999999998</v>
          </cell>
          <cell r="CS393">
            <v>111.23868471921998</v>
          </cell>
          <cell r="CX393">
            <v>0</v>
          </cell>
          <cell r="CY393">
            <v>5576</v>
          </cell>
          <cell r="CZ393">
            <v>643.053</v>
          </cell>
          <cell r="DA393">
            <v>11.532514347202296</v>
          </cell>
          <cell r="DF393">
            <v>0</v>
          </cell>
          <cell r="DG393">
            <v>21913</v>
          </cell>
          <cell r="DH393">
            <v>3129.0389999999998</v>
          </cell>
          <cell r="DI393">
            <v>14.279372974946378</v>
          </cell>
          <cell r="DN393">
            <v>0</v>
          </cell>
          <cell r="DO393">
            <v>14658</v>
          </cell>
          <cell r="DP393">
            <v>2646.7710000000002</v>
          </cell>
          <cell r="DQ393">
            <v>18.056835857552191</v>
          </cell>
          <cell r="DV393">
            <v>0</v>
          </cell>
          <cell r="DW393">
            <v>31853</v>
          </cell>
          <cell r="DX393">
            <v>5226.5629999999992</v>
          </cell>
          <cell r="DY393">
            <v>16.408385395410164</v>
          </cell>
        </row>
        <row r="394">
          <cell r="F394">
            <v>0</v>
          </cell>
          <cell r="G394">
            <v>0</v>
          </cell>
          <cell r="H394">
            <v>0</v>
          </cell>
          <cell r="I394">
            <v>0</v>
          </cell>
          <cell r="O394">
            <v>0</v>
          </cell>
          <cell r="P394">
            <v>0</v>
          </cell>
          <cell r="U394">
            <v>0</v>
          </cell>
          <cell r="V394">
            <v>0</v>
          </cell>
          <cell r="AA394">
            <v>0</v>
          </cell>
          <cell r="AB394">
            <v>0</v>
          </cell>
          <cell r="AG394">
            <v>0</v>
          </cell>
          <cell r="AH394">
            <v>0</v>
          </cell>
          <cell r="AS394">
            <v>0</v>
          </cell>
          <cell r="AT394">
            <v>0</v>
          </cell>
          <cell r="AX394">
            <v>0</v>
          </cell>
          <cell r="AY394">
            <v>0</v>
          </cell>
          <cell r="AZ394">
            <v>0</v>
          </cell>
          <cell r="BA394">
            <v>0</v>
          </cell>
          <cell r="CP394">
            <v>0</v>
          </cell>
          <cell r="CQ394">
            <v>0</v>
          </cell>
          <cell r="CR394">
            <v>0</v>
          </cell>
          <cell r="CS394">
            <v>0</v>
          </cell>
          <cell r="CX394">
            <v>0</v>
          </cell>
          <cell r="CY394">
            <v>0</v>
          </cell>
          <cell r="CZ394">
            <v>0</v>
          </cell>
          <cell r="DA394">
            <v>0</v>
          </cell>
          <cell r="DF394">
            <v>0</v>
          </cell>
          <cell r="DG394">
            <v>0</v>
          </cell>
          <cell r="DH394">
            <v>0</v>
          </cell>
          <cell r="DI394">
            <v>0</v>
          </cell>
          <cell r="DN394">
            <v>0</v>
          </cell>
          <cell r="DO394">
            <v>0</v>
          </cell>
          <cell r="DP394">
            <v>0</v>
          </cell>
          <cell r="DQ394">
            <v>0</v>
          </cell>
          <cell r="DV394">
            <v>0</v>
          </cell>
          <cell r="DW394">
            <v>0</v>
          </cell>
          <cell r="DX394">
            <v>0</v>
          </cell>
          <cell r="DY394">
            <v>0</v>
          </cell>
        </row>
        <row r="395">
          <cell r="F395">
            <v>0</v>
          </cell>
          <cell r="G395">
            <v>180153</v>
          </cell>
          <cell r="H395">
            <v>34930.877300000007</v>
          </cell>
          <cell r="I395">
            <v>19.389561816900084</v>
          </cell>
          <cell r="N395">
            <v>0</v>
          </cell>
          <cell r="O395">
            <v>366</v>
          </cell>
          <cell r="P395">
            <v>60.788000000000004</v>
          </cell>
          <cell r="T395">
            <v>0</v>
          </cell>
          <cell r="U395">
            <v>3387</v>
          </cell>
          <cell r="V395">
            <v>491.00700000000006</v>
          </cell>
          <cell r="Z395">
            <v>0</v>
          </cell>
          <cell r="AA395">
            <v>11319</v>
          </cell>
          <cell r="AB395">
            <v>2299.0309999999999</v>
          </cell>
          <cell r="AF395">
            <v>0</v>
          </cell>
          <cell r="AG395">
            <v>9041</v>
          </cell>
          <cell r="AH395">
            <v>1738.636</v>
          </cell>
          <cell r="AL395">
            <v>0</v>
          </cell>
          <cell r="AM395">
            <v>22395</v>
          </cell>
          <cell r="AN395">
            <v>3770.0150000000003</v>
          </cell>
          <cell r="AR395">
            <v>0</v>
          </cell>
          <cell r="AS395">
            <v>18113</v>
          </cell>
          <cell r="AT395">
            <v>3054.5969999999998</v>
          </cell>
          <cell r="AX395">
            <v>0</v>
          </cell>
          <cell r="AY395">
            <v>64621</v>
          </cell>
          <cell r="AZ395">
            <v>11414.074000000001</v>
          </cell>
          <cell r="BA395">
            <v>17.663103325544331</v>
          </cell>
          <cell r="BF395">
            <v>0</v>
          </cell>
          <cell r="BG395">
            <v>5845</v>
          </cell>
          <cell r="BH395">
            <v>1101.796</v>
          </cell>
          <cell r="BL395">
            <v>0</v>
          </cell>
          <cell r="BM395">
            <v>18306</v>
          </cell>
          <cell r="BN395">
            <v>3590.6449999999995</v>
          </cell>
          <cell r="BR395">
            <v>0</v>
          </cell>
          <cell r="BS395">
            <v>13680</v>
          </cell>
          <cell r="BT395">
            <v>2812.24</v>
          </cell>
          <cell r="BX395">
            <v>0</v>
          </cell>
          <cell r="BY395">
            <v>25087</v>
          </cell>
          <cell r="BZ395">
            <v>3887.2059999999992</v>
          </cell>
          <cell r="CD395">
            <v>0</v>
          </cell>
          <cell r="CE395">
            <v>19122</v>
          </cell>
          <cell r="CF395">
            <v>3790.6260000000002</v>
          </cell>
          <cell r="CJ395">
            <v>0</v>
          </cell>
          <cell r="CK395">
            <v>33492</v>
          </cell>
          <cell r="CL395">
            <v>8334.2903000000006</v>
          </cell>
          <cell r="CP395">
            <v>0</v>
          </cell>
          <cell r="CQ395">
            <v>115532</v>
          </cell>
          <cell r="CR395">
            <v>23516.803300000003</v>
          </cell>
          <cell r="CS395">
            <v>20.355229114011706</v>
          </cell>
          <cell r="CX395">
            <v>0</v>
          </cell>
          <cell r="CY395">
            <v>15072</v>
          </cell>
          <cell r="CZ395">
            <v>2850.8259999999996</v>
          </cell>
          <cell r="DA395">
            <v>18.914716029723987</v>
          </cell>
          <cell r="DF395">
            <v>0</v>
          </cell>
          <cell r="DG395">
            <v>49549</v>
          </cell>
          <cell r="DH395">
            <v>8563.2479999999996</v>
          </cell>
          <cell r="DI395">
            <v>17.282383095521602</v>
          </cell>
          <cell r="DN395">
            <v>0</v>
          </cell>
          <cell r="DO395">
            <v>37831</v>
          </cell>
          <cell r="DP395">
            <v>7504.6810000000005</v>
          </cell>
          <cell r="DQ395">
            <v>19.837384684517989</v>
          </cell>
          <cell r="DV395">
            <v>0</v>
          </cell>
          <cell r="DW395">
            <v>77701</v>
          </cell>
          <cell r="DX395">
            <v>16012.122299999999</v>
          </cell>
          <cell r="DY395">
            <v>20.60735679077489</v>
          </cell>
        </row>
        <row r="396">
          <cell r="F396">
            <v>0</v>
          </cell>
          <cell r="G396">
            <v>8133</v>
          </cell>
          <cell r="H396">
            <v>590</v>
          </cell>
          <cell r="I396">
            <v>7.2543956719537688</v>
          </cell>
          <cell r="N396">
            <v>0</v>
          </cell>
          <cell r="O396">
            <v>154</v>
          </cell>
          <cell r="P396">
            <v>8</v>
          </cell>
          <cell r="T396">
            <v>0</v>
          </cell>
          <cell r="U396">
            <v>617</v>
          </cell>
          <cell r="V396">
            <v>31</v>
          </cell>
          <cell r="Z396">
            <v>0</v>
          </cell>
          <cell r="AA396">
            <v>140</v>
          </cell>
          <cell r="AB396">
            <v>44</v>
          </cell>
          <cell r="AF396">
            <v>0</v>
          </cell>
          <cell r="AG396">
            <v>85</v>
          </cell>
          <cell r="AH396">
            <v>25</v>
          </cell>
          <cell r="AL396">
            <v>0</v>
          </cell>
          <cell r="AM396">
            <v>0</v>
          </cell>
          <cell r="AN396">
            <v>0</v>
          </cell>
          <cell r="AR396">
            <v>0</v>
          </cell>
          <cell r="AS396">
            <v>323</v>
          </cell>
          <cell r="AT396">
            <v>16</v>
          </cell>
          <cell r="AX396">
            <v>0</v>
          </cell>
          <cell r="AY396">
            <v>1319</v>
          </cell>
          <cell r="AZ396">
            <v>124</v>
          </cell>
          <cell r="BA396">
            <v>9.4010614101592118</v>
          </cell>
          <cell r="BF396">
            <v>0</v>
          </cell>
          <cell r="BG396">
            <v>246</v>
          </cell>
          <cell r="BH396">
            <v>12</v>
          </cell>
          <cell r="BL396">
            <v>0</v>
          </cell>
          <cell r="BM396">
            <v>0</v>
          </cell>
          <cell r="BN396">
            <v>0</v>
          </cell>
          <cell r="BR396">
            <v>0</v>
          </cell>
          <cell r="BS396">
            <v>0</v>
          </cell>
          <cell r="BT396">
            <v>0</v>
          </cell>
          <cell r="BX396">
            <v>0</v>
          </cell>
          <cell r="BY396">
            <v>3627</v>
          </cell>
          <cell r="BZ396">
            <v>248</v>
          </cell>
          <cell r="CD396">
            <v>0</v>
          </cell>
          <cell r="CE396">
            <v>378</v>
          </cell>
          <cell r="CF396">
            <v>19</v>
          </cell>
          <cell r="CJ396">
            <v>0</v>
          </cell>
          <cell r="CK396">
            <v>2563</v>
          </cell>
          <cell r="CL396">
            <v>187</v>
          </cell>
          <cell r="CP396">
            <v>0</v>
          </cell>
          <cell r="CQ396">
            <v>6814</v>
          </cell>
          <cell r="CR396">
            <v>466</v>
          </cell>
          <cell r="CS396">
            <v>6.8388611681831524</v>
          </cell>
          <cell r="CX396">
            <v>0</v>
          </cell>
          <cell r="CY396">
            <v>911</v>
          </cell>
          <cell r="CZ396">
            <v>83</v>
          </cell>
          <cell r="DA396">
            <v>9.1108671789242592</v>
          </cell>
          <cell r="DF396">
            <v>0</v>
          </cell>
          <cell r="DG396">
            <v>408</v>
          </cell>
          <cell r="DH396">
            <v>41</v>
          </cell>
          <cell r="DI396">
            <v>10.049019607843137</v>
          </cell>
          <cell r="DN396">
            <v>0</v>
          </cell>
          <cell r="DO396">
            <v>246</v>
          </cell>
          <cell r="DP396">
            <v>12</v>
          </cell>
          <cell r="DQ396">
            <v>4.8780487804878048</v>
          </cell>
          <cell r="DV396">
            <v>0</v>
          </cell>
          <cell r="DW396">
            <v>6568</v>
          </cell>
          <cell r="DX396">
            <v>454</v>
          </cell>
          <cell r="DY396">
            <v>6.9123020706455538</v>
          </cell>
        </row>
        <row r="397">
          <cell r="F397">
            <v>0</v>
          </cell>
          <cell r="G397">
            <v>29000</v>
          </cell>
          <cell r="H397">
            <v>2697</v>
          </cell>
          <cell r="I397">
            <v>9.3000000000000007</v>
          </cell>
          <cell r="O397">
            <v>0</v>
          </cell>
          <cell r="P397">
            <v>0</v>
          </cell>
          <cell r="U397">
            <v>0</v>
          </cell>
          <cell r="V397">
            <v>0</v>
          </cell>
          <cell r="AA397">
            <v>0</v>
          </cell>
          <cell r="AB397">
            <v>0</v>
          </cell>
          <cell r="AG397">
            <v>0</v>
          </cell>
          <cell r="AH397">
            <v>0</v>
          </cell>
          <cell r="AS397">
            <v>0</v>
          </cell>
          <cell r="AT397">
            <v>0</v>
          </cell>
          <cell r="AX397">
            <v>0</v>
          </cell>
          <cell r="AY397">
            <v>0</v>
          </cell>
          <cell r="AZ397">
            <v>0</v>
          </cell>
          <cell r="BA397">
            <v>0</v>
          </cell>
          <cell r="BG397">
            <v>0</v>
          </cell>
          <cell r="BH397">
            <v>0</v>
          </cell>
          <cell r="BM397">
            <v>0</v>
          </cell>
          <cell r="BN397">
            <v>0</v>
          </cell>
          <cell r="BS397">
            <v>0</v>
          </cell>
          <cell r="BT397">
            <v>0</v>
          </cell>
          <cell r="BY397">
            <v>21350</v>
          </cell>
          <cell r="BZ397">
            <v>1986</v>
          </cell>
          <cell r="CE397">
            <v>7650</v>
          </cell>
          <cell r="CF397">
            <v>711</v>
          </cell>
          <cell r="CK397">
            <v>0</v>
          </cell>
          <cell r="CL397">
            <v>0</v>
          </cell>
          <cell r="CP397">
            <v>0</v>
          </cell>
          <cell r="CQ397">
            <v>29000</v>
          </cell>
          <cell r="CR397">
            <v>2697</v>
          </cell>
          <cell r="CS397">
            <v>9.3000000000000007</v>
          </cell>
          <cell r="CX397">
            <v>0</v>
          </cell>
          <cell r="CY397">
            <v>0</v>
          </cell>
          <cell r="CZ397">
            <v>0</v>
          </cell>
          <cell r="DA397">
            <v>0</v>
          </cell>
          <cell r="DF397">
            <v>0</v>
          </cell>
          <cell r="DG397">
            <v>0</v>
          </cell>
          <cell r="DH397">
            <v>0</v>
          </cell>
          <cell r="DI397">
            <v>0</v>
          </cell>
          <cell r="DN397">
            <v>0</v>
          </cell>
          <cell r="DO397">
            <v>0</v>
          </cell>
          <cell r="DP397">
            <v>0</v>
          </cell>
          <cell r="DQ397">
            <v>0</v>
          </cell>
          <cell r="DV397">
            <v>0</v>
          </cell>
          <cell r="DW397">
            <v>29000</v>
          </cell>
          <cell r="DX397">
            <v>2697</v>
          </cell>
          <cell r="DY397">
            <v>9.3000000000000007</v>
          </cell>
        </row>
        <row r="398">
          <cell r="F398">
            <v>0</v>
          </cell>
          <cell r="G398">
            <v>9506</v>
          </cell>
          <cell r="H398">
            <v>930</v>
          </cell>
          <cell r="I398">
            <v>9.7832947612034502</v>
          </cell>
          <cell r="O398">
            <v>0</v>
          </cell>
          <cell r="P398">
            <v>0</v>
          </cell>
          <cell r="U398">
            <v>0</v>
          </cell>
          <cell r="V398">
            <v>0</v>
          </cell>
          <cell r="AA398">
            <v>0</v>
          </cell>
          <cell r="AB398">
            <v>0</v>
          </cell>
          <cell r="AG398">
            <v>0</v>
          </cell>
          <cell r="AH398">
            <v>0</v>
          </cell>
          <cell r="AM398">
            <v>506</v>
          </cell>
          <cell r="AN398">
            <v>30</v>
          </cell>
          <cell r="AS398">
            <v>0</v>
          </cell>
          <cell r="AT398">
            <v>0</v>
          </cell>
          <cell r="AX398">
            <v>0</v>
          </cell>
          <cell r="AY398">
            <v>506</v>
          </cell>
          <cell r="AZ398">
            <v>30</v>
          </cell>
          <cell r="BA398">
            <v>5.928853754940711</v>
          </cell>
          <cell r="BM398">
            <v>0</v>
          </cell>
          <cell r="BN398">
            <v>0</v>
          </cell>
          <cell r="BS398">
            <v>0</v>
          </cell>
          <cell r="BT398">
            <v>0</v>
          </cell>
          <cell r="BY398">
            <v>9000</v>
          </cell>
          <cell r="BZ398">
            <v>900</v>
          </cell>
          <cell r="CE398">
            <v>0</v>
          </cell>
          <cell r="CF398">
            <v>0</v>
          </cell>
          <cell r="CK398">
            <v>0</v>
          </cell>
          <cell r="CL398">
            <v>0</v>
          </cell>
          <cell r="CP398">
            <v>0</v>
          </cell>
          <cell r="CQ398">
            <v>9000</v>
          </cell>
          <cell r="CR398">
            <v>900</v>
          </cell>
          <cell r="CS398">
            <v>10</v>
          </cell>
          <cell r="CX398">
            <v>0</v>
          </cell>
          <cell r="CY398">
            <v>0</v>
          </cell>
          <cell r="CZ398">
            <v>0</v>
          </cell>
          <cell r="DA398">
            <v>0</v>
          </cell>
          <cell r="DF398">
            <v>0</v>
          </cell>
          <cell r="DG398">
            <v>506</v>
          </cell>
          <cell r="DH398">
            <v>30</v>
          </cell>
          <cell r="DI398">
            <v>5.928853754940711</v>
          </cell>
          <cell r="DN398">
            <v>0</v>
          </cell>
          <cell r="DO398">
            <v>0</v>
          </cell>
          <cell r="DP398">
            <v>0</v>
          </cell>
          <cell r="DQ398">
            <v>0</v>
          </cell>
          <cell r="DV398">
            <v>0</v>
          </cell>
          <cell r="DW398">
            <v>9000</v>
          </cell>
          <cell r="DX398">
            <v>900</v>
          </cell>
          <cell r="DY398">
            <v>10</v>
          </cell>
        </row>
        <row r="399">
          <cell r="F399">
            <v>0</v>
          </cell>
          <cell r="G399">
            <v>38506</v>
          </cell>
          <cell r="H399">
            <v>3627</v>
          </cell>
          <cell r="I399">
            <v>9.4193112761647537</v>
          </cell>
          <cell r="N399">
            <v>0</v>
          </cell>
          <cell r="O399">
            <v>0</v>
          </cell>
          <cell r="P399">
            <v>0</v>
          </cell>
          <cell r="T399">
            <v>0</v>
          </cell>
          <cell r="U399">
            <v>0</v>
          </cell>
          <cell r="V399">
            <v>0</v>
          </cell>
          <cell r="Z399">
            <v>0</v>
          </cell>
          <cell r="AA399">
            <v>0</v>
          </cell>
          <cell r="AB399">
            <v>0</v>
          </cell>
          <cell r="AF399">
            <v>0</v>
          </cell>
          <cell r="AG399">
            <v>0</v>
          </cell>
          <cell r="AH399">
            <v>0</v>
          </cell>
          <cell r="AL399">
            <v>0</v>
          </cell>
          <cell r="AM399">
            <v>506</v>
          </cell>
          <cell r="AN399">
            <v>30</v>
          </cell>
          <cell r="AR399">
            <v>0</v>
          </cell>
          <cell r="AS399">
            <v>0</v>
          </cell>
          <cell r="AT399">
            <v>0</v>
          </cell>
          <cell r="AX399">
            <v>0</v>
          </cell>
          <cell r="AY399">
            <v>506</v>
          </cell>
          <cell r="AZ399">
            <v>30</v>
          </cell>
          <cell r="BA399">
            <v>5.928853754940711</v>
          </cell>
          <cell r="BF399">
            <v>0</v>
          </cell>
          <cell r="BG399">
            <v>0</v>
          </cell>
          <cell r="BH399">
            <v>0</v>
          </cell>
          <cell r="BL399">
            <v>0</v>
          </cell>
          <cell r="BM399">
            <v>0</v>
          </cell>
          <cell r="BN399">
            <v>0</v>
          </cell>
          <cell r="BR399">
            <v>0</v>
          </cell>
          <cell r="BS399">
            <v>0</v>
          </cell>
          <cell r="BT399">
            <v>0</v>
          </cell>
          <cell r="BX399">
            <v>0</v>
          </cell>
          <cell r="BY399">
            <v>30350</v>
          </cell>
          <cell r="BZ399">
            <v>2886</v>
          </cell>
          <cell r="CD399">
            <v>0</v>
          </cell>
          <cell r="CE399">
            <v>7650</v>
          </cell>
          <cell r="CF399">
            <v>711</v>
          </cell>
          <cell r="CJ399">
            <v>0</v>
          </cell>
          <cell r="CK399">
            <v>0</v>
          </cell>
          <cell r="CL399">
            <v>0</v>
          </cell>
          <cell r="CP399">
            <v>0</v>
          </cell>
          <cell r="CQ399">
            <v>38000</v>
          </cell>
          <cell r="CR399">
            <v>3597</v>
          </cell>
          <cell r="CS399">
            <v>9.465789473684211</v>
          </cell>
          <cell r="CX399">
            <v>0</v>
          </cell>
          <cell r="CY399">
            <v>0</v>
          </cell>
          <cell r="CZ399">
            <v>0</v>
          </cell>
          <cell r="DA399">
            <v>0</v>
          </cell>
          <cell r="DF399">
            <v>0</v>
          </cell>
          <cell r="DG399">
            <v>506</v>
          </cell>
          <cell r="DH399">
            <v>30</v>
          </cell>
          <cell r="DI399">
            <v>5.928853754940711</v>
          </cell>
          <cell r="DN399">
            <v>0</v>
          </cell>
          <cell r="DO399">
            <v>0</v>
          </cell>
          <cell r="DP399">
            <v>0</v>
          </cell>
          <cell r="DQ399">
            <v>0</v>
          </cell>
          <cell r="DV399">
            <v>0</v>
          </cell>
          <cell r="DW399">
            <v>38000</v>
          </cell>
          <cell r="DX399">
            <v>3597</v>
          </cell>
          <cell r="DY399">
            <v>9.465789473684211</v>
          </cell>
        </row>
        <row r="400">
          <cell r="F400">
            <v>0</v>
          </cell>
          <cell r="G400">
            <v>0</v>
          </cell>
          <cell r="H400">
            <v>0</v>
          </cell>
          <cell r="I400">
            <v>0</v>
          </cell>
          <cell r="AX400">
            <v>0</v>
          </cell>
          <cell r="AY400">
            <v>0</v>
          </cell>
          <cell r="AZ400">
            <v>0</v>
          </cell>
          <cell r="BA400">
            <v>0</v>
          </cell>
          <cell r="CP400">
            <v>0</v>
          </cell>
          <cell r="CQ400">
            <v>0</v>
          </cell>
          <cell r="CR400">
            <v>0</v>
          </cell>
          <cell r="CS400">
            <v>0</v>
          </cell>
          <cell r="CX400">
            <v>0</v>
          </cell>
          <cell r="CY400">
            <v>0</v>
          </cell>
          <cell r="CZ400">
            <v>0</v>
          </cell>
          <cell r="DA400">
            <v>0</v>
          </cell>
          <cell r="DF400">
            <v>0</v>
          </cell>
          <cell r="DG400">
            <v>0</v>
          </cell>
          <cell r="DH400">
            <v>0</v>
          </cell>
          <cell r="DI400">
            <v>0</v>
          </cell>
          <cell r="DN400">
            <v>0</v>
          </cell>
          <cell r="DO400">
            <v>0</v>
          </cell>
          <cell r="DP400">
            <v>0</v>
          </cell>
          <cell r="DQ400">
            <v>0</v>
          </cell>
          <cell r="DV400">
            <v>0</v>
          </cell>
          <cell r="DW400">
            <v>0</v>
          </cell>
          <cell r="DX400">
            <v>0</v>
          </cell>
          <cell r="DY400">
            <v>0</v>
          </cell>
        </row>
        <row r="401">
          <cell r="F401">
            <v>0</v>
          </cell>
          <cell r="G401">
            <v>15019</v>
          </cell>
          <cell r="H401">
            <v>4053</v>
          </cell>
          <cell r="I401">
            <v>26.985817963912378</v>
          </cell>
          <cell r="O401">
            <v>447</v>
          </cell>
          <cell r="P401">
            <v>107</v>
          </cell>
          <cell r="U401">
            <v>1359</v>
          </cell>
          <cell r="V401">
            <v>379</v>
          </cell>
          <cell r="AA401">
            <v>916</v>
          </cell>
          <cell r="AB401">
            <v>220</v>
          </cell>
          <cell r="AG401">
            <v>851</v>
          </cell>
          <cell r="AH401">
            <v>195</v>
          </cell>
          <cell r="AM401">
            <v>875</v>
          </cell>
          <cell r="AN401">
            <v>191</v>
          </cell>
          <cell r="AS401">
            <v>1029</v>
          </cell>
          <cell r="AT401">
            <v>239</v>
          </cell>
          <cell r="AX401">
            <v>0</v>
          </cell>
          <cell r="AY401">
            <v>5477</v>
          </cell>
          <cell r="AZ401">
            <v>1331</v>
          </cell>
          <cell r="BA401">
            <v>24.301624977177287</v>
          </cell>
          <cell r="BG401">
            <v>1593</v>
          </cell>
          <cell r="BH401">
            <v>382</v>
          </cell>
          <cell r="BM401">
            <v>785</v>
          </cell>
          <cell r="BN401">
            <v>202</v>
          </cell>
          <cell r="BS401">
            <v>867</v>
          </cell>
          <cell r="BT401">
            <v>224</v>
          </cell>
          <cell r="BY401">
            <v>960</v>
          </cell>
          <cell r="BZ401">
            <v>257</v>
          </cell>
          <cell r="CE401">
            <v>1262</v>
          </cell>
          <cell r="CF401">
            <v>365</v>
          </cell>
          <cell r="CK401">
            <v>4075</v>
          </cell>
          <cell r="CL401">
            <v>1292</v>
          </cell>
          <cell r="CP401">
            <v>0</v>
          </cell>
          <cell r="CQ401">
            <v>9542</v>
          </cell>
          <cell r="CR401">
            <v>2722</v>
          </cell>
          <cell r="CS401">
            <v>28.526514357577028</v>
          </cell>
          <cell r="CX401">
            <v>0</v>
          </cell>
          <cell r="CY401">
            <v>2722</v>
          </cell>
          <cell r="CZ401">
            <v>706</v>
          </cell>
          <cell r="DA401">
            <v>25.936811168258632</v>
          </cell>
          <cell r="DF401">
            <v>0</v>
          </cell>
          <cell r="DG401">
            <v>2755</v>
          </cell>
          <cell r="DH401">
            <v>625</v>
          </cell>
          <cell r="DI401">
            <v>22.686025408348456</v>
          </cell>
          <cell r="DN401">
            <v>0</v>
          </cell>
          <cell r="DO401">
            <v>3245</v>
          </cell>
          <cell r="DP401">
            <v>808</v>
          </cell>
          <cell r="DQ401">
            <v>24.899845916795069</v>
          </cell>
          <cell r="DV401">
            <v>0</v>
          </cell>
          <cell r="DW401">
            <v>6297</v>
          </cell>
          <cell r="DX401">
            <v>1914</v>
          </cell>
          <cell r="DY401">
            <v>30.395426393520726</v>
          </cell>
        </row>
        <row r="402">
          <cell r="F402">
            <v>0</v>
          </cell>
          <cell r="G402">
            <v>8180</v>
          </cell>
          <cell r="H402">
            <v>-236</v>
          </cell>
          <cell r="I402">
            <v>-2.8850855745721269</v>
          </cell>
          <cell r="O402">
            <v>100</v>
          </cell>
          <cell r="P402">
            <v>-51</v>
          </cell>
          <cell r="U402">
            <v>780</v>
          </cell>
          <cell r="V402">
            <v>-380</v>
          </cell>
          <cell r="AA402">
            <v>360</v>
          </cell>
          <cell r="AB402">
            <v>-24</v>
          </cell>
          <cell r="AG402">
            <v>720</v>
          </cell>
          <cell r="AH402">
            <v>-39</v>
          </cell>
          <cell r="AM402">
            <v>720</v>
          </cell>
          <cell r="AN402">
            <v>-36</v>
          </cell>
          <cell r="AS402">
            <v>720</v>
          </cell>
          <cell r="AT402">
            <v>-26</v>
          </cell>
          <cell r="AX402">
            <v>0</v>
          </cell>
          <cell r="AY402">
            <v>3400</v>
          </cell>
          <cell r="AZ402">
            <v>-556</v>
          </cell>
          <cell r="BA402">
            <v>-16.352941176470591</v>
          </cell>
          <cell r="BG402">
            <v>580</v>
          </cell>
          <cell r="BH402">
            <v>-12</v>
          </cell>
          <cell r="BM402">
            <v>580</v>
          </cell>
          <cell r="BN402">
            <v>-4</v>
          </cell>
          <cell r="BS402">
            <v>1230</v>
          </cell>
          <cell r="BT402">
            <v>156</v>
          </cell>
          <cell r="BY402">
            <v>580</v>
          </cell>
          <cell r="BZ402">
            <v>-6</v>
          </cell>
          <cell r="CE402">
            <v>1230</v>
          </cell>
          <cell r="CF402">
            <v>186</v>
          </cell>
          <cell r="CK402">
            <v>580</v>
          </cell>
          <cell r="CL402">
            <v>0</v>
          </cell>
          <cell r="CP402">
            <v>0</v>
          </cell>
          <cell r="CQ402">
            <v>4780</v>
          </cell>
          <cell r="CR402">
            <v>320</v>
          </cell>
          <cell r="CS402">
            <v>6.6945606694560666</v>
          </cell>
          <cell r="CX402">
            <v>0</v>
          </cell>
          <cell r="CY402">
            <v>1240</v>
          </cell>
          <cell r="CZ402">
            <v>-455</v>
          </cell>
          <cell r="DA402">
            <v>-36.693548387096776</v>
          </cell>
          <cell r="DF402">
            <v>0</v>
          </cell>
          <cell r="DG402">
            <v>2160</v>
          </cell>
          <cell r="DH402">
            <v>-101</v>
          </cell>
          <cell r="DI402">
            <v>-4.6759259259259256</v>
          </cell>
          <cell r="DN402">
            <v>0</v>
          </cell>
          <cell r="DO402">
            <v>2390</v>
          </cell>
          <cell r="DP402">
            <v>140</v>
          </cell>
          <cell r="DQ402">
            <v>5.8577405857740583</v>
          </cell>
          <cell r="DV402">
            <v>0</v>
          </cell>
          <cell r="DW402">
            <v>2390</v>
          </cell>
          <cell r="DX402">
            <v>180</v>
          </cell>
          <cell r="DY402">
            <v>7.5313807531380759</v>
          </cell>
        </row>
        <row r="403">
          <cell r="F403">
            <v>0</v>
          </cell>
          <cell r="G403">
            <v>7000</v>
          </cell>
          <cell r="H403">
            <v>2366</v>
          </cell>
          <cell r="I403">
            <v>33.800000000000004</v>
          </cell>
          <cell r="O403">
            <v>358</v>
          </cell>
          <cell r="P403">
            <v>33</v>
          </cell>
          <cell r="U403">
            <v>280</v>
          </cell>
          <cell r="V403">
            <v>83</v>
          </cell>
          <cell r="AA403">
            <v>265</v>
          </cell>
          <cell r="AB403">
            <v>22</v>
          </cell>
          <cell r="AG403">
            <v>388</v>
          </cell>
          <cell r="AH403">
            <v>132</v>
          </cell>
          <cell r="AM403">
            <v>453</v>
          </cell>
          <cell r="AN403">
            <v>90</v>
          </cell>
          <cell r="AS403">
            <v>465</v>
          </cell>
          <cell r="AT403">
            <v>146</v>
          </cell>
          <cell r="AX403">
            <v>0</v>
          </cell>
          <cell r="AY403">
            <v>2209</v>
          </cell>
          <cell r="AZ403">
            <v>506</v>
          </cell>
          <cell r="BA403">
            <v>22.90629244001811</v>
          </cell>
          <cell r="BG403">
            <v>645</v>
          </cell>
          <cell r="BH403">
            <v>222</v>
          </cell>
          <cell r="BM403">
            <v>598</v>
          </cell>
          <cell r="BN403">
            <v>262</v>
          </cell>
          <cell r="BS403">
            <v>785</v>
          </cell>
          <cell r="BT403">
            <v>305</v>
          </cell>
          <cell r="BY403">
            <v>833</v>
          </cell>
          <cell r="BZ403">
            <v>332</v>
          </cell>
          <cell r="CE403">
            <v>1013</v>
          </cell>
          <cell r="CF403">
            <v>423</v>
          </cell>
          <cell r="CK403">
            <v>917</v>
          </cell>
          <cell r="CL403">
            <v>316</v>
          </cell>
          <cell r="CP403">
            <v>0</v>
          </cell>
          <cell r="CQ403">
            <v>4791</v>
          </cell>
          <cell r="CR403">
            <v>1860</v>
          </cell>
          <cell r="CS403">
            <v>38.822792736380713</v>
          </cell>
          <cell r="CX403">
            <v>0</v>
          </cell>
          <cell r="CY403">
            <v>903</v>
          </cell>
          <cell r="CZ403">
            <v>138</v>
          </cell>
          <cell r="DA403">
            <v>15.282392026578073</v>
          </cell>
          <cell r="DF403">
            <v>0</v>
          </cell>
          <cell r="DG403">
            <v>1306</v>
          </cell>
          <cell r="DH403">
            <v>368</v>
          </cell>
          <cell r="DI403">
            <v>28.177641653905056</v>
          </cell>
          <cell r="DN403">
            <v>0</v>
          </cell>
          <cell r="DO403">
            <v>2028</v>
          </cell>
          <cell r="DP403">
            <v>789</v>
          </cell>
          <cell r="DQ403">
            <v>38.905325443786978</v>
          </cell>
          <cell r="DV403">
            <v>0</v>
          </cell>
          <cell r="DW403">
            <v>2763</v>
          </cell>
          <cell r="DX403">
            <v>1071</v>
          </cell>
          <cell r="DY403">
            <v>38.762214983713356</v>
          </cell>
        </row>
        <row r="404">
          <cell r="F404">
            <v>0</v>
          </cell>
          <cell r="G404">
            <v>1820</v>
          </cell>
          <cell r="H404">
            <v>1572</v>
          </cell>
          <cell r="I404">
            <v>86.373626373626379</v>
          </cell>
          <cell r="O404">
            <v>0</v>
          </cell>
          <cell r="P404">
            <v>0</v>
          </cell>
          <cell r="U404">
            <v>0</v>
          </cell>
          <cell r="V404">
            <v>0</v>
          </cell>
          <cell r="AA404">
            <v>0</v>
          </cell>
          <cell r="AB404">
            <v>0</v>
          </cell>
          <cell r="AG404">
            <v>0</v>
          </cell>
          <cell r="AH404">
            <v>0</v>
          </cell>
          <cell r="AM404">
            <v>0</v>
          </cell>
          <cell r="AN404">
            <v>0</v>
          </cell>
          <cell r="AS404">
            <v>0</v>
          </cell>
          <cell r="AT404">
            <v>0</v>
          </cell>
          <cell r="AX404">
            <v>0</v>
          </cell>
          <cell r="AY404">
            <v>0</v>
          </cell>
          <cell r="AZ404">
            <v>0</v>
          </cell>
          <cell r="BA404">
            <v>0</v>
          </cell>
          <cell r="BG404">
            <v>0</v>
          </cell>
          <cell r="BH404">
            <v>0</v>
          </cell>
          <cell r="BM404">
            <v>60</v>
          </cell>
          <cell r="BN404">
            <v>12</v>
          </cell>
          <cell r="BS404">
            <v>60</v>
          </cell>
          <cell r="BT404">
            <v>12</v>
          </cell>
          <cell r="BY404">
            <v>100</v>
          </cell>
          <cell r="BZ404">
            <v>20</v>
          </cell>
          <cell r="CE404">
            <v>1600</v>
          </cell>
          <cell r="CF404">
            <v>1528</v>
          </cell>
          <cell r="CK404">
            <v>0</v>
          </cell>
          <cell r="CL404">
            <v>0</v>
          </cell>
          <cell r="CP404">
            <v>0</v>
          </cell>
          <cell r="CQ404">
            <v>1820</v>
          </cell>
          <cell r="CR404">
            <v>1572</v>
          </cell>
          <cell r="CS404">
            <v>86.373626373626379</v>
          </cell>
          <cell r="CX404">
            <v>0</v>
          </cell>
          <cell r="CY404">
            <v>0</v>
          </cell>
          <cell r="CZ404">
            <v>0</v>
          </cell>
          <cell r="DA404">
            <v>0</v>
          </cell>
          <cell r="DF404">
            <v>0</v>
          </cell>
          <cell r="DG404">
            <v>0</v>
          </cell>
          <cell r="DH404">
            <v>0</v>
          </cell>
          <cell r="DI404">
            <v>0</v>
          </cell>
          <cell r="DN404">
            <v>0</v>
          </cell>
          <cell r="DO404">
            <v>120</v>
          </cell>
          <cell r="DP404">
            <v>24</v>
          </cell>
          <cell r="DQ404">
            <v>20</v>
          </cell>
          <cell r="DV404">
            <v>0</v>
          </cell>
          <cell r="DW404">
            <v>1700</v>
          </cell>
          <cell r="DX404">
            <v>1548</v>
          </cell>
          <cell r="DY404">
            <v>91.058823529411768</v>
          </cell>
        </row>
        <row r="405">
          <cell r="F405">
            <v>0</v>
          </cell>
          <cell r="G405">
            <v>0</v>
          </cell>
          <cell r="H405">
            <v>0</v>
          </cell>
          <cell r="I405">
            <v>0</v>
          </cell>
          <cell r="O405">
            <v>0</v>
          </cell>
          <cell r="P405">
            <v>0</v>
          </cell>
          <cell r="U405">
            <v>0</v>
          </cell>
          <cell r="V405">
            <v>0</v>
          </cell>
          <cell r="AA405">
            <v>0</v>
          </cell>
          <cell r="AB405">
            <v>0</v>
          </cell>
          <cell r="AG405">
            <v>0</v>
          </cell>
          <cell r="AH405">
            <v>0</v>
          </cell>
          <cell r="AM405">
            <v>0</v>
          </cell>
          <cell r="AN405">
            <v>0</v>
          </cell>
          <cell r="AS405">
            <v>0</v>
          </cell>
          <cell r="AT405">
            <v>0</v>
          </cell>
          <cell r="AX405">
            <v>0</v>
          </cell>
          <cell r="AY405">
            <v>0</v>
          </cell>
          <cell r="AZ405">
            <v>0</v>
          </cell>
          <cell r="BA405">
            <v>0</v>
          </cell>
          <cell r="BG405">
            <v>0</v>
          </cell>
          <cell r="BH405">
            <v>0</v>
          </cell>
          <cell r="CK405">
            <v>0</v>
          </cell>
          <cell r="CL405">
            <v>0</v>
          </cell>
          <cell r="CP405">
            <v>0</v>
          </cell>
          <cell r="CQ405">
            <v>0</v>
          </cell>
          <cell r="CR405">
            <v>0</v>
          </cell>
          <cell r="CS405">
            <v>0</v>
          </cell>
          <cell r="CX405">
            <v>0</v>
          </cell>
          <cell r="CY405">
            <v>0</v>
          </cell>
          <cell r="CZ405">
            <v>0</v>
          </cell>
          <cell r="DA405">
            <v>0</v>
          </cell>
          <cell r="DF405">
            <v>0</v>
          </cell>
          <cell r="DG405">
            <v>0</v>
          </cell>
          <cell r="DH405">
            <v>0</v>
          </cell>
          <cell r="DI405">
            <v>0</v>
          </cell>
          <cell r="DN405">
            <v>0</v>
          </cell>
          <cell r="DO405">
            <v>0</v>
          </cell>
          <cell r="DP405">
            <v>0</v>
          </cell>
          <cell r="DQ405">
            <v>0</v>
          </cell>
          <cell r="DV405">
            <v>0</v>
          </cell>
          <cell r="DW405">
            <v>0</v>
          </cell>
          <cell r="DX405">
            <v>0</v>
          </cell>
          <cell r="DY405">
            <v>0</v>
          </cell>
        </row>
        <row r="406">
          <cell r="F406">
            <v>0</v>
          </cell>
          <cell r="G406">
            <v>32019</v>
          </cell>
          <cell r="H406">
            <v>7755</v>
          </cell>
          <cell r="I406">
            <v>24.219994378337862</v>
          </cell>
          <cell r="N406">
            <v>0</v>
          </cell>
          <cell r="O406">
            <v>905</v>
          </cell>
          <cell r="P406">
            <v>89</v>
          </cell>
          <cell r="T406">
            <v>0</v>
          </cell>
          <cell r="U406">
            <v>2419</v>
          </cell>
          <cell r="V406">
            <v>82</v>
          </cell>
          <cell r="Z406">
            <v>0</v>
          </cell>
          <cell r="AA406">
            <v>1541</v>
          </cell>
          <cell r="AB406">
            <v>218</v>
          </cell>
          <cell r="AF406">
            <v>0</v>
          </cell>
          <cell r="AG406">
            <v>1959</v>
          </cell>
          <cell r="AH406">
            <v>288</v>
          </cell>
          <cell r="AL406">
            <v>0</v>
          </cell>
          <cell r="AM406">
            <v>2048</v>
          </cell>
          <cell r="AN406">
            <v>245</v>
          </cell>
          <cell r="AR406">
            <v>0</v>
          </cell>
          <cell r="AS406">
            <v>2214</v>
          </cell>
          <cell r="AT406">
            <v>359</v>
          </cell>
          <cell r="AX406">
            <v>0</v>
          </cell>
          <cell r="AY406">
            <v>11086</v>
          </cell>
          <cell r="AZ406">
            <v>1281</v>
          </cell>
          <cell r="BA406">
            <v>11.555114558903121</v>
          </cell>
          <cell r="BF406">
            <v>0</v>
          </cell>
          <cell r="BG406">
            <v>2818</v>
          </cell>
          <cell r="BH406">
            <v>592</v>
          </cell>
          <cell r="BL406">
            <v>0</v>
          </cell>
          <cell r="BM406">
            <v>2023</v>
          </cell>
          <cell r="BN406">
            <v>472</v>
          </cell>
          <cell r="BR406">
            <v>0</v>
          </cell>
          <cell r="BS406">
            <v>2942</v>
          </cell>
          <cell r="BT406">
            <v>697</v>
          </cell>
          <cell r="BX406">
            <v>0</v>
          </cell>
          <cell r="BY406">
            <v>2473</v>
          </cell>
          <cell r="BZ406">
            <v>603</v>
          </cell>
          <cell r="CD406">
            <v>0</v>
          </cell>
          <cell r="CE406">
            <v>5105</v>
          </cell>
          <cell r="CF406">
            <v>2502</v>
          </cell>
          <cell r="CJ406">
            <v>0</v>
          </cell>
          <cell r="CK406">
            <v>5572</v>
          </cell>
          <cell r="CL406">
            <v>1608</v>
          </cell>
          <cell r="CP406">
            <v>0</v>
          </cell>
          <cell r="CQ406">
            <v>20933</v>
          </cell>
          <cell r="CR406">
            <v>6474</v>
          </cell>
          <cell r="CS406">
            <v>30.927244064395932</v>
          </cell>
          <cell r="CX406">
            <v>0</v>
          </cell>
          <cell r="CY406">
            <v>4865</v>
          </cell>
          <cell r="CZ406">
            <v>389</v>
          </cell>
          <cell r="DA406">
            <v>7.9958890030832483</v>
          </cell>
          <cell r="DF406">
            <v>0</v>
          </cell>
          <cell r="DG406">
            <v>6221</v>
          </cell>
          <cell r="DH406">
            <v>892</v>
          </cell>
          <cell r="DI406">
            <v>14.338530782832343</v>
          </cell>
          <cell r="DN406">
            <v>0</v>
          </cell>
          <cell r="DO406">
            <v>7783</v>
          </cell>
          <cell r="DP406">
            <v>1761</v>
          </cell>
          <cell r="DQ406">
            <v>22.626236669664653</v>
          </cell>
          <cell r="DV406">
            <v>0</v>
          </cell>
          <cell r="DW406">
            <v>13150</v>
          </cell>
          <cell r="DX406">
            <v>4713</v>
          </cell>
          <cell r="DY406">
            <v>35.840304182509506</v>
          </cell>
        </row>
        <row r="407">
          <cell r="F407">
            <v>0</v>
          </cell>
          <cell r="G407">
            <v>0</v>
          </cell>
          <cell r="H407">
            <v>0</v>
          </cell>
          <cell r="I407">
            <v>0</v>
          </cell>
          <cell r="O407">
            <v>0</v>
          </cell>
          <cell r="P407">
            <v>0</v>
          </cell>
          <cell r="U407">
            <v>0</v>
          </cell>
          <cell r="V407">
            <v>0</v>
          </cell>
          <cell r="AA407">
            <v>0</v>
          </cell>
          <cell r="AB407">
            <v>0</v>
          </cell>
          <cell r="AG407">
            <v>0</v>
          </cell>
          <cell r="AH407">
            <v>0</v>
          </cell>
          <cell r="AS407">
            <v>0</v>
          </cell>
          <cell r="AT407">
            <v>0</v>
          </cell>
          <cell r="AX407">
            <v>0</v>
          </cell>
          <cell r="AY407">
            <v>0</v>
          </cell>
          <cell r="AZ407">
            <v>0</v>
          </cell>
          <cell r="BA407">
            <v>0</v>
          </cell>
          <cell r="CP407">
            <v>0</v>
          </cell>
          <cell r="CQ407">
            <v>0</v>
          </cell>
          <cell r="CR407">
            <v>0</v>
          </cell>
          <cell r="CS407">
            <v>0</v>
          </cell>
          <cell r="CX407">
            <v>0</v>
          </cell>
          <cell r="CY407">
            <v>0</v>
          </cell>
          <cell r="CZ407">
            <v>0</v>
          </cell>
          <cell r="DA407">
            <v>0</v>
          </cell>
          <cell r="DF407">
            <v>0</v>
          </cell>
          <cell r="DG407">
            <v>0</v>
          </cell>
          <cell r="DH407">
            <v>0</v>
          </cell>
          <cell r="DI407">
            <v>0</v>
          </cell>
          <cell r="DN407">
            <v>0</v>
          </cell>
          <cell r="DO407">
            <v>0</v>
          </cell>
          <cell r="DP407">
            <v>0</v>
          </cell>
          <cell r="DQ407">
            <v>0</v>
          </cell>
          <cell r="DV407">
            <v>0</v>
          </cell>
          <cell r="DW407">
            <v>0</v>
          </cell>
          <cell r="DX407">
            <v>0</v>
          </cell>
          <cell r="DY407">
            <v>0</v>
          </cell>
        </row>
        <row r="408">
          <cell r="F408">
            <v>0</v>
          </cell>
          <cell r="G408">
            <v>6000</v>
          </cell>
          <cell r="H408">
            <v>970</v>
          </cell>
          <cell r="I408">
            <v>16.166666666666664</v>
          </cell>
          <cell r="O408">
            <v>0</v>
          </cell>
          <cell r="P408">
            <v>0</v>
          </cell>
          <cell r="U408">
            <v>240</v>
          </cell>
          <cell r="V408">
            <v>38</v>
          </cell>
          <cell r="AA408">
            <v>510</v>
          </cell>
          <cell r="AB408">
            <v>82</v>
          </cell>
          <cell r="AG408">
            <v>240</v>
          </cell>
          <cell r="AH408">
            <v>38</v>
          </cell>
          <cell r="AM408">
            <v>500</v>
          </cell>
          <cell r="AN408">
            <v>80</v>
          </cell>
          <cell r="AS408">
            <v>560</v>
          </cell>
          <cell r="AT408">
            <v>90</v>
          </cell>
          <cell r="AX408">
            <v>0</v>
          </cell>
          <cell r="AY408">
            <v>2050</v>
          </cell>
          <cell r="AZ408">
            <v>328</v>
          </cell>
          <cell r="BA408">
            <v>16</v>
          </cell>
          <cell r="BG408">
            <v>500</v>
          </cell>
          <cell r="BH408">
            <v>80</v>
          </cell>
          <cell r="BM408">
            <v>260</v>
          </cell>
          <cell r="BN408">
            <v>42</v>
          </cell>
          <cell r="BS408">
            <v>680</v>
          </cell>
          <cell r="BT408">
            <v>109</v>
          </cell>
          <cell r="BY408">
            <v>1010</v>
          </cell>
          <cell r="BZ408">
            <v>162</v>
          </cell>
          <cell r="CE408">
            <v>680</v>
          </cell>
          <cell r="CF408">
            <v>109</v>
          </cell>
          <cell r="CK408">
            <v>820</v>
          </cell>
          <cell r="CL408">
            <v>140</v>
          </cell>
          <cell r="CP408">
            <v>0</v>
          </cell>
          <cell r="CQ408">
            <v>3950</v>
          </cell>
          <cell r="CR408">
            <v>642</v>
          </cell>
          <cell r="CS408">
            <v>16.253164556962023</v>
          </cell>
          <cell r="CX408">
            <v>0</v>
          </cell>
          <cell r="CY408">
            <v>750</v>
          </cell>
          <cell r="CZ408">
            <v>120</v>
          </cell>
          <cell r="DA408">
            <v>16</v>
          </cell>
          <cell r="DF408">
            <v>0</v>
          </cell>
          <cell r="DG408">
            <v>1300</v>
          </cell>
          <cell r="DH408">
            <v>208</v>
          </cell>
          <cell r="DI408">
            <v>16</v>
          </cell>
          <cell r="DN408">
            <v>0</v>
          </cell>
          <cell r="DO408">
            <v>1440</v>
          </cell>
          <cell r="DP408">
            <v>231</v>
          </cell>
          <cell r="DQ408">
            <v>16.041666666666668</v>
          </cell>
          <cell r="DV408">
            <v>0</v>
          </cell>
          <cell r="DW408">
            <v>2510</v>
          </cell>
          <cell r="DX408">
            <v>411</v>
          </cell>
          <cell r="DY408">
            <v>16.374501992031874</v>
          </cell>
        </row>
        <row r="409">
          <cell r="F409">
            <v>0</v>
          </cell>
          <cell r="G409">
            <v>30047</v>
          </cell>
          <cell r="H409">
            <v>-1325</v>
          </cell>
          <cell r="I409">
            <v>-4.4097580457283589</v>
          </cell>
          <cell r="O409">
            <v>1726</v>
          </cell>
          <cell r="P409">
            <v>-134</v>
          </cell>
          <cell r="U409">
            <v>1983</v>
          </cell>
          <cell r="V409">
            <v>-147</v>
          </cell>
          <cell r="AA409">
            <v>1981</v>
          </cell>
          <cell r="AB409">
            <v>-130</v>
          </cell>
          <cell r="AG409">
            <v>2161</v>
          </cell>
          <cell r="AH409">
            <v>-167</v>
          </cell>
          <cell r="AM409">
            <v>2775</v>
          </cell>
          <cell r="AN409">
            <v>-262</v>
          </cell>
          <cell r="AS409">
            <v>2063</v>
          </cell>
          <cell r="AT409">
            <v>-91</v>
          </cell>
          <cell r="AX409">
            <v>0</v>
          </cell>
          <cell r="AY409">
            <v>12689</v>
          </cell>
          <cell r="AZ409">
            <v>-931</v>
          </cell>
          <cell r="BA409">
            <v>-7.3370635983923087</v>
          </cell>
          <cell r="BG409">
            <v>2156</v>
          </cell>
          <cell r="BH409">
            <v>-150</v>
          </cell>
          <cell r="BM409">
            <v>2786</v>
          </cell>
          <cell r="BN409">
            <v>-17</v>
          </cell>
          <cell r="BS409">
            <v>2969</v>
          </cell>
          <cell r="BT409">
            <v>-106</v>
          </cell>
          <cell r="BY409">
            <v>2483</v>
          </cell>
          <cell r="BZ409">
            <v>24</v>
          </cell>
          <cell r="CE409">
            <v>3670</v>
          </cell>
          <cell r="CF409">
            <v>-81</v>
          </cell>
          <cell r="CK409">
            <v>3294</v>
          </cell>
          <cell r="CL409">
            <v>-64</v>
          </cell>
          <cell r="CP409">
            <v>0</v>
          </cell>
          <cell r="CQ409">
            <v>17358</v>
          </cell>
          <cell r="CR409">
            <v>-394</v>
          </cell>
          <cell r="CS409">
            <v>-2.2698467565387714</v>
          </cell>
          <cell r="CX409">
            <v>0</v>
          </cell>
          <cell r="CY409">
            <v>5690</v>
          </cell>
          <cell r="CZ409">
            <v>-411</v>
          </cell>
          <cell r="DA409">
            <v>-7.2231985940246046</v>
          </cell>
          <cell r="DF409">
            <v>0</v>
          </cell>
          <cell r="DG409">
            <v>6999</v>
          </cell>
          <cell r="DH409">
            <v>-520</v>
          </cell>
          <cell r="DI409">
            <v>-7.429632804686384</v>
          </cell>
          <cell r="DN409">
            <v>0</v>
          </cell>
          <cell r="DO409">
            <v>7911</v>
          </cell>
          <cell r="DP409">
            <v>-273</v>
          </cell>
          <cell r="DQ409">
            <v>-3.4508911642017441</v>
          </cell>
          <cell r="DV409">
            <v>0</v>
          </cell>
          <cell r="DW409">
            <v>9447</v>
          </cell>
          <cell r="DX409">
            <v>-121</v>
          </cell>
          <cell r="DY409">
            <v>-1.2808298930877526</v>
          </cell>
        </row>
        <row r="410">
          <cell r="F410">
            <v>0</v>
          </cell>
          <cell r="G410">
            <v>11978</v>
          </cell>
          <cell r="H410">
            <v>2357</v>
          </cell>
          <cell r="I410">
            <v>19.677742527967943</v>
          </cell>
          <cell r="O410">
            <v>0</v>
          </cell>
          <cell r="P410">
            <v>0</v>
          </cell>
          <cell r="U410">
            <v>0</v>
          </cell>
          <cell r="V410">
            <v>0</v>
          </cell>
          <cell r="AA410">
            <v>0</v>
          </cell>
          <cell r="AB410">
            <v>0</v>
          </cell>
          <cell r="AG410">
            <v>0</v>
          </cell>
          <cell r="AH410">
            <v>0</v>
          </cell>
          <cell r="AM410">
            <v>0</v>
          </cell>
          <cell r="AN410">
            <v>0</v>
          </cell>
          <cell r="AS410">
            <v>1564</v>
          </cell>
          <cell r="AT410">
            <v>516</v>
          </cell>
          <cell r="AX410">
            <v>0</v>
          </cell>
          <cell r="AY410">
            <v>1564</v>
          </cell>
          <cell r="AZ410">
            <v>516</v>
          </cell>
          <cell r="BA410">
            <v>32.992327365728904</v>
          </cell>
          <cell r="BG410">
            <v>3000</v>
          </cell>
          <cell r="BH410">
            <v>683</v>
          </cell>
          <cell r="BM410">
            <v>2800</v>
          </cell>
          <cell r="BN410">
            <v>955</v>
          </cell>
          <cell r="BS410">
            <v>3114</v>
          </cell>
          <cell r="BT410">
            <v>-325</v>
          </cell>
          <cell r="BY410">
            <v>1500</v>
          </cell>
          <cell r="BZ410">
            <v>528</v>
          </cell>
          <cell r="CE410">
            <v>0</v>
          </cell>
          <cell r="CF410">
            <v>0</v>
          </cell>
          <cell r="CK410">
            <v>0</v>
          </cell>
          <cell r="CL410">
            <v>0</v>
          </cell>
          <cell r="CP410">
            <v>0</v>
          </cell>
          <cell r="CQ410">
            <v>10414</v>
          </cell>
          <cell r="CR410">
            <v>1841</v>
          </cell>
          <cell r="CS410">
            <v>17.678125600153638</v>
          </cell>
          <cell r="CX410">
            <v>0</v>
          </cell>
          <cell r="CY410">
            <v>0</v>
          </cell>
          <cell r="CZ410">
            <v>0</v>
          </cell>
          <cell r="DA410">
            <v>0</v>
          </cell>
          <cell r="DF410">
            <v>0</v>
          </cell>
          <cell r="DG410">
            <v>1564</v>
          </cell>
          <cell r="DH410">
            <v>516</v>
          </cell>
          <cell r="DI410">
            <v>32.992327365728904</v>
          </cell>
          <cell r="DN410">
            <v>0</v>
          </cell>
          <cell r="DO410">
            <v>8914</v>
          </cell>
          <cell r="DP410">
            <v>1313</v>
          </cell>
          <cell r="DQ410">
            <v>14.729638770473413</v>
          </cell>
          <cell r="DV410">
            <v>0</v>
          </cell>
          <cell r="DW410">
            <v>1500</v>
          </cell>
          <cell r="DX410">
            <v>528</v>
          </cell>
          <cell r="DY410">
            <v>35.199999999999996</v>
          </cell>
        </row>
        <row r="411">
          <cell r="F411">
            <v>0</v>
          </cell>
          <cell r="G411">
            <v>0</v>
          </cell>
          <cell r="H411">
            <v>0</v>
          </cell>
          <cell r="I411">
            <v>0</v>
          </cell>
          <cell r="AF411">
            <v>0</v>
          </cell>
          <cell r="AG411">
            <v>0</v>
          </cell>
          <cell r="AH411">
            <v>0</v>
          </cell>
          <cell r="AL411">
            <v>0</v>
          </cell>
          <cell r="AR411">
            <v>0</v>
          </cell>
          <cell r="AX411">
            <v>0</v>
          </cell>
          <cell r="BA411">
            <v>0</v>
          </cell>
          <cell r="CP411">
            <v>0</v>
          </cell>
          <cell r="CQ411">
            <v>0</v>
          </cell>
          <cell r="CR411">
            <v>0</v>
          </cell>
          <cell r="CS411">
            <v>0</v>
          </cell>
          <cell r="CX411">
            <v>0</v>
          </cell>
          <cell r="CY411">
            <v>0</v>
          </cell>
          <cell r="CZ411">
            <v>0</v>
          </cell>
          <cell r="DA411">
            <v>0</v>
          </cell>
          <cell r="DF411">
            <v>0</v>
          </cell>
          <cell r="DG411">
            <v>0</v>
          </cell>
          <cell r="DH411">
            <v>0</v>
          </cell>
          <cell r="DI411">
            <v>0</v>
          </cell>
          <cell r="DN411">
            <v>0</v>
          </cell>
          <cell r="DO411">
            <v>0</v>
          </cell>
          <cell r="DP411">
            <v>0</v>
          </cell>
          <cell r="DQ411">
            <v>0</v>
          </cell>
          <cell r="DV411">
            <v>0</v>
          </cell>
          <cell r="DW411">
            <v>0</v>
          </cell>
          <cell r="DX411">
            <v>0</v>
          </cell>
          <cell r="DY411">
            <v>0</v>
          </cell>
        </row>
        <row r="412">
          <cell r="F412">
            <v>0</v>
          </cell>
          <cell r="G412">
            <v>48025</v>
          </cell>
          <cell r="H412">
            <v>2002</v>
          </cell>
          <cell r="I412">
            <v>4.1686621551275378</v>
          </cell>
          <cell r="N412">
            <v>0</v>
          </cell>
          <cell r="O412">
            <v>1726</v>
          </cell>
          <cell r="P412">
            <v>-134</v>
          </cell>
          <cell r="T412">
            <v>0</v>
          </cell>
          <cell r="U412">
            <v>2223</v>
          </cell>
          <cell r="V412">
            <v>-109</v>
          </cell>
          <cell r="Z412">
            <v>0</v>
          </cell>
          <cell r="AA412">
            <v>2491</v>
          </cell>
          <cell r="AB412">
            <v>-48</v>
          </cell>
          <cell r="AF412">
            <v>0</v>
          </cell>
          <cell r="AG412">
            <v>2401</v>
          </cell>
          <cell r="AH412">
            <v>-129</v>
          </cell>
          <cell r="AL412">
            <v>0</v>
          </cell>
          <cell r="AM412">
            <v>3275</v>
          </cell>
          <cell r="AN412">
            <v>-182</v>
          </cell>
          <cell r="AR412">
            <v>0</v>
          </cell>
          <cell r="AS412">
            <v>4187</v>
          </cell>
          <cell r="AT412">
            <v>515</v>
          </cell>
          <cell r="AX412">
            <v>0</v>
          </cell>
          <cell r="AY412">
            <v>16303</v>
          </cell>
          <cell r="AZ412">
            <v>-87</v>
          </cell>
          <cell r="BA412">
            <v>-0.53364411458013861</v>
          </cell>
          <cell r="BF412">
            <v>0</v>
          </cell>
          <cell r="BG412">
            <v>5656</v>
          </cell>
          <cell r="BH412">
            <v>613</v>
          </cell>
          <cell r="BL412">
            <v>0</v>
          </cell>
          <cell r="BM412">
            <v>5846</v>
          </cell>
          <cell r="BN412">
            <v>980</v>
          </cell>
          <cell r="BR412">
            <v>0</v>
          </cell>
          <cell r="BS412">
            <v>6763</v>
          </cell>
          <cell r="BT412">
            <v>-322</v>
          </cell>
          <cell r="BX412">
            <v>0</v>
          </cell>
          <cell r="BY412">
            <v>4993</v>
          </cell>
          <cell r="BZ412">
            <v>714</v>
          </cell>
          <cell r="CD412">
            <v>0</v>
          </cell>
          <cell r="CE412">
            <v>4350</v>
          </cell>
          <cell r="CF412">
            <v>28</v>
          </cell>
          <cell r="CJ412">
            <v>0</v>
          </cell>
          <cell r="CK412">
            <v>4114</v>
          </cell>
          <cell r="CL412">
            <v>76</v>
          </cell>
          <cell r="CP412">
            <v>0</v>
          </cell>
          <cell r="CQ412">
            <v>31722</v>
          </cell>
          <cell r="CR412">
            <v>2089</v>
          </cell>
          <cell r="CS412">
            <v>6.5853350986696926</v>
          </cell>
          <cell r="CX412">
            <v>0</v>
          </cell>
          <cell r="CY412">
            <v>6440</v>
          </cell>
          <cell r="CZ412">
            <v>-291</v>
          </cell>
          <cell r="DA412">
            <v>-4.5186335403726705</v>
          </cell>
          <cell r="DF412">
            <v>0</v>
          </cell>
          <cell r="DG412">
            <v>9863</v>
          </cell>
          <cell r="DH412">
            <v>204</v>
          </cell>
          <cell r="DI412">
            <v>2.0683362060225083</v>
          </cell>
          <cell r="DN412">
            <v>0</v>
          </cell>
          <cell r="DO412">
            <v>18265</v>
          </cell>
          <cell r="DP412">
            <v>1271</v>
          </cell>
          <cell r="DQ412">
            <v>6.9586641116890222</v>
          </cell>
          <cell r="DV412">
            <v>0</v>
          </cell>
          <cell r="DW412">
            <v>13457</v>
          </cell>
          <cell r="DX412">
            <v>818</v>
          </cell>
          <cell r="DY412">
            <v>6.0786207921527824</v>
          </cell>
        </row>
        <row r="413">
          <cell r="F413">
            <v>0</v>
          </cell>
          <cell r="G413">
            <v>0</v>
          </cell>
          <cell r="H413">
            <v>0</v>
          </cell>
          <cell r="I413">
            <v>0</v>
          </cell>
          <cell r="O413">
            <v>0</v>
          </cell>
          <cell r="P413">
            <v>0</v>
          </cell>
          <cell r="U413">
            <v>0</v>
          </cell>
          <cell r="V413">
            <v>0</v>
          </cell>
          <cell r="AA413">
            <v>0</v>
          </cell>
          <cell r="AB413">
            <v>0</v>
          </cell>
          <cell r="AG413">
            <v>0</v>
          </cell>
          <cell r="AH413">
            <v>0</v>
          </cell>
          <cell r="AS413">
            <v>0</v>
          </cell>
          <cell r="AT413">
            <v>0</v>
          </cell>
          <cell r="AX413">
            <v>0</v>
          </cell>
          <cell r="AY413">
            <v>0</v>
          </cell>
          <cell r="AZ413">
            <v>0</v>
          </cell>
          <cell r="BA413">
            <v>0</v>
          </cell>
          <cell r="CP413">
            <v>0</v>
          </cell>
          <cell r="CQ413">
            <v>0</v>
          </cell>
          <cell r="CR413">
            <v>0</v>
          </cell>
          <cell r="CS413">
            <v>0</v>
          </cell>
          <cell r="CX413">
            <v>0</v>
          </cell>
          <cell r="CY413">
            <v>0</v>
          </cell>
          <cell r="CZ413">
            <v>0</v>
          </cell>
          <cell r="DA413">
            <v>0</v>
          </cell>
          <cell r="DF413">
            <v>0</v>
          </cell>
          <cell r="DG413">
            <v>0</v>
          </cell>
          <cell r="DH413">
            <v>0</v>
          </cell>
          <cell r="DI413">
            <v>0</v>
          </cell>
          <cell r="DN413">
            <v>0</v>
          </cell>
          <cell r="DO413">
            <v>0</v>
          </cell>
          <cell r="DP413">
            <v>0</v>
          </cell>
          <cell r="DQ413">
            <v>0</v>
          </cell>
          <cell r="DV413">
            <v>0</v>
          </cell>
          <cell r="DW413">
            <v>0</v>
          </cell>
          <cell r="DX413">
            <v>0</v>
          </cell>
          <cell r="DY413">
            <v>0</v>
          </cell>
        </row>
        <row r="414">
          <cell r="F414">
            <v>0</v>
          </cell>
          <cell r="G414">
            <v>15071</v>
          </cell>
          <cell r="H414">
            <v>-645</v>
          </cell>
          <cell r="I414">
            <v>-4.2797425519209078</v>
          </cell>
          <cell r="O414">
            <v>0</v>
          </cell>
          <cell r="P414">
            <v>0</v>
          </cell>
          <cell r="U414">
            <v>0</v>
          </cell>
          <cell r="V414">
            <v>0</v>
          </cell>
          <cell r="AA414">
            <v>0</v>
          </cell>
          <cell r="AB414">
            <v>0</v>
          </cell>
          <cell r="AG414">
            <v>0</v>
          </cell>
          <cell r="AH414">
            <v>0</v>
          </cell>
          <cell r="AS414">
            <v>4807</v>
          </cell>
          <cell r="AT414">
            <v>-272</v>
          </cell>
          <cell r="AX414">
            <v>0</v>
          </cell>
          <cell r="AY414">
            <v>4807</v>
          </cell>
          <cell r="AZ414">
            <v>-272</v>
          </cell>
          <cell r="BA414">
            <v>-5.6584148117328894</v>
          </cell>
          <cell r="BG414">
            <v>2091</v>
          </cell>
          <cell r="BH414">
            <v>-227</v>
          </cell>
          <cell r="BM414">
            <v>1526</v>
          </cell>
          <cell r="BN414">
            <v>79</v>
          </cell>
          <cell r="BS414">
            <v>814</v>
          </cell>
          <cell r="BT414">
            <v>-146</v>
          </cell>
          <cell r="BY414">
            <v>1372</v>
          </cell>
          <cell r="BZ414">
            <v>-11</v>
          </cell>
          <cell r="CE414">
            <v>908</v>
          </cell>
          <cell r="CF414">
            <v>2</v>
          </cell>
          <cell r="CK414">
            <v>3553</v>
          </cell>
          <cell r="CL414">
            <v>-70</v>
          </cell>
          <cell r="CP414">
            <v>0</v>
          </cell>
          <cell r="CQ414">
            <v>10264</v>
          </cell>
          <cell r="CR414">
            <v>-373</v>
          </cell>
          <cell r="CS414">
            <v>-3.6340607950116914</v>
          </cell>
          <cell r="CX414">
            <v>0</v>
          </cell>
          <cell r="CY414">
            <v>0</v>
          </cell>
          <cell r="CZ414">
            <v>0</v>
          </cell>
          <cell r="DA414">
            <v>0</v>
          </cell>
          <cell r="DF414">
            <v>0</v>
          </cell>
          <cell r="DG414">
            <v>4807</v>
          </cell>
          <cell r="DH414">
            <v>-272</v>
          </cell>
          <cell r="DI414">
            <v>-5.6584148117328894</v>
          </cell>
          <cell r="DN414">
            <v>0</v>
          </cell>
          <cell r="DO414">
            <v>4431</v>
          </cell>
          <cell r="DP414">
            <v>-294</v>
          </cell>
          <cell r="DQ414">
            <v>-6.6350710900473935</v>
          </cell>
          <cell r="DV414">
            <v>0</v>
          </cell>
          <cell r="DW414">
            <v>5833</v>
          </cell>
          <cell r="DX414">
            <v>-79</v>
          </cell>
          <cell r="DY414">
            <v>-1.3543631064632264</v>
          </cell>
        </row>
        <row r="415">
          <cell r="F415">
            <v>0</v>
          </cell>
          <cell r="G415">
            <v>13333</v>
          </cell>
          <cell r="H415">
            <v>0</v>
          </cell>
          <cell r="I415">
            <v>0</v>
          </cell>
          <cell r="O415">
            <v>0</v>
          </cell>
          <cell r="P415">
            <v>0</v>
          </cell>
          <cell r="U415">
            <v>0</v>
          </cell>
          <cell r="V415">
            <v>0</v>
          </cell>
          <cell r="AA415">
            <v>0</v>
          </cell>
          <cell r="AB415">
            <v>0</v>
          </cell>
          <cell r="AX415">
            <v>0</v>
          </cell>
          <cell r="AY415">
            <v>0</v>
          </cell>
          <cell r="AZ415">
            <v>0</v>
          </cell>
          <cell r="BA415">
            <v>0</v>
          </cell>
          <cell r="BM415">
            <v>1636</v>
          </cell>
          <cell r="BS415">
            <v>3614</v>
          </cell>
          <cell r="BY415">
            <v>306</v>
          </cell>
          <cell r="CE415">
            <v>1161</v>
          </cell>
          <cell r="CK415">
            <v>6616</v>
          </cell>
          <cell r="CP415">
            <v>0</v>
          </cell>
          <cell r="CQ415">
            <v>13333</v>
          </cell>
          <cell r="CR415">
            <v>0</v>
          </cell>
          <cell r="CS415">
            <v>0</v>
          </cell>
          <cell r="CX415">
            <v>0</v>
          </cell>
          <cell r="CY415">
            <v>0</v>
          </cell>
          <cell r="CZ415">
            <v>0</v>
          </cell>
          <cell r="DA415">
            <v>0</v>
          </cell>
          <cell r="DF415">
            <v>0</v>
          </cell>
          <cell r="DG415">
            <v>0</v>
          </cell>
          <cell r="DH415">
            <v>0</v>
          </cell>
          <cell r="DI415">
            <v>0</v>
          </cell>
          <cell r="DN415">
            <v>0</v>
          </cell>
          <cell r="DO415">
            <v>5250</v>
          </cell>
          <cell r="DP415">
            <v>0</v>
          </cell>
          <cell r="DQ415">
            <v>0</v>
          </cell>
          <cell r="DV415">
            <v>0</v>
          </cell>
          <cell r="DW415">
            <v>8083</v>
          </cell>
          <cell r="DX415">
            <v>0</v>
          </cell>
          <cell r="DY415">
            <v>0</v>
          </cell>
        </row>
        <row r="416">
          <cell r="F416">
            <v>0</v>
          </cell>
          <cell r="G416">
            <v>28404</v>
          </cell>
          <cell r="H416">
            <v>-645</v>
          </cell>
          <cell r="I416">
            <v>-2.2708069286016057</v>
          </cell>
          <cell r="N416">
            <v>0</v>
          </cell>
          <cell r="O416">
            <v>0</v>
          </cell>
          <cell r="P416">
            <v>0</v>
          </cell>
          <cell r="T416">
            <v>0</v>
          </cell>
          <cell r="U416">
            <v>0</v>
          </cell>
          <cell r="V416">
            <v>0</v>
          </cell>
          <cell r="Z416">
            <v>0</v>
          </cell>
          <cell r="AA416">
            <v>0</v>
          </cell>
          <cell r="AB416">
            <v>0</v>
          </cell>
          <cell r="AF416">
            <v>0</v>
          </cell>
          <cell r="AG416">
            <v>0</v>
          </cell>
          <cell r="AH416">
            <v>0</v>
          </cell>
          <cell r="AL416">
            <v>0</v>
          </cell>
          <cell r="AM416">
            <v>0</v>
          </cell>
          <cell r="AN416">
            <v>0</v>
          </cell>
          <cell r="AR416">
            <v>0</v>
          </cell>
          <cell r="AS416">
            <v>4807</v>
          </cell>
          <cell r="AT416">
            <v>-272</v>
          </cell>
          <cell r="AX416">
            <v>0</v>
          </cell>
          <cell r="AY416">
            <v>4807</v>
          </cell>
          <cell r="AZ416">
            <v>-272</v>
          </cell>
          <cell r="BA416">
            <v>-5.6584148117328894</v>
          </cell>
          <cell r="BF416">
            <v>0</v>
          </cell>
          <cell r="BG416">
            <v>2091</v>
          </cell>
          <cell r="BH416">
            <v>-227</v>
          </cell>
          <cell r="BL416">
            <v>0</v>
          </cell>
          <cell r="BM416">
            <v>3162</v>
          </cell>
          <cell r="BN416">
            <v>79</v>
          </cell>
          <cell r="BR416">
            <v>0</v>
          </cell>
          <cell r="BS416">
            <v>4428</v>
          </cell>
          <cell r="BT416">
            <v>-146</v>
          </cell>
          <cell r="BX416">
            <v>0</v>
          </cell>
          <cell r="BY416">
            <v>1678</v>
          </cell>
          <cell r="BZ416">
            <v>-11</v>
          </cell>
          <cell r="CD416">
            <v>0</v>
          </cell>
          <cell r="CE416">
            <v>2069</v>
          </cell>
          <cell r="CF416">
            <v>2</v>
          </cell>
          <cell r="CJ416">
            <v>0</v>
          </cell>
          <cell r="CK416">
            <v>10169</v>
          </cell>
          <cell r="CL416">
            <v>-70</v>
          </cell>
          <cell r="CP416">
            <v>0</v>
          </cell>
          <cell r="CQ416">
            <v>23597</v>
          </cell>
          <cell r="CR416">
            <v>-373</v>
          </cell>
          <cell r="CS416">
            <v>-1.5807094122134169</v>
          </cell>
          <cell r="CX416">
            <v>0</v>
          </cell>
          <cell r="CY416">
            <v>0</v>
          </cell>
          <cell r="CZ416">
            <v>0</v>
          </cell>
          <cell r="DA416">
            <v>0</v>
          </cell>
          <cell r="DF416">
            <v>0</v>
          </cell>
          <cell r="DG416">
            <v>4807</v>
          </cell>
          <cell r="DH416">
            <v>-272</v>
          </cell>
          <cell r="DI416">
            <v>-5.6584148117328894</v>
          </cell>
          <cell r="DN416">
            <v>0</v>
          </cell>
          <cell r="DO416">
            <v>9681</v>
          </cell>
          <cell r="DP416">
            <v>-294</v>
          </cell>
          <cell r="DQ416">
            <v>-3.0368763557483729</v>
          </cell>
          <cell r="DV416">
            <v>0</v>
          </cell>
          <cell r="DW416">
            <v>13916</v>
          </cell>
          <cell r="DX416">
            <v>-79</v>
          </cell>
          <cell r="DY416">
            <v>-0.56769186547858574</v>
          </cell>
        </row>
        <row r="417">
          <cell r="F417">
            <v>0</v>
          </cell>
          <cell r="G417">
            <v>0</v>
          </cell>
          <cell r="H417">
            <v>0</v>
          </cell>
          <cell r="I417">
            <v>0</v>
          </cell>
          <cell r="O417">
            <v>0</v>
          </cell>
          <cell r="P417">
            <v>0</v>
          </cell>
          <cell r="U417">
            <v>0</v>
          </cell>
          <cell r="V417">
            <v>0</v>
          </cell>
          <cell r="AA417">
            <v>0</v>
          </cell>
          <cell r="AB417">
            <v>0</v>
          </cell>
          <cell r="AG417">
            <v>0</v>
          </cell>
          <cell r="AH417">
            <v>0</v>
          </cell>
          <cell r="AS417">
            <v>0</v>
          </cell>
          <cell r="AT417">
            <v>0</v>
          </cell>
          <cell r="AX417">
            <v>0</v>
          </cell>
          <cell r="AY417">
            <v>0</v>
          </cell>
          <cell r="AZ417">
            <v>0</v>
          </cell>
          <cell r="BA417">
            <v>0</v>
          </cell>
          <cell r="CP417">
            <v>0</v>
          </cell>
          <cell r="CQ417">
            <v>0</v>
          </cell>
          <cell r="CR417">
            <v>0</v>
          </cell>
          <cell r="CS417">
            <v>0</v>
          </cell>
          <cell r="CX417">
            <v>0</v>
          </cell>
          <cell r="CY417">
            <v>0</v>
          </cell>
          <cell r="CZ417">
            <v>0</v>
          </cell>
          <cell r="DA417">
            <v>0</v>
          </cell>
          <cell r="DF417">
            <v>0</v>
          </cell>
          <cell r="DG417">
            <v>0</v>
          </cell>
          <cell r="DH417">
            <v>0</v>
          </cell>
          <cell r="DI417">
            <v>0</v>
          </cell>
          <cell r="DN417">
            <v>0</v>
          </cell>
          <cell r="DO417">
            <v>0</v>
          </cell>
          <cell r="DP417">
            <v>0</v>
          </cell>
          <cell r="DQ417">
            <v>0</v>
          </cell>
          <cell r="DV417">
            <v>0</v>
          </cell>
          <cell r="DW417">
            <v>0</v>
          </cell>
          <cell r="DX417">
            <v>0</v>
          </cell>
          <cell r="DY417">
            <v>0</v>
          </cell>
        </row>
        <row r="418">
          <cell r="F418">
            <v>0</v>
          </cell>
          <cell r="G418">
            <v>108448</v>
          </cell>
          <cell r="H418">
            <v>9112</v>
          </cell>
          <cell r="I418">
            <v>8.402183534966067</v>
          </cell>
          <cell r="N418">
            <v>0</v>
          </cell>
          <cell r="O418">
            <v>2631</v>
          </cell>
          <cell r="P418">
            <v>-45</v>
          </cell>
          <cell r="T418">
            <v>0</v>
          </cell>
          <cell r="U418">
            <v>4642</v>
          </cell>
          <cell r="V418">
            <v>-27</v>
          </cell>
          <cell r="Z418">
            <v>0</v>
          </cell>
          <cell r="AA418">
            <v>4032</v>
          </cell>
          <cell r="AB418">
            <v>170</v>
          </cell>
          <cell r="AF418">
            <v>0</v>
          </cell>
          <cell r="AG418">
            <v>4360</v>
          </cell>
          <cell r="AH418">
            <v>159</v>
          </cell>
          <cell r="AL418">
            <v>0</v>
          </cell>
          <cell r="AM418">
            <v>5323</v>
          </cell>
          <cell r="AN418">
            <v>63</v>
          </cell>
          <cell r="AR418">
            <v>0</v>
          </cell>
          <cell r="AS418">
            <v>11208</v>
          </cell>
          <cell r="AT418">
            <v>602</v>
          </cell>
          <cell r="AX418">
            <v>0</v>
          </cell>
          <cell r="AY418">
            <v>32196</v>
          </cell>
          <cell r="AZ418">
            <v>922</v>
          </cell>
          <cell r="BA418">
            <v>2.8637097776121259</v>
          </cell>
          <cell r="BF418">
            <v>0</v>
          </cell>
          <cell r="BG418">
            <v>10565</v>
          </cell>
          <cell r="BH418">
            <v>978</v>
          </cell>
          <cell r="BL418">
            <v>0</v>
          </cell>
          <cell r="BM418">
            <v>11031</v>
          </cell>
          <cell r="BN418">
            <v>1531</v>
          </cell>
          <cell r="BR418">
            <v>0</v>
          </cell>
          <cell r="BS418">
            <v>14133</v>
          </cell>
          <cell r="BT418">
            <v>229</v>
          </cell>
          <cell r="BX418">
            <v>0</v>
          </cell>
          <cell r="BY418">
            <v>9144</v>
          </cell>
          <cell r="BZ418">
            <v>1306</v>
          </cell>
          <cell r="CD418">
            <v>0</v>
          </cell>
          <cell r="CE418">
            <v>11524</v>
          </cell>
          <cell r="CF418">
            <v>2532</v>
          </cell>
          <cell r="CJ418">
            <v>0</v>
          </cell>
          <cell r="CK418">
            <v>19855</v>
          </cell>
          <cell r="CL418">
            <v>1614</v>
          </cell>
          <cell r="CP418">
            <v>0</v>
          </cell>
          <cell r="CQ418">
            <v>76252</v>
          </cell>
          <cell r="CR418">
            <v>8190</v>
          </cell>
          <cell r="CS418">
            <v>10.740701883229292</v>
          </cell>
          <cell r="CX418">
            <v>0</v>
          </cell>
          <cell r="CY418">
            <v>11305</v>
          </cell>
          <cell r="CZ418">
            <v>98</v>
          </cell>
          <cell r="DA418">
            <v>0.86687306501547989</v>
          </cell>
          <cell r="DF418">
            <v>0</v>
          </cell>
          <cell r="DG418">
            <v>20891</v>
          </cell>
          <cell r="DH418">
            <v>824</v>
          </cell>
          <cell r="DI418">
            <v>3.9442822267962279</v>
          </cell>
          <cell r="DN418">
            <v>0</v>
          </cell>
          <cell r="DO418">
            <v>35729</v>
          </cell>
          <cell r="DP418">
            <v>2738</v>
          </cell>
          <cell r="DQ418">
            <v>7.6632427439894766</v>
          </cell>
          <cell r="DV418">
            <v>0</v>
          </cell>
          <cell r="DW418">
            <v>40523</v>
          </cell>
          <cell r="DX418">
            <v>5452</v>
          </cell>
          <cell r="DY418">
            <v>13.454087801988992</v>
          </cell>
        </row>
        <row r="419">
          <cell r="F419">
            <v>0</v>
          </cell>
          <cell r="G419">
            <v>0</v>
          </cell>
          <cell r="H419">
            <v>0</v>
          </cell>
          <cell r="I419">
            <v>0</v>
          </cell>
          <cell r="N419">
            <v>0</v>
          </cell>
          <cell r="O419">
            <v>0</v>
          </cell>
          <cell r="P419">
            <v>0</v>
          </cell>
          <cell r="T419">
            <v>0</v>
          </cell>
          <cell r="U419">
            <v>0</v>
          </cell>
          <cell r="V419">
            <v>0</v>
          </cell>
          <cell r="Z419">
            <v>0</v>
          </cell>
          <cell r="AA419">
            <v>0</v>
          </cell>
          <cell r="AB419">
            <v>0</v>
          </cell>
          <cell r="AF419">
            <v>0</v>
          </cell>
          <cell r="AG419">
            <v>0</v>
          </cell>
          <cell r="AH419">
            <v>0</v>
          </cell>
          <cell r="AL419">
            <v>0</v>
          </cell>
          <cell r="AM419">
            <v>0</v>
          </cell>
          <cell r="AN419">
            <v>0</v>
          </cell>
          <cell r="AR419">
            <v>0</v>
          </cell>
          <cell r="AS419">
            <v>0</v>
          </cell>
          <cell r="AT419">
            <v>0</v>
          </cell>
          <cell r="AX419">
            <v>0</v>
          </cell>
          <cell r="AY419">
            <v>0</v>
          </cell>
          <cell r="AZ419">
            <v>0</v>
          </cell>
          <cell r="BA419">
            <v>0</v>
          </cell>
          <cell r="BF419">
            <v>0</v>
          </cell>
          <cell r="BG419">
            <v>0</v>
          </cell>
          <cell r="BH419">
            <v>0</v>
          </cell>
          <cell r="BL419">
            <v>0</v>
          </cell>
          <cell r="BM419">
            <v>0</v>
          </cell>
          <cell r="BN419">
            <v>0</v>
          </cell>
          <cell r="BR419">
            <v>0</v>
          </cell>
          <cell r="BS419">
            <v>0</v>
          </cell>
          <cell r="BT419">
            <v>0</v>
          </cell>
          <cell r="BX419">
            <v>0</v>
          </cell>
          <cell r="BY419">
            <v>0</v>
          </cell>
          <cell r="BZ419">
            <v>0</v>
          </cell>
          <cell r="CD419">
            <v>0</v>
          </cell>
          <cell r="CE419">
            <v>0</v>
          </cell>
          <cell r="CF419">
            <v>0</v>
          </cell>
          <cell r="CJ419">
            <v>0</v>
          </cell>
          <cell r="CK419">
            <v>0</v>
          </cell>
          <cell r="CL419">
            <v>0</v>
          </cell>
          <cell r="CP419">
            <v>0</v>
          </cell>
          <cell r="CQ419">
            <v>0</v>
          </cell>
          <cell r="CR419">
            <v>0</v>
          </cell>
          <cell r="CS419">
            <v>0</v>
          </cell>
          <cell r="CX419">
            <v>0</v>
          </cell>
          <cell r="CY419">
            <v>0</v>
          </cell>
          <cell r="CZ419">
            <v>0</v>
          </cell>
          <cell r="DA419">
            <v>0</v>
          </cell>
          <cell r="DF419">
            <v>0</v>
          </cell>
          <cell r="DG419">
            <v>0</v>
          </cell>
          <cell r="DH419">
            <v>0</v>
          </cell>
          <cell r="DI419">
            <v>0</v>
          </cell>
          <cell r="DN419">
            <v>0</v>
          </cell>
          <cell r="DO419">
            <v>0</v>
          </cell>
          <cell r="DP419">
            <v>0</v>
          </cell>
          <cell r="DQ419">
            <v>0</v>
          </cell>
          <cell r="DV419">
            <v>0</v>
          </cell>
          <cell r="DW419">
            <v>0</v>
          </cell>
          <cell r="DX419">
            <v>0</v>
          </cell>
          <cell r="DY419">
            <v>0</v>
          </cell>
        </row>
        <row r="420">
          <cell r="F420">
            <v>0</v>
          </cell>
          <cell r="G420">
            <v>327107</v>
          </cell>
          <cell r="H420">
            <v>47669.877300000007</v>
          </cell>
          <cell r="I420">
            <v>14.573175535833844</v>
          </cell>
          <cell r="N420">
            <v>0</v>
          </cell>
          <cell r="O420">
            <v>2997</v>
          </cell>
          <cell r="P420">
            <v>15.788000000000004</v>
          </cell>
          <cell r="T420">
            <v>0</v>
          </cell>
          <cell r="U420">
            <v>8029</v>
          </cell>
          <cell r="V420">
            <v>464.00700000000006</v>
          </cell>
          <cell r="Z420">
            <v>0</v>
          </cell>
          <cell r="AA420">
            <v>15351</v>
          </cell>
          <cell r="AB420">
            <v>2469.0309999999999</v>
          </cell>
          <cell r="AF420">
            <v>0</v>
          </cell>
          <cell r="AG420">
            <v>13401</v>
          </cell>
          <cell r="AH420">
            <v>1897.636</v>
          </cell>
          <cell r="AL420">
            <v>0</v>
          </cell>
          <cell r="AM420">
            <v>28224</v>
          </cell>
          <cell r="AN420">
            <v>3863.0150000000003</v>
          </cell>
          <cell r="AR420">
            <v>0</v>
          </cell>
          <cell r="AS420">
            <v>29321</v>
          </cell>
          <cell r="AT420">
            <v>3656.5969999999998</v>
          </cell>
          <cell r="AX420">
            <v>0</v>
          </cell>
          <cell r="AY420">
            <v>97323</v>
          </cell>
          <cell r="AZ420">
            <v>12366.074000000001</v>
          </cell>
          <cell r="BA420">
            <v>12.706219495905389</v>
          </cell>
          <cell r="BF420">
            <v>0</v>
          </cell>
          <cell r="BG420">
            <v>16410</v>
          </cell>
          <cell r="BH420">
            <v>2079.7960000000003</v>
          </cell>
          <cell r="BL420">
            <v>0</v>
          </cell>
          <cell r="BM420">
            <v>29337</v>
          </cell>
          <cell r="BN420">
            <v>5121.6449999999995</v>
          </cell>
          <cell r="BR420">
            <v>0</v>
          </cell>
          <cell r="BS420">
            <v>27813</v>
          </cell>
          <cell r="BT420">
            <v>3041.24</v>
          </cell>
          <cell r="BX420">
            <v>0</v>
          </cell>
          <cell r="BY420">
            <v>64581</v>
          </cell>
          <cell r="BZ420">
            <v>8079.2059999999992</v>
          </cell>
          <cell r="CD420">
            <v>0</v>
          </cell>
          <cell r="CE420">
            <v>38296</v>
          </cell>
          <cell r="CF420">
            <v>7033.6260000000002</v>
          </cell>
          <cell r="CJ420">
            <v>0</v>
          </cell>
          <cell r="CK420">
            <v>53347</v>
          </cell>
          <cell r="CL420">
            <v>9948.2903000000006</v>
          </cell>
          <cell r="CP420">
            <v>0</v>
          </cell>
          <cell r="CQ420">
            <v>229784</v>
          </cell>
          <cell r="CR420">
            <v>35303.8033</v>
          </cell>
          <cell r="CS420">
            <v>15.363908409636876</v>
          </cell>
          <cell r="CX420">
            <v>0</v>
          </cell>
          <cell r="CY420">
            <v>26377</v>
          </cell>
          <cell r="CZ420">
            <v>2948.8259999999996</v>
          </cell>
          <cell r="DA420">
            <v>11.179535201122189</v>
          </cell>
          <cell r="DF420">
            <v>0</v>
          </cell>
          <cell r="DG420">
            <v>70946</v>
          </cell>
          <cell r="DH420">
            <v>9417.2479999999996</v>
          </cell>
          <cell r="DI420">
            <v>13.273825162799877</v>
          </cell>
          <cell r="DN420">
            <v>0</v>
          </cell>
          <cell r="DO420">
            <v>73560</v>
          </cell>
          <cell r="DP420">
            <v>10242.681</v>
          </cell>
          <cell r="DQ420">
            <v>13.924253670473083</v>
          </cell>
          <cell r="DV420">
            <v>0</v>
          </cell>
          <cell r="DW420">
            <v>156224</v>
          </cell>
          <cell r="DX420">
            <v>25061.122299999999</v>
          </cell>
          <cell r="DY420">
            <v>16.041787625460877</v>
          </cell>
        </row>
        <row r="421">
          <cell r="F421">
            <v>0</v>
          </cell>
          <cell r="G421">
            <v>308098</v>
          </cell>
          <cell r="H421">
            <v>43804.076300000008</v>
          </cell>
          <cell r="I421">
            <v>14.217578919694384</v>
          </cell>
          <cell r="N421">
            <v>0</v>
          </cell>
          <cell r="O421">
            <v>2639</v>
          </cell>
          <cell r="P421">
            <v>-17.211999999999996</v>
          </cell>
          <cell r="T421">
            <v>0</v>
          </cell>
          <cell r="U421">
            <v>7749</v>
          </cell>
          <cell r="V421">
            <v>381.00700000000006</v>
          </cell>
          <cell r="Z421">
            <v>0</v>
          </cell>
          <cell r="AA421">
            <v>15086</v>
          </cell>
          <cell r="AB421">
            <v>2447.0309999999999</v>
          </cell>
          <cell r="AF421">
            <v>0</v>
          </cell>
          <cell r="AG421">
            <v>13013</v>
          </cell>
          <cell r="AH421">
            <v>1765.636</v>
          </cell>
          <cell r="AL421">
            <v>0</v>
          </cell>
          <cell r="AM421">
            <v>20655</v>
          </cell>
          <cell r="AN421">
            <v>2900.8970000000004</v>
          </cell>
          <cell r="AR421">
            <v>0</v>
          </cell>
          <cell r="AS421">
            <v>28856</v>
          </cell>
          <cell r="AT421">
            <v>3510.5969999999998</v>
          </cell>
          <cell r="AX421">
            <v>0</v>
          </cell>
          <cell r="AY421">
            <v>87998</v>
          </cell>
          <cell r="AZ421">
            <v>10987.956</v>
          </cell>
          <cell r="BA421">
            <v>12.486597422668696</v>
          </cell>
          <cell r="BF421">
            <v>0</v>
          </cell>
          <cell r="BG421">
            <v>15656</v>
          </cell>
          <cell r="BH421">
            <v>1846.8960000000002</v>
          </cell>
          <cell r="BL421">
            <v>0</v>
          </cell>
          <cell r="BM421">
            <v>28739</v>
          </cell>
          <cell r="BN421">
            <v>4859.6449999999995</v>
          </cell>
          <cell r="BR421">
            <v>0</v>
          </cell>
          <cell r="BS421">
            <v>27028</v>
          </cell>
          <cell r="BT421">
            <v>2736.24</v>
          </cell>
          <cell r="BX421">
            <v>0</v>
          </cell>
          <cell r="BY421">
            <v>62786</v>
          </cell>
          <cell r="BZ421">
            <v>7651.0059999999994</v>
          </cell>
          <cell r="CD421">
            <v>0</v>
          </cell>
          <cell r="CE421">
            <v>36083</v>
          </cell>
          <cell r="CF421">
            <v>6461.6260000000002</v>
          </cell>
          <cell r="CJ421">
            <v>0</v>
          </cell>
          <cell r="CK421">
            <v>49808</v>
          </cell>
          <cell r="CL421">
            <v>9260.7073</v>
          </cell>
          <cell r="CP421">
            <v>0</v>
          </cell>
          <cell r="CQ421">
            <v>220100</v>
          </cell>
          <cell r="CR421">
            <v>32816.120300000002</v>
          </cell>
          <cell r="CS421">
            <v>14.909641208541574</v>
          </cell>
          <cell r="CX421">
            <v>0</v>
          </cell>
          <cell r="CY421">
            <v>25474</v>
          </cell>
          <cell r="CZ421">
            <v>2810.8259999999996</v>
          </cell>
          <cell r="DA421">
            <v>11.034097511187877</v>
          </cell>
          <cell r="DF421">
            <v>0</v>
          </cell>
          <cell r="DG421">
            <v>62524</v>
          </cell>
          <cell r="DH421">
            <v>8177.1299999999992</v>
          </cell>
          <cell r="DI421">
            <v>13.078385899814471</v>
          </cell>
          <cell r="DN421">
            <v>0</v>
          </cell>
          <cell r="DO421">
            <v>71423</v>
          </cell>
          <cell r="DP421">
            <v>9442.7810000000009</v>
          </cell>
          <cell r="DQ421">
            <v>13.220924632121307</v>
          </cell>
          <cell r="DV421">
            <v>0</v>
          </cell>
          <cell r="DW421">
            <v>148677</v>
          </cell>
          <cell r="DX421">
            <v>23373.3393</v>
          </cell>
          <cell r="DY421">
            <v>15.720884400411631</v>
          </cell>
        </row>
        <row r="422">
          <cell r="F422">
            <v>0</v>
          </cell>
          <cell r="G422">
            <v>19009</v>
          </cell>
          <cell r="H422">
            <v>3865.8009999999999</v>
          </cell>
          <cell r="I422">
            <v>20.336687884686199</v>
          </cell>
          <cell r="N422">
            <v>0</v>
          </cell>
          <cell r="O422">
            <v>358</v>
          </cell>
          <cell r="P422">
            <v>33</v>
          </cell>
          <cell r="T422">
            <v>0</v>
          </cell>
          <cell r="U422">
            <v>280</v>
          </cell>
          <cell r="V422">
            <v>83</v>
          </cell>
          <cell r="Z422">
            <v>0</v>
          </cell>
          <cell r="AA422">
            <v>265</v>
          </cell>
          <cell r="AB422">
            <v>22</v>
          </cell>
          <cell r="AF422">
            <v>0</v>
          </cell>
          <cell r="AG422">
            <v>388</v>
          </cell>
          <cell r="AH422">
            <v>132</v>
          </cell>
          <cell r="AL422">
            <v>0</v>
          </cell>
          <cell r="AM422">
            <v>7569</v>
          </cell>
          <cell r="AN422">
            <v>962.11799999999994</v>
          </cell>
          <cell r="AR422">
            <v>0</v>
          </cell>
          <cell r="AS422">
            <v>465</v>
          </cell>
          <cell r="AT422">
            <v>146</v>
          </cell>
          <cell r="AX422">
            <v>0</v>
          </cell>
          <cell r="AY422">
            <v>9325</v>
          </cell>
          <cell r="AZ422">
            <v>1378.1179999999999</v>
          </cell>
          <cell r="BA422">
            <v>14.778745308310992</v>
          </cell>
          <cell r="BF422">
            <v>0</v>
          </cell>
          <cell r="BG422">
            <v>754</v>
          </cell>
          <cell r="BH422">
            <v>232.9</v>
          </cell>
          <cell r="BL422">
            <v>0</v>
          </cell>
          <cell r="BM422">
            <v>598</v>
          </cell>
          <cell r="BN422">
            <v>262</v>
          </cell>
          <cell r="BR422">
            <v>0</v>
          </cell>
          <cell r="BS422">
            <v>785</v>
          </cell>
          <cell r="BT422">
            <v>305</v>
          </cell>
          <cell r="BX422">
            <v>0</v>
          </cell>
          <cell r="BY422">
            <v>1795</v>
          </cell>
          <cell r="BZ422">
            <v>428.2</v>
          </cell>
          <cell r="CD422">
            <v>0</v>
          </cell>
          <cell r="CE422">
            <v>2213</v>
          </cell>
          <cell r="CF422">
            <v>572</v>
          </cell>
          <cell r="CJ422">
            <v>0</v>
          </cell>
          <cell r="CK422">
            <v>3539</v>
          </cell>
          <cell r="CL422">
            <v>687.58299999999997</v>
          </cell>
          <cell r="CP422">
            <v>0</v>
          </cell>
          <cell r="CQ422">
            <v>9684</v>
          </cell>
          <cell r="CR422">
            <v>2487.683</v>
          </cell>
          <cell r="CS422">
            <v>25.688589425857085</v>
          </cell>
          <cell r="CX422">
            <v>0</v>
          </cell>
          <cell r="CY422">
            <v>903</v>
          </cell>
          <cell r="CZ422">
            <v>138</v>
          </cell>
          <cell r="DA422">
            <v>15.282392026578073</v>
          </cell>
          <cell r="DF422">
            <v>0</v>
          </cell>
          <cell r="DG422">
            <v>8422</v>
          </cell>
          <cell r="DH422">
            <v>1240.1179999999999</v>
          </cell>
          <cell r="DI422">
            <v>14.724744716219423</v>
          </cell>
          <cell r="DN422">
            <v>0</v>
          </cell>
          <cell r="DO422">
            <v>2137</v>
          </cell>
          <cell r="DP422">
            <v>799.9</v>
          </cell>
          <cell r="DQ422">
            <v>37.430978006551243</v>
          </cell>
          <cell r="DV422">
            <v>0</v>
          </cell>
          <cell r="DW422">
            <v>7547</v>
          </cell>
          <cell r="DX422">
            <v>1687.7829999999999</v>
          </cell>
          <cell r="DY422">
            <v>22.363627931628461</v>
          </cell>
        </row>
        <row r="423">
          <cell r="F423">
            <v>2166225.804</v>
          </cell>
          <cell r="G423">
            <v>811893.20477099996</v>
          </cell>
          <cell r="H423">
            <v>167813.2163</v>
          </cell>
          <cell r="I423">
            <v>20.669370714505842</v>
          </cell>
          <cell r="N423">
            <v>134931</v>
          </cell>
          <cell r="O423">
            <v>32801.335546300004</v>
          </cell>
          <cell r="P423">
            <v>4689.5999999999995</v>
          </cell>
          <cell r="T423">
            <v>157560</v>
          </cell>
          <cell r="U423">
            <v>41240.524354299996</v>
          </cell>
          <cell r="V423">
            <v>7004.7979999999989</v>
          </cell>
          <cell r="Z423">
            <v>165476.80599999998</v>
          </cell>
          <cell r="AA423">
            <v>50161.560858600002</v>
          </cell>
          <cell r="AB423">
            <v>9267.7249999999985</v>
          </cell>
          <cell r="AF423">
            <v>153855.606</v>
          </cell>
          <cell r="AG423">
            <v>48785.013750600003</v>
          </cell>
          <cell r="AH423">
            <v>9594.4369999999999</v>
          </cell>
          <cell r="AL423">
            <v>160442.67200000002</v>
          </cell>
          <cell r="AM423">
            <v>66761.8393966</v>
          </cell>
          <cell r="AN423">
            <v>13347.748</v>
          </cell>
          <cell r="AR423">
            <v>166731</v>
          </cell>
          <cell r="AS423">
            <v>69280.727868599992</v>
          </cell>
          <cell r="AT423">
            <v>13659.340999999999</v>
          </cell>
          <cell r="AX423">
            <v>938997.08400000003</v>
          </cell>
          <cell r="AY423">
            <v>309031.00177500001</v>
          </cell>
          <cell r="AZ423">
            <v>57563.648999999998</v>
          </cell>
          <cell r="BA423">
            <v>18.627143771779593</v>
          </cell>
          <cell r="BF423">
            <v>185655.34400000001</v>
          </cell>
          <cell r="BG423">
            <v>58731.528288500005</v>
          </cell>
          <cell r="BH423">
            <v>12981.128000000001</v>
          </cell>
          <cell r="BL423">
            <v>194538.34400000001</v>
          </cell>
          <cell r="BM423">
            <v>72418.880024500002</v>
          </cell>
          <cell r="BN423">
            <v>16439.25</v>
          </cell>
          <cell r="BR423">
            <v>212228.34400000001</v>
          </cell>
          <cell r="BS423">
            <v>73670.403194699989</v>
          </cell>
          <cell r="BT423">
            <v>14985.242</v>
          </cell>
          <cell r="BX423">
            <v>230038.34400000001</v>
          </cell>
          <cell r="BY423">
            <v>113774.75913749999</v>
          </cell>
          <cell r="BZ423">
            <v>22077.817999999999</v>
          </cell>
          <cell r="CD423">
            <v>205316.34400000001</v>
          </cell>
          <cell r="CE423">
            <v>85027.900867799995</v>
          </cell>
          <cell r="CF423">
            <v>20551.249</v>
          </cell>
          <cell r="CJ423">
            <v>199452</v>
          </cell>
          <cell r="CK423">
            <v>99238.731482999996</v>
          </cell>
          <cell r="CL423">
            <v>23214.880300000001</v>
          </cell>
          <cell r="CP423">
            <v>1227228.72</v>
          </cell>
          <cell r="CQ423">
            <v>502862.20299600001</v>
          </cell>
          <cell r="CR423">
            <v>110249.56730000001</v>
          </cell>
          <cell r="CS423">
            <v>21.92440924037335</v>
          </cell>
          <cell r="CX423">
            <v>457967.80599999998</v>
          </cell>
          <cell r="CY423">
            <v>124203.4207592</v>
          </cell>
          <cell r="CZ423">
            <v>20962.123</v>
          </cell>
          <cell r="DA423">
            <v>16.877250941936953</v>
          </cell>
          <cell r="DF423">
            <v>481029.27799999999</v>
          </cell>
          <cell r="DG423">
            <v>184827.58101579998</v>
          </cell>
          <cell r="DH423">
            <v>36601.525999999998</v>
          </cell>
          <cell r="DI423">
            <v>19.803064996490498</v>
          </cell>
          <cell r="DN423">
            <v>592422.03200000001</v>
          </cell>
          <cell r="DO423">
            <v>204820.81150770001</v>
          </cell>
          <cell r="DP423">
            <v>44405.619999999995</v>
          </cell>
          <cell r="DQ423">
            <v>21.680228524204736</v>
          </cell>
          <cell r="DV423">
            <v>634806.68800000008</v>
          </cell>
          <cell r="DW423">
            <v>298041.3914883</v>
          </cell>
          <cell r="DX423">
            <v>65843.9473</v>
          </cell>
          <cell r="DY423">
            <v>22.092215772850057</v>
          </cell>
        </row>
        <row r="424">
          <cell r="F424">
            <v>481188</v>
          </cell>
          <cell r="G424">
            <v>470556.14500000002</v>
          </cell>
          <cell r="H424">
            <v>120463.57630000002</v>
          </cell>
          <cell r="I424">
            <v>25.600255693186202</v>
          </cell>
          <cell r="N424">
            <v>30912</v>
          </cell>
          <cell r="O424">
            <v>11912.644000000004</v>
          </cell>
          <cell r="P424">
            <v>3689.6479999999992</v>
          </cell>
          <cell r="T424">
            <v>42530</v>
          </cell>
          <cell r="U424">
            <v>19148.126</v>
          </cell>
          <cell r="V424">
            <v>5391.5729999999985</v>
          </cell>
          <cell r="Z424">
            <v>39370</v>
          </cell>
          <cell r="AA424">
            <v>26664.095000000001</v>
          </cell>
          <cell r="AB424">
            <v>7408.1599999999989</v>
          </cell>
          <cell r="AF424">
            <v>42162</v>
          </cell>
          <cell r="AG424">
            <v>25830.780999999999</v>
          </cell>
          <cell r="AH424">
            <v>7671.6419999999998</v>
          </cell>
          <cell r="AL424">
            <v>45870</v>
          </cell>
          <cell r="AM424">
            <v>36145.165000000001</v>
          </cell>
          <cell r="AN424">
            <v>10503.367999999999</v>
          </cell>
          <cell r="AR424">
            <v>42340</v>
          </cell>
          <cell r="AS424">
            <v>43614.914999999994</v>
          </cell>
          <cell r="AT424">
            <v>10728.15</v>
          </cell>
          <cell r="AX424">
            <v>243184</v>
          </cell>
          <cell r="AY424">
            <v>163315.726</v>
          </cell>
          <cell r="AZ424">
            <v>45392.540999999997</v>
          </cell>
          <cell r="BA424">
            <v>27.79434786335273</v>
          </cell>
          <cell r="BF424">
            <v>42452</v>
          </cell>
          <cell r="BG424">
            <v>30891.819</v>
          </cell>
          <cell r="BH424">
            <v>9321.9639999999999</v>
          </cell>
          <cell r="BL424">
            <v>39045</v>
          </cell>
          <cell r="BM424">
            <v>42650.074000000001</v>
          </cell>
          <cell r="BN424">
            <v>11558.276</v>
          </cell>
          <cell r="BR424">
            <v>40563</v>
          </cell>
          <cell r="BS424">
            <v>41481.783999999992</v>
          </cell>
          <cell r="BT424">
            <v>9616.7999999999993</v>
          </cell>
          <cell r="BX424">
            <v>41490</v>
          </cell>
          <cell r="BY424">
            <v>77813.73</v>
          </cell>
          <cell r="BZ424">
            <v>14992.032999999999</v>
          </cell>
          <cell r="CD424">
            <v>38430</v>
          </cell>
          <cell r="CE424">
            <v>50547.245999999992</v>
          </cell>
          <cell r="CF424">
            <v>13451.356</v>
          </cell>
          <cell r="CJ424">
            <v>36024</v>
          </cell>
          <cell r="CK424">
            <v>63855.766000000003</v>
          </cell>
          <cell r="CL424">
            <v>16130.606300000001</v>
          </cell>
          <cell r="CP424">
            <v>238004</v>
          </cell>
          <cell r="CQ424">
            <v>307240.41899999999</v>
          </cell>
          <cell r="CR424">
            <v>75071.035300000018</v>
          </cell>
          <cell r="CS424">
            <v>24.433971137111364</v>
          </cell>
          <cell r="CX424">
            <v>112812</v>
          </cell>
          <cell r="CY424">
            <v>57724.864999999991</v>
          </cell>
          <cell r="CZ424">
            <v>16489.381000000001</v>
          </cell>
          <cell r="DA424">
            <v>28.565473474905488</v>
          </cell>
          <cell r="DF424">
            <v>130372</v>
          </cell>
          <cell r="DG424">
            <v>105590.861</v>
          </cell>
          <cell r="DH424">
            <v>28903.159999999996</v>
          </cell>
          <cell r="DI424">
            <v>27.372785604996626</v>
          </cell>
          <cell r="DN424">
            <v>122060</v>
          </cell>
          <cell r="DO424">
            <v>115023.677</v>
          </cell>
          <cell r="DP424">
            <v>30497.039999999994</v>
          </cell>
          <cell r="DQ424">
            <v>26.51370639107633</v>
          </cell>
          <cell r="DV424">
            <v>115944</v>
          </cell>
          <cell r="DW424">
            <v>192216.742</v>
          </cell>
          <cell r="DX424">
            <v>44573.995299999995</v>
          </cell>
          <cell r="DY424">
            <v>23.189444809131139</v>
          </cell>
        </row>
        <row r="425">
          <cell r="F425">
            <v>1685037.804</v>
          </cell>
          <cell r="G425">
            <v>341337.05977099994</v>
          </cell>
          <cell r="H425">
            <v>47349.639999999992</v>
          </cell>
          <cell r="I425">
            <v>70.611675613972665</v>
          </cell>
          <cell r="N425">
            <v>104019</v>
          </cell>
          <cell r="O425">
            <v>20888.6915463</v>
          </cell>
          <cell r="P425">
            <v>999.95200000000023</v>
          </cell>
          <cell r="T425">
            <v>115030</v>
          </cell>
          <cell r="U425">
            <v>22092.398354299996</v>
          </cell>
          <cell r="V425">
            <v>1613.2250000000004</v>
          </cell>
          <cell r="Z425">
            <v>126106.80599999998</v>
          </cell>
          <cell r="AA425">
            <v>23497.465858600001</v>
          </cell>
          <cell r="AB425">
            <v>1859.5649999999996</v>
          </cell>
          <cell r="AF425">
            <v>111693.606</v>
          </cell>
          <cell r="AG425">
            <v>22954.232750600004</v>
          </cell>
          <cell r="AH425">
            <v>1922.7950000000001</v>
          </cell>
          <cell r="AL425">
            <v>114572.67200000002</v>
          </cell>
          <cell r="AM425">
            <v>30616.674396599999</v>
          </cell>
          <cell r="AN425">
            <v>2844.3800000000006</v>
          </cell>
          <cell r="AR425">
            <v>124391</v>
          </cell>
          <cell r="AS425">
            <v>25665.812868599998</v>
          </cell>
          <cell r="AT425">
            <v>2931.1909999999989</v>
          </cell>
          <cell r="AX425">
            <v>695813.08400000003</v>
          </cell>
          <cell r="AY425">
            <v>145715.27577500002</v>
          </cell>
          <cell r="AZ425">
            <v>12171.107999999998</v>
          </cell>
          <cell r="BA425">
            <v>53.919605862600342</v>
          </cell>
          <cell r="BF425">
            <v>143203.34400000001</v>
          </cell>
          <cell r="BG425">
            <v>27839.709288500006</v>
          </cell>
          <cell r="BH425">
            <v>3659.1640000000002</v>
          </cell>
          <cell r="BL425">
            <v>155493.34400000001</v>
          </cell>
          <cell r="BM425">
            <v>29768.806024500002</v>
          </cell>
          <cell r="BN425">
            <v>4880.9740000000002</v>
          </cell>
          <cell r="BR425">
            <v>171665.34400000001</v>
          </cell>
          <cell r="BS425">
            <v>32188.619194699997</v>
          </cell>
          <cell r="BT425">
            <v>5368.442</v>
          </cell>
          <cell r="BX425">
            <v>188548.34400000001</v>
          </cell>
          <cell r="BY425">
            <v>35961.029137499994</v>
          </cell>
          <cell r="BZ425">
            <v>7085.7850000000008</v>
          </cell>
          <cell r="CD425">
            <v>166886.34400000001</v>
          </cell>
          <cell r="CE425">
            <v>34480.654867800004</v>
          </cell>
          <cell r="CF425">
            <v>7099.8929999999991</v>
          </cell>
          <cell r="CJ425">
            <v>163428</v>
          </cell>
          <cell r="CK425">
            <v>35382.965482999993</v>
          </cell>
          <cell r="CL425">
            <v>7084.2739999999994</v>
          </cell>
          <cell r="CP425">
            <v>989224.72</v>
          </cell>
          <cell r="CQ425">
            <v>195621.78399600001</v>
          </cell>
          <cell r="CR425">
            <v>35178.531999999999</v>
          </cell>
          <cell r="CS425">
            <v>80.025094929028455</v>
          </cell>
          <cell r="CX425">
            <v>345155.80599999998</v>
          </cell>
          <cell r="CY425">
            <v>66478.555759200011</v>
          </cell>
          <cell r="CZ425">
            <v>4472.7420000000002</v>
          </cell>
          <cell r="DA425">
            <v>21.892693608950633</v>
          </cell>
          <cell r="DF425">
            <v>350657.27799999999</v>
          </cell>
          <cell r="DG425">
            <v>79236.720015799976</v>
          </cell>
          <cell r="DH425">
            <v>7698.3660000000036</v>
          </cell>
          <cell r="DI425">
            <v>60.397564741307022</v>
          </cell>
          <cell r="DN425">
            <v>470362.03200000001</v>
          </cell>
          <cell r="DO425">
            <v>89797.134507700015</v>
          </cell>
          <cell r="DP425">
            <v>13908.58</v>
          </cell>
          <cell r="DQ425">
            <v>63.859306604799841</v>
          </cell>
          <cell r="DV425">
            <v>518862.68800000008</v>
          </cell>
          <cell r="DW425">
            <v>105824.6494883</v>
          </cell>
          <cell r="DX425">
            <v>21269.952000000001</v>
          </cell>
          <cell r="DY425">
            <v>82.308264381112167</v>
          </cell>
        </row>
        <row r="426">
          <cell r="F426">
            <v>0</v>
          </cell>
          <cell r="G426">
            <v>48000</v>
          </cell>
          <cell r="H426">
            <v>17555</v>
          </cell>
          <cell r="I426">
            <v>36.572916666666664</v>
          </cell>
          <cell r="O426">
            <v>3664</v>
          </cell>
          <cell r="P426">
            <v>1258</v>
          </cell>
          <cell r="U426">
            <v>3841</v>
          </cell>
          <cell r="V426">
            <v>1328</v>
          </cell>
          <cell r="AA426">
            <v>3934</v>
          </cell>
          <cell r="AB426">
            <v>1375</v>
          </cell>
          <cell r="AG426">
            <v>3781</v>
          </cell>
          <cell r="AH426">
            <v>1265</v>
          </cell>
          <cell r="AM426">
            <v>4619</v>
          </cell>
          <cell r="AN426">
            <v>1829</v>
          </cell>
          <cell r="AS426">
            <v>2978</v>
          </cell>
          <cell r="AT426">
            <v>1061</v>
          </cell>
          <cell r="AX426">
            <v>0</v>
          </cell>
          <cell r="AY426">
            <v>22817</v>
          </cell>
          <cell r="AZ426">
            <v>8116</v>
          </cell>
          <cell r="BA426">
            <v>35.569969759389927</v>
          </cell>
          <cell r="BG426">
            <v>2686</v>
          </cell>
          <cell r="BH426">
            <v>923</v>
          </cell>
          <cell r="BM426">
            <v>3004</v>
          </cell>
          <cell r="BN426">
            <v>1087</v>
          </cell>
          <cell r="BS426">
            <v>4181</v>
          </cell>
          <cell r="BT426">
            <v>1608</v>
          </cell>
          <cell r="BY426">
            <v>5425</v>
          </cell>
          <cell r="BZ426">
            <v>1942</v>
          </cell>
          <cell r="CE426">
            <v>4876</v>
          </cell>
          <cell r="CF426">
            <v>1929</v>
          </cell>
          <cell r="CK426">
            <v>5011</v>
          </cell>
          <cell r="CL426">
            <v>1950</v>
          </cell>
          <cell r="CP426">
            <v>0</v>
          </cell>
          <cell r="CQ426">
            <v>25183</v>
          </cell>
          <cell r="CR426">
            <v>9439</v>
          </cell>
          <cell r="CS426">
            <v>37.481634435929003</v>
          </cell>
          <cell r="CX426">
            <v>0</v>
          </cell>
          <cell r="CY426">
            <v>11439</v>
          </cell>
          <cell r="CZ426">
            <v>3961</v>
          </cell>
          <cell r="DA426">
            <v>34.627152723140135</v>
          </cell>
          <cell r="DF426">
            <v>0</v>
          </cell>
          <cell r="DG426">
            <v>11378</v>
          </cell>
          <cell r="DH426">
            <v>4155</v>
          </cell>
          <cell r="DI426">
            <v>36.517841448409207</v>
          </cell>
          <cell r="DN426">
            <v>0</v>
          </cell>
          <cell r="DO426">
            <v>9871</v>
          </cell>
          <cell r="DP426">
            <v>3618</v>
          </cell>
          <cell r="DQ426">
            <v>36.652821396008513</v>
          </cell>
          <cell r="DV426">
            <v>0</v>
          </cell>
          <cell r="DW426">
            <v>15312</v>
          </cell>
          <cell r="DX426">
            <v>5821</v>
          </cell>
          <cell r="DY426">
            <v>38.015935214211076</v>
          </cell>
        </row>
        <row r="427">
          <cell r="F427">
            <v>0</v>
          </cell>
          <cell r="G427">
            <v>8950</v>
          </cell>
          <cell r="H427">
            <v>570</v>
          </cell>
          <cell r="I427">
            <v>6.3687150837988833</v>
          </cell>
          <cell r="O427">
            <v>459</v>
          </cell>
          <cell r="P427">
            <v>-5</v>
          </cell>
          <cell r="U427">
            <v>460</v>
          </cell>
          <cell r="AA427">
            <v>555</v>
          </cell>
          <cell r="AB427">
            <v>-6</v>
          </cell>
          <cell r="AG427">
            <v>569</v>
          </cell>
          <cell r="AH427">
            <v>17</v>
          </cell>
          <cell r="AM427">
            <v>600</v>
          </cell>
          <cell r="AN427">
            <v>27</v>
          </cell>
          <cell r="AS427">
            <v>1138</v>
          </cell>
          <cell r="AT427">
            <v>156</v>
          </cell>
          <cell r="AX427">
            <v>0</v>
          </cell>
          <cell r="AY427">
            <v>3781</v>
          </cell>
          <cell r="AZ427">
            <v>189</v>
          </cell>
          <cell r="BA427">
            <v>4.9986775985189098</v>
          </cell>
          <cell r="BG427">
            <v>913</v>
          </cell>
          <cell r="BH427">
            <v>57</v>
          </cell>
          <cell r="BM427">
            <v>760</v>
          </cell>
          <cell r="BN427">
            <v>46</v>
          </cell>
          <cell r="BS427">
            <v>578</v>
          </cell>
          <cell r="BT427">
            <v>1</v>
          </cell>
          <cell r="BY427">
            <v>845</v>
          </cell>
          <cell r="BZ427">
            <v>53</v>
          </cell>
          <cell r="CE427">
            <v>849</v>
          </cell>
          <cell r="CF427">
            <v>60</v>
          </cell>
          <cell r="CK427">
            <v>1224</v>
          </cell>
          <cell r="CL427">
            <v>164</v>
          </cell>
          <cell r="CP427">
            <v>0</v>
          </cell>
          <cell r="CQ427">
            <v>5169</v>
          </cell>
          <cell r="CR427">
            <v>381</v>
          </cell>
          <cell r="CS427">
            <v>7.3708647707486943</v>
          </cell>
          <cell r="CX427">
            <v>0</v>
          </cell>
          <cell r="CY427">
            <v>1474</v>
          </cell>
          <cell r="CZ427">
            <v>-11</v>
          </cell>
          <cell r="DA427">
            <v>-0.74626865671641784</v>
          </cell>
          <cell r="DF427">
            <v>0</v>
          </cell>
          <cell r="DG427">
            <v>2307</v>
          </cell>
          <cell r="DH427">
            <v>200</v>
          </cell>
          <cell r="DI427">
            <v>8.6692674469007365</v>
          </cell>
          <cell r="DN427">
            <v>0</v>
          </cell>
          <cell r="DO427">
            <v>2251</v>
          </cell>
          <cell r="DP427">
            <v>104</v>
          </cell>
          <cell r="DQ427">
            <v>4.6201688138605066</v>
          </cell>
          <cell r="DV427">
            <v>0</v>
          </cell>
          <cell r="DW427">
            <v>2918</v>
          </cell>
          <cell r="DX427">
            <v>277</v>
          </cell>
          <cell r="DY427">
            <v>9.4928032899246055</v>
          </cell>
        </row>
        <row r="428">
          <cell r="F428">
            <v>0</v>
          </cell>
          <cell r="G428">
            <v>56950</v>
          </cell>
          <cell r="H428">
            <v>18125</v>
          </cell>
          <cell r="I428">
            <v>31.826163301141353</v>
          </cell>
          <cell r="N428">
            <v>0</v>
          </cell>
          <cell r="O428">
            <v>4123</v>
          </cell>
          <cell r="P428">
            <v>1253</v>
          </cell>
          <cell r="T428">
            <v>0</v>
          </cell>
          <cell r="U428">
            <v>4301</v>
          </cell>
          <cell r="V428">
            <v>1328</v>
          </cell>
          <cell r="Z428">
            <v>0</v>
          </cell>
          <cell r="AA428">
            <v>4489</v>
          </cell>
          <cell r="AB428">
            <v>1369</v>
          </cell>
          <cell r="AF428">
            <v>0</v>
          </cell>
          <cell r="AG428">
            <v>4350</v>
          </cell>
          <cell r="AH428">
            <v>1282</v>
          </cell>
          <cell r="AL428">
            <v>0</v>
          </cell>
          <cell r="AM428">
            <v>5219</v>
          </cell>
          <cell r="AN428">
            <v>1856</v>
          </cell>
          <cell r="AR428">
            <v>0</v>
          </cell>
          <cell r="AS428">
            <v>4116</v>
          </cell>
          <cell r="AT428">
            <v>1217</v>
          </cell>
          <cell r="AX428">
            <v>0</v>
          </cell>
          <cell r="AY428">
            <v>26598</v>
          </cell>
          <cell r="AZ428">
            <v>8305</v>
          </cell>
          <cell r="BA428">
            <v>31.224152191894127</v>
          </cell>
          <cell r="BF428">
            <v>0</v>
          </cell>
          <cell r="BG428">
            <v>3599</v>
          </cell>
          <cell r="BH428">
            <v>980</v>
          </cell>
          <cell r="BL428">
            <v>0</v>
          </cell>
          <cell r="BM428">
            <v>3764</v>
          </cell>
          <cell r="BN428">
            <v>1133</v>
          </cell>
          <cell r="BR428">
            <v>0</v>
          </cell>
          <cell r="BS428">
            <v>4759</v>
          </cell>
          <cell r="BT428">
            <v>1609</v>
          </cell>
          <cell r="BX428">
            <v>0</v>
          </cell>
          <cell r="BY428">
            <v>6270</v>
          </cell>
          <cell r="BZ428">
            <v>1995</v>
          </cell>
          <cell r="CD428">
            <v>0</v>
          </cell>
          <cell r="CE428">
            <v>5725</v>
          </cell>
          <cell r="CF428">
            <v>1989</v>
          </cell>
          <cell r="CJ428">
            <v>0</v>
          </cell>
          <cell r="CK428">
            <v>6235</v>
          </cell>
          <cell r="CL428">
            <v>2114</v>
          </cell>
          <cell r="CP428">
            <v>0</v>
          </cell>
          <cell r="CQ428">
            <v>30352</v>
          </cell>
          <cell r="CR428">
            <v>9820</v>
          </cell>
          <cell r="CS428">
            <v>32.353716394306801</v>
          </cell>
          <cell r="CX428">
            <v>0</v>
          </cell>
          <cell r="CY428">
            <v>12913</v>
          </cell>
          <cell r="CZ428">
            <v>3950</v>
          </cell>
          <cell r="DA428">
            <v>30.589328583597926</v>
          </cell>
          <cell r="DF428">
            <v>0</v>
          </cell>
          <cell r="DG428">
            <v>13685</v>
          </cell>
          <cell r="DH428">
            <v>4355</v>
          </cell>
          <cell r="DI428">
            <v>31.823164048227987</v>
          </cell>
          <cell r="DN428">
            <v>0</v>
          </cell>
          <cell r="DO428">
            <v>12122</v>
          </cell>
          <cell r="DP428">
            <v>3722</v>
          </cell>
          <cell r="DQ428">
            <v>30.704504207226531</v>
          </cell>
          <cell r="DV428">
            <v>0</v>
          </cell>
          <cell r="DW428">
            <v>18230</v>
          </cell>
          <cell r="DX428">
            <v>6098</v>
          </cell>
          <cell r="DY428">
            <v>33.450356555128906</v>
          </cell>
        </row>
        <row r="429">
          <cell r="F429">
            <v>0</v>
          </cell>
          <cell r="G429">
            <v>57000</v>
          </cell>
          <cell r="H429">
            <v>0</v>
          </cell>
          <cell r="I429">
            <v>0</v>
          </cell>
          <cell r="U429">
            <v>7000</v>
          </cell>
          <cell r="AA429">
            <v>3300</v>
          </cell>
          <cell r="AG429">
            <v>200</v>
          </cell>
          <cell r="AS429">
            <v>22000</v>
          </cell>
          <cell r="AX429">
            <v>0</v>
          </cell>
          <cell r="AY429">
            <v>32500</v>
          </cell>
          <cell r="AZ429">
            <v>0</v>
          </cell>
          <cell r="BA429">
            <v>0</v>
          </cell>
          <cell r="BG429">
            <v>500</v>
          </cell>
          <cell r="BS429">
            <v>20000</v>
          </cell>
          <cell r="CE429">
            <v>4000</v>
          </cell>
          <cell r="CP429">
            <v>0</v>
          </cell>
          <cell r="CQ429">
            <v>24500</v>
          </cell>
          <cell r="CR429">
            <v>0</v>
          </cell>
          <cell r="CS429">
            <v>0</v>
          </cell>
          <cell r="CX429">
            <v>0</v>
          </cell>
          <cell r="CY429">
            <v>10300</v>
          </cell>
          <cell r="CZ429">
            <v>0</v>
          </cell>
          <cell r="DA429">
            <v>0</v>
          </cell>
          <cell r="DF429">
            <v>0</v>
          </cell>
          <cell r="DG429">
            <v>22200</v>
          </cell>
          <cell r="DH429">
            <v>0</v>
          </cell>
          <cell r="DI429">
            <v>0</v>
          </cell>
          <cell r="DN429">
            <v>0</v>
          </cell>
          <cell r="DO429">
            <v>20500</v>
          </cell>
          <cell r="DP429">
            <v>0</v>
          </cell>
          <cell r="DQ429">
            <v>0</v>
          </cell>
          <cell r="DV429">
            <v>0</v>
          </cell>
          <cell r="DW429">
            <v>4000</v>
          </cell>
          <cell r="DX429">
            <v>0</v>
          </cell>
          <cell r="DY429">
            <v>0</v>
          </cell>
        </row>
        <row r="430">
          <cell r="F430">
            <v>0</v>
          </cell>
          <cell r="G430">
            <v>4000</v>
          </cell>
          <cell r="H430">
            <v>0</v>
          </cell>
          <cell r="I430">
            <v>0</v>
          </cell>
          <cell r="AX430">
            <v>0</v>
          </cell>
          <cell r="AY430">
            <v>0</v>
          </cell>
          <cell r="AZ430">
            <v>0</v>
          </cell>
          <cell r="BA430">
            <v>0</v>
          </cell>
          <cell r="BS430">
            <v>2000</v>
          </cell>
          <cell r="CK430">
            <v>2000</v>
          </cell>
          <cell r="CP430">
            <v>0</v>
          </cell>
          <cell r="CQ430">
            <v>4000</v>
          </cell>
          <cell r="CR430">
            <v>0</v>
          </cell>
          <cell r="CS430">
            <v>0</v>
          </cell>
          <cell r="CX430">
            <v>0</v>
          </cell>
          <cell r="CY430">
            <v>0</v>
          </cell>
          <cell r="CZ430">
            <v>0</v>
          </cell>
          <cell r="DA430">
            <v>0</v>
          </cell>
          <cell r="DF430">
            <v>0</v>
          </cell>
          <cell r="DG430">
            <v>0</v>
          </cell>
          <cell r="DH430">
            <v>0</v>
          </cell>
          <cell r="DI430">
            <v>0</v>
          </cell>
          <cell r="DN430">
            <v>0</v>
          </cell>
          <cell r="DO430">
            <v>2000</v>
          </cell>
          <cell r="DP430">
            <v>0</v>
          </cell>
          <cell r="DQ430">
            <v>0</v>
          </cell>
          <cell r="DV430">
            <v>0</v>
          </cell>
          <cell r="DW430">
            <v>2000</v>
          </cell>
          <cell r="DX430">
            <v>0</v>
          </cell>
          <cell r="DY430">
            <v>0</v>
          </cell>
        </row>
        <row r="431">
          <cell r="F431">
            <v>0</v>
          </cell>
          <cell r="G431">
            <v>6000</v>
          </cell>
          <cell r="H431">
            <v>0</v>
          </cell>
          <cell r="I431">
            <v>0</v>
          </cell>
          <cell r="AA431">
            <v>700</v>
          </cell>
          <cell r="AG431">
            <v>150</v>
          </cell>
          <cell r="AM431">
            <v>850</v>
          </cell>
          <cell r="AS431">
            <v>400</v>
          </cell>
          <cell r="AX431">
            <v>0</v>
          </cell>
          <cell r="AY431">
            <v>2100</v>
          </cell>
          <cell r="AZ431">
            <v>0</v>
          </cell>
          <cell r="BA431">
            <v>0</v>
          </cell>
          <cell r="BG431">
            <v>100</v>
          </cell>
          <cell r="BM431">
            <v>500</v>
          </cell>
          <cell r="BS431">
            <v>1500</v>
          </cell>
          <cell r="BY431">
            <v>100</v>
          </cell>
          <cell r="CK431">
            <v>1700</v>
          </cell>
          <cell r="CP431">
            <v>0</v>
          </cell>
          <cell r="CQ431">
            <v>3900</v>
          </cell>
          <cell r="CR431">
            <v>0</v>
          </cell>
          <cell r="CS431">
            <v>0</v>
          </cell>
          <cell r="CX431">
            <v>0</v>
          </cell>
          <cell r="CY431">
            <v>700</v>
          </cell>
          <cell r="CZ431">
            <v>0</v>
          </cell>
          <cell r="DA431">
            <v>0</v>
          </cell>
          <cell r="DF431">
            <v>0</v>
          </cell>
          <cell r="DG431">
            <v>1400</v>
          </cell>
          <cell r="DH431">
            <v>0</v>
          </cell>
          <cell r="DI431">
            <v>0</v>
          </cell>
          <cell r="DN431">
            <v>0</v>
          </cell>
          <cell r="DO431">
            <v>2100</v>
          </cell>
          <cell r="DP431">
            <v>0</v>
          </cell>
          <cell r="DQ431">
            <v>0</v>
          </cell>
          <cell r="DV431">
            <v>0</v>
          </cell>
          <cell r="DW431">
            <v>1800</v>
          </cell>
          <cell r="DX431">
            <v>0</v>
          </cell>
          <cell r="DY431">
            <v>0</v>
          </cell>
        </row>
        <row r="432">
          <cell r="F432">
            <v>0</v>
          </cell>
          <cell r="G432">
            <v>0</v>
          </cell>
          <cell r="H432">
            <v>0</v>
          </cell>
          <cell r="I432">
            <v>0</v>
          </cell>
          <cell r="AA432">
            <v>0</v>
          </cell>
          <cell r="AB432">
            <v>0</v>
          </cell>
          <cell r="AG432">
            <v>0</v>
          </cell>
          <cell r="AH432">
            <v>0</v>
          </cell>
          <cell r="AM432">
            <v>0</v>
          </cell>
          <cell r="AN432">
            <v>0</v>
          </cell>
          <cell r="AX432">
            <v>0</v>
          </cell>
          <cell r="AY432">
            <v>0</v>
          </cell>
          <cell r="AZ432">
            <v>0</v>
          </cell>
          <cell r="BA432">
            <v>0</v>
          </cell>
          <cell r="BM432">
            <v>0</v>
          </cell>
          <cell r="BN432">
            <v>0</v>
          </cell>
          <cell r="BS432">
            <v>0</v>
          </cell>
          <cell r="BT432">
            <v>0</v>
          </cell>
          <cell r="CP432">
            <v>0</v>
          </cell>
          <cell r="CQ432">
            <v>0</v>
          </cell>
          <cell r="CR432">
            <v>0</v>
          </cell>
          <cell r="CS432">
            <v>0</v>
          </cell>
          <cell r="CX432">
            <v>0</v>
          </cell>
          <cell r="CY432">
            <v>0</v>
          </cell>
          <cell r="CZ432">
            <v>0</v>
          </cell>
          <cell r="DA432">
            <v>0</v>
          </cell>
          <cell r="DF432">
            <v>0</v>
          </cell>
          <cell r="DG432">
            <v>0</v>
          </cell>
          <cell r="DH432">
            <v>0</v>
          </cell>
          <cell r="DI432">
            <v>0</v>
          </cell>
          <cell r="DN432">
            <v>0</v>
          </cell>
          <cell r="DO432">
            <v>0</v>
          </cell>
          <cell r="DP432">
            <v>0</v>
          </cell>
          <cell r="DQ432">
            <v>0</v>
          </cell>
          <cell r="DV432">
            <v>0</v>
          </cell>
          <cell r="DW432">
            <v>0</v>
          </cell>
          <cell r="DX432">
            <v>0</v>
          </cell>
          <cell r="DY432">
            <v>0</v>
          </cell>
        </row>
        <row r="433">
          <cell r="F433">
            <v>0</v>
          </cell>
          <cell r="G433">
            <v>5192</v>
          </cell>
          <cell r="H433">
            <v>0</v>
          </cell>
          <cell r="I433">
            <v>0</v>
          </cell>
          <cell r="U433">
            <v>136</v>
          </cell>
          <cell r="AA433">
            <v>4309</v>
          </cell>
          <cell r="AM433">
            <v>187</v>
          </cell>
          <cell r="AX433">
            <v>0</v>
          </cell>
          <cell r="AY433">
            <v>4632</v>
          </cell>
          <cell r="AZ433">
            <v>0</v>
          </cell>
          <cell r="BA433">
            <v>0</v>
          </cell>
          <cell r="BG433">
            <v>467</v>
          </cell>
          <cell r="BS433">
            <v>93</v>
          </cell>
          <cell r="CP433">
            <v>0</v>
          </cell>
          <cell r="CQ433">
            <v>560</v>
          </cell>
          <cell r="CR433">
            <v>0</v>
          </cell>
          <cell r="CS433">
            <v>0</v>
          </cell>
          <cell r="CX433">
            <v>0</v>
          </cell>
          <cell r="CY433">
            <v>4445</v>
          </cell>
          <cell r="CZ433">
            <v>0</v>
          </cell>
          <cell r="DA433">
            <v>0</v>
          </cell>
          <cell r="DF433">
            <v>0</v>
          </cell>
          <cell r="DG433">
            <v>187</v>
          </cell>
          <cell r="DH433">
            <v>0</v>
          </cell>
          <cell r="DI433">
            <v>0</v>
          </cell>
          <cell r="DN433">
            <v>0</v>
          </cell>
          <cell r="DO433">
            <v>560</v>
          </cell>
          <cell r="DP433">
            <v>0</v>
          </cell>
          <cell r="DQ433">
            <v>0</v>
          </cell>
          <cell r="DV433">
            <v>0</v>
          </cell>
          <cell r="DW433">
            <v>0</v>
          </cell>
          <cell r="DX433">
            <v>0</v>
          </cell>
          <cell r="DY433">
            <v>0</v>
          </cell>
        </row>
        <row r="434">
          <cell r="F434">
            <v>0</v>
          </cell>
          <cell r="G434">
            <v>8500</v>
          </cell>
          <cell r="H434">
            <v>0</v>
          </cell>
          <cell r="I434">
            <v>0</v>
          </cell>
          <cell r="U434">
            <v>1100</v>
          </cell>
          <cell r="AA434">
            <v>1100</v>
          </cell>
          <cell r="AG434">
            <v>1450</v>
          </cell>
          <cell r="AM434">
            <v>500</v>
          </cell>
          <cell r="AS434">
            <v>1300</v>
          </cell>
          <cell r="AX434">
            <v>0</v>
          </cell>
          <cell r="AY434">
            <v>5450</v>
          </cell>
          <cell r="AZ434">
            <v>0</v>
          </cell>
          <cell r="BA434">
            <v>0</v>
          </cell>
          <cell r="BG434">
            <v>550</v>
          </cell>
          <cell r="BM434">
            <v>550</v>
          </cell>
          <cell r="BS434">
            <v>700</v>
          </cell>
          <cell r="BY434">
            <v>750</v>
          </cell>
          <cell r="CE434">
            <v>500</v>
          </cell>
          <cell r="CP434">
            <v>0</v>
          </cell>
          <cell r="CQ434">
            <v>3050</v>
          </cell>
          <cell r="CR434">
            <v>0</v>
          </cell>
          <cell r="CS434">
            <v>0</v>
          </cell>
          <cell r="CX434">
            <v>0</v>
          </cell>
          <cell r="CY434">
            <v>2200</v>
          </cell>
          <cell r="CZ434">
            <v>0</v>
          </cell>
          <cell r="DA434">
            <v>0</v>
          </cell>
          <cell r="DF434">
            <v>0</v>
          </cell>
          <cell r="DG434">
            <v>3250</v>
          </cell>
          <cell r="DH434">
            <v>0</v>
          </cell>
          <cell r="DI434">
            <v>0</v>
          </cell>
          <cell r="DN434">
            <v>0</v>
          </cell>
          <cell r="DO434">
            <v>1800</v>
          </cell>
          <cell r="DP434">
            <v>0</v>
          </cell>
          <cell r="DQ434">
            <v>0</v>
          </cell>
          <cell r="DV434">
            <v>0</v>
          </cell>
          <cell r="DW434">
            <v>1250</v>
          </cell>
          <cell r="DX434">
            <v>0</v>
          </cell>
          <cell r="DY434">
            <v>0</v>
          </cell>
        </row>
        <row r="435">
          <cell r="F435">
            <v>0</v>
          </cell>
          <cell r="G435">
            <v>8100</v>
          </cell>
          <cell r="H435">
            <v>0</v>
          </cell>
          <cell r="I435">
            <v>0</v>
          </cell>
          <cell r="O435">
            <v>600</v>
          </cell>
          <cell r="U435">
            <v>200</v>
          </cell>
          <cell r="AA435">
            <v>800</v>
          </cell>
          <cell r="AG435">
            <v>1100</v>
          </cell>
          <cell r="AM435">
            <v>800</v>
          </cell>
          <cell r="AS435">
            <v>300</v>
          </cell>
          <cell r="AX435">
            <v>0</v>
          </cell>
          <cell r="AY435">
            <v>3800</v>
          </cell>
          <cell r="AZ435">
            <v>0</v>
          </cell>
          <cell r="BA435">
            <v>0</v>
          </cell>
          <cell r="BG435">
            <v>1000</v>
          </cell>
          <cell r="BM435">
            <v>300</v>
          </cell>
          <cell r="BS435">
            <v>800</v>
          </cell>
          <cell r="BY435">
            <v>1400</v>
          </cell>
          <cell r="CE435">
            <v>400</v>
          </cell>
          <cell r="CK435">
            <v>400</v>
          </cell>
          <cell r="CP435">
            <v>0</v>
          </cell>
          <cell r="CQ435">
            <v>4300</v>
          </cell>
          <cell r="CR435">
            <v>0</v>
          </cell>
          <cell r="CS435">
            <v>0</v>
          </cell>
          <cell r="CX435">
            <v>0</v>
          </cell>
          <cell r="CY435">
            <v>1600</v>
          </cell>
          <cell r="CZ435">
            <v>0</v>
          </cell>
          <cell r="DA435">
            <v>0</v>
          </cell>
          <cell r="DF435">
            <v>0</v>
          </cell>
          <cell r="DG435">
            <v>2200</v>
          </cell>
          <cell r="DH435">
            <v>0</v>
          </cell>
          <cell r="DI435">
            <v>0</v>
          </cell>
          <cell r="DN435">
            <v>0</v>
          </cell>
          <cell r="DO435">
            <v>2100</v>
          </cell>
          <cell r="DP435">
            <v>0</v>
          </cell>
          <cell r="DQ435">
            <v>0</v>
          </cell>
          <cell r="DV435">
            <v>0</v>
          </cell>
          <cell r="DW435">
            <v>2200</v>
          </cell>
          <cell r="DX435">
            <v>0</v>
          </cell>
          <cell r="DY435">
            <v>0</v>
          </cell>
        </row>
        <row r="436">
          <cell r="F436">
            <v>0</v>
          </cell>
          <cell r="G436">
            <v>3200</v>
          </cell>
          <cell r="H436">
            <v>0</v>
          </cell>
          <cell r="I436">
            <v>0</v>
          </cell>
          <cell r="U436">
            <v>300</v>
          </cell>
          <cell r="AA436">
            <v>500</v>
          </cell>
          <cell r="AG436">
            <v>350</v>
          </cell>
          <cell r="AM436">
            <v>400</v>
          </cell>
          <cell r="AS436">
            <v>300</v>
          </cell>
          <cell r="AX436">
            <v>0</v>
          </cell>
          <cell r="AY436">
            <v>1850</v>
          </cell>
          <cell r="AZ436">
            <v>0</v>
          </cell>
          <cell r="BA436">
            <v>0</v>
          </cell>
          <cell r="BM436">
            <v>100</v>
          </cell>
          <cell r="BS436">
            <v>500</v>
          </cell>
          <cell r="BY436">
            <v>450</v>
          </cell>
          <cell r="CE436">
            <v>300</v>
          </cell>
          <cell r="CP436">
            <v>0</v>
          </cell>
          <cell r="CQ436">
            <v>1350</v>
          </cell>
          <cell r="CR436">
            <v>0</v>
          </cell>
          <cell r="CS436">
            <v>0</v>
          </cell>
          <cell r="CX436">
            <v>0</v>
          </cell>
          <cell r="CY436">
            <v>800</v>
          </cell>
          <cell r="CZ436">
            <v>0</v>
          </cell>
          <cell r="DA436">
            <v>0</v>
          </cell>
          <cell r="DF436">
            <v>0</v>
          </cell>
          <cell r="DG436">
            <v>1050</v>
          </cell>
          <cell r="DH436">
            <v>0</v>
          </cell>
          <cell r="DI436">
            <v>0</v>
          </cell>
          <cell r="DN436">
            <v>0</v>
          </cell>
          <cell r="DO436">
            <v>600</v>
          </cell>
          <cell r="DP436">
            <v>0</v>
          </cell>
          <cell r="DQ436">
            <v>0</v>
          </cell>
          <cell r="DV436">
            <v>0</v>
          </cell>
          <cell r="DW436">
            <v>750</v>
          </cell>
          <cell r="DX436">
            <v>0</v>
          </cell>
          <cell r="DY436">
            <v>0</v>
          </cell>
        </row>
        <row r="437">
          <cell r="F437">
            <v>0</v>
          </cell>
          <cell r="G437">
            <v>7000</v>
          </cell>
          <cell r="H437">
            <v>0</v>
          </cell>
          <cell r="I437">
            <v>0</v>
          </cell>
          <cell r="U437">
            <v>1150</v>
          </cell>
          <cell r="AG437">
            <v>1000</v>
          </cell>
          <cell r="AM437">
            <v>700</v>
          </cell>
          <cell r="AS437">
            <v>950</v>
          </cell>
          <cell r="AX437">
            <v>0</v>
          </cell>
          <cell r="AY437">
            <v>3800</v>
          </cell>
          <cell r="AZ437">
            <v>0</v>
          </cell>
          <cell r="BA437">
            <v>0</v>
          </cell>
          <cell r="BG437">
            <v>450</v>
          </cell>
          <cell r="BM437">
            <v>250</v>
          </cell>
          <cell r="BS437">
            <v>500</v>
          </cell>
          <cell r="BY437">
            <v>1300</v>
          </cell>
          <cell r="CE437">
            <v>700</v>
          </cell>
          <cell r="CP437">
            <v>0</v>
          </cell>
          <cell r="CQ437">
            <v>3200</v>
          </cell>
          <cell r="CR437">
            <v>0</v>
          </cell>
          <cell r="CS437">
            <v>0</v>
          </cell>
          <cell r="CX437">
            <v>0</v>
          </cell>
          <cell r="CY437">
            <v>1150</v>
          </cell>
          <cell r="CZ437">
            <v>0</v>
          </cell>
          <cell r="DA437">
            <v>0</v>
          </cell>
          <cell r="DF437">
            <v>0</v>
          </cell>
          <cell r="DG437">
            <v>2650</v>
          </cell>
          <cell r="DH437">
            <v>0</v>
          </cell>
          <cell r="DI437">
            <v>0</v>
          </cell>
          <cell r="DN437">
            <v>0</v>
          </cell>
          <cell r="DO437">
            <v>1200</v>
          </cell>
          <cell r="DP437">
            <v>0</v>
          </cell>
          <cell r="DQ437">
            <v>0</v>
          </cell>
          <cell r="DV437">
            <v>0</v>
          </cell>
          <cell r="DW437">
            <v>2000</v>
          </cell>
          <cell r="DX437">
            <v>0</v>
          </cell>
          <cell r="DY437">
            <v>0</v>
          </cell>
        </row>
        <row r="438">
          <cell r="F438">
            <v>0</v>
          </cell>
          <cell r="G438">
            <v>2500</v>
          </cell>
          <cell r="H438">
            <v>0</v>
          </cell>
          <cell r="I438">
            <v>0</v>
          </cell>
          <cell r="U438">
            <v>962</v>
          </cell>
          <cell r="AX438">
            <v>0</v>
          </cell>
          <cell r="AY438">
            <v>962</v>
          </cell>
          <cell r="AZ438">
            <v>0</v>
          </cell>
          <cell r="BA438">
            <v>0</v>
          </cell>
          <cell r="BY438">
            <v>45</v>
          </cell>
          <cell r="CE438">
            <v>800</v>
          </cell>
          <cell r="CK438">
            <v>693</v>
          </cell>
          <cell r="CP438">
            <v>0</v>
          </cell>
          <cell r="CQ438">
            <v>1538</v>
          </cell>
          <cell r="CR438">
            <v>0</v>
          </cell>
          <cell r="CS438">
            <v>0</v>
          </cell>
          <cell r="CX438">
            <v>0</v>
          </cell>
          <cell r="CY438">
            <v>962</v>
          </cell>
          <cell r="CZ438">
            <v>0</v>
          </cell>
          <cell r="DA438">
            <v>0</v>
          </cell>
          <cell r="DF438">
            <v>0</v>
          </cell>
          <cell r="DG438">
            <v>0</v>
          </cell>
          <cell r="DH438">
            <v>0</v>
          </cell>
          <cell r="DI438">
            <v>0</v>
          </cell>
          <cell r="DN438">
            <v>0</v>
          </cell>
          <cell r="DO438">
            <v>0</v>
          </cell>
          <cell r="DP438">
            <v>0</v>
          </cell>
          <cell r="DQ438">
            <v>0</v>
          </cell>
          <cell r="DV438">
            <v>0</v>
          </cell>
          <cell r="DW438">
            <v>1538</v>
          </cell>
          <cell r="DX438">
            <v>0</v>
          </cell>
          <cell r="DY438">
            <v>0</v>
          </cell>
        </row>
        <row r="439">
          <cell r="F439">
            <v>0</v>
          </cell>
          <cell r="G439">
            <v>101492</v>
          </cell>
          <cell r="H439">
            <v>0</v>
          </cell>
          <cell r="I439">
            <v>0</v>
          </cell>
          <cell r="N439">
            <v>0</v>
          </cell>
          <cell r="O439">
            <v>600</v>
          </cell>
          <cell r="P439">
            <v>0</v>
          </cell>
          <cell r="T439">
            <v>0</v>
          </cell>
          <cell r="U439">
            <v>10848</v>
          </cell>
          <cell r="V439">
            <v>0</v>
          </cell>
          <cell r="Z439">
            <v>0</v>
          </cell>
          <cell r="AA439">
            <v>10709</v>
          </cell>
          <cell r="AB439">
            <v>0</v>
          </cell>
          <cell r="AF439">
            <v>0</v>
          </cell>
          <cell r="AG439">
            <v>4250</v>
          </cell>
          <cell r="AH439">
            <v>0</v>
          </cell>
          <cell r="AL439">
            <v>0</v>
          </cell>
          <cell r="AM439">
            <v>3437</v>
          </cell>
          <cell r="AN439">
            <v>0</v>
          </cell>
          <cell r="AR439">
            <v>0</v>
          </cell>
          <cell r="AS439">
            <v>25250</v>
          </cell>
          <cell r="AT439">
            <v>0</v>
          </cell>
          <cell r="AX439">
            <v>0</v>
          </cell>
          <cell r="AY439">
            <v>55094</v>
          </cell>
          <cell r="AZ439">
            <v>0</v>
          </cell>
          <cell r="BA439">
            <v>0</v>
          </cell>
          <cell r="BF439">
            <v>0</v>
          </cell>
          <cell r="BG439">
            <v>3067</v>
          </cell>
          <cell r="BH439">
            <v>0</v>
          </cell>
          <cell r="BL439">
            <v>0</v>
          </cell>
          <cell r="BM439">
            <v>1700</v>
          </cell>
          <cell r="BN439">
            <v>0</v>
          </cell>
          <cell r="BR439">
            <v>0</v>
          </cell>
          <cell r="BS439">
            <v>26093</v>
          </cell>
          <cell r="BT439">
            <v>0</v>
          </cell>
          <cell r="BX439">
            <v>0</v>
          </cell>
          <cell r="BY439">
            <v>4045</v>
          </cell>
          <cell r="BZ439">
            <v>0</v>
          </cell>
          <cell r="CD439">
            <v>0</v>
          </cell>
          <cell r="CE439">
            <v>6700</v>
          </cell>
          <cell r="CF439">
            <v>0</v>
          </cell>
          <cell r="CJ439">
            <v>0</v>
          </cell>
          <cell r="CK439">
            <v>4793</v>
          </cell>
          <cell r="CL439">
            <v>0</v>
          </cell>
          <cell r="CP439">
            <v>0</v>
          </cell>
          <cell r="CQ439">
            <v>46398</v>
          </cell>
          <cell r="CR439">
            <v>0</v>
          </cell>
          <cell r="CS439">
            <v>0</v>
          </cell>
          <cell r="CX439">
            <v>0</v>
          </cell>
          <cell r="CY439">
            <v>22157</v>
          </cell>
          <cell r="CZ439">
            <v>0</v>
          </cell>
          <cell r="DA439">
            <v>0</v>
          </cell>
          <cell r="DF439">
            <v>0</v>
          </cell>
          <cell r="DG439">
            <v>32937</v>
          </cell>
          <cell r="DH439">
            <v>0</v>
          </cell>
          <cell r="DI439">
            <v>0</v>
          </cell>
          <cell r="DN439">
            <v>0</v>
          </cell>
          <cell r="DO439">
            <v>30860</v>
          </cell>
          <cell r="DP439">
            <v>0</v>
          </cell>
          <cell r="DQ439">
            <v>0</v>
          </cell>
          <cell r="DV439">
            <v>0</v>
          </cell>
          <cell r="DW439">
            <v>15538</v>
          </cell>
          <cell r="DX439">
            <v>0</v>
          </cell>
          <cell r="DY439">
            <v>0</v>
          </cell>
        </row>
        <row r="440">
          <cell r="F440">
            <v>0</v>
          </cell>
          <cell r="G440">
            <v>16500</v>
          </cell>
          <cell r="H440">
            <v>0</v>
          </cell>
          <cell r="I440">
            <v>0</v>
          </cell>
          <cell r="U440">
            <v>1000</v>
          </cell>
          <cell r="AA440">
            <v>50</v>
          </cell>
          <cell r="AG440">
            <v>2050</v>
          </cell>
          <cell r="AM440">
            <v>2050</v>
          </cell>
          <cell r="AS440">
            <v>2000</v>
          </cell>
          <cell r="AX440">
            <v>0</v>
          </cell>
          <cell r="AY440">
            <v>7150</v>
          </cell>
          <cell r="AZ440">
            <v>0</v>
          </cell>
          <cell r="BA440">
            <v>0</v>
          </cell>
          <cell r="BG440">
            <v>50</v>
          </cell>
          <cell r="BM440">
            <v>3050</v>
          </cell>
          <cell r="BS440">
            <v>2000</v>
          </cell>
          <cell r="CE440">
            <v>1500</v>
          </cell>
          <cell r="CK440">
            <v>2750</v>
          </cell>
          <cell r="CP440">
            <v>0</v>
          </cell>
          <cell r="CQ440">
            <v>9350</v>
          </cell>
          <cell r="CR440">
            <v>0</v>
          </cell>
          <cell r="CS440">
            <v>0</v>
          </cell>
          <cell r="CX440">
            <v>0</v>
          </cell>
          <cell r="CY440">
            <v>1050</v>
          </cell>
          <cell r="CZ440">
            <v>0</v>
          </cell>
          <cell r="DA440">
            <v>0</v>
          </cell>
          <cell r="DF440">
            <v>0</v>
          </cell>
          <cell r="DG440">
            <v>6100</v>
          </cell>
          <cell r="DH440">
            <v>0</v>
          </cell>
          <cell r="DI440">
            <v>0</v>
          </cell>
          <cell r="DN440">
            <v>0</v>
          </cell>
          <cell r="DO440">
            <v>5100</v>
          </cell>
          <cell r="DP440">
            <v>0</v>
          </cell>
          <cell r="DQ440">
            <v>0</v>
          </cell>
          <cell r="DV440">
            <v>0</v>
          </cell>
          <cell r="DW440">
            <v>4250</v>
          </cell>
          <cell r="DX440">
            <v>0</v>
          </cell>
          <cell r="DY440">
            <v>0</v>
          </cell>
        </row>
        <row r="441">
          <cell r="F441">
            <v>0</v>
          </cell>
          <cell r="G441">
            <v>14000</v>
          </cell>
          <cell r="H441">
            <v>0</v>
          </cell>
          <cell r="I441">
            <v>0</v>
          </cell>
          <cell r="U441">
            <v>750</v>
          </cell>
          <cell r="AA441">
            <v>500</v>
          </cell>
          <cell r="AG441">
            <v>900</v>
          </cell>
          <cell r="AS441">
            <v>50</v>
          </cell>
          <cell r="AX441">
            <v>0</v>
          </cell>
          <cell r="AY441">
            <v>2200</v>
          </cell>
          <cell r="AZ441">
            <v>0</v>
          </cell>
          <cell r="BA441">
            <v>0</v>
          </cell>
          <cell r="BG441">
            <v>500</v>
          </cell>
          <cell r="BM441">
            <v>6000</v>
          </cell>
          <cell r="BS441">
            <v>2000</v>
          </cell>
          <cell r="BY441">
            <v>1050</v>
          </cell>
          <cell r="CE441">
            <v>50</v>
          </cell>
          <cell r="CK441">
            <v>2200</v>
          </cell>
          <cell r="CP441">
            <v>0</v>
          </cell>
          <cell r="CQ441">
            <v>11800</v>
          </cell>
          <cell r="CR441">
            <v>0</v>
          </cell>
          <cell r="CS441">
            <v>0</v>
          </cell>
          <cell r="CX441">
            <v>0</v>
          </cell>
          <cell r="CY441">
            <v>1250</v>
          </cell>
          <cell r="CZ441">
            <v>0</v>
          </cell>
          <cell r="DA441">
            <v>0</v>
          </cell>
          <cell r="DF441">
            <v>0</v>
          </cell>
          <cell r="DG441">
            <v>950</v>
          </cell>
          <cell r="DH441">
            <v>0</v>
          </cell>
          <cell r="DI441">
            <v>0</v>
          </cell>
          <cell r="DN441">
            <v>0</v>
          </cell>
          <cell r="DO441">
            <v>8500</v>
          </cell>
          <cell r="DP441">
            <v>0</v>
          </cell>
          <cell r="DQ441">
            <v>0</v>
          </cell>
          <cell r="DV441">
            <v>0</v>
          </cell>
          <cell r="DW441">
            <v>3300</v>
          </cell>
          <cell r="DX441">
            <v>0</v>
          </cell>
          <cell r="DY441">
            <v>0</v>
          </cell>
        </row>
        <row r="442">
          <cell r="F442">
            <v>0</v>
          </cell>
          <cell r="G442">
            <v>8000</v>
          </cell>
          <cell r="H442">
            <v>0</v>
          </cell>
          <cell r="I442">
            <v>0</v>
          </cell>
          <cell r="U442">
            <v>1200</v>
          </cell>
          <cell r="AA442">
            <v>250</v>
          </cell>
          <cell r="AM442">
            <v>250</v>
          </cell>
          <cell r="AS442">
            <v>3380</v>
          </cell>
          <cell r="AX442">
            <v>0</v>
          </cell>
          <cell r="AY442">
            <v>5080</v>
          </cell>
          <cell r="AZ442">
            <v>0</v>
          </cell>
          <cell r="BA442">
            <v>0</v>
          </cell>
          <cell r="BG442">
            <v>250</v>
          </cell>
          <cell r="BM442">
            <v>750</v>
          </cell>
          <cell r="BS442">
            <v>300</v>
          </cell>
          <cell r="BY442">
            <v>950</v>
          </cell>
          <cell r="CE442">
            <v>230</v>
          </cell>
          <cell r="CK442">
            <v>440</v>
          </cell>
          <cell r="CP442">
            <v>0</v>
          </cell>
          <cell r="CQ442">
            <v>2920</v>
          </cell>
          <cell r="CR442">
            <v>0</v>
          </cell>
          <cell r="CS442">
            <v>0</v>
          </cell>
          <cell r="CX442">
            <v>0</v>
          </cell>
          <cell r="CY442">
            <v>1450</v>
          </cell>
          <cell r="CZ442">
            <v>0</v>
          </cell>
          <cell r="DA442">
            <v>0</v>
          </cell>
          <cell r="DF442">
            <v>0</v>
          </cell>
          <cell r="DG442">
            <v>3630</v>
          </cell>
          <cell r="DH442">
            <v>0</v>
          </cell>
          <cell r="DI442">
            <v>0</v>
          </cell>
          <cell r="DN442">
            <v>0</v>
          </cell>
          <cell r="DO442">
            <v>1300</v>
          </cell>
          <cell r="DP442">
            <v>0</v>
          </cell>
          <cell r="DQ442">
            <v>0</v>
          </cell>
          <cell r="DV442">
            <v>0</v>
          </cell>
          <cell r="DW442">
            <v>1620</v>
          </cell>
          <cell r="DX442">
            <v>0</v>
          </cell>
          <cell r="DY442">
            <v>0</v>
          </cell>
        </row>
        <row r="443">
          <cell r="F443">
            <v>0</v>
          </cell>
          <cell r="G443">
            <v>13610</v>
          </cell>
          <cell r="H443">
            <v>0</v>
          </cell>
          <cell r="I443">
            <v>0</v>
          </cell>
          <cell r="O443">
            <v>80</v>
          </cell>
          <cell r="U443">
            <v>200</v>
          </cell>
          <cell r="AA443">
            <v>2550</v>
          </cell>
          <cell r="AG443">
            <v>2550</v>
          </cell>
          <cell r="AM443">
            <v>60</v>
          </cell>
          <cell r="AS443">
            <v>2400</v>
          </cell>
          <cell r="AX443">
            <v>0</v>
          </cell>
          <cell r="AY443">
            <v>7840</v>
          </cell>
          <cell r="AZ443">
            <v>0</v>
          </cell>
          <cell r="BA443">
            <v>0</v>
          </cell>
          <cell r="BG443">
            <v>50</v>
          </cell>
          <cell r="BM443">
            <v>130</v>
          </cell>
          <cell r="BS443">
            <v>2000</v>
          </cell>
          <cell r="BY443">
            <v>2040</v>
          </cell>
          <cell r="CE443">
            <v>1500</v>
          </cell>
          <cell r="CK443">
            <v>50</v>
          </cell>
          <cell r="CP443">
            <v>0</v>
          </cell>
          <cell r="CQ443">
            <v>5770</v>
          </cell>
          <cell r="CR443">
            <v>0</v>
          </cell>
          <cell r="CS443">
            <v>0</v>
          </cell>
          <cell r="CX443">
            <v>0</v>
          </cell>
          <cell r="CY443">
            <v>2830</v>
          </cell>
          <cell r="CZ443">
            <v>0</v>
          </cell>
          <cell r="DA443">
            <v>0</v>
          </cell>
          <cell r="DF443">
            <v>0</v>
          </cell>
          <cell r="DG443">
            <v>5010</v>
          </cell>
          <cell r="DH443">
            <v>0</v>
          </cell>
          <cell r="DI443">
            <v>0</v>
          </cell>
          <cell r="DN443">
            <v>0</v>
          </cell>
          <cell r="DO443">
            <v>2180</v>
          </cell>
          <cell r="DP443">
            <v>0</v>
          </cell>
          <cell r="DQ443">
            <v>0</v>
          </cell>
          <cell r="DV443">
            <v>0</v>
          </cell>
          <cell r="DW443">
            <v>3590</v>
          </cell>
          <cell r="DX443">
            <v>0</v>
          </cell>
          <cell r="DY443">
            <v>0</v>
          </cell>
        </row>
        <row r="444">
          <cell r="F444">
            <v>0</v>
          </cell>
          <cell r="G444">
            <v>22890</v>
          </cell>
          <cell r="H444">
            <v>0</v>
          </cell>
          <cell r="I444">
            <v>0</v>
          </cell>
          <cell r="U444">
            <v>2500</v>
          </cell>
          <cell r="AA444">
            <v>60</v>
          </cell>
          <cell r="AG444">
            <v>1530</v>
          </cell>
          <cell r="AM444">
            <v>4000</v>
          </cell>
          <cell r="AS444">
            <v>3000</v>
          </cell>
          <cell r="AX444">
            <v>0</v>
          </cell>
          <cell r="AY444">
            <v>11090</v>
          </cell>
          <cell r="AZ444">
            <v>0</v>
          </cell>
          <cell r="BA444">
            <v>0</v>
          </cell>
          <cell r="BG444">
            <v>250</v>
          </cell>
          <cell r="BM444">
            <v>3000</v>
          </cell>
          <cell r="BS444">
            <v>50</v>
          </cell>
          <cell r="BY444">
            <v>1500</v>
          </cell>
          <cell r="CE444">
            <v>4000</v>
          </cell>
          <cell r="CK444">
            <v>3000</v>
          </cell>
          <cell r="CP444">
            <v>0</v>
          </cell>
          <cell r="CQ444">
            <v>11800</v>
          </cell>
          <cell r="CR444">
            <v>0</v>
          </cell>
          <cell r="CS444">
            <v>0</v>
          </cell>
          <cell r="CX444">
            <v>0</v>
          </cell>
          <cell r="CY444">
            <v>2560</v>
          </cell>
          <cell r="CZ444">
            <v>0</v>
          </cell>
          <cell r="DA444">
            <v>0</v>
          </cell>
          <cell r="DF444">
            <v>0</v>
          </cell>
          <cell r="DG444">
            <v>8530</v>
          </cell>
          <cell r="DH444">
            <v>0</v>
          </cell>
          <cell r="DI444">
            <v>0</v>
          </cell>
          <cell r="DN444">
            <v>0</v>
          </cell>
          <cell r="DO444">
            <v>3300</v>
          </cell>
          <cell r="DP444">
            <v>0</v>
          </cell>
          <cell r="DQ444">
            <v>0</v>
          </cell>
          <cell r="DV444">
            <v>0</v>
          </cell>
          <cell r="DW444">
            <v>8500</v>
          </cell>
          <cell r="DX444">
            <v>0</v>
          </cell>
          <cell r="DY444">
            <v>0</v>
          </cell>
        </row>
        <row r="445">
          <cell r="F445">
            <v>0</v>
          </cell>
          <cell r="G445">
            <v>10000</v>
          </cell>
          <cell r="H445">
            <v>0</v>
          </cell>
          <cell r="I445">
            <v>0</v>
          </cell>
          <cell r="AA445">
            <v>10000</v>
          </cell>
          <cell r="AX445">
            <v>0</v>
          </cell>
          <cell r="AY445">
            <v>10000</v>
          </cell>
          <cell r="AZ445">
            <v>0</v>
          </cell>
          <cell r="BA445">
            <v>0</v>
          </cell>
          <cell r="CP445">
            <v>0</v>
          </cell>
          <cell r="CQ445">
            <v>0</v>
          </cell>
          <cell r="CR445">
            <v>0</v>
          </cell>
          <cell r="CS445">
            <v>0</v>
          </cell>
          <cell r="CX445">
            <v>0</v>
          </cell>
          <cell r="CY445">
            <v>10000</v>
          </cell>
          <cell r="CZ445">
            <v>0</v>
          </cell>
          <cell r="DA445">
            <v>0</v>
          </cell>
          <cell r="DF445">
            <v>0</v>
          </cell>
          <cell r="DG445">
            <v>0</v>
          </cell>
          <cell r="DH445">
            <v>0</v>
          </cell>
          <cell r="DI445">
            <v>0</v>
          </cell>
          <cell r="DN445">
            <v>0</v>
          </cell>
          <cell r="DO445">
            <v>0</v>
          </cell>
          <cell r="DP445">
            <v>0</v>
          </cell>
          <cell r="DQ445">
            <v>0</v>
          </cell>
          <cell r="DV445">
            <v>0</v>
          </cell>
          <cell r="DW445">
            <v>0</v>
          </cell>
          <cell r="DX445">
            <v>0</v>
          </cell>
          <cell r="DY445">
            <v>0</v>
          </cell>
        </row>
        <row r="446">
          <cell r="F446">
            <v>0</v>
          </cell>
          <cell r="G446">
            <v>8000</v>
          </cell>
          <cell r="H446">
            <v>0</v>
          </cell>
          <cell r="I446">
            <v>0</v>
          </cell>
          <cell r="AS446">
            <v>500</v>
          </cell>
          <cell r="AX446">
            <v>0</v>
          </cell>
          <cell r="AY446">
            <v>500</v>
          </cell>
          <cell r="AZ446">
            <v>0</v>
          </cell>
          <cell r="BA446">
            <v>0</v>
          </cell>
          <cell r="BS446">
            <v>1800</v>
          </cell>
          <cell r="CE446">
            <v>4000</v>
          </cell>
          <cell r="CK446">
            <v>1700</v>
          </cell>
          <cell r="CP446">
            <v>0</v>
          </cell>
          <cell r="CQ446">
            <v>7500</v>
          </cell>
          <cell r="CR446">
            <v>0</v>
          </cell>
          <cell r="CS446">
            <v>0</v>
          </cell>
          <cell r="CX446">
            <v>0</v>
          </cell>
          <cell r="CY446">
            <v>0</v>
          </cell>
          <cell r="CZ446">
            <v>0</v>
          </cell>
          <cell r="DA446">
            <v>0</v>
          </cell>
          <cell r="DF446">
            <v>0</v>
          </cell>
          <cell r="DG446">
            <v>500</v>
          </cell>
          <cell r="DH446">
            <v>0</v>
          </cell>
          <cell r="DI446">
            <v>0</v>
          </cell>
          <cell r="DN446">
            <v>0</v>
          </cell>
          <cell r="DO446">
            <v>1800</v>
          </cell>
          <cell r="DP446">
            <v>0</v>
          </cell>
          <cell r="DQ446">
            <v>0</v>
          </cell>
          <cell r="DV446">
            <v>0</v>
          </cell>
          <cell r="DW446">
            <v>5700</v>
          </cell>
          <cell r="DX446">
            <v>0</v>
          </cell>
          <cell r="DY446">
            <v>0</v>
          </cell>
        </row>
        <row r="447">
          <cell r="F447">
            <v>0</v>
          </cell>
          <cell r="G447">
            <v>93000</v>
          </cell>
          <cell r="H447">
            <v>0</v>
          </cell>
          <cell r="I447">
            <v>0</v>
          </cell>
          <cell r="N447">
            <v>0</v>
          </cell>
          <cell r="O447">
            <v>80</v>
          </cell>
          <cell r="P447">
            <v>0</v>
          </cell>
          <cell r="T447">
            <v>0</v>
          </cell>
          <cell r="U447">
            <v>5650</v>
          </cell>
          <cell r="V447">
            <v>0</v>
          </cell>
          <cell r="Z447">
            <v>0</v>
          </cell>
          <cell r="AA447">
            <v>13410</v>
          </cell>
          <cell r="AB447">
            <v>0</v>
          </cell>
          <cell r="AF447">
            <v>0</v>
          </cell>
          <cell r="AG447">
            <v>7030</v>
          </cell>
          <cell r="AH447">
            <v>0</v>
          </cell>
          <cell r="AL447">
            <v>0</v>
          </cell>
          <cell r="AM447">
            <v>6360</v>
          </cell>
          <cell r="AN447">
            <v>0</v>
          </cell>
          <cell r="AR447">
            <v>0</v>
          </cell>
          <cell r="AS447">
            <v>11330</v>
          </cell>
          <cell r="AT447">
            <v>0</v>
          </cell>
          <cell r="AX447">
            <v>0</v>
          </cell>
          <cell r="AY447">
            <v>43860</v>
          </cell>
          <cell r="AZ447">
            <v>0</v>
          </cell>
          <cell r="BA447">
            <v>0</v>
          </cell>
          <cell r="BF447">
            <v>0</v>
          </cell>
          <cell r="BG447">
            <v>1100</v>
          </cell>
          <cell r="BH447">
            <v>0</v>
          </cell>
          <cell r="BL447">
            <v>0</v>
          </cell>
          <cell r="BM447">
            <v>12930</v>
          </cell>
          <cell r="BN447">
            <v>0</v>
          </cell>
          <cell r="BR447">
            <v>0</v>
          </cell>
          <cell r="BS447">
            <v>8150</v>
          </cell>
          <cell r="BT447">
            <v>0</v>
          </cell>
          <cell r="BX447">
            <v>0</v>
          </cell>
          <cell r="BY447">
            <v>5540</v>
          </cell>
          <cell r="BZ447">
            <v>0</v>
          </cell>
          <cell r="CD447">
            <v>0</v>
          </cell>
          <cell r="CE447">
            <v>11280</v>
          </cell>
          <cell r="CF447">
            <v>0</v>
          </cell>
          <cell r="CJ447">
            <v>0</v>
          </cell>
          <cell r="CK447">
            <v>10140</v>
          </cell>
          <cell r="CL447">
            <v>0</v>
          </cell>
          <cell r="CP447">
            <v>0</v>
          </cell>
          <cell r="CQ447">
            <v>49140</v>
          </cell>
          <cell r="CR447">
            <v>0</v>
          </cell>
          <cell r="CS447">
            <v>0</v>
          </cell>
          <cell r="CX447">
            <v>0</v>
          </cell>
          <cell r="CY447">
            <v>19140</v>
          </cell>
          <cell r="CZ447">
            <v>0</v>
          </cell>
          <cell r="DA447">
            <v>0</v>
          </cell>
          <cell r="DF447">
            <v>0</v>
          </cell>
          <cell r="DG447">
            <v>24720</v>
          </cell>
          <cell r="DH447">
            <v>0</v>
          </cell>
          <cell r="DI447">
            <v>0</v>
          </cell>
          <cell r="DN447">
            <v>0</v>
          </cell>
          <cell r="DO447">
            <v>22180</v>
          </cell>
          <cell r="DP447">
            <v>0</v>
          </cell>
          <cell r="DQ447">
            <v>0</v>
          </cell>
          <cell r="DV447">
            <v>0</v>
          </cell>
          <cell r="DW447">
            <v>26960</v>
          </cell>
          <cell r="DX447">
            <v>0</v>
          </cell>
          <cell r="DY447">
            <v>0</v>
          </cell>
        </row>
        <row r="448">
          <cell r="F448">
            <v>0</v>
          </cell>
          <cell r="G448">
            <v>194492</v>
          </cell>
          <cell r="H448">
            <v>0</v>
          </cell>
          <cell r="I448">
            <v>0</v>
          </cell>
          <cell r="N448">
            <v>0</v>
          </cell>
          <cell r="O448">
            <v>680</v>
          </cell>
          <cell r="P448">
            <v>0</v>
          </cell>
          <cell r="T448">
            <v>0</v>
          </cell>
          <cell r="U448">
            <v>16498</v>
          </cell>
          <cell r="V448">
            <v>0</v>
          </cell>
          <cell r="Z448">
            <v>0</v>
          </cell>
          <cell r="AA448">
            <v>24119</v>
          </cell>
          <cell r="AB448">
            <v>0</v>
          </cell>
          <cell r="AF448">
            <v>0</v>
          </cell>
          <cell r="AG448">
            <v>11280</v>
          </cell>
          <cell r="AH448">
            <v>0</v>
          </cell>
          <cell r="AL448">
            <v>0</v>
          </cell>
          <cell r="AM448">
            <v>9797</v>
          </cell>
          <cell r="AN448">
            <v>0</v>
          </cell>
          <cell r="AR448">
            <v>0</v>
          </cell>
          <cell r="AS448">
            <v>36580</v>
          </cell>
          <cell r="AT448">
            <v>0</v>
          </cell>
          <cell r="AX448">
            <v>0</v>
          </cell>
          <cell r="AY448">
            <v>98954</v>
          </cell>
          <cell r="AZ448">
            <v>0</v>
          </cell>
          <cell r="BA448">
            <v>0</v>
          </cell>
          <cell r="BF448">
            <v>0</v>
          </cell>
          <cell r="BG448">
            <v>4167</v>
          </cell>
          <cell r="BH448">
            <v>0</v>
          </cell>
          <cell r="BL448">
            <v>0</v>
          </cell>
          <cell r="BM448">
            <v>14630</v>
          </cell>
          <cell r="BN448">
            <v>0</v>
          </cell>
          <cell r="BR448">
            <v>0</v>
          </cell>
          <cell r="BS448">
            <v>34243</v>
          </cell>
          <cell r="BT448">
            <v>0</v>
          </cell>
          <cell r="BX448">
            <v>0</v>
          </cell>
          <cell r="BY448">
            <v>9585</v>
          </cell>
          <cell r="BZ448">
            <v>0</v>
          </cell>
          <cell r="CD448">
            <v>0</v>
          </cell>
          <cell r="CE448">
            <v>17980</v>
          </cell>
          <cell r="CF448">
            <v>0</v>
          </cell>
          <cell r="CJ448">
            <v>0</v>
          </cell>
          <cell r="CK448">
            <v>14933</v>
          </cell>
          <cell r="CL448">
            <v>0</v>
          </cell>
          <cell r="CP448">
            <v>0</v>
          </cell>
          <cell r="CQ448">
            <v>95538</v>
          </cell>
          <cell r="CR448">
            <v>0</v>
          </cell>
          <cell r="CS448">
            <v>0</v>
          </cell>
          <cell r="CX448">
            <v>0</v>
          </cell>
          <cell r="CY448">
            <v>41297</v>
          </cell>
          <cell r="CZ448">
            <v>0</v>
          </cell>
          <cell r="DA448">
            <v>0</v>
          </cell>
          <cell r="DF448">
            <v>0</v>
          </cell>
          <cell r="DG448">
            <v>57657</v>
          </cell>
          <cell r="DH448">
            <v>0</v>
          </cell>
          <cell r="DI448">
            <v>0</v>
          </cell>
          <cell r="DN448">
            <v>0</v>
          </cell>
          <cell r="DO448">
            <v>53040</v>
          </cell>
          <cell r="DP448">
            <v>0</v>
          </cell>
          <cell r="DQ448">
            <v>0</v>
          </cell>
          <cell r="DV448">
            <v>0</v>
          </cell>
          <cell r="DW448">
            <v>42498</v>
          </cell>
          <cell r="DX448">
            <v>0</v>
          </cell>
          <cell r="DY448">
            <v>0</v>
          </cell>
        </row>
        <row r="449">
          <cell r="F449">
            <v>0</v>
          </cell>
          <cell r="G449">
            <v>2500</v>
          </cell>
          <cell r="H449">
            <v>0</v>
          </cell>
          <cell r="I449">
            <v>0</v>
          </cell>
          <cell r="AX449">
            <v>0</v>
          </cell>
          <cell r="AY449">
            <v>0</v>
          </cell>
          <cell r="AZ449">
            <v>0</v>
          </cell>
          <cell r="BA449">
            <v>0</v>
          </cell>
          <cell r="BF449">
            <v>0</v>
          </cell>
          <cell r="BG449">
            <v>500</v>
          </cell>
          <cell r="BH449">
            <v>0</v>
          </cell>
          <cell r="BL449">
            <v>0</v>
          </cell>
          <cell r="BM449">
            <v>2000</v>
          </cell>
          <cell r="BN449">
            <v>0</v>
          </cell>
          <cell r="BR449">
            <v>0</v>
          </cell>
          <cell r="BS449">
            <v>0</v>
          </cell>
          <cell r="BT449">
            <v>0</v>
          </cell>
          <cell r="BX449">
            <v>0</v>
          </cell>
          <cell r="BY449">
            <v>0</v>
          </cell>
          <cell r="BZ449">
            <v>0</v>
          </cell>
          <cell r="CD449">
            <v>0</v>
          </cell>
          <cell r="CE449">
            <v>0</v>
          </cell>
          <cell r="CF449">
            <v>0</v>
          </cell>
          <cell r="CJ449">
            <v>0</v>
          </cell>
          <cell r="CK449">
            <v>0</v>
          </cell>
          <cell r="CL449">
            <v>0</v>
          </cell>
          <cell r="CP449">
            <v>0</v>
          </cell>
          <cell r="CQ449">
            <v>2500</v>
          </cell>
          <cell r="CR449">
            <v>0</v>
          </cell>
          <cell r="CS449">
            <v>0</v>
          </cell>
          <cell r="CX449">
            <v>0</v>
          </cell>
          <cell r="CY449">
            <v>0</v>
          </cell>
          <cell r="CZ449">
            <v>0</v>
          </cell>
          <cell r="DA449">
            <v>0</v>
          </cell>
          <cell r="DF449">
            <v>0</v>
          </cell>
          <cell r="DG449">
            <v>0</v>
          </cell>
          <cell r="DH449">
            <v>0</v>
          </cell>
          <cell r="DI449">
            <v>0</v>
          </cell>
          <cell r="DN449">
            <v>0</v>
          </cell>
          <cell r="DO449">
            <v>2500</v>
          </cell>
          <cell r="DP449">
            <v>0</v>
          </cell>
          <cell r="DQ449">
            <v>0</v>
          </cell>
          <cell r="DV449">
            <v>0</v>
          </cell>
          <cell r="DW449">
            <v>0</v>
          </cell>
          <cell r="DX449">
            <v>0</v>
          </cell>
          <cell r="DY449">
            <v>0</v>
          </cell>
        </row>
        <row r="450">
          <cell r="F450">
            <v>0</v>
          </cell>
          <cell r="G450">
            <v>0</v>
          </cell>
          <cell r="H450">
            <v>0</v>
          </cell>
          <cell r="I450">
            <v>0</v>
          </cell>
          <cell r="AX450">
            <v>0</v>
          </cell>
          <cell r="AY450">
            <v>0</v>
          </cell>
          <cell r="AZ450">
            <v>0</v>
          </cell>
          <cell r="BA450">
            <v>0</v>
          </cell>
          <cell r="BF450">
            <v>0</v>
          </cell>
          <cell r="BH450">
            <v>0</v>
          </cell>
          <cell r="BL450">
            <v>0</v>
          </cell>
          <cell r="BN450">
            <v>0</v>
          </cell>
          <cell r="BR450">
            <v>0</v>
          </cell>
          <cell r="BS450">
            <v>0</v>
          </cell>
          <cell r="BT450">
            <v>0</v>
          </cell>
          <cell r="BX450">
            <v>0</v>
          </cell>
          <cell r="BY450">
            <v>0</v>
          </cell>
          <cell r="BZ450">
            <v>0</v>
          </cell>
          <cell r="CD450">
            <v>0</v>
          </cell>
          <cell r="CE450">
            <v>0</v>
          </cell>
          <cell r="CF450">
            <v>0</v>
          </cell>
          <cell r="CJ450">
            <v>0</v>
          </cell>
          <cell r="CK450">
            <v>0</v>
          </cell>
          <cell r="CL450">
            <v>0</v>
          </cell>
          <cell r="CP450">
            <v>0</v>
          </cell>
          <cell r="CQ450">
            <v>0</v>
          </cell>
          <cell r="CR450">
            <v>0</v>
          </cell>
          <cell r="CS450">
            <v>0</v>
          </cell>
          <cell r="CX450">
            <v>0</v>
          </cell>
          <cell r="CY450">
            <v>0</v>
          </cell>
          <cell r="CZ450">
            <v>0</v>
          </cell>
          <cell r="DA450">
            <v>0</v>
          </cell>
          <cell r="DF450">
            <v>0</v>
          </cell>
          <cell r="DG450">
            <v>0</v>
          </cell>
          <cell r="DH450">
            <v>0</v>
          </cell>
          <cell r="DI450">
            <v>0</v>
          </cell>
          <cell r="DN450">
            <v>0</v>
          </cell>
          <cell r="DO450">
            <v>0</v>
          </cell>
          <cell r="DP450">
            <v>0</v>
          </cell>
          <cell r="DQ450">
            <v>0</v>
          </cell>
          <cell r="DV450">
            <v>0</v>
          </cell>
          <cell r="DW450">
            <v>0</v>
          </cell>
          <cell r="DX450">
            <v>0</v>
          </cell>
          <cell r="DY450">
            <v>0</v>
          </cell>
        </row>
        <row r="451">
          <cell r="F451">
            <v>0</v>
          </cell>
          <cell r="G451">
            <v>2500</v>
          </cell>
          <cell r="H451">
            <v>0</v>
          </cell>
          <cell r="I451">
            <v>0</v>
          </cell>
          <cell r="N451">
            <v>0</v>
          </cell>
          <cell r="O451">
            <v>0</v>
          </cell>
          <cell r="P451">
            <v>0</v>
          </cell>
          <cell r="T451">
            <v>0</v>
          </cell>
          <cell r="U451">
            <v>0</v>
          </cell>
          <cell r="V451">
            <v>0</v>
          </cell>
          <cell r="Z451">
            <v>0</v>
          </cell>
          <cell r="AA451">
            <v>0</v>
          </cell>
          <cell r="AB451">
            <v>0</v>
          </cell>
          <cell r="AF451">
            <v>0</v>
          </cell>
          <cell r="AG451">
            <v>0</v>
          </cell>
          <cell r="AH451">
            <v>0</v>
          </cell>
          <cell r="AL451">
            <v>0</v>
          </cell>
          <cell r="AM451">
            <v>0</v>
          </cell>
          <cell r="AN451">
            <v>0</v>
          </cell>
          <cell r="AR451">
            <v>0</v>
          </cell>
          <cell r="AS451">
            <v>0</v>
          </cell>
          <cell r="AT451">
            <v>0</v>
          </cell>
          <cell r="AX451">
            <v>0</v>
          </cell>
          <cell r="AY451">
            <v>0</v>
          </cell>
          <cell r="AZ451">
            <v>0</v>
          </cell>
          <cell r="BA451">
            <v>0</v>
          </cell>
          <cell r="BF451">
            <v>0</v>
          </cell>
          <cell r="BG451">
            <v>500</v>
          </cell>
          <cell r="BH451">
            <v>0</v>
          </cell>
          <cell r="BL451">
            <v>0</v>
          </cell>
          <cell r="BM451">
            <v>2000</v>
          </cell>
          <cell r="BN451">
            <v>0</v>
          </cell>
          <cell r="BR451">
            <v>0</v>
          </cell>
          <cell r="BS451">
            <v>0</v>
          </cell>
          <cell r="BT451">
            <v>0</v>
          </cell>
          <cell r="BX451">
            <v>0</v>
          </cell>
          <cell r="BY451">
            <v>0</v>
          </cell>
          <cell r="BZ451">
            <v>0</v>
          </cell>
          <cell r="CD451">
            <v>0</v>
          </cell>
          <cell r="CE451">
            <v>0</v>
          </cell>
          <cell r="CF451">
            <v>0</v>
          </cell>
          <cell r="CJ451">
            <v>0</v>
          </cell>
          <cell r="CK451">
            <v>0</v>
          </cell>
          <cell r="CL451">
            <v>0</v>
          </cell>
          <cell r="CP451">
            <v>0</v>
          </cell>
          <cell r="CQ451">
            <v>2500</v>
          </cell>
          <cell r="CR451">
            <v>0</v>
          </cell>
          <cell r="CS451">
            <v>0</v>
          </cell>
          <cell r="CX451">
            <v>0</v>
          </cell>
          <cell r="CY451">
            <v>0</v>
          </cell>
          <cell r="CZ451">
            <v>0</v>
          </cell>
          <cell r="DA451">
            <v>0</v>
          </cell>
          <cell r="DF451">
            <v>0</v>
          </cell>
          <cell r="DG451">
            <v>0</v>
          </cell>
          <cell r="DH451">
            <v>0</v>
          </cell>
          <cell r="DI451">
            <v>0</v>
          </cell>
          <cell r="DN451">
            <v>0</v>
          </cell>
          <cell r="DO451">
            <v>2500</v>
          </cell>
          <cell r="DP451">
            <v>0</v>
          </cell>
          <cell r="DQ451">
            <v>0</v>
          </cell>
          <cell r="DV451">
            <v>0</v>
          </cell>
          <cell r="DW451">
            <v>0</v>
          </cell>
          <cell r="DX451">
            <v>0</v>
          </cell>
          <cell r="DY451">
            <v>0</v>
          </cell>
        </row>
        <row r="452">
          <cell r="F452">
            <v>0</v>
          </cell>
          <cell r="G452">
            <v>196992</v>
          </cell>
          <cell r="H452">
            <v>0</v>
          </cell>
          <cell r="I452">
            <v>0</v>
          </cell>
          <cell r="N452">
            <v>0</v>
          </cell>
          <cell r="O452">
            <v>680</v>
          </cell>
          <cell r="P452">
            <v>0</v>
          </cell>
          <cell r="T452">
            <v>0</v>
          </cell>
          <cell r="U452">
            <v>16498</v>
          </cell>
          <cell r="V452">
            <v>0</v>
          </cell>
          <cell r="Z452">
            <v>0</v>
          </cell>
          <cell r="AA452">
            <v>24119</v>
          </cell>
          <cell r="AB452">
            <v>0</v>
          </cell>
          <cell r="AF452">
            <v>0</v>
          </cell>
          <cell r="AG452">
            <v>11280</v>
          </cell>
          <cell r="AH452">
            <v>0</v>
          </cell>
          <cell r="AL452">
            <v>0</v>
          </cell>
          <cell r="AM452">
            <v>9797</v>
          </cell>
          <cell r="AN452">
            <v>0</v>
          </cell>
          <cell r="AR452">
            <v>0</v>
          </cell>
          <cell r="AS452">
            <v>36580</v>
          </cell>
          <cell r="AT452">
            <v>0</v>
          </cell>
          <cell r="AX452">
            <v>0</v>
          </cell>
          <cell r="AY452">
            <v>98954</v>
          </cell>
          <cell r="AZ452">
            <v>0</v>
          </cell>
          <cell r="BA452">
            <v>0</v>
          </cell>
          <cell r="BF452">
            <v>0</v>
          </cell>
          <cell r="BG452">
            <v>4667</v>
          </cell>
          <cell r="BH452">
            <v>0</v>
          </cell>
          <cell r="BL452">
            <v>0</v>
          </cell>
          <cell r="BM452">
            <v>16630</v>
          </cell>
          <cell r="BN452">
            <v>0</v>
          </cell>
          <cell r="BR452">
            <v>0</v>
          </cell>
          <cell r="BS452">
            <v>34243</v>
          </cell>
          <cell r="BT452">
            <v>0</v>
          </cell>
          <cell r="BX452">
            <v>0</v>
          </cell>
          <cell r="BY452">
            <v>9585</v>
          </cell>
          <cell r="BZ452">
            <v>0</v>
          </cell>
          <cell r="CD452">
            <v>0</v>
          </cell>
          <cell r="CE452">
            <v>17980</v>
          </cell>
          <cell r="CF452">
            <v>0</v>
          </cell>
          <cell r="CJ452">
            <v>0</v>
          </cell>
          <cell r="CK452">
            <v>14933</v>
          </cell>
          <cell r="CL452">
            <v>0</v>
          </cell>
          <cell r="CP452">
            <v>0</v>
          </cell>
          <cell r="CQ452">
            <v>98038</v>
          </cell>
          <cell r="CR452">
            <v>0</v>
          </cell>
          <cell r="CS452">
            <v>0</v>
          </cell>
          <cell r="CX452">
            <v>0</v>
          </cell>
          <cell r="CY452">
            <v>41297</v>
          </cell>
          <cell r="CZ452">
            <v>0</v>
          </cell>
          <cell r="DA452">
            <v>0</v>
          </cell>
          <cell r="DF452">
            <v>0</v>
          </cell>
          <cell r="DG452">
            <v>57657</v>
          </cell>
          <cell r="DH452">
            <v>0</v>
          </cell>
          <cell r="DI452">
            <v>0</v>
          </cell>
          <cell r="DN452">
            <v>0</v>
          </cell>
          <cell r="DO452">
            <v>55540</v>
          </cell>
          <cell r="DP452">
            <v>0</v>
          </cell>
          <cell r="DQ452">
            <v>0</v>
          </cell>
          <cell r="DV452">
            <v>0</v>
          </cell>
          <cell r="DW452">
            <v>42498</v>
          </cell>
          <cell r="DX452">
            <v>0</v>
          </cell>
          <cell r="DY452">
            <v>0</v>
          </cell>
        </row>
        <row r="455">
          <cell r="F455">
            <v>0</v>
          </cell>
          <cell r="G455">
            <v>241183.69338099999</v>
          </cell>
          <cell r="H455">
            <v>56196.996000000006</v>
          </cell>
          <cell r="I455">
            <v>23.300495656323299</v>
          </cell>
          <cell r="O455">
            <v>15082.258938300001</v>
          </cell>
          <cell r="P455">
            <v>2683.636</v>
          </cell>
          <cell r="U455">
            <v>17810.822894299999</v>
          </cell>
          <cell r="V455">
            <v>4038.2289999999994</v>
          </cell>
          <cell r="AA455">
            <v>18574.018668599998</v>
          </cell>
          <cell r="AB455">
            <v>4134.5450000000001</v>
          </cell>
          <cell r="AG455">
            <v>17855.088252599999</v>
          </cell>
          <cell r="AH455">
            <v>4256.8560000000007</v>
          </cell>
          <cell r="AM455">
            <v>18640.490612599999</v>
          </cell>
          <cell r="AN455">
            <v>4578.7240000000002</v>
          </cell>
          <cell r="AS455">
            <v>19731.138144600001</v>
          </cell>
          <cell r="AT455">
            <v>4743.9779999999992</v>
          </cell>
          <cell r="AY455">
            <v>107693.81751100002</v>
          </cell>
          <cell r="AZ455">
            <v>24435.967999999997</v>
          </cell>
          <cell r="BA455">
            <v>22.690223603136801</v>
          </cell>
          <cell r="BG455">
            <v>20687.0182365</v>
          </cell>
          <cell r="BH455">
            <v>4785.7970000000005</v>
          </cell>
          <cell r="BM455">
            <v>21259.086716499998</v>
          </cell>
          <cell r="BN455">
            <v>5031.741</v>
          </cell>
          <cell r="BS455">
            <v>23141.845898699998</v>
          </cell>
          <cell r="BT455">
            <v>5442.835</v>
          </cell>
          <cell r="BY455">
            <v>24965.779347499996</v>
          </cell>
          <cell r="BZ455">
            <v>6169.6940000000004</v>
          </cell>
          <cell r="CE455">
            <v>22220.308759800002</v>
          </cell>
          <cell r="CF455">
            <v>5486.277</v>
          </cell>
          <cell r="CK455">
            <v>21215.836911000002</v>
          </cell>
          <cell r="CL455">
            <v>4844.6839999999993</v>
          </cell>
          <cell r="CQ455">
            <v>133489.87586999999</v>
          </cell>
          <cell r="CR455">
            <v>31761.028000000006</v>
          </cell>
          <cell r="CS455">
            <v>23.792836567569136</v>
          </cell>
          <cell r="CY455">
            <v>51467.100501199995</v>
          </cell>
          <cell r="CZ455">
            <v>10856.41</v>
          </cell>
          <cell r="DA455">
            <v>21.09388307147179</v>
          </cell>
          <cell r="DG455">
            <v>56226.717009799992</v>
          </cell>
          <cell r="DH455">
            <v>13579.557999999999</v>
          </cell>
          <cell r="DI455">
            <v>24.15143320146748</v>
          </cell>
          <cell r="DO455">
            <v>65087.950851700007</v>
          </cell>
          <cell r="DP455">
            <v>15260.372999999998</v>
          </cell>
          <cell r="DQ455">
            <v>23.445772681905559</v>
          </cell>
          <cell r="DW455">
            <v>68401.925018299997</v>
          </cell>
          <cell r="DX455">
            <v>16500.655000000002</v>
          </cell>
          <cell r="DY455">
            <v>24.123085710797582</v>
          </cell>
        </row>
        <row r="456">
          <cell r="F456">
            <v>0</v>
          </cell>
          <cell r="G456">
            <v>159115.58186999999</v>
          </cell>
          <cell r="H456">
            <v>39691.919999999998</v>
          </cell>
          <cell r="I456">
            <v>24.945338183427531</v>
          </cell>
          <cell r="O456">
            <v>9772.315208</v>
          </cell>
          <cell r="P456">
            <v>784</v>
          </cell>
          <cell r="U456">
            <v>10104.57582</v>
          </cell>
          <cell r="V456">
            <v>1212.32</v>
          </cell>
          <cell r="AA456">
            <v>10238.41455</v>
          </cell>
          <cell r="AB456">
            <v>1093</v>
          </cell>
          <cell r="AG456">
            <v>10986.750498000001</v>
          </cell>
          <cell r="AH456">
            <v>1640</v>
          </cell>
          <cell r="AM456">
            <v>13172.356744000001</v>
          </cell>
          <cell r="AN456">
            <v>3022</v>
          </cell>
          <cell r="AS456">
            <v>13314.959923999999</v>
          </cell>
          <cell r="AT456">
            <v>3286.6</v>
          </cell>
          <cell r="AY456">
            <v>67589.372744000008</v>
          </cell>
          <cell r="AZ456">
            <v>11037.92</v>
          </cell>
          <cell r="BA456">
            <v>16.330851362990124</v>
          </cell>
          <cell r="BG456">
            <v>14188.403252</v>
          </cell>
          <cell r="BH456">
            <v>3951</v>
          </cell>
          <cell r="BM456">
            <v>14461.367507999999</v>
          </cell>
          <cell r="BN456">
            <v>4156</v>
          </cell>
          <cell r="BS456">
            <v>14658.670495999999</v>
          </cell>
          <cell r="BT456">
            <v>4141</v>
          </cell>
          <cell r="BY456">
            <v>15615.06099</v>
          </cell>
          <cell r="BZ456">
            <v>5167</v>
          </cell>
          <cell r="CE456">
            <v>16011.699107999999</v>
          </cell>
          <cell r="CF456">
            <v>5391</v>
          </cell>
          <cell r="CK456">
            <v>16591.007771999997</v>
          </cell>
          <cell r="CL456">
            <v>5848</v>
          </cell>
          <cell r="CQ456">
            <v>91526.209126000002</v>
          </cell>
          <cell r="CR456">
            <v>28654</v>
          </cell>
          <cell r="CS456">
            <v>31.306879497820489</v>
          </cell>
          <cell r="CX456">
            <v>0</v>
          </cell>
          <cell r="CY456">
            <v>30115.305578</v>
          </cell>
          <cell r="CZ456">
            <v>3089.3199999999997</v>
          </cell>
          <cell r="DA456">
            <v>10.258305339119078</v>
          </cell>
          <cell r="DF456">
            <v>0</v>
          </cell>
          <cell r="DG456">
            <v>37474.067166000001</v>
          </cell>
          <cell r="DH456">
            <v>7948.6</v>
          </cell>
          <cell r="DI456">
            <v>21.210934924116582</v>
          </cell>
          <cell r="DN456">
            <v>0</v>
          </cell>
          <cell r="DO456">
            <v>43308.441255999998</v>
          </cell>
          <cell r="DP456">
            <v>12248</v>
          </cell>
          <cell r="DQ456">
            <v>28.280860831727921</v>
          </cell>
          <cell r="DV456">
            <v>0</v>
          </cell>
          <cell r="DW456">
            <v>48217.767869999996</v>
          </cell>
          <cell r="DX456">
            <v>16406</v>
          </cell>
          <cell r="DY456">
            <v>34.024801903381849</v>
          </cell>
        </row>
        <row r="457">
          <cell r="F457">
            <v>0</v>
          </cell>
          <cell r="G457">
            <v>52277.783519999997</v>
          </cell>
          <cell r="H457">
            <v>14514.603999999999</v>
          </cell>
          <cell r="I457">
            <v>27.764382922713477</v>
          </cell>
          <cell r="O457">
            <v>2761.2813999999998</v>
          </cell>
          <cell r="P457">
            <v>565.02800000000002</v>
          </cell>
          <cell r="U457">
            <v>3077.5416399999999</v>
          </cell>
          <cell r="V457">
            <v>646.11599999999999</v>
          </cell>
          <cell r="AA457">
            <v>3594.7626399999999</v>
          </cell>
          <cell r="AB457">
            <v>872.94500000000005</v>
          </cell>
          <cell r="AG457">
            <v>3948.5209999999997</v>
          </cell>
          <cell r="AH457">
            <v>1028.6289999999999</v>
          </cell>
          <cell r="AM457">
            <v>4081.2850399999998</v>
          </cell>
          <cell r="AN457">
            <v>1112.835</v>
          </cell>
          <cell r="AS457">
            <v>4241.2438000000002</v>
          </cell>
          <cell r="AT457">
            <v>1203.5440000000001</v>
          </cell>
          <cell r="AY457">
            <v>21704.63552</v>
          </cell>
          <cell r="AZ457">
            <v>5429.0969999999998</v>
          </cell>
          <cell r="BA457">
            <v>25.013536831785505</v>
          </cell>
          <cell r="BG457">
            <v>4693.0537999999997</v>
          </cell>
          <cell r="BH457">
            <v>1327.3939999999998</v>
          </cell>
          <cell r="BM457">
            <v>4503.4758000000002</v>
          </cell>
          <cell r="BN457">
            <v>1261.9959999999996</v>
          </cell>
          <cell r="BS457">
            <v>5213.1697999999997</v>
          </cell>
          <cell r="BT457">
            <v>1542.9580000000001</v>
          </cell>
          <cell r="BY457">
            <v>5579.6728000000003</v>
          </cell>
          <cell r="BZ457">
            <v>1697.5230000000001</v>
          </cell>
          <cell r="CE457">
            <v>5417.1909999999998</v>
          </cell>
          <cell r="CF457">
            <v>1639.3380000000002</v>
          </cell>
          <cell r="CK457">
            <v>5166.5848000000005</v>
          </cell>
          <cell r="CL457">
            <v>1616.298</v>
          </cell>
          <cell r="CQ457">
            <v>30573.148000000001</v>
          </cell>
          <cell r="CR457">
            <v>9085.5070000000014</v>
          </cell>
          <cell r="CS457">
            <v>29.71727674232304</v>
          </cell>
          <cell r="CX457">
            <v>0</v>
          </cell>
          <cell r="CY457">
            <v>9433.5856800000001</v>
          </cell>
          <cell r="CZ457">
            <v>2084.0889999999999</v>
          </cell>
          <cell r="DA457">
            <v>22.092225275681177</v>
          </cell>
          <cell r="DF457">
            <v>0</v>
          </cell>
          <cell r="DG457">
            <v>12271.04984</v>
          </cell>
          <cell r="DH457">
            <v>3345.0079999999998</v>
          </cell>
          <cell r="DI457">
            <v>27.259346540149004</v>
          </cell>
          <cell r="DN457">
            <v>0</v>
          </cell>
          <cell r="DO457">
            <v>14409.6994</v>
          </cell>
          <cell r="DP457">
            <v>4132.348</v>
          </cell>
          <cell r="DQ457">
            <v>28.677544793196731</v>
          </cell>
          <cell r="DV457">
            <v>0</v>
          </cell>
          <cell r="DW457">
            <v>16163.4486</v>
          </cell>
          <cell r="DX457">
            <v>4953.1590000000006</v>
          </cell>
          <cell r="DY457">
            <v>30.644196808346958</v>
          </cell>
        </row>
        <row r="458">
          <cell r="F458">
            <v>0</v>
          </cell>
          <cell r="G458">
            <v>30709.145999999997</v>
          </cell>
          <cell r="H458">
            <v>9439.8189999999995</v>
          </cell>
          <cell r="I458">
            <v>30.739438341919378</v>
          </cell>
          <cell r="O458">
            <v>2058.4799999999996</v>
          </cell>
          <cell r="P458">
            <v>615.14799999999991</v>
          </cell>
          <cell r="U458">
            <v>2108.5840000000003</v>
          </cell>
          <cell r="V458">
            <v>622.12599999999998</v>
          </cell>
          <cell r="AA458">
            <v>2283.3649999999998</v>
          </cell>
          <cell r="AB458">
            <v>674.20400000000018</v>
          </cell>
          <cell r="AG458">
            <v>2483.654</v>
          </cell>
          <cell r="AH458">
            <v>749.31600000000003</v>
          </cell>
          <cell r="AM458">
            <v>2513.7070000000003</v>
          </cell>
          <cell r="AN458">
            <v>745.17399999999998</v>
          </cell>
          <cell r="AS458">
            <v>2542.3859999999995</v>
          </cell>
          <cell r="AT458">
            <v>742.62199999999996</v>
          </cell>
          <cell r="AY458">
            <v>13990.176000000001</v>
          </cell>
          <cell r="AZ458">
            <v>4148.59</v>
          </cell>
          <cell r="BA458">
            <v>29.653594064863796</v>
          </cell>
          <cell r="BG458">
            <v>2603.0529999999999</v>
          </cell>
          <cell r="BH458">
            <v>807.14100000000008</v>
          </cell>
          <cell r="BM458">
            <v>2727.95</v>
          </cell>
          <cell r="BN458">
            <v>841.86800000000005</v>
          </cell>
          <cell r="BS458">
            <v>2733.7170000000001</v>
          </cell>
          <cell r="BT458">
            <v>795.20899999999995</v>
          </cell>
          <cell r="BY458">
            <v>2923.2460000000001</v>
          </cell>
          <cell r="BZ458">
            <v>942.39499999999998</v>
          </cell>
          <cell r="CE458">
            <v>2962.7020000000002</v>
          </cell>
          <cell r="CF458">
            <v>977.00799999999992</v>
          </cell>
          <cell r="CK458">
            <v>2768.3020000000001</v>
          </cell>
          <cell r="CL458">
            <v>927.60799999999995</v>
          </cell>
          <cell r="CQ458">
            <v>16718.97</v>
          </cell>
          <cell r="CR458">
            <v>5291.2290000000003</v>
          </cell>
          <cell r="CS458">
            <v>31.648056070439743</v>
          </cell>
          <cell r="CX458">
            <v>0</v>
          </cell>
          <cell r="CY458">
            <v>6450.4290000000001</v>
          </cell>
          <cell r="CZ458">
            <v>1911.4780000000001</v>
          </cell>
          <cell r="DA458">
            <v>29.633346867316888</v>
          </cell>
          <cell r="DF458">
            <v>0</v>
          </cell>
          <cell r="DG458">
            <v>7539.7470000000003</v>
          </cell>
          <cell r="DH458">
            <v>2237.1120000000001</v>
          </cell>
          <cell r="DI458">
            <v>29.670916013494882</v>
          </cell>
          <cell r="DN458">
            <v>0</v>
          </cell>
          <cell r="DO458">
            <v>8064.7199999999993</v>
          </cell>
          <cell r="DP458">
            <v>2444.2179999999998</v>
          </cell>
          <cell r="DQ458">
            <v>30.307537025463997</v>
          </cell>
          <cell r="DV458">
            <v>0</v>
          </cell>
          <cell r="DW458">
            <v>8654.25</v>
          </cell>
          <cell r="DX458">
            <v>2847.0109999999995</v>
          </cell>
          <cell r="DY458">
            <v>32.89725857237773</v>
          </cell>
        </row>
        <row r="459">
          <cell r="F459">
            <v>0</v>
          </cell>
          <cell r="G459">
            <v>483286.20477099996</v>
          </cell>
          <cell r="H459">
            <v>119843.33899999999</v>
          </cell>
          <cell r="I459">
            <v>24.797591534148278</v>
          </cell>
          <cell r="N459">
            <v>0</v>
          </cell>
          <cell r="O459">
            <v>29674.335546300001</v>
          </cell>
          <cell r="P459">
            <v>4647.8119999999999</v>
          </cell>
          <cell r="T459">
            <v>0</v>
          </cell>
          <cell r="U459">
            <v>33101.524354299996</v>
          </cell>
          <cell r="V459">
            <v>6518.7909999999993</v>
          </cell>
          <cell r="Z459">
            <v>0</v>
          </cell>
          <cell r="AA459">
            <v>34690.560858599994</v>
          </cell>
          <cell r="AB459">
            <v>6774.6939999999995</v>
          </cell>
          <cell r="AF459">
            <v>0</v>
          </cell>
          <cell r="AG459">
            <v>35274.013750600003</v>
          </cell>
          <cell r="AH459">
            <v>7674.8010000000004</v>
          </cell>
          <cell r="AL459">
            <v>0</v>
          </cell>
          <cell r="AM459">
            <v>38407.8393966</v>
          </cell>
          <cell r="AN459">
            <v>9458.7330000000002</v>
          </cell>
          <cell r="AR459">
            <v>0</v>
          </cell>
          <cell r="AS459">
            <v>39829.727868599992</v>
          </cell>
          <cell r="AT459">
            <v>9976.7439999999988</v>
          </cell>
          <cell r="AX459">
            <v>0</v>
          </cell>
          <cell r="AY459">
            <v>210978.00177500004</v>
          </cell>
          <cell r="AZ459">
            <v>45051.574999999997</v>
          </cell>
          <cell r="BA459">
            <v>21.353683616761987</v>
          </cell>
          <cell r="BF459">
            <v>0</v>
          </cell>
          <cell r="BG459">
            <v>42171.528288499998</v>
          </cell>
          <cell r="BH459">
            <v>10871.332</v>
          </cell>
          <cell r="BL459">
            <v>0</v>
          </cell>
          <cell r="BM459">
            <v>42951.880024499995</v>
          </cell>
          <cell r="BN459">
            <v>11291.605</v>
          </cell>
          <cell r="BR459">
            <v>0</v>
          </cell>
          <cell r="BS459">
            <v>45747.403194699997</v>
          </cell>
          <cell r="BT459">
            <v>11922.002</v>
          </cell>
          <cell r="BX459">
            <v>0</v>
          </cell>
          <cell r="BY459">
            <v>49083.759137499997</v>
          </cell>
          <cell r="BZ459">
            <v>13976.612000000001</v>
          </cell>
          <cell r="CD459">
            <v>0</v>
          </cell>
          <cell r="CE459">
            <v>46611.900867799995</v>
          </cell>
          <cell r="CF459">
            <v>13493.623</v>
          </cell>
          <cell r="CJ459">
            <v>0</v>
          </cell>
          <cell r="CK459">
            <v>45741.731483000003</v>
          </cell>
          <cell r="CL459">
            <v>13236.59</v>
          </cell>
          <cell r="CP459">
            <v>0</v>
          </cell>
          <cell r="CQ459">
            <v>272308.20299599995</v>
          </cell>
          <cell r="CR459">
            <v>74791.76400000001</v>
          </cell>
          <cell r="CS459">
            <v>27.465850524193964</v>
          </cell>
          <cell r="CX459">
            <v>0</v>
          </cell>
          <cell r="CY459">
            <v>97466.420759200002</v>
          </cell>
          <cell r="CZ459">
            <v>17941.296999999999</v>
          </cell>
          <cell r="DA459">
            <v>18.407669903387205</v>
          </cell>
          <cell r="DF459">
            <v>0</v>
          </cell>
          <cell r="DG459">
            <v>113511.58101579998</v>
          </cell>
          <cell r="DH459">
            <v>27110.277999999998</v>
          </cell>
          <cell r="DI459">
            <v>23.883270550364767</v>
          </cell>
          <cell r="DN459">
            <v>0</v>
          </cell>
          <cell r="DO459">
            <v>130870.8115077</v>
          </cell>
          <cell r="DP459">
            <v>34084.938999999998</v>
          </cell>
          <cell r="DQ459">
            <v>26.044721972244023</v>
          </cell>
          <cell r="DV459">
            <v>0</v>
          </cell>
          <cell r="DW459">
            <v>141437.3914883</v>
          </cell>
          <cell r="DX459">
            <v>40706.824999999997</v>
          </cell>
          <cell r="DY459">
            <v>28.780808647314</v>
          </cell>
        </row>
        <row r="460">
          <cell r="F460">
            <v>0</v>
          </cell>
          <cell r="G460">
            <v>0</v>
          </cell>
          <cell r="H460">
            <v>0</v>
          </cell>
          <cell r="I460">
            <v>0</v>
          </cell>
          <cell r="O460">
            <v>0</v>
          </cell>
          <cell r="P460">
            <v>0</v>
          </cell>
          <cell r="U460">
            <v>0</v>
          </cell>
          <cell r="V460">
            <v>0</v>
          </cell>
          <cell r="AA460">
            <v>0</v>
          </cell>
          <cell r="AB460">
            <v>0</v>
          </cell>
          <cell r="AG460">
            <v>0</v>
          </cell>
          <cell r="AH460">
            <v>0</v>
          </cell>
          <cell r="AM460">
            <v>0</v>
          </cell>
          <cell r="AN460">
            <v>0</v>
          </cell>
          <cell r="AS460">
            <v>0</v>
          </cell>
          <cell r="AT460">
            <v>0</v>
          </cell>
          <cell r="AY460">
            <v>0</v>
          </cell>
          <cell r="AZ460">
            <v>0</v>
          </cell>
          <cell r="BA460">
            <v>0</v>
          </cell>
          <cell r="BG460">
            <v>0</v>
          </cell>
          <cell r="BH460">
            <v>0</v>
          </cell>
          <cell r="BM460">
            <v>0</v>
          </cell>
          <cell r="BN460">
            <v>0</v>
          </cell>
          <cell r="BS460">
            <v>0</v>
          </cell>
          <cell r="BT460">
            <v>0</v>
          </cell>
          <cell r="BY460">
            <v>0</v>
          </cell>
          <cell r="BZ460">
            <v>0</v>
          </cell>
          <cell r="CE460">
            <v>0</v>
          </cell>
          <cell r="CF460">
            <v>0</v>
          </cell>
          <cell r="CK460">
            <v>0</v>
          </cell>
          <cell r="CL460">
            <v>0</v>
          </cell>
          <cell r="CQ460">
            <v>0</v>
          </cell>
          <cell r="CR460">
            <v>0</v>
          </cell>
          <cell r="CS460">
            <v>0</v>
          </cell>
          <cell r="CX460">
            <v>0</v>
          </cell>
          <cell r="CY460">
            <v>0</v>
          </cell>
          <cell r="CZ460">
            <v>0</v>
          </cell>
          <cell r="DA460">
            <v>0</v>
          </cell>
          <cell r="DF460">
            <v>0</v>
          </cell>
          <cell r="DG460">
            <v>0</v>
          </cell>
          <cell r="DH460">
            <v>0</v>
          </cell>
          <cell r="DI460">
            <v>0</v>
          </cell>
          <cell r="DN460">
            <v>0</v>
          </cell>
          <cell r="DO460">
            <v>0</v>
          </cell>
          <cell r="DP460">
            <v>0</v>
          </cell>
          <cell r="DQ460">
            <v>0</v>
          </cell>
          <cell r="DV460">
            <v>0</v>
          </cell>
          <cell r="DW460">
            <v>0</v>
          </cell>
          <cell r="DX460">
            <v>0</v>
          </cell>
          <cell r="DY460">
            <v>0</v>
          </cell>
        </row>
        <row r="461">
          <cell r="F461">
            <v>0</v>
          </cell>
          <cell r="G461">
            <v>1500</v>
          </cell>
          <cell r="H461">
            <v>300</v>
          </cell>
          <cell r="I461">
            <v>20</v>
          </cell>
          <cell r="O461">
            <v>130</v>
          </cell>
          <cell r="P461">
            <v>26</v>
          </cell>
          <cell r="U461">
            <v>110</v>
          </cell>
          <cell r="V461">
            <v>22</v>
          </cell>
          <cell r="AA461">
            <v>120</v>
          </cell>
          <cell r="AB461">
            <v>24</v>
          </cell>
          <cell r="AG461">
            <v>110</v>
          </cell>
          <cell r="AH461">
            <v>22</v>
          </cell>
          <cell r="AM461">
            <v>130</v>
          </cell>
          <cell r="AN461">
            <v>26</v>
          </cell>
          <cell r="AS461">
            <v>130</v>
          </cell>
          <cell r="AT461">
            <v>26</v>
          </cell>
          <cell r="AY461">
            <v>730</v>
          </cell>
          <cell r="AZ461">
            <v>146</v>
          </cell>
          <cell r="BA461">
            <v>20</v>
          </cell>
          <cell r="BG461">
            <v>150</v>
          </cell>
          <cell r="BH461">
            <v>30</v>
          </cell>
          <cell r="BM461">
            <v>130</v>
          </cell>
          <cell r="BN461">
            <v>26</v>
          </cell>
          <cell r="BS461">
            <v>110</v>
          </cell>
          <cell r="BT461">
            <v>22</v>
          </cell>
          <cell r="BY461">
            <v>110</v>
          </cell>
          <cell r="BZ461">
            <v>22</v>
          </cell>
          <cell r="CE461">
            <v>120</v>
          </cell>
          <cell r="CF461">
            <v>24</v>
          </cell>
          <cell r="CK461">
            <v>150</v>
          </cell>
          <cell r="CL461">
            <v>30</v>
          </cell>
          <cell r="CQ461">
            <v>770</v>
          </cell>
          <cell r="CR461">
            <v>154</v>
          </cell>
          <cell r="CS461">
            <v>20</v>
          </cell>
          <cell r="CX461">
            <v>0</v>
          </cell>
          <cell r="CY461">
            <v>360</v>
          </cell>
          <cell r="CZ461">
            <v>72</v>
          </cell>
          <cell r="DA461">
            <v>20</v>
          </cell>
          <cell r="DF461">
            <v>0</v>
          </cell>
          <cell r="DG461">
            <v>370</v>
          </cell>
          <cell r="DH461">
            <v>74</v>
          </cell>
          <cell r="DI461">
            <v>20</v>
          </cell>
          <cell r="DN461">
            <v>0</v>
          </cell>
          <cell r="DO461">
            <v>390</v>
          </cell>
          <cell r="DP461">
            <v>78</v>
          </cell>
          <cell r="DQ461">
            <v>20</v>
          </cell>
          <cell r="DV461">
            <v>0</v>
          </cell>
          <cell r="DW461">
            <v>380</v>
          </cell>
          <cell r="DX461">
            <v>76</v>
          </cell>
          <cell r="DY461">
            <v>20</v>
          </cell>
        </row>
        <row r="462">
          <cell r="G462">
            <v>1500</v>
          </cell>
          <cell r="H462">
            <v>300</v>
          </cell>
          <cell r="I462">
            <v>20</v>
          </cell>
          <cell r="O462">
            <v>130</v>
          </cell>
          <cell r="P462">
            <v>26</v>
          </cell>
          <cell r="U462">
            <v>110</v>
          </cell>
          <cell r="V462">
            <v>22</v>
          </cell>
          <cell r="AA462">
            <v>120</v>
          </cell>
          <cell r="AB462">
            <v>24</v>
          </cell>
          <cell r="AG462">
            <v>110</v>
          </cell>
          <cell r="AH462">
            <v>22</v>
          </cell>
          <cell r="AM462">
            <v>130</v>
          </cell>
          <cell r="AN462">
            <v>26</v>
          </cell>
          <cell r="AS462">
            <v>130</v>
          </cell>
          <cell r="AT462">
            <v>26</v>
          </cell>
          <cell r="AY462">
            <v>730</v>
          </cell>
          <cell r="AZ462">
            <v>146</v>
          </cell>
          <cell r="BA462">
            <v>20</v>
          </cell>
          <cell r="BG462">
            <v>150</v>
          </cell>
          <cell r="BH462">
            <v>30</v>
          </cell>
          <cell r="BM462">
            <v>130</v>
          </cell>
          <cell r="BN462">
            <v>26</v>
          </cell>
          <cell r="BS462">
            <v>110</v>
          </cell>
          <cell r="BT462">
            <v>22</v>
          </cell>
          <cell r="BY462">
            <v>110</v>
          </cell>
          <cell r="BZ462">
            <v>22</v>
          </cell>
          <cell r="CE462">
            <v>120</v>
          </cell>
          <cell r="CF462">
            <v>24</v>
          </cell>
          <cell r="CK462">
            <v>150</v>
          </cell>
          <cell r="CL462">
            <v>30</v>
          </cell>
          <cell r="CQ462">
            <v>770</v>
          </cell>
          <cell r="CR462">
            <v>154</v>
          </cell>
          <cell r="CS462">
            <v>20</v>
          </cell>
          <cell r="CY462">
            <v>360</v>
          </cell>
          <cell r="CZ462">
            <v>72</v>
          </cell>
          <cell r="DA462">
            <v>20</v>
          </cell>
          <cell r="DG462">
            <v>370</v>
          </cell>
          <cell r="DH462">
            <v>74</v>
          </cell>
          <cell r="DI462">
            <v>20</v>
          </cell>
          <cell r="DO462">
            <v>390</v>
          </cell>
          <cell r="DP462">
            <v>78</v>
          </cell>
          <cell r="DQ462">
            <v>20</v>
          </cell>
          <cell r="DW462">
            <v>380</v>
          </cell>
          <cell r="DX462">
            <v>76</v>
          </cell>
          <cell r="DY462">
            <v>20</v>
          </cell>
        </row>
        <row r="463">
          <cell r="I463">
            <v>0</v>
          </cell>
          <cell r="BA463">
            <v>0</v>
          </cell>
          <cell r="CS463">
            <v>0</v>
          </cell>
          <cell r="DA463">
            <v>0</v>
          </cell>
          <cell r="DI463">
            <v>0</v>
          </cell>
          <cell r="DQ463">
            <v>0</v>
          </cell>
          <cell r="DY463">
            <v>0</v>
          </cell>
        </row>
        <row r="464">
          <cell r="F464">
            <v>0</v>
          </cell>
          <cell r="G464">
            <v>0</v>
          </cell>
          <cell r="H464">
            <v>0</v>
          </cell>
          <cell r="I464">
            <v>0</v>
          </cell>
          <cell r="AX464">
            <v>0</v>
          </cell>
          <cell r="AY464">
            <v>0</v>
          </cell>
          <cell r="AZ464">
            <v>0</v>
          </cell>
          <cell r="BA464">
            <v>0</v>
          </cell>
          <cell r="CP464">
            <v>0</v>
          </cell>
          <cell r="CQ464">
            <v>0</v>
          </cell>
          <cell r="CR464">
            <v>0</v>
          </cell>
          <cell r="CS464">
            <v>0</v>
          </cell>
          <cell r="CX464">
            <v>0</v>
          </cell>
          <cell r="CY464">
            <v>0</v>
          </cell>
          <cell r="CZ464">
            <v>0</v>
          </cell>
          <cell r="DA464">
            <v>0</v>
          </cell>
          <cell r="DF464">
            <v>0</v>
          </cell>
          <cell r="DG464">
            <v>0</v>
          </cell>
          <cell r="DH464">
            <v>0</v>
          </cell>
          <cell r="DI464">
            <v>0</v>
          </cell>
          <cell r="DN464">
            <v>0</v>
          </cell>
          <cell r="DO464">
            <v>0</v>
          </cell>
          <cell r="DP464">
            <v>0</v>
          </cell>
          <cell r="DQ464">
            <v>0</v>
          </cell>
          <cell r="DV464">
            <v>0</v>
          </cell>
          <cell r="DW464">
            <v>0</v>
          </cell>
          <cell r="DX464">
            <v>0</v>
          </cell>
          <cell r="DY464">
            <v>0</v>
          </cell>
        </row>
        <row r="465">
          <cell r="F465">
            <v>0</v>
          </cell>
          <cell r="G465">
            <v>0</v>
          </cell>
          <cell r="H465">
            <v>0</v>
          </cell>
          <cell r="I465">
            <v>0</v>
          </cell>
          <cell r="AX465">
            <v>0</v>
          </cell>
          <cell r="AY465">
            <v>0</v>
          </cell>
          <cell r="AZ465">
            <v>0</v>
          </cell>
          <cell r="BA465">
            <v>0</v>
          </cell>
          <cell r="CP465">
            <v>0</v>
          </cell>
          <cell r="CQ465">
            <v>0</v>
          </cell>
          <cell r="CR465">
            <v>0</v>
          </cell>
          <cell r="CS465">
            <v>0</v>
          </cell>
          <cell r="CX465">
            <v>0</v>
          </cell>
          <cell r="CY465">
            <v>0</v>
          </cell>
          <cell r="CZ465">
            <v>0</v>
          </cell>
          <cell r="DA465">
            <v>0</v>
          </cell>
          <cell r="DF465">
            <v>0</v>
          </cell>
          <cell r="DG465">
            <v>0</v>
          </cell>
          <cell r="DH465">
            <v>0</v>
          </cell>
          <cell r="DI465">
            <v>0</v>
          </cell>
          <cell r="DN465">
            <v>0</v>
          </cell>
          <cell r="DO465">
            <v>0</v>
          </cell>
          <cell r="DP465">
            <v>0</v>
          </cell>
          <cell r="DQ465">
            <v>0</v>
          </cell>
          <cell r="DV465">
            <v>0</v>
          </cell>
          <cell r="DW465">
            <v>0</v>
          </cell>
          <cell r="DX465">
            <v>0</v>
          </cell>
          <cell r="DY465">
            <v>0</v>
          </cell>
        </row>
        <row r="466">
          <cell r="F466">
            <v>0</v>
          </cell>
          <cell r="G466">
            <v>0</v>
          </cell>
          <cell r="H466">
            <v>0</v>
          </cell>
          <cell r="I466">
            <v>0</v>
          </cell>
          <cell r="AX466">
            <v>0</v>
          </cell>
          <cell r="AY466">
            <v>0</v>
          </cell>
          <cell r="AZ466">
            <v>0</v>
          </cell>
          <cell r="BA466">
            <v>0</v>
          </cell>
          <cell r="CP466">
            <v>0</v>
          </cell>
          <cell r="CQ466">
            <v>0</v>
          </cell>
          <cell r="CR466">
            <v>0</v>
          </cell>
          <cell r="CS466">
            <v>0</v>
          </cell>
          <cell r="CX466">
            <v>0</v>
          </cell>
          <cell r="CY466">
            <v>0</v>
          </cell>
          <cell r="CZ466">
            <v>0</v>
          </cell>
          <cell r="DA466">
            <v>0</v>
          </cell>
          <cell r="DF466">
            <v>0</v>
          </cell>
          <cell r="DG466">
            <v>0</v>
          </cell>
          <cell r="DH466">
            <v>0</v>
          </cell>
          <cell r="DI466">
            <v>0</v>
          </cell>
          <cell r="DN466">
            <v>0</v>
          </cell>
          <cell r="DO466">
            <v>0</v>
          </cell>
          <cell r="DP466">
            <v>0</v>
          </cell>
          <cell r="DQ466">
            <v>0</v>
          </cell>
          <cell r="DV466">
            <v>0</v>
          </cell>
          <cell r="DW466">
            <v>0</v>
          </cell>
          <cell r="DX466">
            <v>0</v>
          </cell>
          <cell r="DY466">
            <v>0</v>
          </cell>
        </row>
        <row r="467">
          <cell r="F467">
            <v>0</v>
          </cell>
          <cell r="G467">
            <v>0</v>
          </cell>
          <cell r="H467">
            <v>0</v>
          </cell>
          <cell r="I467">
            <v>0</v>
          </cell>
          <cell r="AX467">
            <v>0</v>
          </cell>
          <cell r="AY467">
            <v>0</v>
          </cell>
          <cell r="AZ467">
            <v>0</v>
          </cell>
          <cell r="BA467">
            <v>0</v>
          </cell>
          <cell r="CP467">
            <v>0</v>
          </cell>
          <cell r="CQ467">
            <v>0</v>
          </cell>
          <cell r="CR467">
            <v>0</v>
          </cell>
          <cell r="CS467">
            <v>0</v>
          </cell>
          <cell r="CX467">
            <v>0</v>
          </cell>
          <cell r="CY467">
            <v>0</v>
          </cell>
          <cell r="CZ467">
            <v>0</v>
          </cell>
          <cell r="DA467">
            <v>0</v>
          </cell>
          <cell r="DF467">
            <v>0</v>
          </cell>
          <cell r="DG467">
            <v>0</v>
          </cell>
          <cell r="DH467">
            <v>0</v>
          </cell>
          <cell r="DI467">
            <v>0</v>
          </cell>
          <cell r="DN467">
            <v>0</v>
          </cell>
          <cell r="DO467">
            <v>0</v>
          </cell>
          <cell r="DP467">
            <v>0</v>
          </cell>
          <cell r="DQ467">
            <v>0</v>
          </cell>
          <cell r="DV467">
            <v>0</v>
          </cell>
          <cell r="DW467">
            <v>0</v>
          </cell>
          <cell r="DX467">
            <v>0</v>
          </cell>
          <cell r="DY467">
            <v>0</v>
          </cell>
        </row>
        <row r="468">
          <cell r="F468">
            <v>0</v>
          </cell>
          <cell r="G468">
            <v>0</v>
          </cell>
          <cell r="H468">
            <v>0</v>
          </cell>
          <cell r="I468">
            <v>0</v>
          </cell>
          <cell r="O468">
            <v>0</v>
          </cell>
          <cell r="P468">
            <v>0</v>
          </cell>
          <cell r="U468">
            <v>0</v>
          </cell>
          <cell r="V468">
            <v>0</v>
          </cell>
          <cell r="AA468">
            <v>0</v>
          </cell>
          <cell r="AB468">
            <v>0</v>
          </cell>
          <cell r="AG468">
            <v>0</v>
          </cell>
          <cell r="AH468">
            <v>0</v>
          </cell>
          <cell r="AS468">
            <v>0</v>
          </cell>
          <cell r="AT468">
            <v>0</v>
          </cell>
          <cell r="AY468">
            <v>0</v>
          </cell>
          <cell r="AZ468">
            <v>0</v>
          </cell>
          <cell r="BA468">
            <v>0</v>
          </cell>
          <cell r="BG468">
            <v>0</v>
          </cell>
          <cell r="BH468">
            <v>0</v>
          </cell>
          <cell r="BM468">
            <v>0</v>
          </cell>
          <cell r="BN468">
            <v>0</v>
          </cell>
          <cell r="CP468">
            <v>0</v>
          </cell>
          <cell r="CQ468">
            <v>0</v>
          </cell>
          <cell r="CR468">
            <v>0</v>
          </cell>
          <cell r="CS468">
            <v>0</v>
          </cell>
          <cell r="CX468">
            <v>0</v>
          </cell>
          <cell r="CY468">
            <v>0</v>
          </cell>
          <cell r="CZ468">
            <v>0</v>
          </cell>
          <cell r="DA468">
            <v>0</v>
          </cell>
          <cell r="DF468">
            <v>0</v>
          </cell>
          <cell r="DG468">
            <v>0</v>
          </cell>
          <cell r="DH468">
            <v>0</v>
          </cell>
          <cell r="DI468">
            <v>0</v>
          </cell>
          <cell r="DN468">
            <v>0</v>
          </cell>
          <cell r="DO468">
            <v>0</v>
          </cell>
          <cell r="DP468">
            <v>0</v>
          </cell>
          <cell r="DQ468">
            <v>0</v>
          </cell>
          <cell r="DV468">
            <v>0</v>
          </cell>
          <cell r="DW468">
            <v>0</v>
          </cell>
          <cell r="DX468">
            <v>0</v>
          </cell>
          <cell r="DY468">
            <v>0</v>
          </cell>
        </row>
        <row r="469">
          <cell r="I469">
            <v>0</v>
          </cell>
          <cell r="BA469">
            <v>0</v>
          </cell>
          <cell r="CS469">
            <v>0</v>
          </cell>
          <cell r="DA469">
            <v>0</v>
          </cell>
          <cell r="DI469">
            <v>0</v>
          </cell>
          <cell r="DQ469">
            <v>0</v>
          </cell>
          <cell r="DY469">
            <v>0</v>
          </cell>
        </row>
        <row r="470">
          <cell r="F470">
            <v>0</v>
          </cell>
          <cell r="G470">
            <v>0</v>
          </cell>
          <cell r="H470">
            <v>0</v>
          </cell>
          <cell r="I470">
            <v>0</v>
          </cell>
          <cell r="AX470">
            <v>0</v>
          </cell>
          <cell r="AY470">
            <v>0</v>
          </cell>
          <cell r="AZ470">
            <v>0</v>
          </cell>
          <cell r="BA470">
            <v>0</v>
          </cell>
          <cell r="CP470">
            <v>0</v>
          </cell>
          <cell r="CQ470">
            <v>0</v>
          </cell>
          <cell r="CR470">
            <v>0</v>
          </cell>
          <cell r="CS470">
            <v>0</v>
          </cell>
          <cell r="CX470">
            <v>0</v>
          </cell>
          <cell r="CY470">
            <v>0</v>
          </cell>
          <cell r="CZ470">
            <v>0</v>
          </cell>
          <cell r="DA470">
            <v>0</v>
          </cell>
          <cell r="DF470">
            <v>0</v>
          </cell>
          <cell r="DG470">
            <v>0</v>
          </cell>
          <cell r="DH470">
            <v>0</v>
          </cell>
          <cell r="DI470">
            <v>0</v>
          </cell>
          <cell r="DN470">
            <v>0</v>
          </cell>
          <cell r="DO470">
            <v>0</v>
          </cell>
          <cell r="DP470">
            <v>0</v>
          </cell>
          <cell r="DQ470">
            <v>0</v>
          </cell>
          <cell r="DV470">
            <v>0</v>
          </cell>
          <cell r="DW470">
            <v>0</v>
          </cell>
          <cell r="DX470">
            <v>0</v>
          </cell>
          <cell r="DY470">
            <v>0</v>
          </cell>
        </row>
        <row r="471">
          <cell r="G471">
            <v>160121.293381</v>
          </cell>
          <cell r="H471">
            <v>15878.338000000002</v>
          </cell>
          <cell r="I471">
            <v>9.9164437563081318</v>
          </cell>
          <cell r="U471">
            <v>10830.822894299998</v>
          </cell>
          <cell r="V471">
            <v>592.20900000000006</v>
          </cell>
          <cell r="AA471">
            <v>12094.018668599998</v>
          </cell>
          <cell r="AB471">
            <v>931.95600000000002</v>
          </cell>
          <cell r="AG471">
            <v>10873.0882526</v>
          </cell>
          <cell r="AH471">
            <v>793.34100000000001</v>
          </cell>
          <cell r="AM471">
            <v>11058.490612600001</v>
          </cell>
          <cell r="AN471">
            <v>775.74900000000002</v>
          </cell>
          <cell r="AS471">
            <v>12819.1381446</v>
          </cell>
          <cell r="AT471">
            <v>1282.8409999999999</v>
          </cell>
          <cell r="AY471">
            <v>67677.617511000019</v>
          </cell>
          <cell r="AZ471">
            <v>4652.2330000000002</v>
          </cell>
          <cell r="BA471">
            <v>6.8741087099347826</v>
          </cell>
          <cell r="BG471">
            <v>13476.818236499999</v>
          </cell>
          <cell r="BH471">
            <v>1223.5149999999999</v>
          </cell>
          <cell r="BM471">
            <v>14449.086716499998</v>
          </cell>
          <cell r="BN471">
            <v>1642.1179999999997</v>
          </cell>
          <cell r="BS471">
            <v>16231.845898699999</v>
          </cell>
          <cell r="BT471">
            <v>1991.72</v>
          </cell>
          <cell r="BY471">
            <v>17955.779347499996</v>
          </cell>
          <cell r="BZ471">
            <v>2610.3360000000002</v>
          </cell>
          <cell r="CE471">
            <v>15604.308759800002</v>
          </cell>
          <cell r="CF471">
            <v>2125.1059999999998</v>
          </cell>
          <cell r="CK471">
            <v>14725.836911000002</v>
          </cell>
          <cell r="CL471">
            <v>1633.31</v>
          </cell>
          <cell r="CQ471">
            <v>92443.675870000006</v>
          </cell>
          <cell r="CR471">
            <v>11226.105000000001</v>
          </cell>
          <cell r="CS471">
            <v>12.143724158899568</v>
          </cell>
          <cell r="CY471">
            <v>32926.900501199998</v>
          </cell>
          <cell r="CZ471">
            <v>1800.3020000000001</v>
          </cell>
          <cell r="DA471">
            <v>5.4675720234717788</v>
          </cell>
          <cell r="DG471">
            <v>34750.717009799992</v>
          </cell>
          <cell r="DH471">
            <v>2851.931</v>
          </cell>
          <cell r="DI471">
            <v>8.2068263489231938</v>
          </cell>
          <cell r="DO471">
            <v>44157.750851700002</v>
          </cell>
          <cell r="DP471">
            <v>4857.3529999999992</v>
          </cell>
          <cell r="DQ471">
            <v>11.000000920139707</v>
          </cell>
          <cell r="DW471">
            <v>48285.925018299997</v>
          </cell>
          <cell r="DX471">
            <v>6368.7520000000004</v>
          </cell>
          <cell r="DY471">
            <v>13.189665513472699</v>
          </cell>
        </row>
        <row r="472">
          <cell r="I472">
            <v>0</v>
          </cell>
          <cell r="BA472">
            <v>0</v>
          </cell>
          <cell r="CS472">
            <v>0</v>
          </cell>
          <cell r="DA472">
            <v>0</v>
          </cell>
          <cell r="DI472">
            <v>0</v>
          </cell>
          <cell r="DQ472">
            <v>0</v>
          </cell>
          <cell r="DY472">
            <v>0</v>
          </cell>
        </row>
        <row r="473">
          <cell r="F473">
            <v>2045978</v>
          </cell>
          <cell r="G473">
            <v>241183.69338099999</v>
          </cell>
          <cell r="H473">
            <v>56196.996000000006</v>
          </cell>
          <cell r="I473">
            <v>23.300495656323299</v>
          </cell>
          <cell r="N473">
            <v>129316</v>
          </cell>
          <cell r="O473">
            <v>15082.258938300001</v>
          </cell>
          <cell r="P473">
            <v>2683.636</v>
          </cell>
          <cell r="T473">
            <v>150826</v>
          </cell>
          <cell r="U473">
            <v>17810.822894299999</v>
          </cell>
          <cell r="V473">
            <v>4038.2289999999994</v>
          </cell>
          <cell r="Z473">
            <v>158566</v>
          </cell>
          <cell r="AA473">
            <v>18574.018668599998</v>
          </cell>
          <cell r="AB473">
            <v>4134.5450000000001</v>
          </cell>
          <cell r="AF473">
            <v>146506</v>
          </cell>
          <cell r="AG473">
            <v>17855.088252599999</v>
          </cell>
          <cell r="AH473">
            <v>4256.8560000000007</v>
          </cell>
          <cell r="AL473">
            <v>152656</v>
          </cell>
          <cell r="AM473">
            <v>18640.490612599999</v>
          </cell>
          <cell r="AN473">
            <v>4578.7240000000002</v>
          </cell>
          <cell r="AR473">
            <v>158226</v>
          </cell>
          <cell r="AS473">
            <v>19731.138144600001</v>
          </cell>
          <cell r="AT473">
            <v>4743.9779999999992</v>
          </cell>
          <cell r="AX473">
            <v>896096</v>
          </cell>
          <cell r="AY473">
            <v>107693.81751100002</v>
          </cell>
          <cell r="AZ473">
            <v>24435.967999999997</v>
          </cell>
          <cell r="BA473">
            <v>22.690223603136801</v>
          </cell>
          <cell r="BF473">
            <v>173731</v>
          </cell>
          <cell r="BG473">
            <v>20687.0182365</v>
          </cell>
          <cell r="BH473">
            <v>4785.7970000000005</v>
          </cell>
          <cell r="BL473">
            <v>183366</v>
          </cell>
          <cell r="BM473">
            <v>21259.086716499998</v>
          </cell>
          <cell r="BN473">
            <v>5031.741</v>
          </cell>
          <cell r="BR473">
            <v>200082</v>
          </cell>
          <cell r="BS473">
            <v>23141.845898699998</v>
          </cell>
          <cell r="BT473">
            <v>5442.835</v>
          </cell>
          <cell r="BX473">
            <v>216677</v>
          </cell>
          <cell r="BY473">
            <v>24965.779347499996</v>
          </cell>
          <cell r="BZ473">
            <v>6169.6940000000004</v>
          </cell>
          <cell r="CD473">
            <v>191178</v>
          </cell>
          <cell r="CE473">
            <v>22220.308759800002</v>
          </cell>
          <cell r="CF473">
            <v>5486.277</v>
          </cell>
          <cell r="CJ473">
            <v>184848</v>
          </cell>
          <cell r="CK473">
            <v>21215.836911000002</v>
          </cell>
          <cell r="CL473">
            <v>4844.6839999999993</v>
          </cell>
          <cell r="CP473">
            <v>1149882</v>
          </cell>
          <cell r="CQ473">
            <v>133489.87586999999</v>
          </cell>
          <cell r="CR473">
            <v>31761.028000000006</v>
          </cell>
          <cell r="CS473">
            <v>23.792836567569136</v>
          </cell>
          <cell r="CX473">
            <v>438708</v>
          </cell>
          <cell r="CY473">
            <v>51467.100501199995</v>
          </cell>
          <cell r="CZ473">
            <v>10856.41</v>
          </cell>
          <cell r="DA473">
            <v>21.09388307147179</v>
          </cell>
          <cell r="DF473">
            <v>457388</v>
          </cell>
          <cell r="DG473">
            <v>56226.717009799992</v>
          </cell>
          <cell r="DH473">
            <v>13579.557999999999</v>
          </cell>
          <cell r="DI473">
            <v>24.15143320146748</v>
          </cell>
          <cell r="DN473">
            <v>557179</v>
          </cell>
          <cell r="DO473">
            <v>65087.950851700007</v>
          </cell>
          <cell r="DP473">
            <v>15260.372999999998</v>
          </cell>
          <cell r="DQ473">
            <v>23.445772681905559</v>
          </cell>
          <cell r="DV473">
            <v>592703</v>
          </cell>
          <cell r="DW473">
            <v>68401.925018299997</v>
          </cell>
          <cell r="DX473">
            <v>16500.655000000002</v>
          </cell>
          <cell r="DY473">
            <v>24.123085710797582</v>
          </cell>
        </row>
        <row r="475">
          <cell r="F475">
            <v>51210</v>
          </cell>
          <cell r="G475">
            <v>66849.744999999995</v>
          </cell>
          <cell r="H475">
            <v>22608.921999999999</v>
          </cell>
          <cell r="I475">
            <v>33.820505972012313</v>
          </cell>
          <cell r="N475">
            <v>2302</v>
          </cell>
          <cell r="O475">
            <v>3977.4439999999995</v>
          </cell>
          <cell r="P475">
            <v>1183.3609999999999</v>
          </cell>
          <cell r="T475">
            <v>2670</v>
          </cell>
          <cell r="U475">
            <v>4253.1260000000002</v>
          </cell>
          <cell r="V475">
            <v>1252.2260000000001</v>
          </cell>
          <cell r="Z475">
            <v>3500</v>
          </cell>
          <cell r="AA475">
            <v>4928.0949999999993</v>
          </cell>
          <cell r="AB475">
            <v>1545.5400000000002</v>
          </cell>
          <cell r="AF475">
            <v>3842</v>
          </cell>
          <cell r="AG475">
            <v>5425.7809999999999</v>
          </cell>
          <cell r="AH475">
            <v>1747.491</v>
          </cell>
          <cell r="AL475">
            <v>4300</v>
          </cell>
          <cell r="AM475">
            <v>5563.165</v>
          </cell>
          <cell r="AN475">
            <v>1824.4960000000001</v>
          </cell>
          <cell r="AR475">
            <v>4570</v>
          </cell>
          <cell r="AS475">
            <v>5662.9149999999991</v>
          </cell>
          <cell r="AT475">
            <v>1878.816</v>
          </cell>
          <cell r="AX475">
            <v>21184</v>
          </cell>
          <cell r="AY475">
            <v>29810.525999999998</v>
          </cell>
          <cell r="AZ475">
            <v>9431.93</v>
          </cell>
          <cell r="BA475">
            <v>31.639596027255614</v>
          </cell>
          <cell r="BF475">
            <v>4952</v>
          </cell>
          <cell r="BG475">
            <v>5799.6190000000006</v>
          </cell>
          <cell r="BH475">
            <v>1999.7860000000001</v>
          </cell>
          <cell r="BL475">
            <v>4270</v>
          </cell>
          <cell r="BM475">
            <v>5677.0740000000005</v>
          </cell>
          <cell r="BN475">
            <v>1935.0079999999998</v>
          </cell>
          <cell r="BR475">
            <v>4786</v>
          </cell>
          <cell r="BS475">
            <v>6223.7839999999997</v>
          </cell>
          <cell r="BT475">
            <v>2153.4450000000002</v>
          </cell>
          <cell r="BX475">
            <v>5764</v>
          </cell>
          <cell r="BY475">
            <v>6707.73</v>
          </cell>
          <cell r="BZ475">
            <v>2410.6689999999999</v>
          </cell>
          <cell r="CD475">
            <v>5504</v>
          </cell>
          <cell r="CE475">
            <v>6533.2460000000001</v>
          </cell>
          <cell r="CF475">
            <v>2383.5590000000002</v>
          </cell>
          <cell r="CJ475">
            <v>4750</v>
          </cell>
          <cell r="CK475">
            <v>6097.7659999999996</v>
          </cell>
          <cell r="CL475">
            <v>2294.5249999999996</v>
          </cell>
          <cell r="CP475">
            <v>30026</v>
          </cell>
          <cell r="CQ475">
            <v>37039.218999999997</v>
          </cell>
          <cell r="CR475">
            <v>13176.992000000002</v>
          </cell>
          <cell r="CS475">
            <v>35.575782523924175</v>
          </cell>
          <cell r="CX475">
            <v>8472</v>
          </cell>
          <cell r="CY475">
            <v>13158.665000000001</v>
          </cell>
          <cell r="CZ475">
            <v>3981.1270000000004</v>
          </cell>
          <cell r="DA475">
            <v>30.254794084354302</v>
          </cell>
          <cell r="DF475">
            <v>12712</v>
          </cell>
          <cell r="DG475">
            <v>16651.861000000001</v>
          </cell>
          <cell r="DH475">
            <v>5450.8029999999999</v>
          </cell>
          <cell r="DI475">
            <v>32.733896829909881</v>
          </cell>
          <cell r="DN475">
            <v>14008</v>
          </cell>
          <cell r="DO475">
            <v>17700.476999999999</v>
          </cell>
          <cell r="DP475">
            <v>6088.2390000000005</v>
          </cell>
          <cell r="DQ475">
            <v>34.395903568022497</v>
          </cell>
          <cell r="DV475">
            <v>16018</v>
          </cell>
          <cell r="DW475">
            <v>19338.741999999998</v>
          </cell>
          <cell r="DX475">
            <v>7088.7529999999997</v>
          </cell>
          <cell r="DY475">
            <v>36.655709042501314</v>
          </cell>
        </row>
        <row r="476">
          <cell r="F476">
            <v>69037.804000000004</v>
          </cell>
          <cell r="G476">
            <v>17637.184519999999</v>
          </cell>
          <cell r="H476">
            <v>1645.5009999999997</v>
          </cell>
          <cell r="I476">
            <v>9.3297260576599097</v>
          </cell>
          <cell r="N476">
            <v>3313</v>
          </cell>
          <cell r="O476">
            <v>972.31740000000002</v>
          </cell>
          <cell r="P476">
            <v>22.815000000000001</v>
          </cell>
          <cell r="T476">
            <v>4064</v>
          </cell>
          <cell r="U476">
            <v>1042.99964</v>
          </cell>
          <cell r="V476">
            <v>38.016000000000005</v>
          </cell>
          <cell r="Z476">
            <v>3410.806</v>
          </cell>
          <cell r="AA476">
            <v>1070.0326399999999</v>
          </cell>
          <cell r="AB476">
            <v>25.609000000000005</v>
          </cell>
          <cell r="AF476">
            <v>3507.6059999999998</v>
          </cell>
          <cell r="AG476">
            <v>1116.394</v>
          </cell>
          <cell r="AH476">
            <v>52.454000000000008</v>
          </cell>
          <cell r="AL476">
            <v>3486.672</v>
          </cell>
          <cell r="AM476">
            <v>1161.8270400000001</v>
          </cell>
          <cell r="AN476">
            <v>59.513000000000005</v>
          </cell>
          <cell r="AR476">
            <v>3935</v>
          </cell>
          <cell r="AS476">
            <v>1250.7148</v>
          </cell>
          <cell r="AT476">
            <v>93.350000000000009</v>
          </cell>
          <cell r="AX476">
            <v>21717.083999999999</v>
          </cell>
          <cell r="AY476">
            <v>6614.2855200000004</v>
          </cell>
          <cell r="AZ476">
            <v>291.75699999999995</v>
          </cell>
          <cell r="BA476">
            <v>4.4110130885308374</v>
          </cell>
          <cell r="BF476">
            <v>6972.3440000000001</v>
          </cell>
          <cell r="BG476">
            <v>1646.4878000000001</v>
          </cell>
          <cell r="BH476">
            <v>164.749</v>
          </cell>
          <cell r="BL476">
            <v>6902.3440000000001</v>
          </cell>
          <cell r="BM476">
            <v>1684.3518000000001</v>
          </cell>
          <cell r="BN476">
            <v>194.85599999999999</v>
          </cell>
          <cell r="BR476">
            <v>7360.3440000000001</v>
          </cell>
          <cell r="BS476">
            <v>1833.1027999999999</v>
          </cell>
          <cell r="BT476">
            <v>206.72200000000001</v>
          </cell>
          <cell r="BX476">
            <v>7597.3440000000001</v>
          </cell>
          <cell r="BY476">
            <v>1905.1887999999999</v>
          </cell>
          <cell r="BZ476">
            <v>251.24900000000005</v>
          </cell>
          <cell r="CD476">
            <v>8634.344000000001</v>
          </cell>
          <cell r="CE476">
            <v>1966.6469999999999</v>
          </cell>
          <cell r="CF476">
            <v>256.78699999999998</v>
          </cell>
          <cell r="CJ476">
            <v>9854</v>
          </cell>
          <cell r="CK476">
            <v>1987.1208000000001</v>
          </cell>
          <cell r="CL476">
            <v>279.38100000000003</v>
          </cell>
          <cell r="CP476">
            <v>47320.72</v>
          </cell>
          <cell r="CQ476">
            <v>11022.899000000001</v>
          </cell>
          <cell r="CR476">
            <v>1353.7439999999999</v>
          </cell>
          <cell r="CS476">
            <v>12.281197532518441</v>
          </cell>
          <cell r="CX476">
            <v>10787.806</v>
          </cell>
          <cell r="CY476">
            <v>3085.3496800000003</v>
          </cell>
          <cell r="CZ476">
            <v>86.440000000000012</v>
          </cell>
          <cell r="DA476">
            <v>2.8016273345068625</v>
          </cell>
          <cell r="DF476">
            <v>10929.278</v>
          </cell>
          <cell r="DG476">
            <v>3528.9358400000001</v>
          </cell>
          <cell r="DH476">
            <v>205.31700000000001</v>
          </cell>
          <cell r="DI476">
            <v>5.8180995435723197</v>
          </cell>
          <cell r="DN476">
            <v>21235.031999999999</v>
          </cell>
          <cell r="DO476">
            <v>5163.9424000000008</v>
          </cell>
          <cell r="DP476">
            <v>566.327</v>
          </cell>
          <cell r="DQ476">
            <v>10.966950367223305</v>
          </cell>
          <cell r="DV476">
            <v>26085.688000000002</v>
          </cell>
          <cell r="DW476">
            <v>5858.9566000000004</v>
          </cell>
          <cell r="DX476">
            <v>787.41699999999992</v>
          </cell>
          <cell r="DY476">
            <v>13.439543143227922</v>
          </cell>
        </row>
        <row r="477">
          <cell r="F477">
            <v>120247.804</v>
          </cell>
          <cell r="G477">
            <v>84486.929519999991</v>
          </cell>
          <cell r="H477">
            <v>24254.422999999999</v>
          </cell>
          <cell r="I477">
            <v>28.707899716320522</v>
          </cell>
          <cell r="N477">
            <v>5615</v>
          </cell>
          <cell r="O477">
            <v>4949.7613999999994</v>
          </cell>
          <cell r="P477">
            <v>1206.1759999999999</v>
          </cell>
          <cell r="T477">
            <v>6734</v>
          </cell>
          <cell r="U477">
            <v>5296.1256400000002</v>
          </cell>
          <cell r="V477">
            <v>1290.2420000000002</v>
          </cell>
          <cell r="Z477">
            <v>6910.8060000000005</v>
          </cell>
          <cell r="AA477">
            <v>5998.1276399999988</v>
          </cell>
          <cell r="AB477">
            <v>1571.1490000000001</v>
          </cell>
          <cell r="AF477">
            <v>7349.6059999999998</v>
          </cell>
          <cell r="AG477">
            <v>6542.1750000000002</v>
          </cell>
          <cell r="AH477">
            <v>1799.9449999999999</v>
          </cell>
          <cell r="AL477">
            <v>7786.6720000000005</v>
          </cell>
          <cell r="AM477">
            <v>6724.9920400000001</v>
          </cell>
          <cell r="AN477">
            <v>1884.009</v>
          </cell>
          <cell r="AR477">
            <v>8505</v>
          </cell>
          <cell r="AS477">
            <v>6913.6297999999988</v>
          </cell>
          <cell r="AT477">
            <v>1972.1659999999999</v>
          </cell>
          <cell r="AX477">
            <v>42901.084000000003</v>
          </cell>
          <cell r="AY477">
            <v>36424.811519999996</v>
          </cell>
          <cell r="AZ477">
            <v>9723.6869999999999</v>
          </cell>
          <cell r="BA477">
            <v>26.695229417071808</v>
          </cell>
          <cell r="BF477">
            <v>11924.344000000001</v>
          </cell>
          <cell r="BG477">
            <v>7446.1068000000005</v>
          </cell>
          <cell r="BH477">
            <v>2164.5349999999999</v>
          </cell>
          <cell r="BL477">
            <v>11172.344000000001</v>
          </cell>
          <cell r="BM477">
            <v>7361.4258000000009</v>
          </cell>
          <cell r="BN477">
            <v>2129.8639999999996</v>
          </cell>
          <cell r="BR477">
            <v>12146.344000000001</v>
          </cell>
          <cell r="BS477">
            <v>8056.8867999999993</v>
          </cell>
          <cell r="BT477">
            <v>2360.1670000000004</v>
          </cell>
          <cell r="BX477">
            <v>13361.344000000001</v>
          </cell>
          <cell r="BY477">
            <v>8612.9187999999995</v>
          </cell>
          <cell r="BZ477">
            <v>2661.9180000000001</v>
          </cell>
          <cell r="CD477">
            <v>14138.344000000001</v>
          </cell>
          <cell r="CE477">
            <v>8499.893</v>
          </cell>
          <cell r="CF477">
            <v>2640.346</v>
          </cell>
          <cell r="CJ477">
            <v>14604</v>
          </cell>
          <cell r="CK477">
            <v>8084.8868000000002</v>
          </cell>
          <cell r="CL477">
            <v>2573.9059999999995</v>
          </cell>
          <cell r="CP477">
            <v>77346.720000000001</v>
          </cell>
          <cell r="CQ477">
            <v>48062.118000000002</v>
          </cell>
          <cell r="CR477">
            <v>14530.736000000003</v>
          </cell>
          <cell r="CS477">
            <v>30.233241073562343</v>
          </cell>
          <cell r="CX477">
            <v>19259.806</v>
          </cell>
          <cell r="CY477">
            <v>16244.01468</v>
          </cell>
          <cell r="CZ477">
            <v>4067.5670000000005</v>
          </cell>
          <cell r="DA477">
            <v>25.040404605199484</v>
          </cell>
          <cell r="DF477">
            <v>23641.277999999998</v>
          </cell>
          <cell r="DG477">
            <v>20180.796840000003</v>
          </cell>
          <cell r="DH477">
            <v>5656.12</v>
          </cell>
          <cell r="DI477">
            <v>28.027238195020644</v>
          </cell>
          <cell r="DN477">
            <v>35243.031999999999</v>
          </cell>
          <cell r="DO477">
            <v>22864.419399999999</v>
          </cell>
          <cell r="DP477">
            <v>6654.5660000000007</v>
          </cell>
          <cell r="DQ477">
            <v>29.10446088125903</v>
          </cell>
          <cell r="DV477">
            <v>42103.688000000002</v>
          </cell>
          <cell r="DW477">
            <v>25197.6986</v>
          </cell>
          <cell r="DX477">
            <v>7876.17</v>
          </cell>
          <cell r="DY477">
            <v>31.257497460502208</v>
          </cell>
        </row>
        <row r="478">
          <cell r="F478">
            <v>120247.804</v>
          </cell>
          <cell r="G478">
            <v>52277.783519999997</v>
          </cell>
          <cell r="H478">
            <v>14514.603999999999</v>
          </cell>
          <cell r="I478">
            <v>27.764382922713477</v>
          </cell>
          <cell r="N478">
            <v>5615</v>
          </cell>
          <cell r="O478">
            <v>2761.2813999999998</v>
          </cell>
          <cell r="P478">
            <v>565.02800000000002</v>
          </cell>
          <cell r="T478">
            <v>6734</v>
          </cell>
          <cell r="U478">
            <v>3077.5416399999999</v>
          </cell>
          <cell r="V478">
            <v>646.11599999999999</v>
          </cell>
          <cell r="Z478">
            <v>6910.8060000000005</v>
          </cell>
          <cell r="AA478">
            <v>3594.7626399999999</v>
          </cell>
          <cell r="AB478">
            <v>872.94500000000005</v>
          </cell>
          <cell r="AF478">
            <v>7349.6059999999998</v>
          </cell>
          <cell r="AG478">
            <v>3948.5209999999997</v>
          </cell>
          <cell r="AH478">
            <v>1028.6289999999999</v>
          </cell>
          <cell r="AL478">
            <v>7786.6720000000005</v>
          </cell>
          <cell r="AM478">
            <v>4081.2850399999998</v>
          </cell>
          <cell r="AN478">
            <v>1112.835</v>
          </cell>
          <cell r="AR478">
            <v>8505</v>
          </cell>
          <cell r="AS478">
            <v>4241.2438000000002</v>
          </cell>
          <cell r="AT478">
            <v>1203.5440000000001</v>
          </cell>
          <cell r="AX478">
            <v>42901.084000000003</v>
          </cell>
          <cell r="AY478">
            <v>21704.63552</v>
          </cell>
          <cell r="AZ478">
            <v>5429.0969999999998</v>
          </cell>
          <cell r="BA478">
            <v>25.013536831785505</v>
          </cell>
          <cell r="BF478">
            <v>11924.344000000001</v>
          </cell>
          <cell r="BG478">
            <v>4693.0537999999997</v>
          </cell>
          <cell r="BH478">
            <v>1327.3939999999998</v>
          </cell>
          <cell r="BL478">
            <v>11172.344000000001</v>
          </cell>
          <cell r="BM478">
            <v>4503.4758000000002</v>
          </cell>
          <cell r="BN478">
            <v>1261.9959999999996</v>
          </cell>
          <cell r="BR478">
            <v>12146.344000000001</v>
          </cell>
          <cell r="BS478">
            <v>5213.1697999999997</v>
          </cell>
          <cell r="BT478">
            <v>1542.9580000000001</v>
          </cell>
          <cell r="BX478">
            <v>13361.344000000001</v>
          </cell>
          <cell r="BY478">
            <v>5579.6728000000003</v>
          </cell>
          <cell r="BZ478">
            <v>1697.5230000000001</v>
          </cell>
          <cell r="CD478">
            <v>14138.344000000001</v>
          </cell>
          <cell r="CE478">
            <v>5417.1909999999998</v>
          </cell>
          <cell r="CF478">
            <v>1639.3380000000002</v>
          </cell>
          <cell r="CJ478">
            <v>14604</v>
          </cell>
          <cell r="CK478">
            <v>5166.5848000000005</v>
          </cell>
          <cell r="CL478">
            <v>1616.298</v>
          </cell>
          <cell r="CP478">
            <v>77346.720000000001</v>
          </cell>
          <cell r="CQ478">
            <v>30573.148000000001</v>
          </cell>
          <cell r="CR478">
            <v>9085.5070000000014</v>
          </cell>
          <cell r="CS478">
            <v>29.71727674232304</v>
          </cell>
          <cell r="CX478">
            <v>19259.806</v>
          </cell>
          <cell r="CY478">
            <v>9433.5856800000001</v>
          </cell>
          <cell r="CZ478">
            <v>2084.0889999999999</v>
          </cell>
          <cell r="DA478">
            <v>22.092225275681177</v>
          </cell>
          <cell r="DF478">
            <v>23641.277999999998</v>
          </cell>
          <cell r="DG478">
            <v>12271.04984</v>
          </cell>
          <cell r="DH478">
            <v>3345.0079999999998</v>
          </cell>
          <cell r="DI478">
            <v>27.259346540149004</v>
          </cell>
          <cell r="DN478">
            <v>35243.031999999999</v>
          </cell>
          <cell r="DO478">
            <v>14409.699400000001</v>
          </cell>
          <cell r="DP478">
            <v>4132.348</v>
          </cell>
          <cell r="DQ478">
            <v>28.677544793196724</v>
          </cell>
          <cell r="DV478">
            <v>42103.688000000002</v>
          </cell>
          <cell r="DW478">
            <v>16163.4486</v>
          </cell>
          <cell r="DX478">
            <v>4953.1589999999997</v>
          </cell>
          <cell r="DY478">
            <v>30.644196808346951</v>
          </cell>
        </row>
        <row r="479">
          <cell r="F479">
            <v>0</v>
          </cell>
          <cell r="G479">
            <v>32209.145999999997</v>
          </cell>
          <cell r="H479">
            <v>9739.8189999999995</v>
          </cell>
          <cell r="I479">
            <v>30.239296006171664</v>
          </cell>
          <cell r="N479">
            <v>0</v>
          </cell>
          <cell r="O479">
            <v>2188.4799999999996</v>
          </cell>
          <cell r="P479">
            <v>641.14799999999991</v>
          </cell>
          <cell r="T479">
            <v>0</v>
          </cell>
          <cell r="U479">
            <v>2218.5840000000003</v>
          </cell>
          <cell r="V479">
            <v>644.12599999999998</v>
          </cell>
          <cell r="Z479">
            <v>0</v>
          </cell>
          <cell r="AA479">
            <v>2403.3649999999998</v>
          </cell>
          <cell r="AB479">
            <v>698.20400000000018</v>
          </cell>
          <cell r="AF479">
            <v>0</v>
          </cell>
          <cell r="AG479">
            <v>2593.654</v>
          </cell>
          <cell r="AH479">
            <v>771.31600000000003</v>
          </cell>
          <cell r="AL479">
            <v>0</v>
          </cell>
          <cell r="AM479">
            <v>2643.7070000000003</v>
          </cell>
          <cell r="AN479">
            <v>771.17399999999998</v>
          </cell>
          <cell r="AR479">
            <v>0</v>
          </cell>
          <cell r="AS479">
            <v>2672.3859999999995</v>
          </cell>
          <cell r="AT479">
            <v>768.62199999999996</v>
          </cell>
          <cell r="AX479">
            <v>0</v>
          </cell>
          <cell r="AY479">
            <v>14720.176000000001</v>
          </cell>
          <cell r="AZ479">
            <v>4294.59</v>
          </cell>
          <cell r="BA479">
            <v>29.174854974560084</v>
          </cell>
          <cell r="BF479">
            <v>0</v>
          </cell>
          <cell r="BG479">
            <v>2753.0529999999999</v>
          </cell>
          <cell r="BH479">
            <v>837.14100000000008</v>
          </cell>
          <cell r="BL479">
            <v>0</v>
          </cell>
          <cell r="BM479">
            <v>2857.95</v>
          </cell>
          <cell r="BN479">
            <v>867.86800000000005</v>
          </cell>
          <cell r="BR479">
            <v>0</v>
          </cell>
          <cell r="BS479">
            <v>2843.7170000000001</v>
          </cell>
          <cell r="BT479">
            <v>817.20899999999995</v>
          </cell>
          <cell r="BX479">
            <v>0</v>
          </cell>
          <cell r="BY479">
            <v>3033.2460000000001</v>
          </cell>
          <cell r="BZ479">
            <v>964.39499999999998</v>
          </cell>
          <cell r="CD479">
            <v>0</v>
          </cell>
          <cell r="CE479">
            <v>3082.7020000000002</v>
          </cell>
          <cell r="CF479">
            <v>1001.0079999999999</v>
          </cell>
          <cell r="CJ479">
            <v>0</v>
          </cell>
          <cell r="CK479">
            <v>2918.3020000000001</v>
          </cell>
          <cell r="CL479">
            <v>957.60799999999995</v>
          </cell>
          <cell r="CP479">
            <v>0</v>
          </cell>
          <cell r="CQ479">
            <v>17488.97</v>
          </cell>
          <cell r="CR479">
            <v>5445.2290000000003</v>
          </cell>
          <cell r="CS479">
            <v>31.135218369063473</v>
          </cell>
          <cell r="CX479">
            <v>0</v>
          </cell>
          <cell r="CY479">
            <v>6810.4290000000001</v>
          </cell>
          <cell r="CZ479">
            <v>1983.4780000000001</v>
          </cell>
          <cell r="DA479">
            <v>29.124127129142675</v>
          </cell>
          <cell r="DF479">
            <v>0</v>
          </cell>
          <cell r="DG479">
            <v>7909.7470000000012</v>
          </cell>
          <cell r="DH479">
            <v>2311.1119999999996</v>
          </cell>
          <cell r="DI479">
            <v>29.218532527020137</v>
          </cell>
          <cell r="DN479">
            <v>0</v>
          </cell>
          <cell r="DO479">
            <v>8454.7199999999993</v>
          </cell>
          <cell r="DP479">
            <v>2522.2180000000003</v>
          </cell>
          <cell r="DQ479">
            <v>29.832070133605846</v>
          </cell>
          <cell r="DV479">
            <v>0</v>
          </cell>
          <cell r="DW479">
            <v>9034.25</v>
          </cell>
          <cell r="DX479">
            <v>2923.0109999999995</v>
          </cell>
          <cell r="DY479">
            <v>32.35477211722057</v>
          </cell>
        </row>
        <row r="481">
          <cell r="F481">
            <v>0</v>
          </cell>
          <cell r="G481">
            <v>144659</v>
          </cell>
          <cell r="H481">
            <v>26912.451300000008</v>
          </cell>
          <cell r="I481">
            <v>18.604062865082717</v>
          </cell>
          <cell r="N481">
            <v>0</v>
          </cell>
          <cell r="O481">
            <v>339</v>
          </cell>
          <cell r="P481">
            <v>46.81</v>
          </cell>
          <cell r="T481">
            <v>0</v>
          </cell>
          <cell r="U481">
            <v>1445</v>
          </cell>
          <cell r="V481">
            <v>206.73400000000004</v>
          </cell>
          <cell r="Z481">
            <v>0</v>
          </cell>
          <cell r="AA481">
            <v>7712</v>
          </cell>
          <cell r="AB481">
            <v>1954.229</v>
          </cell>
          <cell r="AF481">
            <v>0</v>
          </cell>
          <cell r="AG481">
            <v>4022</v>
          </cell>
          <cell r="AH481">
            <v>885.24299999999994</v>
          </cell>
          <cell r="AL481">
            <v>0</v>
          </cell>
          <cell r="AM481">
            <v>15497</v>
          </cell>
          <cell r="AN481">
            <v>2716.4960000000001</v>
          </cell>
          <cell r="AR481">
            <v>0</v>
          </cell>
          <cell r="AS481">
            <v>8623</v>
          </cell>
          <cell r="AT481">
            <v>1862.47</v>
          </cell>
          <cell r="AX481">
            <v>0</v>
          </cell>
          <cell r="AY481">
            <v>37638</v>
          </cell>
          <cell r="AZ481">
            <v>7671.9820000000009</v>
          </cell>
          <cell r="BA481">
            <v>20.383606992932677</v>
          </cell>
          <cell r="BF481">
            <v>0</v>
          </cell>
          <cell r="BG481">
            <v>3970</v>
          </cell>
          <cell r="BH481">
            <v>741.89499999999998</v>
          </cell>
          <cell r="BL481">
            <v>0</v>
          </cell>
          <cell r="BM481">
            <v>11943</v>
          </cell>
          <cell r="BN481">
            <v>2358.4049999999997</v>
          </cell>
          <cell r="BR481">
            <v>0</v>
          </cell>
          <cell r="BS481">
            <v>7260</v>
          </cell>
          <cell r="BT481">
            <v>1757.6100000000001</v>
          </cell>
          <cell r="BX481">
            <v>0</v>
          </cell>
          <cell r="BY481">
            <v>46644</v>
          </cell>
          <cell r="BZ481">
            <v>5560.2559999999994</v>
          </cell>
          <cell r="CD481">
            <v>0</v>
          </cell>
          <cell r="CE481">
            <v>18476</v>
          </cell>
          <cell r="CF481">
            <v>2773.0360000000001</v>
          </cell>
          <cell r="CJ481">
            <v>0</v>
          </cell>
          <cell r="CK481">
            <v>18728</v>
          </cell>
          <cell r="CL481">
            <v>6049.2673000000004</v>
          </cell>
          <cell r="CP481">
            <v>0</v>
          </cell>
          <cell r="CQ481">
            <v>107021</v>
          </cell>
          <cell r="CR481">
            <v>19240.469300000004</v>
          </cell>
          <cell r="CS481">
            <v>17.97821857392475</v>
          </cell>
          <cell r="CX481">
            <v>0</v>
          </cell>
          <cell r="CY481">
            <v>9496</v>
          </cell>
          <cell r="CZ481">
            <v>2207.7729999999997</v>
          </cell>
          <cell r="DA481">
            <v>23.249505054759894</v>
          </cell>
          <cell r="DF481">
            <v>0</v>
          </cell>
          <cell r="DG481">
            <v>28142</v>
          </cell>
          <cell r="DH481">
            <v>5464.2089999999998</v>
          </cell>
          <cell r="DI481">
            <v>19.416562433373606</v>
          </cell>
          <cell r="DN481">
            <v>0</v>
          </cell>
          <cell r="DO481">
            <v>23173</v>
          </cell>
          <cell r="DP481">
            <v>4857.91</v>
          </cell>
          <cell r="DQ481">
            <v>20.963664609675053</v>
          </cell>
          <cell r="DV481">
            <v>0</v>
          </cell>
          <cell r="DW481">
            <v>83848</v>
          </cell>
          <cell r="DX481">
            <v>14382.559300000001</v>
          </cell>
          <cell r="DY481">
            <v>17.153133408071749</v>
          </cell>
        </row>
        <row r="482">
          <cell r="F482">
            <v>0</v>
          </cell>
          <cell r="G482">
            <v>8133</v>
          </cell>
          <cell r="H482">
            <v>590</v>
          </cell>
          <cell r="I482">
            <v>7.2543956719537688</v>
          </cell>
          <cell r="N482">
            <v>0</v>
          </cell>
          <cell r="O482">
            <v>154</v>
          </cell>
          <cell r="P482">
            <v>8</v>
          </cell>
          <cell r="T482">
            <v>0</v>
          </cell>
          <cell r="U482">
            <v>617</v>
          </cell>
          <cell r="V482">
            <v>31</v>
          </cell>
          <cell r="Z482">
            <v>0</v>
          </cell>
          <cell r="AA482">
            <v>140</v>
          </cell>
          <cell r="AB482">
            <v>44</v>
          </cell>
          <cell r="AF482">
            <v>0</v>
          </cell>
          <cell r="AG482">
            <v>85</v>
          </cell>
          <cell r="AH482">
            <v>25</v>
          </cell>
          <cell r="AL482">
            <v>0</v>
          </cell>
          <cell r="AM482">
            <v>0</v>
          </cell>
          <cell r="AN482">
            <v>0</v>
          </cell>
          <cell r="AR482">
            <v>0</v>
          </cell>
          <cell r="AS482">
            <v>323</v>
          </cell>
          <cell r="AT482">
            <v>16</v>
          </cell>
          <cell r="AX482">
            <v>0</v>
          </cell>
          <cell r="AY482">
            <v>1319</v>
          </cell>
          <cell r="AZ482">
            <v>124</v>
          </cell>
          <cell r="BA482">
            <v>9.4010614101592118</v>
          </cell>
          <cell r="BF482">
            <v>0</v>
          </cell>
          <cell r="BG482">
            <v>246</v>
          </cell>
          <cell r="BH482">
            <v>12</v>
          </cell>
          <cell r="BL482">
            <v>0</v>
          </cell>
          <cell r="BM482">
            <v>0</v>
          </cell>
          <cell r="BN482">
            <v>0</v>
          </cell>
          <cell r="BR482">
            <v>0</v>
          </cell>
          <cell r="BS482">
            <v>0</v>
          </cell>
          <cell r="BT482">
            <v>0</v>
          </cell>
          <cell r="BX482">
            <v>0</v>
          </cell>
          <cell r="BY482">
            <v>3627</v>
          </cell>
          <cell r="BZ482">
            <v>248</v>
          </cell>
          <cell r="CD482">
            <v>0</v>
          </cell>
          <cell r="CE482">
            <v>378</v>
          </cell>
          <cell r="CF482">
            <v>19</v>
          </cell>
          <cell r="CJ482">
            <v>0</v>
          </cell>
          <cell r="CK482">
            <v>2563</v>
          </cell>
          <cell r="CL482">
            <v>187</v>
          </cell>
          <cell r="CP482">
            <v>0</v>
          </cell>
          <cell r="CQ482">
            <v>6814</v>
          </cell>
          <cell r="CR482">
            <v>466</v>
          </cell>
          <cell r="CS482">
            <v>6.8388611681831524</v>
          </cell>
          <cell r="CX482">
            <v>0</v>
          </cell>
          <cell r="CY482">
            <v>911</v>
          </cell>
          <cell r="CZ482">
            <v>83</v>
          </cell>
          <cell r="DA482">
            <v>9.1108671789242592</v>
          </cell>
          <cell r="DF482">
            <v>0</v>
          </cell>
          <cell r="DG482">
            <v>408</v>
          </cell>
          <cell r="DH482">
            <v>41</v>
          </cell>
          <cell r="DI482">
            <v>10.049019607843137</v>
          </cell>
          <cell r="DN482">
            <v>0</v>
          </cell>
          <cell r="DO482">
            <v>246</v>
          </cell>
          <cell r="DP482">
            <v>12</v>
          </cell>
          <cell r="DQ482">
            <v>4.8780487804878048</v>
          </cell>
          <cell r="DV482">
            <v>0</v>
          </cell>
          <cell r="DW482">
            <v>6568</v>
          </cell>
          <cell r="DX482">
            <v>454</v>
          </cell>
          <cell r="DY482">
            <v>6.9123020706455538</v>
          </cell>
        </row>
      </sheetData>
      <sheetData sheetId="1" refreshError="1">
        <row r="3">
          <cell r="J3" t="str">
            <v>1          월</v>
          </cell>
          <cell r="P3" t="str">
            <v>2          월</v>
          </cell>
          <cell r="V3" t="str">
            <v>3          월</v>
          </cell>
          <cell r="AB3" t="str">
            <v>4          월</v>
          </cell>
          <cell r="AH3" t="str">
            <v>5          월</v>
          </cell>
          <cell r="AN3" t="str">
            <v>6          월</v>
          </cell>
          <cell r="AT3" t="str">
            <v>상    반    기    누    계</v>
          </cell>
          <cell r="AZ3" t="str">
            <v>7          월</v>
          </cell>
          <cell r="BF3" t="str">
            <v>8          월</v>
          </cell>
          <cell r="BL3" t="str">
            <v>9          월</v>
          </cell>
          <cell r="BR3" t="str">
            <v>10          월</v>
          </cell>
          <cell r="BX3" t="str">
            <v>11          월</v>
          </cell>
          <cell r="CD3" t="str">
            <v>12          월</v>
          </cell>
          <cell r="CJ3" t="str">
            <v>하    반    기    누    계</v>
          </cell>
          <cell r="CP3" t="str">
            <v>96      년      누      계</v>
          </cell>
        </row>
        <row r="4">
          <cell r="J4" t="str">
            <v>경    영</v>
          </cell>
          <cell r="P4" t="str">
            <v>경    영</v>
          </cell>
          <cell r="V4" t="str">
            <v>경    영</v>
          </cell>
          <cell r="AB4" t="str">
            <v>경    영</v>
          </cell>
          <cell r="AH4" t="str">
            <v>경    영</v>
          </cell>
          <cell r="AN4" t="str">
            <v>경    영</v>
          </cell>
          <cell r="AT4" t="str">
            <v>경    영</v>
          </cell>
          <cell r="AZ4" t="str">
            <v>경    영</v>
          </cell>
          <cell r="BF4" t="str">
            <v>경    영</v>
          </cell>
          <cell r="BL4" t="str">
            <v>경    영</v>
          </cell>
          <cell r="BR4" t="str">
            <v>경    영</v>
          </cell>
          <cell r="BX4" t="str">
            <v>경    영</v>
          </cell>
          <cell r="CD4" t="str">
            <v>경    영</v>
          </cell>
          <cell r="CJ4" t="str">
            <v>경    영</v>
          </cell>
          <cell r="CP4" t="str">
            <v>경    영</v>
          </cell>
        </row>
        <row r="5">
          <cell r="J5" t="str">
            <v>매  출</v>
          </cell>
          <cell r="K5" t="str">
            <v>매출익</v>
          </cell>
          <cell r="L5" t="str">
            <v>%</v>
          </cell>
          <cell r="P5" t="str">
            <v>매  출</v>
          </cell>
          <cell r="Q5" t="str">
            <v>매출익</v>
          </cell>
          <cell r="R5" t="str">
            <v>%</v>
          </cell>
          <cell r="V5" t="str">
            <v>매  출</v>
          </cell>
          <cell r="W5" t="str">
            <v>매출익</v>
          </cell>
          <cell r="X5" t="str">
            <v>%</v>
          </cell>
          <cell r="AB5" t="str">
            <v>매  출</v>
          </cell>
          <cell r="AC5" t="str">
            <v>매출익</v>
          </cell>
          <cell r="AD5" t="str">
            <v>%</v>
          </cell>
          <cell r="AH5" t="str">
            <v>매  출</v>
          </cell>
          <cell r="AI5" t="str">
            <v>매출익</v>
          </cell>
          <cell r="AJ5" t="str">
            <v>%</v>
          </cell>
          <cell r="AN5" t="str">
            <v>매  출</v>
          </cell>
          <cell r="AO5" t="str">
            <v>매출익</v>
          </cell>
          <cell r="AP5" t="str">
            <v>%</v>
          </cell>
          <cell r="AT5" t="str">
            <v>매  출</v>
          </cell>
          <cell r="AU5" t="str">
            <v>매출익</v>
          </cell>
          <cell r="AV5" t="str">
            <v>%</v>
          </cell>
          <cell r="AZ5" t="str">
            <v>매  출</v>
          </cell>
          <cell r="BA5" t="str">
            <v>매출익</v>
          </cell>
          <cell r="BB5" t="str">
            <v>%</v>
          </cell>
          <cell r="BF5" t="str">
            <v>매  출</v>
          </cell>
          <cell r="BG5" t="str">
            <v>매출익</v>
          </cell>
          <cell r="BH5" t="str">
            <v>%</v>
          </cell>
          <cell r="BL5" t="str">
            <v>매  출</v>
          </cell>
          <cell r="BM5" t="str">
            <v>매출익</v>
          </cell>
          <cell r="BN5" t="str">
            <v>%</v>
          </cell>
          <cell r="BR5" t="str">
            <v>매  출</v>
          </cell>
          <cell r="BS5" t="str">
            <v>매출익</v>
          </cell>
          <cell r="BT5" t="str">
            <v>%</v>
          </cell>
          <cell r="BX5" t="str">
            <v>매  출</v>
          </cell>
          <cell r="BY5" t="str">
            <v>매출익</v>
          </cell>
          <cell r="BZ5" t="str">
            <v>%</v>
          </cell>
          <cell r="CD5" t="str">
            <v>매  출</v>
          </cell>
          <cell r="CE5" t="str">
            <v>매출익</v>
          </cell>
          <cell r="CF5" t="str">
            <v>%</v>
          </cell>
          <cell r="CJ5" t="str">
            <v>매  출</v>
          </cell>
          <cell r="CK5" t="str">
            <v>매출익</v>
          </cell>
          <cell r="CL5" t="str">
            <v>%</v>
          </cell>
          <cell r="CP5" t="str">
            <v>매  출</v>
          </cell>
          <cell r="CQ5" t="str">
            <v>매출익</v>
          </cell>
          <cell r="CR5" t="str">
            <v>%</v>
          </cell>
        </row>
        <row r="6">
          <cell r="J6">
            <v>5080.2</v>
          </cell>
          <cell r="K6">
            <v>2407.4989999999998</v>
          </cell>
          <cell r="L6">
            <v>47.38984685642297</v>
          </cell>
          <cell r="P6">
            <v>6980</v>
          </cell>
          <cell r="Q6">
            <v>3446.0199999999995</v>
          </cell>
          <cell r="R6">
            <v>49.369914040114601</v>
          </cell>
          <cell r="V6">
            <v>6480</v>
          </cell>
          <cell r="W6">
            <v>3202.5889999999999</v>
          </cell>
          <cell r="X6">
            <v>49.422669753086417</v>
          </cell>
          <cell r="AB6">
            <v>6982</v>
          </cell>
          <cell r="AC6">
            <v>3463.5150000000003</v>
          </cell>
          <cell r="AD6">
            <v>49.606344886851907</v>
          </cell>
          <cell r="AH6">
            <v>7582</v>
          </cell>
          <cell r="AI6">
            <v>3802.9749999999999</v>
          </cell>
          <cell r="AJ6">
            <v>50.157939857557373</v>
          </cell>
          <cell r="AN6">
            <v>6912</v>
          </cell>
          <cell r="AO6">
            <v>3461.1369999999997</v>
          </cell>
          <cell r="AP6">
            <v>50.074320023148147</v>
          </cell>
          <cell r="AT6">
            <v>40016.199999999997</v>
          </cell>
          <cell r="AU6">
            <v>19783.735000000001</v>
          </cell>
          <cell r="AV6">
            <v>49.439314577596079</v>
          </cell>
          <cell r="AZ6">
            <v>7210.2</v>
          </cell>
          <cell r="BA6">
            <v>3562.2820000000002</v>
          </cell>
          <cell r="BB6">
            <v>49.406146847521569</v>
          </cell>
          <cell r="BF6">
            <v>6810</v>
          </cell>
          <cell r="BG6">
            <v>3389.623</v>
          </cell>
          <cell r="BH6">
            <v>49.774199706314242</v>
          </cell>
          <cell r="BL6">
            <v>6910</v>
          </cell>
          <cell r="BM6">
            <v>3451.1149999999998</v>
          </cell>
          <cell r="BN6">
            <v>49.943777134587549</v>
          </cell>
          <cell r="BR6">
            <v>7010</v>
          </cell>
          <cell r="BS6">
            <v>3559.3580000000002</v>
          </cell>
          <cell r="BT6">
            <v>50.775435092724685</v>
          </cell>
          <cell r="BX6">
            <v>6616</v>
          </cell>
          <cell r="BY6">
            <v>3361.1709999999998</v>
          </cell>
          <cell r="BZ6">
            <v>50.803672914147512</v>
          </cell>
          <cell r="CD6">
            <v>6490</v>
          </cell>
          <cell r="CE6">
            <v>3211.3739999999998</v>
          </cell>
          <cell r="CF6">
            <v>49.48187981510015</v>
          </cell>
          <cell r="CJ6">
            <v>41046.199999999997</v>
          </cell>
          <cell r="CK6">
            <v>20534.922999999999</v>
          </cell>
          <cell r="CL6">
            <v>50.028804128031346</v>
          </cell>
          <cell r="CP6">
            <v>81062.399999999994</v>
          </cell>
          <cell r="CQ6">
            <v>40318.657999999996</v>
          </cell>
          <cell r="CR6">
            <v>49.737804456813514</v>
          </cell>
        </row>
        <row r="7">
          <cell r="J7">
            <v>3977.4439999999995</v>
          </cell>
          <cell r="K7">
            <v>1183.3609999999999</v>
          </cell>
          <cell r="L7">
            <v>29.751795374114632</v>
          </cell>
          <cell r="P7">
            <v>4253.1260000000002</v>
          </cell>
          <cell r="Q7">
            <v>1252.2260000000001</v>
          </cell>
          <cell r="R7">
            <v>29.442485362530995</v>
          </cell>
          <cell r="V7">
            <v>4928.0949999999993</v>
          </cell>
          <cell r="W7">
            <v>1545.5400000000002</v>
          </cell>
          <cell r="X7">
            <v>31.361814250739901</v>
          </cell>
          <cell r="AB7">
            <v>5425.7809999999999</v>
          </cell>
          <cell r="AC7">
            <v>1747.491</v>
          </cell>
          <cell r="AD7">
            <v>32.207179021785066</v>
          </cell>
          <cell r="AH7">
            <v>5563.165</v>
          </cell>
          <cell r="AI7">
            <v>1824.4960000000001</v>
          </cell>
          <cell r="AJ7">
            <v>32.796007308789157</v>
          </cell>
          <cell r="AN7">
            <v>5662.9149999999991</v>
          </cell>
          <cell r="AO7">
            <v>1878.816</v>
          </cell>
          <cell r="AP7">
            <v>33.177541954982551</v>
          </cell>
          <cell r="AT7">
            <v>29810.525999999998</v>
          </cell>
          <cell r="AU7">
            <v>9431.93</v>
          </cell>
          <cell r="AV7">
            <v>31.639596027255614</v>
          </cell>
          <cell r="AZ7">
            <v>5799.6190000000006</v>
          </cell>
          <cell r="BA7">
            <v>1999.7860000000001</v>
          </cell>
          <cell r="BB7">
            <v>34.481334032459714</v>
          </cell>
          <cell r="BF7">
            <v>5677.0740000000005</v>
          </cell>
          <cell r="BG7">
            <v>1935.0079999999998</v>
          </cell>
          <cell r="BH7">
            <v>34.084600623490189</v>
          </cell>
          <cell r="BL7">
            <v>6223.7839999999997</v>
          </cell>
          <cell r="BM7">
            <v>2153.4450000000002</v>
          </cell>
          <cell r="BN7">
            <v>34.600252836538033</v>
          </cell>
          <cell r="BR7">
            <v>6707.73</v>
          </cell>
          <cell r="BS7">
            <v>2410.6689999999999</v>
          </cell>
          <cell r="BT7">
            <v>35.938670757469367</v>
          </cell>
          <cell r="BX7">
            <v>6533.2460000000001</v>
          </cell>
          <cell r="BY7">
            <v>2383.5590000000002</v>
          </cell>
          <cell r="BZ7">
            <v>36.483533606418618</v>
          </cell>
          <cell r="CD7">
            <v>6097.7659999999996</v>
          </cell>
          <cell r="CE7">
            <v>2294.5249999999996</v>
          </cell>
          <cell r="CF7">
            <v>37.628944764361236</v>
          </cell>
          <cell r="CJ7">
            <v>37039.218999999997</v>
          </cell>
          <cell r="CK7">
            <v>13176.992</v>
          </cell>
          <cell r="CL7">
            <v>35.575782523924168</v>
          </cell>
          <cell r="CP7">
            <v>66849.744999999995</v>
          </cell>
          <cell r="CQ7">
            <v>22608.921999999999</v>
          </cell>
          <cell r="CR7">
            <v>33.820505972012313</v>
          </cell>
        </row>
        <row r="8">
          <cell r="J8">
            <v>9057.6440000000002</v>
          </cell>
          <cell r="K8">
            <v>3590.8599999999997</v>
          </cell>
          <cell r="L8">
            <v>39.644525662523272</v>
          </cell>
          <cell r="P8">
            <v>11233.126</v>
          </cell>
          <cell r="Q8">
            <v>4698.2459999999992</v>
          </cell>
          <cell r="R8">
            <v>41.824920329390046</v>
          </cell>
          <cell r="V8">
            <v>11408.094999999999</v>
          </cell>
          <cell r="W8">
            <v>4748.1289999999999</v>
          </cell>
          <cell r="X8">
            <v>41.620700037999335</v>
          </cell>
          <cell r="AB8">
            <v>12407.780999999999</v>
          </cell>
          <cell r="AC8">
            <v>5211.0060000000003</v>
          </cell>
          <cell r="AD8">
            <v>41.997888260600355</v>
          </cell>
          <cell r="AH8">
            <v>13145.165000000001</v>
          </cell>
          <cell r="AI8">
            <v>5627.4709999999995</v>
          </cell>
          <cell r="AJ8">
            <v>42.810196752950603</v>
          </cell>
          <cell r="AN8">
            <v>12574.914999999999</v>
          </cell>
          <cell r="AO8">
            <v>5339.9529999999995</v>
          </cell>
          <cell r="AP8">
            <v>42.465122030645929</v>
          </cell>
          <cell r="AT8">
            <v>69826.725999999995</v>
          </cell>
          <cell r="AU8">
            <v>29215.665000000001</v>
          </cell>
          <cell r="AV8">
            <v>41.840233208127216</v>
          </cell>
          <cell r="AZ8">
            <v>13009.819</v>
          </cell>
          <cell r="BA8">
            <v>5562.0680000000002</v>
          </cell>
          <cell r="BB8">
            <v>42.752846907401256</v>
          </cell>
          <cell r="BF8">
            <v>12487.074000000001</v>
          </cell>
          <cell r="BG8">
            <v>5324.6309999999994</v>
          </cell>
          <cell r="BH8">
            <v>42.641142352483854</v>
          </cell>
          <cell r="BL8">
            <v>13133.784</v>
          </cell>
          <cell r="BM8">
            <v>5604.5599999999995</v>
          </cell>
          <cell r="BN8">
            <v>42.672850413863969</v>
          </cell>
          <cell r="BR8">
            <v>13717.73</v>
          </cell>
          <cell r="BS8">
            <v>5970.027</v>
          </cell>
          <cell r="BT8">
            <v>43.520516878521448</v>
          </cell>
          <cell r="BX8">
            <v>13149.245999999999</v>
          </cell>
          <cell r="BY8">
            <v>5744.73</v>
          </cell>
          <cell r="BZ8">
            <v>43.688664734084369</v>
          </cell>
          <cell r="CD8">
            <v>12587.766</v>
          </cell>
          <cell r="CE8">
            <v>5505.8989999999994</v>
          </cell>
          <cell r="CF8">
            <v>43.740080646557935</v>
          </cell>
          <cell r="CJ8">
            <v>78085.418999999994</v>
          </cell>
          <cell r="CK8">
            <v>33711.915000000001</v>
          </cell>
          <cell r="CL8">
            <v>43.173124293538088</v>
          </cell>
          <cell r="CP8">
            <v>147912.14499999999</v>
          </cell>
          <cell r="CQ8">
            <v>62927.579999999994</v>
          </cell>
          <cell r="CR8">
            <v>42.543889820541779</v>
          </cell>
        </row>
        <row r="9">
          <cell r="J9">
            <v>10002.058938300001</v>
          </cell>
          <cell r="K9">
            <v>276.137</v>
          </cell>
          <cell r="L9">
            <v>2.7608015679912961</v>
          </cell>
          <cell r="P9">
            <v>10830.822894299998</v>
          </cell>
          <cell r="Q9">
            <v>592.20900000000006</v>
          </cell>
          <cell r="R9">
            <v>5.4678116868817552</v>
          </cell>
          <cell r="V9">
            <v>12094.018668599998</v>
          </cell>
          <cell r="W9">
            <v>931.95600000000002</v>
          </cell>
          <cell r="X9">
            <v>7.7059249331213664</v>
          </cell>
          <cell r="AB9">
            <v>10873.0882526</v>
          </cell>
          <cell r="AC9">
            <v>793.34100000000001</v>
          </cell>
          <cell r="AD9">
            <v>7.2963723053594665</v>
          </cell>
          <cell r="AH9">
            <v>11058.490612600001</v>
          </cell>
          <cell r="AI9">
            <v>775.74900000000002</v>
          </cell>
          <cell r="AJ9">
            <v>7.014962775445273</v>
          </cell>
          <cell r="AN9">
            <v>12819.1381446</v>
          </cell>
          <cell r="AO9">
            <v>1282.8409999999999</v>
          </cell>
          <cell r="AP9">
            <v>10.007232822749403</v>
          </cell>
          <cell r="AT9">
            <v>67677.617510999989</v>
          </cell>
          <cell r="AU9">
            <v>4652.2330000000002</v>
          </cell>
          <cell r="AV9">
            <v>6.8741087099347853</v>
          </cell>
          <cell r="AZ9">
            <v>13476.818236499999</v>
          </cell>
          <cell r="BA9">
            <v>1223.5149999999999</v>
          </cell>
          <cell r="BB9">
            <v>9.0786636617706069</v>
          </cell>
          <cell r="BF9">
            <v>14449.086716499998</v>
          </cell>
          <cell r="BG9">
            <v>1642.1179999999997</v>
          </cell>
          <cell r="BH9">
            <v>11.364856701460575</v>
          </cell>
          <cell r="BL9">
            <v>16231.845898699999</v>
          </cell>
          <cell r="BM9">
            <v>1991.72</v>
          </cell>
          <cell r="BN9">
            <v>12.270446703535523</v>
          </cell>
          <cell r="BR9">
            <v>17955.779347499996</v>
          </cell>
          <cell r="BS9">
            <v>2610.3360000000002</v>
          </cell>
          <cell r="BT9">
            <v>14.537581184764562</v>
          </cell>
          <cell r="BX9">
            <v>15604.308759800002</v>
          </cell>
          <cell r="BY9">
            <v>2125.1059999999998</v>
          </cell>
          <cell r="BZ9">
            <v>13.618712835743946</v>
          </cell>
          <cell r="CD9">
            <v>14725.836911000002</v>
          </cell>
          <cell r="CE9">
            <v>1633.31</v>
          </cell>
          <cell r="CF9">
            <v>11.091457890450622</v>
          </cell>
          <cell r="CJ9">
            <v>92443.675869999992</v>
          </cell>
          <cell r="CK9">
            <v>11226.105</v>
          </cell>
          <cell r="CL9">
            <v>12.143724158899568</v>
          </cell>
          <cell r="CP9">
            <v>160121.293381</v>
          </cell>
          <cell r="CQ9">
            <v>15878.338</v>
          </cell>
          <cell r="CR9">
            <v>9.9164437563081318</v>
          </cell>
        </row>
        <row r="10">
          <cell r="J10">
            <v>972.31740000000002</v>
          </cell>
          <cell r="K10">
            <v>22.815000000000001</v>
          </cell>
          <cell r="L10">
            <v>2.3464560029471859</v>
          </cell>
          <cell r="P10">
            <v>1042.99964</v>
          </cell>
          <cell r="Q10">
            <v>38.016000000000005</v>
          </cell>
          <cell r="R10">
            <v>3.644871823733324</v>
          </cell>
          <cell r="V10">
            <v>1070.0326399999999</v>
          </cell>
          <cell r="W10">
            <v>25.609000000000005</v>
          </cell>
          <cell r="X10">
            <v>2.3932914794075821</v>
          </cell>
          <cell r="AB10">
            <v>1116.394</v>
          </cell>
          <cell r="AC10">
            <v>52.454000000000008</v>
          </cell>
          <cell r="AD10">
            <v>4.698520414835623</v>
          </cell>
          <cell r="AH10">
            <v>1161.8270400000001</v>
          </cell>
          <cell r="AI10">
            <v>59.513000000000005</v>
          </cell>
          <cell r="AJ10">
            <v>5.1223631359104873</v>
          </cell>
          <cell r="AN10">
            <v>1250.7148</v>
          </cell>
          <cell r="AO10">
            <v>93.350000000000009</v>
          </cell>
          <cell r="AP10">
            <v>7.4637319395277011</v>
          </cell>
          <cell r="AT10">
            <v>6614.2855199999995</v>
          </cell>
          <cell r="AU10">
            <v>291.75700000000001</v>
          </cell>
          <cell r="AV10">
            <v>4.4110130885308383</v>
          </cell>
          <cell r="AZ10">
            <v>1646.4878000000001</v>
          </cell>
          <cell r="BA10">
            <v>164.749</v>
          </cell>
          <cell r="BB10">
            <v>10.006086895997649</v>
          </cell>
          <cell r="BF10">
            <v>1684.3518000000001</v>
          </cell>
          <cell r="BG10">
            <v>194.85599999999999</v>
          </cell>
          <cell r="BH10">
            <v>11.568604610984472</v>
          </cell>
          <cell r="BL10">
            <v>1833.1027999999999</v>
          </cell>
          <cell r="BM10">
            <v>206.72200000000001</v>
          </cell>
          <cell r="BN10">
            <v>11.277163506596576</v>
          </cell>
          <cell r="BR10">
            <v>1905.1887999999999</v>
          </cell>
          <cell r="BS10">
            <v>251.24900000000005</v>
          </cell>
          <cell r="BT10">
            <v>13.187616891302326</v>
          </cell>
          <cell r="BX10">
            <v>1966.6469999999999</v>
          </cell>
          <cell r="BY10">
            <v>256.78699999999998</v>
          </cell>
          <cell r="BZ10">
            <v>13.057096672661642</v>
          </cell>
          <cell r="CD10">
            <v>1987.1208000000001</v>
          </cell>
          <cell r="CE10">
            <v>279.38100000000003</v>
          </cell>
          <cell r="CF10">
            <v>14.059588123681257</v>
          </cell>
          <cell r="CJ10">
            <v>11022.899000000001</v>
          </cell>
          <cell r="CK10">
            <v>1353.7440000000001</v>
          </cell>
          <cell r="CL10">
            <v>12.281197532518441</v>
          </cell>
          <cell r="CP10">
            <v>17637.184520000003</v>
          </cell>
          <cell r="CQ10">
            <v>1645.5010000000002</v>
          </cell>
          <cell r="CR10">
            <v>9.3297260576599115</v>
          </cell>
        </row>
        <row r="11">
          <cell r="J11">
            <v>10974.3763383</v>
          </cell>
          <cell r="K11">
            <v>298.952</v>
          </cell>
          <cell r="L11">
            <v>2.724091016968984</v>
          </cell>
          <cell r="P11">
            <v>11873.822534299998</v>
          </cell>
          <cell r="Q11">
            <v>630.22500000000002</v>
          </cell>
          <cell r="R11">
            <v>5.3076841781950543</v>
          </cell>
          <cell r="V11">
            <v>13164.051308599997</v>
          </cell>
          <cell r="W11">
            <v>957.56500000000005</v>
          </cell>
          <cell r="X11">
            <v>7.274090457049712</v>
          </cell>
          <cell r="AB11">
            <v>11989.482252600001</v>
          </cell>
          <cell r="AC11">
            <v>845.79500000000007</v>
          </cell>
          <cell r="AD11">
            <v>7.0544747653017605</v>
          </cell>
          <cell r="AH11">
            <v>12220.317652600001</v>
          </cell>
          <cell r="AI11">
            <v>835.26200000000006</v>
          </cell>
          <cell r="AJ11">
            <v>6.8350269096506615</v>
          </cell>
          <cell r="AN11">
            <v>14069.852944599999</v>
          </cell>
          <cell r="AO11">
            <v>1376.1909999999998</v>
          </cell>
          <cell r="AP11">
            <v>9.7811327909307053</v>
          </cell>
          <cell r="AT11">
            <v>74291.903030999994</v>
          </cell>
          <cell r="AU11">
            <v>4943.99</v>
          </cell>
          <cell r="AV11">
            <v>6.6548167408459129</v>
          </cell>
          <cell r="AZ11">
            <v>15123.3060365</v>
          </cell>
          <cell r="BA11">
            <v>1388.2639999999999</v>
          </cell>
          <cell r="BB11">
            <v>9.1796330554273897</v>
          </cell>
          <cell r="BF11">
            <v>16133.438516499999</v>
          </cell>
          <cell r="BG11">
            <v>1836.9739999999997</v>
          </cell>
          <cell r="BH11">
            <v>11.386128246134813</v>
          </cell>
          <cell r="BL11">
            <v>18064.948698699998</v>
          </cell>
          <cell r="BM11">
            <v>2198.442</v>
          </cell>
          <cell r="BN11">
            <v>12.169655373326389</v>
          </cell>
          <cell r="BR11">
            <v>19860.968147499996</v>
          </cell>
          <cell r="BS11">
            <v>2861.5850000000005</v>
          </cell>
          <cell r="BT11">
            <v>14.408084131388144</v>
          </cell>
          <cell r="BX11">
            <v>17570.955759800003</v>
          </cell>
          <cell r="BY11">
            <v>2381.8929999999996</v>
          </cell>
          <cell r="BZ11">
            <v>13.555853378502336</v>
          </cell>
          <cell r="CD11">
            <v>16712.957711000003</v>
          </cell>
          <cell r="CE11">
            <v>1912.691</v>
          </cell>
          <cell r="CF11">
            <v>11.444359718215049</v>
          </cell>
          <cell r="CJ11">
            <v>103466.57487</v>
          </cell>
          <cell r="CK11">
            <v>12579.849</v>
          </cell>
          <cell r="CL11">
            <v>12.158370000945602</v>
          </cell>
          <cell r="CP11">
            <v>177758.47790100001</v>
          </cell>
          <cell r="CQ11">
            <v>17523.839</v>
          </cell>
          <cell r="CR11">
            <v>9.8582296647249912</v>
          </cell>
        </row>
        <row r="12">
          <cell r="J12">
            <v>20032.020338300001</v>
          </cell>
          <cell r="K12">
            <v>3889.8119999999999</v>
          </cell>
          <cell r="L12">
            <v>19.417971499174833</v>
          </cell>
          <cell r="P12">
            <v>23106.948534299998</v>
          </cell>
          <cell r="Q12">
            <v>5328.4709999999995</v>
          </cell>
          <cell r="R12">
            <v>23.060037512484207</v>
          </cell>
          <cell r="V12">
            <v>24572.146308599997</v>
          </cell>
          <cell r="W12">
            <v>5705.6939999999995</v>
          </cell>
          <cell r="X12">
            <v>23.220169407843162</v>
          </cell>
          <cell r="AB12">
            <v>24397.263252600002</v>
          </cell>
          <cell r="AC12">
            <v>6056.8010000000004</v>
          </cell>
          <cell r="AD12">
            <v>24.825739417123067</v>
          </cell>
          <cell r="AH12">
            <v>25365.482652600003</v>
          </cell>
          <cell r="AI12">
            <v>6462.7329999999993</v>
          </cell>
          <cell r="AJ12">
            <v>25.478454672091793</v>
          </cell>
          <cell r="AN12">
            <v>26644.767944599997</v>
          </cell>
          <cell r="AO12">
            <v>6716.1439999999993</v>
          </cell>
          <cell r="AP12">
            <v>25.206239416174526</v>
          </cell>
          <cell r="AT12">
            <v>144118.62903099999</v>
          </cell>
          <cell r="AU12">
            <v>34159.654999999999</v>
          </cell>
          <cell r="AV12">
            <v>23.702456254043494</v>
          </cell>
          <cell r="AZ12">
            <v>28133.125036500001</v>
          </cell>
          <cell r="BA12">
            <v>6950.3320000000003</v>
          </cell>
          <cell r="BB12">
            <v>24.705154478866525</v>
          </cell>
          <cell r="BF12">
            <v>28620.512516499999</v>
          </cell>
          <cell r="BG12">
            <v>7161.6049999999996</v>
          </cell>
          <cell r="BH12">
            <v>25.022630170830329</v>
          </cell>
          <cell r="BL12">
            <v>31198.732698699998</v>
          </cell>
          <cell r="BM12">
            <v>7803.0019999999995</v>
          </cell>
          <cell r="BN12">
            <v>25.010637692745576</v>
          </cell>
          <cell r="BR12">
            <v>33578.698147499992</v>
          </cell>
          <cell r="BS12">
            <v>8831.612000000001</v>
          </cell>
          <cell r="BT12">
            <v>26.301234077645546</v>
          </cell>
          <cell r="BX12">
            <v>30720.201759800002</v>
          </cell>
          <cell r="BY12">
            <v>8126.6229999999996</v>
          </cell>
          <cell r="BZ12">
            <v>26.453677171594549</v>
          </cell>
          <cell r="CD12">
            <v>29300.723711000002</v>
          </cell>
          <cell r="CE12">
            <v>7418.5899999999992</v>
          </cell>
          <cell r="CF12">
            <v>25.318794420135539</v>
          </cell>
          <cell r="CJ12">
            <v>181551.99387000001</v>
          </cell>
          <cell r="CK12">
            <v>46291.764000000003</v>
          </cell>
          <cell r="CL12">
            <v>25.497799838622065</v>
          </cell>
          <cell r="CP12">
            <v>325670.62290099997</v>
          </cell>
          <cell r="CQ12">
            <v>80451.418999999994</v>
          </cell>
          <cell r="CR12">
            <v>24.703308601603982</v>
          </cell>
        </row>
        <row r="13">
          <cell r="J13">
            <v>9772.315208</v>
          </cell>
          <cell r="K13">
            <v>784</v>
          </cell>
          <cell r="L13">
            <v>8.0226638551137484</v>
          </cell>
          <cell r="P13">
            <v>10104.57582</v>
          </cell>
          <cell r="Q13">
            <v>1212.32</v>
          </cell>
          <cell r="R13">
            <v>11.997732726201663</v>
          </cell>
          <cell r="V13">
            <v>10238.41455</v>
          </cell>
          <cell r="W13">
            <v>1093</v>
          </cell>
          <cell r="X13">
            <v>10.675481000131999</v>
          </cell>
          <cell r="AB13">
            <v>10986.750498000001</v>
          </cell>
          <cell r="AC13">
            <v>1640</v>
          </cell>
          <cell r="AD13">
            <v>14.927070568304442</v>
          </cell>
          <cell r="AH13">
            <v>13172.356744000001</v>
          </cell>
          <cell r="AI13">
            <v>3022</v>
          </cell>
          <cell r="AJ13">
            <v>22.941984177406365</v>
          </cell>
          <cell r="AN13">
            <v>13314.959923999999</v>
          </cell>
          <cell r="AO13">
            <v>3286.6</v>
          </cell>
          <cell r="AP13">
            <v>24.683514023019754</v>
          </cell>
          <cell r="AT13">
            <v>67589.372743999993</v>
          </cell>
          <cell r="AU13">
            <v>11037.92</v>
          </cell>
          <cell r="AV13">
            <v>16.330851362990124</v>
          </cell>
          <cell r="AZ13">
            <v>14188.403252</v>
          </cell>
          <cell r="BA13">
            <v>3951</v>
          </cell>
          <cell r="BB13">
            <v>27.846685281115523</v>
          </cell>
          <cell r="BF13">
            <v>14461.367507999999</v>
          </cell>
          <cell r="BG13">
            <v>4156</v>
          </cell>
          <cell r="BH13">
            <v>28.738637599113009</v>
          </cell>
          <cell r="BL13">
            <v>14658.670495999999</v>
          </cell>
          <cell r="BM13">
            <v>4141</v>
          </cell>
          <cell r="BN13">
            <v>28.249492347412954</v>
          </cell>
          <cell r="BR13">
            <v>15615.06099</v>
          </cell>
          <cell r="BS13">
            <v>5167</v>
          </cell>
          <cell r="BT13">
            <v>33.089848341348045</v>
          </cell>
          <cell r="BX13">
            <v>16011.699107999999</v>
          </cell>
          <cell r="BY13">
            <v>5391</v>
          </cell>
          <cell r="BZ13">
            <v>33.669131324772835</v>
          </cell>
          <cell r="CD13">
            <v>16591.007771999997</v>
          </cell>
          <cell r="CE13">
            <v>5848</v>
          </cell>
          <cell r="CF13">
            <v>35.24800952639805</v>
          </cell>
          <cell r="CJ13">
            <v>91526.209125999987</v>
          </cell>
          <cell r="CK13">
            <v>28654</v>
          </cell>
          <cell r="CL13">
            <v>31.306879497820496</v>
          </cell>
          <cell r="CP13">
            <v>159115.58186999999</v>
          </cell>
          <cell r="CQ13">
            <v>39691.919999999998</v>
          </cell>
          <cell r="CR13">
            <v>24.945338183427531</v>
          </cell>
        </row>
        <row r="14">
          <cell r="J14">
            <v>339</v>
          </cell>
          <cell r="K14">
            <v>46.81</v>
          </cell>
          <cell r="L14">
            <v>13.808259587020649</v>
          </cell>
          <cell r="P14">
            <v>1445</v>
          </cell>
          <cell r="Q14">
            <v>206.73400000000004</v>
          </cell>
          <cell r="R14">
            <v>14.306851211072665</v>
          </cell>
          <cell r="V14">
            <v>7712</v>
          </cell>
          <cell r="W14">
            <v>1954.229</v>
          </cell>
          <cell r="X14">
            <v>25.340106327800832</v>
          </cell>
          <cell r="AB14">
            <v>4022</v>
          </cell>
          <cell r="AC14">
            <v>885.24299999999994</v>
          </cell>
          <cell r="AD14">
            <v>22.01001989060169</v>
          </cell>
          <cell r="AH14">
            <v>14991</v>
          </cell>
          <cell r="AI14">
            <v>2686.4960000000001</v>
          </cell>
          <cell r="AJ14">
            <v>17.920725768794611</v>
          </cell>
          <cell r="AN14">
            <v>8623</v>
          </cell>
          <cell r="AO14">
            <v>1862.47</v>
          </cell>
          <cell r="AP14">
            <v>21.598863504580773</v>
          </cell>
          <cell r="AT14">
            <v>37132</v>
          </cell>
          <cell r="AU14">
            <v>7641.9820000000009</v>
          </cell>
          <cell r="AV14">
            <v>20.580582785737374</v>
          </cell>
          <cell r="AZ14">
            <v>3970</v>
          </cell>
          <cell r="BA14">
            <v>741.89499999999998</v>
          </cell>
          <cell r="BB14">
            <v>18.687531486146096</v>
          </cell>
          <cell r="BF14">
            <v>11943</v>
          </cell>
          <cell r="BG14">
            <v>2358.4049999999997</v>
          </cell>
          <cell r="BH14">
            <v>19.747174076865107</v>
          </cell>
          <cell r="BL14">
            <v>7260</v>
          </cell>
          <cell r="BM14">
            <v>1757.6100000000001</v>
          </cell>
          <cell r="BN14">
            <v>24.209504132231409</v>
          </cell>
          <cell r="BR14">
            <v>16294</v>
          </cell>
          <cell r="BS14">
            <v>2674.2559999999994</v>
          </cell>
          <cell r="BT14">
            <v>16.412519945992386</v>
          </cell>
          <cell r="BX14">
            <v>10826</v>
          </cell>
          <cell r="BY14">
            <v>2062.0360000000001</v>
          </cell>
          <cell r="BZ14">
            <v>19.047071864031036</v>
          </cell>
          <cell r="CD14">
            <v>18728</v>
          </cell>
          <cell r="CE14">
            <v>6049.2673000000004</v>
          </cell>
          <cell r="CF14">
            <v>32.300658372490396</v>
          </cell>
          <cell r="CJ14">
            <v>69021</v>
          </cell>
          <cell r="CK14">
            <v>15643.469300000001</v>
          </cell>
          <cell r="CL14">
            <v>22.664796656090179</v>
          </cell>
          <cell r="CP14">
            <v>106153</v>
          </cell>
          <cell r="CQ14">
            <v>23285.451300000001</v>
          </cell>
          <cell r="CR14">
            <v>21.935744915358022</v>
          </cell>
        </row>
        <row r="15">
          <cell r="J15">
            <v>27</v>
          </cell>
          <cell r="K15">
            <v>13.978</v>
          </cell>
          <cell r="L15">
            <v>51.770370370370365</v>
          </cell>
          <cell r="P15">
            <v>1942</v>
          </cell>
          <cell r="Q15">
            <v>284.27300000000002</v>
          </cell>
          <cell r="R15">
            <v>14.638156539649847</v>
          </cell>
          <cell r="V15">
            <v>3607</v>
          </cell>
          <cell r="W15">
            <v>344.80200000000002</v>
          </cell>
          <cell r="X15">
            <v>9.559245910729139</v>
          </cell>
          <cell r="AB15">
            <v>5019</v>
          </cell>
          <cell r="AC15">
            <v>853.39300000000003</v>
          </cell>
          <cell r="AD15">
            <v>17.003247658896196</v>
          </cell>
          <cell r="AH15">
            <v>7404</v>
          </cell>
          <cell r="AI15">
            <v>1083.519</v>
          </cell>
          <cell r="AJ15">
            <v>14.634238249594814</v>
          </cell>
          <cell r="AN15">
            <v>9490</v>
          </cell>
          <cell r="AO15">
            <v>1192.127</v>
          </cell>
          <cell r="AP15">
            <v>12.561928345626974</v>
          </cell>
          <cell r="AT15">
            <v>27489</v>
          </cell>
          <cell r="AU15">
            <v>3772.0920000000001</v>
          </cell>
          <cell r="AV15">
            <v>13.722187056640839</v>
          </cell>
          <cell r="AZ15">
            <v>1875</v>
          </cell>
          <cell r="BA15">
            <v>359.90100000000001</v>
          </cell>
          <cell r="BB15">
            <v>19.19472</v>
          </cell>
          <cell r="BF15">
            <v>6363</v>
          </cell>
          <cell r="BG15">
            <v>1232.24</v>
          </cell>
          <cell r="BH15">
            <v>19.365707999371367</v>
          </cell>
          <cell r="BL15">
            <v>6420</v>
          </cell>
          <cell r="BM15">
            <v>1054.6299999999999</v>
          </cell>
          <cell r="BN15">
            <v>16.427258566978193</v>
          </cell>
          <cell r="BR15">
            <v>8793</v>
          </cell>
          <cell r="BS15">
            <v>1212.95</v>
          </cell>
          <cell r="BT15">
            <v>13.794495621517116</v>
          </cell>
          <cell r="BX15">
            <v>8296</v>
          </cell>
          <cell r="BY15">
            <v>1728.5900000000001</v>
          </cell>
          <cell r="BZ15">
            <v>20.836427193828353</v>
          </cell>
          <cell r="CD15">
            <v>14764</v>
          </cell>
          <cell r="CE15">
            <v>2285.0230000000001</v>
          </cell>
          <cell r="CF15">
            <v>15.476991330262802</v>
          </cell>
          <cell r="CJ15">
            <v>46511</v>
          </cell>
          <cell r="CK15">
            <v>7873.3339999999998</v>
          </cell>
          <cell r="CL15">
            <v>16.927896626604458</v>
          </cell>
          <cell r="CP15">
            <v>74000</v>
          </cell>
          <cell r="CQ15">
            <v>11645.425999999999</v>
          </cell>
          <cell r="CR15">
            <v>15.737062162162161</v>
          </cell>
        </row>
        <row r="16">
          <cell r="J16">
            <v>366</v>
          </cell>
          <cell r="K16">
            <v>60.788000000000004</v>
          </cell>
          <cell r="L16">
            <v>16.608743169398906</v>
          </cell>
          <cell r="P16">
            <v>3387</v>
          </cell>
          <cell r="Q16">
            <v>491.00700000000006</v>
          </cell>
          <cell r="R16">
            <v>14.496811337466786</v>
          </cell>
          <cell r="V16">
            <v>11319</v>
          </cell>
          <cell r="W16">
            <v>2299.0309999999999</v>
          </cell>
          <cell r="X16">
            <v>20.311255411255409</v>
          </cell>
          <cell r="AB16">
            <v>9041</v>
          </cell>
          <cell r="AC16">
            <v>1738.636</v>
          </cell>
          <cell r="AD16">
            <v>19.230571839398298</v>
          </cell>
          <cell r="AH16">
            <v>22395</v>
          </cell>
          <cell r="AI16">
            <v>3770.0150000000003</v>
          </cell>
          <cell r="AJ16">
            <v>16.834181736994864</v>
          </cell>
          <cell r="AN16">
            <v>18113</v>
          </cell>
          <cell r="AO16">
            <v>3054.5969999999998</v>
          </cell>
          <cell r="AP16">
            <v>16.864114172141555</v>
          </cell>
          <cell r="AT16">
            <v>64621</v>
          </cell>
          <cell r="AU16">
            <v>11414.074000000001</v>
          </cell>
          <cell r="AV16">
            <v>17.663103325544331</v>
          </cell>
          <cell r="AZ16">
            <v>5845</v>
          </cell>
          <cell r="BA16">
            <v>1101.796</v>
          </cell>
          <cell r="BB16">
            <v>18.850230966638154</v>
          </cell>
          <cell r="BF16">
            <v>18306</v>
          </cell>
          <cell r="BG16">
            <v>3590.6449999999995</v>
          </cell>
          <cell r="BH16">
            <v>19.614579919152188</v>
          </cell>
          <cell r="BL16">
            <v>13680</v>
          </cell>
          <cell r="BM16">
            <v>2812.24</v>
          </cell>
          <cell r="BN16">
            <v>20.557309941520465</v>
          </cell>
          <cell r="BR16">
            <v>25087</v>
          </cell>
          <cell r="BS16">
            <v>3887.2059999999992</v>
          </cell>
          <cell r="BT16">
            <v>15.494901741938053</v>
          </cell>
          <cell r="BX16">
            <v>19122</v>
          </cell>
          <cell r="BY16">
            <v>3790.6260000000002</v>
          </cell>
          <cell r="BZ16">
            <v>19.823376215877001</v>
          </cell>
          <cell r="CD16">
            <v>33492</v>
          </cell>
          <cell r="CE16">
            <v>8334.2903000000006</v>
          </cell>
          <cell r="CF16">
            <v>24.884421055774514</v>
          </cell>
          <cell r="CJ16">
            <v>115532</v>
          </cell>
          <cell r="CK16">
            <v>23516.8033</v>
          </cell>
          <cell r="CL16">
            <v>20.355229114011703</v>
          </cell>
          <cell r="CP16">
            <v>180153</v>
          </cell>
          <cell r="CQ16">
            <v>34930.8773</v>
          </cell>
          <cell r="CR16">
            <v>19.389561816900081</v>
          </cell>
        </row>
        <row r="17">
          <cell r="J17">
            <v>0</v>
          </cell>
          <cell r="K17">
            <v>0</v>
          </cell>
          <cell r="L17">
            <v>0</v>
          </cell>
          <cell r="P17">
            <v>0</v>
          </cell>
          <cell r="Q17">
            <v>0</v>
          </cell>
          <cell r="R17">
            <v>0</v>
          </cell>
          <cell r="V17">
            <v>0</v>
          </cell>
          <cell r="W17">
            <v>0</v>
          </cell>
          <cell r="X17">
            <v>0</v>
          </cell>
          <cell r="AB17">
            <v>0</v>
          </cell>
          <cell r="AC17">
            <v>0</v>
          </cell>
          <cell r="AD17">
            <v>0</v>
          </cell>
          <cell r="AH17">
            <v>506</v>
          </cell>
          <cell r="AI17">
            <v>30</v>
          </cell>
          <cell r="AJ17">
            <v>5.928853754940711</v>
          </cell>
          <cell r="AN17">
            <v>0</v>
          </cell>
          <cell r="AO17">
            <v>0</v>
          </cell>
          <cell r="AP17">
            <v>0</v>
          </cell>
          <cell r="AT17">
            <v>506</v>
          </cell>
          <cell r="AU17">
            <v>30</v>
          </cell>
          <cell r="AV17">
            <v>5.928853754940711</v>
          </cell>
          <cell r="AZ17">
            <v>0</v>
          </cell>
          <cell r="BA17">
            <v>0</v>
          </cell>
          <cell r="BB17">
            <v>0</v>
          </cell>
          <cell r="BF17">
            <v>0</v>
          </cell>
          <cell r="BG17">
            <v>0</v>
          </cell>
          <cell r="BH17">
            <v>0</v>
          </cell>
          <cell r="BL17">
            <v>0</v>
          </cell>
          <cell r="BM17">
            <v>0</v>
          </cell>
          <cell r="BN17">
            <v>0</v>
          </cell>
          <cell r="BR17">
            <v>30350</v>
          </cell>
          <cell r="BS17">
            <v>2886</v>
          </cell>
          <cell r="BT17">
            <v>9.5090609555189456</v>
          </cell>
          <cell r="BX17">
            <v>7650</v>
          </cell>
          <cell r="BY17">
            <v>711</v>
          </cell>
          <cell r="BZ17">
            <v>9.2941176470588243</v>
          </cell>
          <cell r="CD17">
            <v>0</v>
          </cell>
          <cell r="CE17">
            <v>0</v>
          </cell>
          <cell r="CF17">
            <v>0</v>
          </cell>
          <cell r="CJ17">
            <v>38000</v>
          </cell>
          <cell r="CK17">
            <v>3597</v>
          </cell>
          <cell r="CL17">
            <v>9.465789473684211</v>
          </cell>
          <cell r="CP17">
            <v>38506</v>
          </cell>
          <cell r="CQ17">
            <v>3627</v>
          </cell>
          <cell r="CR17">
            <v>9.4193112761647537</v>
          </cell>
        </row>
        <row r="18">
          <cell r="J18">
            <v>905</v>
          </cell>
          <cell r="K18">
            <v>89</v>
          </cell>
          <cell r="L18">
            <v>9.8342541436464099</v>
          </cell>
          <cell r="P18">
            <v>2419</v>
          </cell>
          <cell r="Q18">
            <v>82</v>
          </cell>
          <cell r="R18">
            <v>3.3898305084745761</v>
          </cell>
          <cell r="V18">
            <v>1541</v>
          </cell>
          <cell r="W18">
            <v>218</v>
          </cell>
          <cell r="X18">
            <v>14.146658014276445</v>
          </cell>
          <cell r="AB18">
            <v>1959</v>
          </cell>
          <cell r="AC18">
            <v>288</v>
          </cell>
          <cell r="AD18">
            <v>14.701378254211333</v>
          </cell>
          <cell r="AH18">
            <v>2048</v>
          </cell>
          <cell r="AI18">
            <v>245</v>
          </cell>
          <cell r="AJ18">
            <v>11.962890625</v>
          </cell>
          <cell r="AN18">
            <v>2214</v>
          </cell>
          <cell r="AO18">
            <v>359</v>
          </cell>
          <cell r="AP18">
            <v>16.214995483288167</v>
          </cell>
          <cell r="AT18">
            <v>11086</v>
          </cell>
          <cell r="AU18">
            <v>1281</v>
          </cell>
          <cell r="AV18">
            <v>11.555114558903121</v>
          </cell>
          <cell r="AZ18">
            <v>2818</v>
          </cell>
          <cell r="BA18">
            <v>592</v>
          </cell>
          <cell r="BB18">
            <v>21.007806955287439</v>
          </cell>
          <cell r="BF18">
            <v>2023</v>
          </cell>
          <cell r="BG18">
            <v>472</v>
          </cell>
          <cell r="BH18">
            <v>23.331685615422639</v>
          </cell>
          <cell r="BL18">
            <v>2942</v>
          </cell>
          <cell r="BM18">
            <v>697</v>
          </cell>
          <cell r="BN18">
            <v>23.691366417403124</v>
          </cell>
          <cell r="BR18">
            <v>2473</v>
          </cell>
          <cell r="BS18">
            <v>603</v>
          </cell>
          <cell r="BT18">
            <v>24.383340072786091</v>
          </cell>
          <cell r="BX18">
            <v>5105</v>
          </cell>
          <cell r="BY18">
            <v>2502</v>
          </cell>
          <cell r="BZ18">
            <v>49.010773751224292</v>
          </cell>
          <cell r="CD18">
            <v>5572</v>
          </cell>
          <cell r="CE18">
            <v>1608</v>
          </cell>
          <cell r="CF18">
            <v>28.858578607322329</v>
          </cell>
          <cell r="CJ18">
            <v>20933</v>
          </cell>
          <cell r="CK18">
            <v>6474</v>
          </cell>
          <cell r="CL18">
            <v>30.927244064395932</v>
          </cell>
          <cell r="CP18">
            <v>32019</v>
          </cell>
          <cell r="CQ18">
            <v>7755</v>
          </cell>
          <cell r="CR18">
            <v>24.219994378337862</v>
          </cell>
        </row>
        <row r="19">
          <cell r="J19">
            <v>1726</v>
          </cell>
          <cell r="K19">
            <v>-134</v>
          </cell>
          <cell r="L19">
            <v>-7.7636152954808804</v>
          </cell>
          <cell r="P19">
            <v>2223</v>
          </cell>
          <cell r="Q19">
            <v>-109</v>
          </cell>
          <cell r="R19">
            <v>-4.9032838506522713</v>
          </cell>
          <cell r="V19">
            <v>2491</v>
          </cell>
          <cell r="W19">
            <v>-48</v>
          </cell>
          <cell r="X19">
            <v>-1.9269369731031716</v>
          </cell>
          <cell r="AB19">
            <v>2401</v>
          </cell>
          <cell r="AC19">
            <v>-129</v>
          </cell>
          <cell r="AD19">
            <v>-5.3727613494377344</v>
          </cell>
          <cell r="AH19">
            <v>3275</v>
          </cell>
          <cell r="AI19">
            <v>-182</v>
          </cell>
          <cell r="AJ19">
            <v>-5.557251908396946</v>
          </cell>
          <cell r="AN19">
            <v>4187</v>
          </cell>
          <cell r="AO19">
            <v>515</v>
          </cell>
          <cell r="AP19">
            <v>12.29997611655123</v>
          </cell>
          <cell r="AT19">
            <v>16303</v>
          </cell>
          <cell r="AU19">
            <v>-87</v>
          </cell>
          <cell r="AV19">
            <v>-0.53364411458013861</v>
          </cell>
          <cell r="AZ19">
            <v>5656</v>
          </cell>
          <cell r="BA19">
            <v>613</v>
          </cell>
          <cell r="BB19">
            <v>10.838048090523337</v>
          </cell>
          <cell r="BF19">
            <v>5846</v>
          </cell>
          <cell r="BG19">
            <v>980</v>
          </cell>
          <cell r="BH19">
            <v>16.763599042080056</v>
          </cell>
          <cell r="BL19">
            <v>6763</v>
          </cell>
          <cell r="BM19">
            <v>-322</v>
          </cell>
          <cell r="BN19">
            <v>-4.7612006505988465</v>
          </cell>
          <cell r="BR19">
            <v>4993</v>
          </cell>
          <cell r="BS19">
            <v>714</v>
          </cell>
          <cell r="BT19">
            <v>14.300020028039254</v>
          </cell>
          <cell r="BX19">
            <v>4350</v>
          </cell>
          <cell r="BY19">
            <v>28</v>
          </cell>
          <cell r="BZ19">
            <v>0.64367816091954022</v>
          </cell>
          <cell r="CD19">
            <v>4114</v>
          </cell>
          <cell r="CE19">
            <v>76</v>
          </cell>
          <cell r="CF19">
            <v>1.8473505104521146</v>
          </cell>
          <cell r="CJ19">
            <v>31722</v>
          </cell>
          <cell r="CK19">
            <v>2089</v>
          </cell>
          <cell r="CL19">
            <v>6.5853350986696926</v>
          </cell>
          <cell r="CP19">
            <v>48025</v>
          </cell>
          <cell r="CQ19">
            <v>2002</v>
          </cell>
          <cell r="CR19">
            <v>4.1686621551275378</v>
          </cell>
        </row>
        <row r="20">
          <cell r="J20">
            <v>0</v>
          </cell>
          <cell r="K20">
            <v>0</v>
          </cell>
          <cell r="L20">
            <v>0</v>
          </cell>
          <cell r="P20">
            <v>0</v>
          </cell>
          <cell r="Q20">
            <v>0</v>
          </cell>
          <cell r="R20">
            <v>0</v>
          </cell>
          <cell r="V20">
            <v>0</v>
          </cell>
          <cell r="W20">
            <v>0</v>
          </cell>
          <cell r="X20">
            <v>0</v>
          </cell>
          <cell r="AB20">
            <v>0</v>
          </cell>
          <cell r="AC20">
            <v>0</v>
          </cell>
          <cell r="AD20">
            <v>0</v>
          </cell>
          <cell r="AH20">
            <v>0</v>
          </cell>
          <cell r="AI20">
            <v>0</v>
          </cell>
          <cell r="AJ20">
            <v>0</v>
          </cell>
          <cell r="AN20">
            <v>4807</v>
          </cell>
          <cell r="AO20">
            <v>-272</v>
          </cell>
          <cell r="AP20">
            <v>-5.6584148117328894</v>
          </cell>
          <cell r="AT20">
            <v>4807</v>
          </cell>
          <cell r="AU20">
            <v>-272</v>
          </cell>
          <cell r="AV20">
            <v>-5.6584148117328894</v>
          </cell>
          <cell r="AZ20">
            <v>2091</v>
          </cell>
          <cell r="BA20">
            <v>-227</v>
          </cell>
          <cell r="BB20">
            <v>-10.856049736967959</v>
          </cell>
          <cell r="BF20">
            <v>3162</v>
          </cell>
          <cell r="BG20">
            <v>79</v>
          </cell>
          <cell r="BH20">
            <v>2.4984187223276404</v>
          </cell>
          <cell r="BL20">
            <v>4428</v>
          </cell>
          <cell r="BM20">
            <v>-146</v>
          </cell>
          <cell r="BN20">
            <v>-3.2971996386630531</v>
          </cell>
          <cell r="BR20">
            <v>1678</v>
          </cell>
          <cell r="BS20">
            <v>-11</v>
          </cell>
          <cell r="BT20">
            <v>-0.65554231227651971</v>
          </cell>
          <cell r="BX20">
            <v>2069</v>
          </cell>
          <cell r="BY20">
            <v>2</v>
          </cell>
          <cell r="BZ20">
            <v>9.6665055582406956E-2</v>
          </cell>
          <cell r="CD20">
            <v>10169</v>
          </cell>
          <cell r="CE20">
            <v>-70</v>
          </cell>
          <cell r="CF20">
            <v>-0.6883666043858786</v>
          </cell>
          <cell r="CJ20">
            <v>23597</v>
          </cell>
          <cell r="CK20">
            <v>-373</v>
          </cell>
          <cell r="CL20">
            <v>-1.5807094122134169</v>
          </cell>
          <cell r="CP20">
            <v>28404</v>
          </cell>
          <cell r="CQ20">
            <v>-645</v>
          </cell>
          <cell r="CR20">
            <v>-2.2708069286016057</v>
          </cell>
        </row>
        <row r="21">
          <cell r="J21">
            <v>2631</v>
          </cell>
          <cell r="K21">
            <v>-45</v>
          </cell>
          <cell r="L21">
            <v>-1.7103762827822122</v>
          </cell>
          <cell r="P21">
            <v>4642</v>
          </cell>
          <cell r="Q21">
            <v>-27</v>
          </cell>
          <cell r="R21">
            <v>-0.58164584230934946</v>
          </cell>
          <cell r="V21">
            <v>4032</v>
          </cell>
          <cell r="W21">
            <v>170</v>
          </cell>
          <cell r="X21">
            <v>4.2162698412698418</v>
          </cell>
          <cell r="AB21">
            <v>4360</v>
          </cell>
          <cell r="AC21">
            <v>159</v>
          </cell>
          <cell r="AD21">
            <v>3.6467889908256881</v>
          </cell>
          <cell r="AH21">
            <v>5323</v>
          </cell>
          <cell r="AI21">
            <v>63</v>
          </cell>
          <cell r="AJ21">
            <v>1.1835431147848958</v>
          </cell>
          <cell r="AN21">
            <v>11208</v>
          </cell>
          <cell r="AO21">
            <v>602</v>
          </cell>
          <cell r="AP21">
            <v>5.3711634546752318</v>
          </cell>
          <cell r="AT21">
            <v>32196</v>
          </cell>
          <cell r="AU21">
            <v>922</v>
          </cell>
          <cell r="AV21">
            <v>2.8637097776121259</v>
          </cell>
          <cell r="AZ21">
            <v>10565</v>
          </cell>
          <cell r="BA21">
            <v>978</v>
          </cell>
          <cell r="BB21">
            <v>9.2569805963085656</v>
          </cell>
          <cell r="BF21">
            <v>11031</v>
          </cell>
          <cell r="BG21">
            <v>1531</v>
          </cell>
          <cell r="BH21">
            <v>13.879068080863021</v>
          </cell>
          <cell r="BL21">
            <v>14133</v>
          </cell>
          <cell r="BM21">
            <v>229</v>
          </cell>
          <cell r="BN21">
            <v>1.620321233991368</v>
          </cell>
          <cell r="BR21">
            <v>9144</v>
          </cell>
          <cell r="BS21">
            <v>1306</v>
          </cell>
          <cell r="BT21">
            <v>14.282589676290463</v>
          </cell>
          <cell r="BX21">
            <v>11524</v>
          </cell>
          <cell r="BY21">
            <v>2532</v>
          </cell>
          <cell r="BZ21">
            <v>21.971537660534537</v>
          </cell>
          <cell r="CD21">
            <v>19855</v>
          </cell>
          <cell r="CE21">
            <v>1614</v>
          </cell>
          <cell r="CF21">
            <v>8.1289347771342246</v>
          </cell>
          <cell r="CJ21">
            <v>76252</v>
          </cell>
          <cell r="CK21">
            <v>8190</v>
          </cell>
          <cell r="CL21">
            <v>10.740701883229292</v>
          </cell>
          <cell r="CP21">
            <v>108448</v>
          </cell>
          <cell r="CQ21">
            <v>9112</v>
          </cell>
          <cell r="CR21">
            <v>8.402183534966067</v>
          </cell>
        </row>
        <row r="22">
          <cell r="J22">
            <v>32801.335546300004</v>
          </cell>
          <cell r="K22">
            <v>4689.5999999999995</v>
          </cell>
          <cell r="L22">
            <v>14.296978833012751</v>
          </cell>
          <cell r="P22">
            <v>41240.524354299996</v>
          </cell>
          <cell r="Q22">
            <v>7004.7979999999989</v>
          </cell>
          <cell r="R22">
            <v>16.985230206632025</v>
          </cell>
          <cell r="V22">
            <v>50161.560858599994</v>
          </cell>
          <cell r="W22">
            <v>9267.7249999999985</v>
          </cell>
          <cell r="X22">
            <v>18.475750836631082</v>
          </cell>
          <cell r="AB22">
            <v>48785.013750600003</v>
          </cell>
          <cell r="AC22">
            <v>9594.4369999999999</v>
          </cell>
          <cell r="AD22">
            <v>19.666771129857473</v>
          </cell>
          <cell r="AH22">
            <v>66761.8393966</v>
          </cell>
          <cell r="AI22">
            <v>13347.748</v>
          </cell>
          <cell r="AJ22">
            <v>19.993080059863903</v>
          </cell>
          <cell r="AN22">
            <v>69280.727868599992</v>
          </cell>
          <cell r="AO22">
            <v>13659.340999999999</v>
          </cell>
          <cell r="AP22">
            <v>19.715931717557492</v>
          </cell>
          <cell r="AT22">
            <v>309031.00177500001</v>
          </cell>
          <cell r="AU22">
            <v>57563.648999999998</v>
          </cell>
          <cell r="AV22">
            <v>18.627143771779593</v>
          </cell>
          <cell r="AZ22">
            <v>58731.528288500005</v>
          </cell>
          <cell r="BA22">
            <v>12981.128000000001</v>
          </cell>
          <cell r="BB22">
            <v>22.10248631064788</v>
          </cell>
          <cell r="BF22">
            <v>72418.880024500002</v>
          </cell>
          <cell r="BG22">
            <v>16439.25</v>
          </cell>
          <cell r="BH22">
            <v>22.700226784007768</v>
          </cell>
          <cell r="BL22">
            <v>73670.403194699989</v>
          </cell>
          <cell r="BM22">
            <v>14985.242</v>
          </cell>
          <cell r="BN22">
            <v>20.3409257315943</v>
          </cell>
          <cell r="BR22">
            <v>113774.75913749999</v>
          </cell>
          <cell r="BS22">
            <v>22077.817999999999</v>
          </cell>
          <cell r="BT22">
            <v>19.404847056910342</v>
          </cell>
          <cell r="BX22">
            <v>85027.900867799995</v>
          </cell>
          <cell r="BY22">
            <v>20551.249</v>
          </cell>
          <cell r="BZ22">
            <v>24.170006304110402</v>
          </cell>
          <cell r="CD22">
            <v>99238.731482999996</v>
          </cell>
          <cell r="CE22">
            <v>23214.880300000001</v>
          </cell>
          <cell r="CF22">
            <v>23.39296356682754</v>
          </cell>
          <cell r="CJ22">
            <v>502862.20299600001</v>
          </cell>
          <cell r="CK22">
            <v>110249.5673</v>
          </cell>
          <cell r="CL22">
            <v>21.924409240373347</v>
          </cell>
          <cell r="CP22">
            <v>811893.20477099996</v>
          </cell>
          <cell r="CQ22">
            <v>167813.2163</v>
          </cell>
          <cell r="CR22">
            <v>20.669370714505842</v>
          </cell>
        </row>
        <row r="23">
          <cell r="J23">
            <v>4123</v>
          </cell>
          <cell r="K23">
            <v>1253</v>
          </cell>
          <cell r="L23">
            <v>30.390492359932086</v>
          </cell>
          <cell r="P23">
            <v>4301</v>
          </cell>
          <cell r="Q23">
            <v>1328</v>
          </cell>
          <cell r="R23">
            <v>30.876540339455939</v>
          </cell>
          <cell r="V23">
            <v>4489</v>
          </cell>
          <cell r="W23">
            <v>1369</v>
          </cell>
          <cell r="X23">
            <v>30.496769881933616</v>
          </cell>
          <cell r="AB23">
            <v>4350</v>
          </cell>
          <cell r="AC23">
            <v>1282</v>
          </cell>
          <cell r="AD23">
            <v>29.47126436781609</v>
          </cell>
          <cell r="AH23">
            <v>5219</v>
          </cell>
          <cell r="AI23">
            <v>1856</v>
          </cell>
          <cell r="AJ23">
            <v>35.562368269783484</v>
          </cell>
          <cell r="AN23">
            <v>4116</v>
          </cell>
          <cell r="AO23">
            <v>1217</v>
          </cell>
          <cell r="AP23">
            <v>29.567541302235178</v>
          </cell>
          <cell r="AT23">
            <v>26598</v>
          </cell>
          <cell r="AU23">
            <v>8305</v>
          </cell>
          <cell r="AV23">
            <v>31.224152191894127</v>
          </cell>
          <cell r="AZ23">
            <v>3599</v>
          </cell>
          <cell r="BA23">
            <v>980</v>
          </cell>
          <cell r="BB23">
            <v>27.229786051681021</v>
          </cell>
          <cell r="BF23">
            <v>3764</v>
          </cell>
          <cell r="BG23">
            <v>1133</v>
          </cell>
          <cell r="BH23">
            <v>30.100956429330498</v>
          </cell>
          <cell r="BL23">
            <v>4759</v>
          </cell>
          <cell r="BM23">
            <v>1609</v>
          </cell>
          <cell r="BN23">
            <v>33.80962387056104</v>
          </cell>
          <cell r="BR23">
            <v>6270</v>
          </cell>
          <cell r="BS23">
            <v>1995</v>
          </cell>
          <cell r="BT23">
            <v>31.818181818181817</v>
          </cell>
          <cell r="BX23">
            <v>5725</v>
          </cell>
          <cell r="BY23">
            <v>1989</v>
          </cell>
          <cell r="BZ23">
            <v>34.742358078602621</v>
          </cell>
          <cell r="CD23">
            <v>6235</v>
          </cell>
          <cell r="CE23">
            <v>2114</v>
          </cell>
          <cell r="CF23">
            <v>33.905372894947874</v>
          </cell>
          <cell r="CJ23">
            <v>30352</v>
          </cell>
          <cell r="CK23">
            <v>9820</v>
          </cell>
          <cell r="CL23">
            <v>32.353716394306801</v>
          </cell>
          <cell r="CP23">
            <v>56950</v>
          </cell>
          <cell r="CQ23">
            <v>18125</v>
          </cell>
          <cell r="CR23">
            <v>31.826163301141353</v>
          </cell>
        </row>
        <row r="24">
          <cell r="L24">
            <v>0</v>
          </cell>
          <cell r="R24">
            <v>0</v>
          </cell>
          <cell r="X24">
            <v>0</v>
          </cell>
          <cell r="AD24">
            <v>0</v>
          </cell>
          <cell r="AJ24">
            <v>0</v>
          </cell>
          <cell r="AP24">
            <v>0</v>
          </cell>
          <cell r="AV24">
            <v>0</v>
          </cell>
          <cell r="BB24">
            <v>0</v>
          </cell>
          <cell r="BH24">
            <v>0</v>
          </cell>
          <cell r="BN24">
            <v>0</v>
          </cell>
          <cell r="BT24">
            <v>0</v>
          </cell>
          <cell r="BZ24">
            <v>0</v>
          </cell>
          <cell r="CF24">
            <v>0</v>
          </cell>
          <cell r="CL24">
            <v>0</v>
          </cell>
          <cell r="CR24">
            <v>0</v>
          </cell>
        </row>
      </sheetData>
      <sheetData sheetId="2"/>
      <sheetData sheetId="3"/>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제품별"/>
      <sheetName val="매출이익"/>
      <sheetName val="관재차이"/>
      <sheetName val="집계표"/>
    </sheetNames>
    <sheetDataSet>
      <sheetData sheetId="0" refreshError="1">
        <row r="3">
          <cell r="F3" t="str">
            <v>년   간   누   계</v>
          </cell>
          <cell r="N3" t="str">
            <v>1            월</v>
          </cell>
          <cell r="T3" t="str">
            <v>2            월</v>
          </cell>
          <cell r="Z3" t="str">
            <v>3            월</v>
          </cell>
          <cell r="AF3" t="str">
            <v>4            월</v>
          </cell>
          <cell r="AL3" t="str">
            <v>5            월</v>
          </cell>
          <cell r="AR3" t="str">
            <v>6            월</v>
          </cell>
          <cell r="AX3" t="str">
            <v>상   반   기   누   계</v>
          </cell>
          <cell r="BF3" t="str">
            <v>7            월</v>
          </cell>
          <cell r="BL3" t="str">
            <v>8            월</v>
          </cell>
          <cell r="BR3" t="str">
            <v>9            월</v>
          </cell>
          <cell r="BX3" t="str">
            <v>10            월</v>
          </cell>
          <cell r="CD3" t="str">
            <v>11            월</v>
          </cell>
          <cell r="CJ3" t="str">
            <v>12            월</v>
          </cell>
          <cell r="CP3" t="str">
            <v>하   반   기   누   계</v>
          </cell>
          <cell r="CX3" t="str">
            <v>1  /  4  분  기</v>
          </cell>
          <cell r="DF3" t="str">
            <v>2  /  4  분  기</v>
          </cell>
          <cell r="DN3" t="str">
            <v>3  /  4  분  기</v>
          </cell>
          <cell r="DV3" t="str">
            <v>4  /  4  분  기</v>
          </cell>
        </row>
        <row r="4">
          <cell r="F4" t="str">
            <v>경      영</v>
          </cell>
          <cell r="N4" t="str">
            <v>경      영</v>
          </cell>
          <cell r="T4" t="str">
            <v>경      영</v>
          </cell>
          <cell r="Z4" t="str">
            <v>경      영</v>
          </cell>
          <cell r="AF4" t="str">
            <v>경      영</v>
          </cell>
          <cell r="AL4" t="str">
            <v>경      영</v>
          </cell>
          <cell r="AR4" t="str">
            <v>경      영</v>
          </cell>
          <cell r="AX4" t="str">
            <v>경      영</v>
          </cell>
          <cell r="BF4" t="str">
            <v>경      영</v>
          </cell>
          <cell r="BL4" t="str">
            <v>경      영</v>
          </cell>
          <cell r="BR4" t="str">
            <v>경      영</v>
          </cell>
          <cell r="BX4" t="str">
            <v>경      영</v>
          </cell>
          <cell r="CD4" t="str">
            <v>경      영</v>
          </cell>
          <cell r="CJ4" t="str">
            <v>경      영</v>
          </cell>
          <cell r="CP4" t="str">
            <v>경      영</v>
          </cell>
          <cell r="CX4" t="str">
            <v>경      영</v>
          </cell>
          <cell r="DF4" t="str">
            <v>경      영</v>
          </cell>
          <cell r="DN4" t="str">
            <v>경      영</v>
          </cell>
          <cell r="DV4" t="str">
            <v>경      영</v>
          </cell>
        </row>
        <row r="5">
          <cell r="F5" t="str">
            <v>수  량</v>
          </cell>
          <cell r="G5" t="str">
            <v>금  액</v>
          </cell>
          <cell r="H5" t="str">
            <v>매출익</v>
          </cell>
          <cell r="I5" t="str">
            <v>%</v>
          </cell>
          <cell r="N5" t="str">
            <v>수  량</v>
          </cell>
          <cell r="O5" t="str">
            <v>금  액</v>
          </cell>
          <cell r="P5" t="str">
            <v>매출익</v>
          </cell>
          <cell r="T5" t="str">
            <v>수  량</v>
          </cell>
          <cell r="U5" t="str">
            <v>금  액</v>
          </cell>
          <cell r="V5" t="str">
            <v>매출익</v>
          </cell>
          <cell r="Z5" t="str">
            <v>수  량</v>
          </cell>
          <cell r="AA5" t="str">
            <v>금  액</v>
          </cell>
          <cell r="AB5" t="str">
            <v>매출익</v>
          </cell>
          <cell r="AF5" t="str">
            <v>수  량</v>
          </cell>
          <cell r="AG5" t="str">
            <v>금  액</v>
          </cell>
          <cell r="AH5" t="str">
            <v>매출익</v>
          </cell>
          <cell r="AL5" t="str">
            <v>수  량</v>
          </cell>
          <cell r="AM5" t="str">
            <v>금  액</v>
          </cell>
          <cell r="AN5" t="str">
            <v>매출익</v>
          </cell>
          <cell r="AR5" t="str">
            <v>수  량</v>
          </cell>
          <cell r="AS5" t="str">
            <v>금  액</v>
          </cell>
          <cell r="AT5" t="str">
            <v>매출익</v>
          </cell>
          <cell r="AX5" t="str">
            <v>수  량</v>
          </cell>
          <cell r="AY5" t="str">
            <v>금  액</v>
          </cell>
          <cell r="AZ5" t="str">
            <v>매출익</v>
          </cell>
          <cell r="BA5" t="str">
            <v>%</v>
          </cell>
          <cell r="BF5" t="str">
            <v>수  량</v>
          </cell>
          <cell r="BG5" t="str">
            <v>금  액</v>
          </cell>
          <cell r="BH5" t="str">
            <v>매출익</v>
          </cell>
          <cell r="BL5" t="str">
            <v>수  량</v>
          </cell>
          <cell r="BM5" t="str">
            <v>금  액</v>
          </cell>
          <cell r="BN5" t="str">
            <v>매출익</v>
          </cell>
          <cell r="BR5" t="str">
            <v>수  량</v>
          </cell>
          <cell r="BS5" t="str">
            <v>금  액</v>
          </cell>
          <cell r="BT5" t="str">
            <v>매출익</v>
          </cell>
          <cell r="BX5" t="str">
            <v>수  량</v>
          </cell>
          <cell r="BY5" t="str">
            <v>금  액</v>
          </cell>
          <cell r="BZ5" t="str">
            <v>매출익</v>
          </cell>
          <cell r="CD5" t="str">
            <v>수  량</v>
          </cell>
          <cell r="CE5" t="str">
            <v>금  액</v>
          </cell>
          <cell r="CF5" t="str">
            <v>매출익</v>
          </cell>
          <cell r="CJ5" t="str">
            <v>수  량</v>
          </cell>
          <cell r="CK5" t="str">
            <v>금  액</v>
          </cell>
          <cell r="CL5" t="str">
            <v>매출익</v>
          </cell>
          <cell r="CP5" t="str">
            <v>수  량</v>
          </cell>
          <cell r="CQ5" t="str">
            <v>금  액</v>
          </cell>
          <cell r="CR5" t="str">
            <v>매출익</v>
          </cell>
          <cell r="CS5" t="str">
            <v>%</v>
          </cell>
          <cell r="CX5" t="str">
            <v>수  량</v>
          </cell>
          <cell r="CY5" t="str">
            <v>금  액</v>
          </cell>
          <cell r="CZ5" t="str">
            <v>매출익</v>
          </cell>
          <cell r="DA5" t="str">
            <v>%</v>
          </cell>
          <cell r="DF5" t="str">
            <v>수  량</v>
          </cell>
          <cell r="DG5" t="str">
            <v>금  액</v>
          </cell>
          <cell r="DH5" t="str">
            <v>매출익</v>
          </cell>
          <cell r="DI5" t="str">
            <v>%</v>
          </cell>
          <cell r="DN5" t="str">
            <v>수  량</v>
          </cell>
          <cell r="DO5" t="str">
            <v>금  액</v>
          </cell>
          <cell r="DP5" t="str">
            <v>매출익</v>
          </cell>
          <cell r="DQ5" t="str">
            <v>%</v>
          </cell>
          <cell r="DV5" t="str">
            <v>수  량</v>
          </cell>
          <cell r="DW5" t="str">
            <v>금  액</v>
          </cell>
          <cell r="DX5" t="str">
            <v>매출익</v>
          </cell>
          <cell r="DY5" t="str">
            <v>%</v>
          </cell>
        </row>
        <row r="6">
          <cell r="F6">
            <v>0</v>
          </cell>
          <cell r="G6">
            <v>0</v>
          </cell>
          <cell r="H6">
            <v>0</v>
          </cell>
          <cell r="I6">
            <v>0</v>
          </cell>
          <cell r="N6">
            <v>0</v>
          </cell>
          <cell r="O6">
            <v>0</v>
          </cell>
          <cell r="T6">
            <v>0</v>
          </cell>
          <cell r="U6">
            <v>0</v>
          </cell>
          <cell r="Z6">
            <v>0</v>
          </cell>
          <cell r="AA6">
            <v>0</v>
          </cell>
          <cell r="AF6">
            <v>0</v>
          </cell>
          <cell r="AG6">
            <v>0</v>
          </cell>
          <cell r="AL6">
            <v>0</v>
          </cell>
          <cell r="AM6">
            <v>0</v>
          </cell>
          <cell r="AR6">
            <v>0</v>
          </cell>
          <cell r="AS6">
            <v>0</v>
          </cell>
          <cell r="AX6">
            <v>0</v>
          </cell>
          <cell r="AY6">
            <v>0</v>
          </cell>
          <cell r="AZ6">
            <v>0</v>
          </cell>
          <cell r="BA6">
            <v>0</v>
          </cell>
          <cell r="BF6">
            <v>0</v>
          </cell>
          <cell r="BG6">
            <v>0</v>
          </cell>
          <cell r="BL6">
            <v>0</v>
          </cell>
          <cell r="BM6">
            <v>0</v>
          </cell>
          <cell r="BR6">
            <v>0</v>
          </cell>
          <cell r="BS6">
            <v>0</v>
          </cell>
          <cell r="BX6">
            <v>0</v>
          </cell>
          <cell r="BY6">
            <v>0</v>
          </cell>
          <cell r="CD6">
            <v>0</v>
          </cell>
          <cell r="CE6">
            <v>0</v>
          </cell>
          <cell r="CJ6">
            <v>0</v>
          </cell>
          <cell r="CK6">
            <v>0</v>
          </cell>
          <cell r="CP6">
            <v>0</v>
          </cell>
          <cell r="CQ6">
            <v>0</v>
          </cell>
          <cell r="CR6">
            <v>0</v>
          </cell>
          <cell r="CS6">
            <v>0</v>
          </cell>
          <cell r="CX6">
            <v>0</v>
          </cell>
          <cell r="CY6">
            <v>0</v>
          </cell>
          <cell r="CZ6">
            <v>0</v>
          </cell>
          <cell r="DA6">
            <v>0</v>
          </cell>
          <cell r="DF6">
            <v>0</v>
          </cell>
          <cell r="DG6">
            <v>0</v>
          </cell>
          <cell r="DH6">
            <v>0</v>
          </cell>
          <cell r="DI6">
            <v>0</v>
          </cell>
          <cell r="DN6">
            <v>0</v>
          </cell>
          <cell r="DO6">
            <v>0</v>
          </cell>
          <cell r="DP6">
            <v>0</v>
          </cell>
          <cell r="DQ6">
            <v>0</v>
          </cell>
          <cell r="DV6">
            <v>0</v>
          </cell>
          <cell r="DW6">
            <v>0</v>
          </cell>
          <cell r="DX6">
            <v>0</v>
          </cell>
          <cell r="DY6">
            <v>0</v>
          </cell>
        </row>
        <row r="7">
          <cell r="F7">
            <v>0</v>
          </cell>
          <cell r="G7">
            <v>0</v>
          </cell>
          <cell r="H7">
            <v>0</v>
          </cell>
          <cell r="I7">
            <v>0</v>
          </cell>
          <cell r="AX7">
            <v>0</v>
          </cell>
          <cell r="AY7">
            <v>0</v>
          </cell>
          <cell r="AZ7">
            <v>0</v>
          </cell>
          <cell r="BA7">
            <v>0</v>
          </cell>
          <cell r="CP7">
            <v>0</v>
          </cell>
          <cell r="CQ7">
            <v>0</v>
          </cell>
          <cell r="CR7">
            <v>0</v>
          </cell>
          <cell r="CS7">
            <v>0</v>
          </cell>
          <cell r="CX7">
            <v>0</v>
          </cell>
          <cell r="CY7">
            <v>0</v>
          </cell>
          <cell r="CZ7">
            <v>0</v>
          </cell>
          <cell r="DA7">
            <v>0</v>
          </cell>
          <cell r="DF7">
            <v>0</v>
          </cell>
          <cell r="DG7">
            <v>0</v>
          </cell>
          <cell r="DH7">
            <v>0</v>
          </cell>
          <cell r="DI7">
            <v>0</v>
          </cell>
          <cell r="DN7">
            <v>0</v>
          </cell>
          <cell r="DO7">
            <v>0</v>
          </cell>
          <cell r="DP7">
            <v>0</v>
          </cell>
          <cell r="DQ7">
            <v>0</v>
          </cell>
          <cell r="DV7">
            <v>0</v>
          </cell>
          <cell r="DW7">
            <v>0</v>
          </cell>
          <cell r="DX7">
            <v>0</v>
          </cell>
          <cell r="DY7">
            <v>0</v>
          </cell>
        </row>
        <row r="8">
          <cell r="F8">
            <v>0</v>
          </cell>
          <cell r="G8">
            <v>0</v>
          </cell>
          <cell r="H8">
            <v>0</v>
          </cell>
          <cell r="I8">
            <v>0</v>
          </cell>
          <cell r="N8">
            <v>0</v>
          </cell>
          <cell r="O8">
            <v>0</v>
          </cell>
          <cell r="T8">
            <v>0</v>
          </cell>
          <cell r="U8">
            <v>0</v>
          </cell>
          <cell r="Z8">
            <v>0</v>
          </cell>
          <cell r="AA8">
            <v>0</v>
          </cell>
          <cell r="AF8">
            <v>0</v>
          </cell>
          <cell r="AG8">
            <v>0</v>
          </cell>
          <cell r="AL8">
            <v>0</v>
          </cell>
          <cell r="AM8">
            <v>0</v>
          </cell>
          <cell r="AR8">
            <v>0</v>
          </cell>
          <cell r="AS8">
            <v>0</v>
          </cell>
          <cell r="AX8">
            <v>0</v>
          </cell>
          <cell r="AY8">
            <v>0</v>
          </cell>
          <cell r="AZ8">
            <v>0</v>
          </cell>
          <cell r="BA8">
            <v>0</v>
          </cell>
          <cell r="BF8">
            <v>0</v>
          </cell>
          <cell r="BG8">
            <v>0</v>
          </cell>
          <cell r="BL8">
            <v>0</v>
          </cell>
          <cell r="BM8">
            <v>0</v>
          </cell>
          <cell r="BR8">
            <v>0</v>
          </cell>
          <cell r="BS8">
            <v>0</v>
          </cell>
          <cell r="BX8">
            <v>0</v>
          </cell>
          <cell r="BY8">
            <v>0</v>
          </cell>
          <cell r="CD8">
            <v>0</v>
          </cell>
          <cell r="CE8">
            <v>0</v>
          </cell>
          <cell r="CJ8">
            <v>0</v>
          </cell>
          <cell r="CK8">
            <v>0</v>
          </cell>
          <cell r="CP8">
            <v>0</v>
          </cell>
          <cell r="CQ8">
            <v>0</v>
          </cell>
          <cell r="CR8">
            <v>0</v>
          </cell>
          <cell r="CS8">
            <v>0</v>
          </cell>
          <cell r="CX8">
            <v>0</v>
          </cell>
          <cell r="CY8">
            <v>0</v>
          </cell>
          <cell r="CZ8">
            <v>0</v>
          </cell>
          <cell r="DA8">
            <v>0</v>
          </cell>
          <cell r="DF8">
            <v>0</v>
          </cell>
          <cell r="DG8">
            <v>0</v>
          </cell>
          <cell r="DH8">
            <v>0</v>
          </cell>
          <cell r="DI8">
            <v>0</v>
          </cell>
          <cell r="DN8">
            <v>0</v>
          </cell>
          <cell r="DO8">
            <v>0</v>
          </cell>
          <cell r="DP8">
            <v>0</v>
          </cell>
          <cell r="DQ8">
            <v>0</v>
          </cell>
          <cell r="DV8">
            <v>0</v>
          </cell>
          <cell r="DW8">
            <v>0</v>
          </cell>
          <cell r="DX8">
            <v>0</v>
          </cell>
          <cell r="DY8">
            <v>0</v>
          </cell>
        </row>
        <row r="9">
          <cell r="F9">
            <v>0</v>
          </cell>
          <cell r="G9">
            <v>0</v>
          </cell>
          <cell r="H9">
            <v>0</v>
          </cell>
          <cell r="I9">
            <v>0</v>
          </cell>
          <cell r="AX9">
            <v>0</v>
          </cell>
          <cell r="AY9">
            <v>0</v>
          </cell>
          <cell r="AZ9">
            <v>0</v>
          </cell>
          <cell r="BA9">
            <v>0</v>
          </cell>
          <cell r="CP9">
            <v>0</v>
          </cell>
          <cell r="CQ9">
            <v>0</v>
          </cell>
          <cell r="CR9">
            <v>0</v>
          </cell>
          <cell r="CS9">
            <v>0</v>
          </cell>
          <cell r="CX9">
            <v>0</v>
          </cell>
          <cell r="CY9">
            <v>0</v>
          </cell>
          <cell r="CZ9">
            <v>0</v>
          </cell>
          <cell r="DA9">
            <v>0</v>
          </cell>
          <cell r="DF9">
            <v>0</v>
          </cell>
          <cell r="DG9">
            <v>0</v>
          </cell>
          <cell r="DH9">
            <v>0</v>
          </cell>
          <cell r="DI9">
            <v>0</v>
          </cell>
          <cell r="DN9">
            <v>0</v>
          </cell>
          <cell r="DO9">
            <v>0</v>
          </cell>
          <cell r="DP9">
            <v>0</v>
          </cell>
          <cell r="DQ9">
            <v>0</v>
          </cell>
          <cell r="DV9">
            <v>0</v>
          </cell>
          <cell r="DW9">
            <v>0</v>
          </cell>
          <cell r="DX9">
            <v>0</v>
          </cell>
          <cell r="DY9">
            <v>0</v>
          </cell>
        </row>
        <row r="10">
          <cell r="F10">
            <v>0</v>
          </cell>
          <cell r="G10">
            <v>0</v>
          </cell>
          <cell r="H10">
            <v>0</v>
          </cell>
          <cell r="I10">
            <v>0</v>
          </cell>
          <cell r="AX10">
            <v>0</v>
          </cell>
          <cell r="AY10">
            <v>0</v>
          </cell>
          <cell r="AZ10">
            <v>0</v>
          </cell>
          <cell r="BA10">
            <v>0</v>
          </cell>
          <cell r="CP10">
            <v>0</v>
          </cell>
          <cell r="CQ10">
            <v>0</v>
          </cell>
          <cell r="CR10">
            <v>0</v>
          </cell>
          <cell r="CS10">
            <v>0</v>
          </cell>
          <cell r="CX10">
            <v>0</v>
          </cell>
          <cell r="CY10">
            <v>0</v>
          </cell>
          <cell r="CZ10">
            <v>0</v>
          </cell>
          <cell r="DA10">
            <v>0</v>
          </cell>
          <cell r="DF10">
            <v>0</v>
          </cell>
          <cell r="DG10">
            <v>0</v>
          </cell>
          <cell r="DH10">
            <v>0</v>
          </cell>
          <cell r="DI10">
            <v>0</v>
          </cell>
          <cell r="DN10">
            <v>0</v>
          </cell>
          <cell r="DO10">
            <v>0</v>
          </cell>
          <cell r="DP10">
            <v>0</v>
          </cell>
          <cell r="DQ10">
            <v>0</v>
          </cell>
          <cell r="DV10">
            <v>0</v>
          </cell>
          <cell r="DW10">
            <v>0</v>
          </cell>
          <cell r="DX10">
            <v>0</v>
          </cell>
          <cell r="DY10">
            <v>0</v>
          </cell>
        </row>
        <row r="11">
          <cell r="F11">
            <v>0</v>
          </cell>
          <cell r="G11">
            <v>0</v>
          </cell>
          <cell r="H11">
            <v>0</v>
          </cell>
          <cell r="I11">
            <v>0</v>
          </cell>
          <cell r="N11">
            <v>0</v>
          </cell>
          <cell r="O11">
            <v>0</v>
          </cell>
          <cell r="T11">
            <v>0</v>
          </cell>
          <cell r="U11">
            <v>0</v>
          </cell>
          <cell r="Z11">
            <v>0</v>
          </cell>
          <cell r="AA11">
            <v>0</v>
          </cell>
          <cell r="AF11">
            <v>0</v>
          </cell>
          <cell r="AG11">
            <v>0</v>
          </cell>
          <cell r="AL11">
            <v>0</v>
          </cell>
          <cell r="AM11">
            <v>0</v>
          </cell>
          <cell r="AR11">
            <v>0</v>
          </cell>
          <cell r="AS11">
            <v>0</v>
          </cell>
          <cell r="AX11">
            <v>0</v>
          </cell>
          <cell r="AY11">
            <v>0</v>
          </cell>
          <cell r="AZ11">
            <v>0</v>
          </cell>
          <cell r="BA11">
            <v>0</v>
          </cell>
          <cell r="BF11">
            <v>0</v>
          </cell>
          <cell r="BG11">
            <v>0</v>
          </cell>
          <cell r="BL11">
            <v>0</v>
          </cell>
          <cell r="BM11">
            <v>0</v>
          </cell>
          <cell r="BR11">
            <v>0</v>
          </cell>
          <cell r="BS11">
            <v>0</v>
          </cell>
          <cell r="BX11">
            <v>0</v>
          </cell>
          <cell r="BY11">
            <v>0</v>
          </cell>
          <cell r="CD11">
            <v>0</v>
          </cell>
          <cell r="CE11">
            <v>0</v>
          </cell>
          <cell r="CJ11">
            <v>0</v>
          </cell>
          <cell r="CK11">
            <v>0</v>
          </cell>
          <cell r="CP11">
            <v>0</v>
          </cell>
          <cell r="CQ11">
            <v>0</v>
          </cell>
          <cell r="CR11">
            <v>0</v>
          </cell>
          <cell r="CS11">
            <v>0</v>
          </cell>
          <cell r="CX11">
            <v>0</v>
          </cell>
          <cell r="CY11">
            <v>0</v>
          </cell>
          <cell r="CZ11">
            <v>0</v>
          </cell>
          <cell r="DA11">
            <v>0</v>
          </cell>
          <cell r="DF11">
            <v>0</v>
          </cell>
          <cell r="DG11">
            <v>0</v>
          </cell>
          <cell r="DH11">
            <v>0</v>
          </cell>
          <cell r="DI11">
            <v>0</v>
          </cell>
          <cell r="DN11">
            <v>0</v>
          </cell>
          <cell r="DO11">
            <v>0</v>
          </cell>
          <cell r="DP11">
            <v>0</v>
          </cell>
          <cell r="DQ11">
            <v>0</v>
          </cell>
          <cell r="DV11">
            <v>0</v>
          </cell>
          <cell r="DW11">
            <v>0</v>
          </cell>
          <cell r="DX11">
            <v>0</v>
          </cell>
          <cell r="DY11">
            <v>0</v>
          </cell>
        </row>
        <row r="12">
          <cell r="F12">
            <v>0</v>
          </cell>
          <cell r="G12">
            <v>0</v>
          </cell>
          <cell r="H12">
            <v>0</v>
          </cell>
          <cell r="I12">
            <v>0</v>
          </cell>
          <cell r="AX12">
            <v>0</v>
          </cell>
          <cell r="AY12">
            <v>0</v>
          </cell>
          <cell r="AZ12">
            <v>0</v>
          </cell>
          <cell r="BA12">
            <v>0</v>
          </cell>
          <cell r="CP12">
            <v>0</v>
          </cell>
          <cell r="CQ12">
            <v>0</v>
          </cell>
          <cell r="CR12">
            <v>0</v>
          </cell>
          <cell r="CS12">
            <v>0</v>
          </cell>
          <cell r="CX12">
            <v>0</v>
          </cell>
          <cell r="CY12">
            <v>0</v>
          </cell>
          <cell r="CZ12">
            <v>0</v>
          </cell>
          <cell r="DA12">
            <v>0</v>
          </cell>
          <cell r="DF12">
            <v>0</v>
          </cell>
          <cell r="DG12">
            <v>0</v>
          </cell>
          <cell r="DH12">
            <v>0</v>
          </cell>
          <cell r="DI12">
            <v>0</v>
          </cell>
          <cell r="DN12">
            <v>0</v>
          </cell>
          <cell r="DO12">
            <v>0</v>
          </cell>
          <cell r="DP12">
            <v>0</v>
          </cell>
          <cell r="DQ12">
            <v>0</v>
          </cell>
          <cell r="DV12">
            <v>0</v>
          </cell>
          <cell r="DW12">
            <v>0</v>
          </cell>
          <cell r="DX12">
            <v>0</v>
          </cell>
          <cell r="DY12">
            <v>0</v>
          </cell>
        </row>
        <row r="13">
          <cell r="F13">
            <v>0</v>
          </cell>
          <cell r="G13">
            <v>0</v>
          </cell>
          <cell r="H13">
            <v>0</v>
          </cell>
          <cell r="I13">
            <v>0</v>
          </cell>
          <cell r="AX13">
            <v>0</v>
          </cell>
          <cell r="AY13">
            <v>0</v>
          </cell>
          <cell r="AZ13">
            <v>0</v>
          </cell>
          <cell r="BA13">
            <v>0</v>
          </cell>
          <cell r="CP13">
            <v>0</v>
          </cell>
          <cell r="CQ13">
            <v>0</v>
          </cell>
          <cell r="CR13">
            <v>0</v>
          </cell>
          <cell r="CS13">
            <v>0</v>
          </cell>
          <cell r="CX13">
            <v>0</v>
          </cell>
          <cell r="CY13">
            <v>0</v>
          </cell>
          <cell r="CZ13">
            <v>0</v>
          </cell>
          <cell r="DA13">
            <v>0</v>
          </cell>
          <cell r="DF13">
            <v>0</v>
          </cell>
          <cell r="DG13">
            <v>0</v>
          </cell>
          <cell r="DH13">
            <v>0</v>
          </cell>
          <cell r="DI13">
            <v>0</v>
          </cell>
          <cell r="DN13">
            <v>0</v>
          </cell>
          <cell r="DO13">
            <v>0</v>
          </cell>
          <cell r="DP13">
            <v>0</v>
          </cell>
          <cell r="DQ13">
            <v>0</v>
          </cell>
          <cell r="DV13">
            <v>0</v>
          </cell>
          <cell r="DW13">
            <v>0</v>
          </cell>
          <cell r="DX13">
            <v>0</v>
          </cell>
          <cell r="DY13">
            <v>0</v>
          </cell>
        </row>
        <row r="14">
          <cell r="F14">
            <v>0</v>
          </cell>
          <cell r="G14">
            <v>0</v>
          </cell>
          <cell r="H14">
            <v>0</v>
          </cell>
          <cell r="I14">
            <v>0</v>
          </cell>
          <cell r="AX14">
            <v>0</v>
          </cell>
          <cell r="AY14">
            <v>0</v>
          </cell>
          <cell r="AZ14">
            <v>0</v>
          </cell>
          <cell r="BA14">
            <v>0</v>
          </cell>
          <cell r="CP14">
            <v>0</v>
          </cell>
          <cell r="CQ14">
            <v>0</v>
          </cell>
          <cell r="CR14">
            <v>0</v>
          </cell>
          <cell r="CS14">
            <v>0</v>
          </cell>
          <cell r="CX14">
            <v>0</v>
          </cell>
          <cell r="CY14">
            <v>0</v>
          </cell>
          <cell r="CZ14">
            <v>0</v>
          </cell>
          <cell r="DA14">
            <v>0</v>
          </cell>
          <cell r="DF14">
            <v>0</v>
          </cell>
          <cell r="DG14">
            <v>0</v>
          </cell>
          <cell r="DH14">
            <v>0</v>
          </cell>
          <cell r="DI14">
            <v>0</v>
          </cell>
          <cell r="DN14">
            <v>0</v>
          </cell>
          <cell r="DO14">
            <v>0</v>
          </cell>
          <cell r="DP14">
            <v>0</v>
          </cell>
          <cell r="DQ14">
            <v>0</v>
          </cell>
          <cell r="DV14">
            <v>0</v>
          </cell>
          <cell r="DW14">
            <v>0</v>
          </cell>
          <cell r="DX14">
            <v>0</v>
          </cell>
          <cell r="DY14">
            <v>0</v>
          </cell>
        </row>
        <row r="15">
          <cell r="F15">
            <v>0</v>
          </cell>
          <cell r="G15">
            <v>0</v>
          </cell>
          <cell r="H15">
            <v>0</v>
          </cell>
          <cell r="I15">
            <v>0</v>
          </cell>
          <cell r="AX15">
            <v>0</v>
          </cell>
          <cell r="AY15">
            <v>0</v>
          </cell>
          <cell r="AZ15">
            <v>0</v>
          </cell>
          <cell r="BA15">
            <v>0</v>
          </cell>
          <cell r="CP15">
            <v>0</v>
          </cell>
          <cell r="CQ15">
            <v>0</v>
          </cell>
          <cell r="CR15">
            <v>0</v>
          </cell>
          <cell r="CS15">
            <v>0</v>
          </cell>
          <cell r="CX15">
            <v>0</v>
          </cell>
          <cell r="CY15">
            <v>0</v>
          </cell>
          <cell r="CZ15">
            <v>0</v>
          </cell>
          <cell r="DA15">
            <v>0</v>
          </cell>
          <cell r="DF15">
            <v>0</v>
          </cell>
          <cell r="DG15">
            <v>0</v>
          </cell>
          <cell r="DH15">
            <v>0</v>
          </cell>
          <cell r="DI15">
            <v>0</v>
          </cell>
          <cell r="DN15">
            <v>0</v>
          </cell>
          <cell r="DO15">
            <v>0</v>
          </cell>
          <cell r="DP15">
            <v>0</v>
          </cell>
          <cell r="DQ15">
            <v>0</v>
          </cell>
          <cell r="DV15">
            <v>0</v>
          </cell>
          <cell r="DW15">
            <v>0</v>
          </cell>
          <cell r="DX15">
            <v>0</v>
          </cell>
          <cell r="DY15">
            <v>0</v>
          </cell>
        </row>
        <row r="16">
          <cell r="F16">
            <v>0</v>
          </cell>
          <cell r="G16">
            <v>0</v>
          </cell>
          <cell r="H16">
            <v>0</v>
          </cell>
          <cell r="I16">
            <v>0</v>
          </cell>
          <cell r="AX16">
            <v>0</v>
          </cell>
          <cell r="AY16">
            <v>0</v>
          </cell>
          <cell r="AZ16">
            <v>0</v>
          </cell>
          <cell r="BA16">
            <v>0</v>
          </cell>
          <cell r="CP16">
            <v>0</v>
          </cell>
          <cell r="CQ16">
            <v>0</v>
          </cell>
          <cell r="CR16">
            <v>0</v>
          </cell>
          <cell r="CS16">
            <v>0</v>
          </cell>
          <cell r="CX16">
            <v>0</v>
          </cell>
          <cell r="CY16">
            <v>0</v>
          </cell>
          <cell r="CZ16">
            <v>0</v>
          </cell>
          <cell r="DA16">
            <v>0</v>
          </cell>
          <cell r="DF16">
            <v>0</v>
          </cell>
          <cell r="DG16">
            <v>0</v>
          </cell>
          <cell r="DH16">
            <v>0</v>
          </cell>
          <cell r="DI16">
            <v>0</v>
          </cell>
          <cell r="DN16">
            <v>0</v>
          </cell>
          <cell r="DO16">
            <v>0</v>
          </cell>
          <cell r="DP16">
            <v>0</v>
          </cell>
          <cell r="DQ16">
            <v>0</v>
          </cell>
          <cell r="DV16">
            <v>0</v>
          </cell>
          <cell r="DW16">
            <v>0</v>
          </cell>
          <cell r="DX16">
            <v>0</v>
          </cell>
          <cell r="DY16">
            <v>0</v>
          </cell>
        </row>
        <row r="17">
          <cell r="F17">
            <v>0</v>
          </cell>
          <cell r="G17">
            <v>0</v>
          </cell>
          <cell r="H17">
            <v>0</v>
          </cell>
          <cell r="I17">
            <v>0</v>
          </cell>
          <cell r="AX17">
            <v>0</v>
          </cell>
          <cell r="AY17">
            <v>0</v>
          </cell>
          <cell r="AZ17">
            <v>0</v>
          </cell>
          <cell r="BA17">
            <v>0</v>
          </cell>
          <cell r="CP17">
            <v>0</v>
          </cell>
          <cell r="CQ17">
            <v>0</v>
          </cell>
          <cell r="CR17">
            <v>0</v>
          </cell>
          <cell r="CS17">
            <v>0</v>
          </cell>
          <cell r="CX17">
            <v>0</v>
          </cell>
          <cell r="CY17">
            <v>0</v>
          </cell>
          <cell r="CZ17">
            <v>0</v>
          </cell>
          <cell r="DA17">
            <v>0</v>
          </cell>
          <cell r="DF17">
            <v>0</v>
          </cell>
          <cell r="DG17">
            <v>0</v>
          </cell>
          <cell r="DH17">
            <v>0</v>
          </cell>
          <cell r="DI17">
            <v>0</v>
          </cell>
          <cell r="DN17">
            <v>0</v>
          </cell>
          <cell r="DO17">
            <v>0</v>
          </cell>
          <cell r="DP17">
            <v>0</v>
          </cell>
          <cell r="DQ17">
            <v>0</v>
          </cell>
          <cell r="DV17">
            <v>0</v>
          </cell>
          <cell r="DW17">
            <v>0</v>
          </cell>
          <cell r="DX17">
            <v>0</v>
          </cell>
          <cell r="DY17">
            <v>0</v>
          </cell>
        </row>
        <row r="18">
          <cell r="F18">
            <v>0</v>
          </cell>
          <cell r="G18">
            <v>0</v>
          </cell>
          <cell r="H18">
            <v>0</v>
          </cell>
          <cell r="I18">
            <v>0</v>
          </cell>
          <cell r="AX18">
            <v>0</v>
          </cell>
          <cell r="AY18">
            <v>0</v>
          </cell>
          <cell r="AZ18">
            <v>0</v>
          </cell>
          <cell r="BA18">
            <v>0</v>
          </cell>
          <cell r="CP18">
            <v>0</v>
          </cell>
          <cell r="CQ18">
            <v>0</v>
          </cell>
          <cell r="CR18">
            <v>0</v>
          </cell>
          <cell r="CS18">
            <v>0</v>
          </cell>
          <cell r="CX18">
            <v>0</v>
          </cell>
          <cell r="CY18">
            <v>0</v>
          </cell>
          <cell r="CZ18">
            <v>0</v>
          </cell>
          <cell r="DA18">
            <v>0</v>
          </cell>
          <cell r="DF18">
            <v>0</v>
          </cell>
          <cell r="DG18">
            <v>0</v>
          </cell>
          <cell r="DH18">
            <v>0</v>
          </cell>
          <cell r="DI18">
            <v>0</v>
          </cell>
          <cell r="DN18">
            <v>0</v>
          </cell>
          <cell r="DO18">
            <v>0</v>
          </cell>
          <cell r="DP18">
            <v>0</v>
          </cell>
          <cell r="DQ18">
            <v>0</v>
          </cell>
          <cell r="DV18">
            <v>0</v>
          </cell>
          <cell r="DW18">
            <v>0</v>
          </cell>
          <cell r="DX18">
            <v>0</v>
          </cell>
          <cell r="DY18">
            <v>0</v>
          </cell>
        </row>
        <row r="19">
          <cell r="F19">
            <v>0</v>
          </cell>
          <cell r="G19">
            <v>0</v>
          </cell>
          <cell r="H19">
            <v>0</v>
          </cell>
          <cell r="I19">
            <v>0</v>
          </cell>
          <cell r="N19">
            <v>0</v>
          </cell>
          <cell r="O19">
            <v>0</v>
          </cell>
          <cell r="P19">
            <v>0</v>
          </cell>
          <cell r="T19">
            <v>0</v>
          </cell>
          <cell r="U19">
            <v>0</v>
          </cell>
          <cell r="V19">
            <v>0</v>
          </cell>
          <cell r="Z19">
            <v>0</v>
          </cell>
          <cell r="AA19">
            <v>0</v>
          </cell>
          <cell r="AB19">
            <v>0</v>
          </cell>
          <cell r="AF19">
            <v>0</v>
          </cell>
          <cell r="AG19">
            <v>0</v>
          </cell>
          <cell r="AH19">
            <v>0</v>
          </cell>
          <cell r="AL19">
            <v>0</v>
          </cell>
          <cell r="AM19">
            <v>0</v>
          </cell>
          <cell r="AN19">
            <v>0</v>
          </cell>
          <cell r="AR19">
            <v>0</v>
          </cell>
          <cell r="AS19">
            <v>0</v>
          </cell>
          <cell r="AT19">
            <v>0</v>
          </cell>
          <cell r="AX19">
            <v>0</v>
          </cell>
          <cell r="AY19">
            <v>0</v>
          </cell>
          <cell r="AZ19">
            <v>0</v>
          </cell>
          <cell r="BA19">
            <v>0</v>
          </cell>
          <cell r="BF19">
            <v>0</v>
          </cell>
          <cell r="BG19">
            <v>0</v>
          </cell>
          <cell r="BH19">
            <v>0</v>
          </cell>
          <cell r="BL19">
            <v>0</v>
          </cell>
          <cell r="BM19">
            <v>0</v>
          </cell>
          <cell r="BN19">
            <v>0</v>
          </cell>
          <cell r="BR19">
            <v>0</v>
          </cell>
          <cell r="BS19">
            <v>0</v>
          </cell>
          <cell r="BT19">
            <v>0</v>
          </cell>
          <cell r="BX19">
            <v>0</v>
          </cell>
          <cell r="BY19">
            <v>0</v>
          </cell>
          <cell r="BZ19">
            <v>0</v>
          </cell>
          <cell r="CD19">
            <v>0</v>
          </cell>
          <cell r="CE19">
            <v>0</v>
          </cell>
          <cell r="CF19">
            <v>0</v>
          </cell>
          <cell r="CJ19">
            <v>0</v>
          </cell>
          <cell r="CK19">
            <v>0</v>
          </cell>
          <cell r="CL19">
            <v>0</v>
          </cell>
          <cell r="CP19">
            <v>0</v>
          </cell>
          <cell r="CQ19">
            <v>0</v>
          </cell>
          <cell r="CR19">
            <v>0</v>
          </cell>
          <cell r="CS19">
            <v>0</v>
          </cell>
          <cell r="CX19">
            <v>0</v>
          </cell>
          <cell r="CY19">
            <v>0</v>
          </cell>
          <cell r="CZ19">
            <v>0</v>
          </cell>
          <cell r="DA19">
            <v>0</v>
          </cell>
          <cell r="DF19">
            <v>0</v>
          </cell>
          <cell r="DG19">
            <v>0</v>
          </cell>
          <cell r="DH19">
            <v>0</v>
          </cell>
          <cell r="DI19">
            <v>0</v>
          </cell>
          <cell r="DN19">
            <v>0</v>
          </cell>
          <cell r="DO19">
            <v>0</v>
          </cell>
          <cell r="DP19">
            <v>0</v>
          </cell>
          <cell r="DQ19">
            <v>0</v>
          </cell>
          <cell r="DV19">
            <v>0</v>
          </cell>
          <cell r="DW19">
            <v>0</v>
          </cell>
          <cell r="DX19">
            <v>0</v>
          </cell>
          <cell r="DY19">
            <v>0</v>
          </cell>
        </row>
        <row r="20">
          <cell r="F20">
            <v>0</v>
          </cell>
          <cell r="G20">
            <v>0</v>
          </cell>
          <cell r="H20">
            <v>0</v>
          </cell>
          <cell r="I20">
            <v>0</v>
          </cell>
          <cell r="AX20">
            <v>0</v>
          </cell>
          <cell r="AY20">
            <v>0</v>
          </cell>
          <cell r="AZ20">
            <v>0</v>
          </cell>
          <cell r="BA20">
            <v>0</v>
          </cell>
          <cell r="CP20">
            <v>0</v>
          </cell>
          <cell r="CQ20">
            <v>0</v>
          </cell>
          <cell r="CR20">
            <v>0</v>
          </cell>
          <cell r="CS20">
            <v>0</v>
          </cell>
          <cell r="CX20">
            <v>0</v>
          </cell>
          <cell r="CY20">
            <v>0</v>
          </cell>
          <cell r="CZ20">
            <v>0</v>
          </cell>
          <cell r="DA20">
            <v>0</v>
          </cell>
          <cell r="DF20">
            <v>0</v>
          </cell>
          <cell r="DG20">
            <v>0</v>
          </cell>
          <cell r="DH20">
            <v>0</v>
          </cell>
          <cell r="DI20">
            <v>0</v>
          </cell>
          <cell r="DN20">
            <v>0</v>
          </cell>
          <cell r="DO20">
            <v>0</v>
          </cell>
          <cell r="DP20">
            <v>0</v>
          </cell>
          <cell r="DQ20">
            <v>0</v>
          </cell>
          <cell r="DV20">
            <v>0</v>
          </cell>
          <cell r="DW20">
            <v>0</v>
          </cell>
          <cell r="DX20">
            <v>0</v>
          </cell>
          <cell r="DY20">
            <v>0</v>
          </cell>
        </row>
        <row r="21">
          <cell r="F21">
            <v>15600</v>
          </cell>
          <cell r="G21">
            <v>1982</v>
          </cell>
          <cell r="H21">
            <v>1243.0030000000002</v>
          </cell>
          <cell r="I21">
            <v>62.714581231079727</v>
          </cell>
          <cell r="N21">
            <v>1100</v>
          </cell>
          <cell r="O21">
            <v>140</v>
          </cell>
          <cell r="P21">
            <v>85.694999999999993</v>
          </cell>
          <cell r="T21">
            <v>1700</v>
          </cell>
          <cell r="U21">
            <v>216</v>
          </cell>
          <cell r="V21">
            <v>134.46199999999999</v>
          </cell>
          <cell r="Z21">
            <v>1400</v>
          </cell>
          <cell r="AA21">
            <v>178</v>
          </cell>
          <cell r="AB21">
            <v>112.03</v>
          </cell>
          <cell r="AF21">
            <v>1400</v>
          </cell>
          <cell r="AG21">
            <v>178</v>
          </cell>
          <cell r="AH21">
            <v>112.03</v>
          </cell>
          <cell r="AL21">
            <v>1500</v>
          </cell>
          <cell r="AM21">
            <v>191</v>
          </cell>
          <cell r="AN21">
            <v>120.318</v>
          </cell>
          <cell r="AR21">
            <v>1300</v>
          </cell>
          <cell r="AS21">
            <v>165</v>
          </cell>
          <cell r="AT21">
            <v>103.742</v>
          </cell>
          <cell r="AX21">
            <v>8400</v>
          </cell>
          <cell r="AY21">
            <v>1068</v>
          </cell>
          <cell r="AZ21">
            <v>668.27700000000004</v>
          </cell>
          <cell r="BA21">
            <v>62.57275280898876</v>
          </cell>
          <cell r="BF21">
            <v>1300</v>
          </cell>
          <cell r="BG21">
            <v>165</v>
          </cell>
          <cell r="BH21">
            <v>103.742</v>
          </cell>
          <cell r="BL21">
            <v>1200</v>
          </cell>
          <cell r="BM21">
            <v>152</v>
          </cell>
          <cell r="BN21">
            <v>95.453999999999994</v>
          </cell>
          <cell r="BR21">
            <v>1300</v>
          </cell>
          <cell r="BS21">
            <v>165</v>
          </cell>
          <cell r="BT21">
            <v>103.742</v>
          </cell>
          <cell r="BX21">
            <v>1200</v>
          </cell>
          <cell r="BY21">
            <v>152</v>
          </cell>
          <cell r="BZ21">
            <v>95.453999999999994</v>
          </cell>
          <cell r="CD21">
            <v>1100</v>
          </cell>
          <cell r="CE21">
            <v>140</v>
          </cell>
          <cell r="CF21">
            <v>88.167000000000002</v>
          </cell>
          <cell r="CJ21">
            <v>1100</v>
          </cell>
          <cell r="CK21">
            <v>140</v>
          </cell>
          <cell r="CL21">
            <v>88.167000000000002</v>
          </cell>
          <cell r="CP21">
            <v>7200</v>
          </cell>
          <cell r="CQ21">
            <v>914</v>
          </cell>
          <cell r="CR21">
            <v>574.726</v>
          </cell>
          <cell r="CS21">
            <v>62.88030634573304</v>
          </cell>
          <cell r="CX21">
            <v>4200</v>
          </cell>
          <cell r="CY21">
            <v>534</v>
          </cell>
          <cell r="CZ21">
            <v>332.18700000000001</v>
          </cell>
          <cell r="DA21">
            <v>62.207303370786512</v>
          </cell>
          <cell r="DF21">
            <v>4200</v>
          </cell>
          <cell r="DG21">
            <v>534</v>
          </cell>
          <cell r="DH21">
            <v>336.09000000000003</v>
          </cell>
          <cell r="DI21">
            <v>62.938202247191022</v>
          </cell>
          <cell r="DN21">
            <v>3800</v>
          </cell>
          <cell r="DO21">
            <v>482</v>
          </cell>
          <cell r="DP21">
            <v>302.93799999999999</v>
          </cell>
          <cell r="DQ21">
            <v>62.850207468879674</v>
          </cell>
          <cell r="DV21">
            <v>3400</v>
          </cell>
          <cell r="DW21">
            <v>432</v>
          </cell>
          <cell r="DX21">
            <v>271.78800000000001</v>
          </cell>
          <cell r="DY21">
            <v>62.913888888888891</v>
          </cell>
        </row>
        <row r="22">
          <cell r="F22">
            <v>0</v>
          </cell>
          <cell r="G22">
            <v>0</v>
          </cell>
          <cell r="H22">
            <v>0</v>
          </cell>
          <cell r="I22">
            <v>0</v>
          </cell>
          <cell r="N22">
            <v>0</v>
          </cell>
          <cell r="O22">
            <v>0</v>
          </cell>
          <cell r="T22">
            <v>0</v>
          </cell>
          <cell r="U22">
            <v>0</v>
          </cell>
          <cell r="Z22">
            <v>0</v>
          </cell>
          <cell r="AA22">
            <v>0</v>
          </cell>
          <cell r="AF22">
            <v>0</v>
          </cell>
          <cell r="AG22">
            <v>0</v>
          </cell>
          <cell r="AL22">
            <v>0</v>
          </cell>
          <cell r="AM22">
            <v>0</v>
          </cell>
          <cell r="AR22">
            <v>0</v>
          </cell>
          <cell r="AS22">
            <v>0</v>
          </cell>
          <cell r="AX22">
            <v>0</v>
          </cell>
          <cell r="AY22">
            <v>0</v>
          </cell>
          <cell r="AZ22">
            <v>0</v>
          </cell>
          <cell r="BA22">
            <v>0</v>
          </cell>
          <cell r="BF22">
            <v>0</v>
          </cell>
          <cell r="BG22">
            <v>0</v>
          </cell>
          <cell r="BL22">
            <v>0</v>
          </cell>
          <cell r="BM22">
            <v>0</v>
          </cell>
          <cell r="BR22">
            <v>0</v>
          </cell>
          <cell r="BS22">
            <v>0</v>
          </cell>
          <cell r="BX22">
            <v>0</v>
          </cell>
          <cell r="BY22">
            <v>0</v>
          </cell>
          <cell r="CD22">
            <v>0</v>
          </cell>
          <cell r="CE22">
            <v>0</v>
          </cell>
          <cell r="CJ22">
            <v>0</v>
          </cell>
          <cell r="CK22">
            <v>0</v>
          </cell>
          <cell r="CP22">
            <v>0</v>
          </cell>
          <cell r="CQ22">
            <v>0</v>
          </cell>
          <cell r="CR22">
            <v>0</v>
          </cell>
          <cell r="CS22">
            <v>0</v>
          </cell>
          <cell r="CX22">
            <v>0</v>
          </cell>
          <cell r="CY22">
            <v>0</v>
          </cell>
          <cell r="CZ22">
            <v>0</v>
          </cell>
          <cell r="DA22">
            <v>0</v>
          </cell>
          <cell r="DF22">
            <v>0</v>
          </cell>
          <cell r="DG22">
            <v>0</v>
          </cell>
          <cell r="DH22">
            <v>0</v>
          </cell>
          <cell r="DI22">
            <v>0</v>
          </cell>
          <cell r="DN22">
            <v>0</v>
          </cell>
          <cell r="DO22">
            <v>0</v>
          </cell>
          <cell r="DP22">
            <v>0</v>
          </cell>
          <cell r="DQ22">
            <v>0</v>
          </cell>
          <cell r="DV22">
            <v>0</v>
          </cell>
          <cell r="DW22">
            <v>0</v>
          </cell>
          <cell r="DX22">
            <v>0</v>
          </cell>
          <cell r="DY22">
            <v>0</v>
          </cell>
        </row>
        <row r="23">
          <cell r="F23">
            <v>29600</v>
          </cell>
          <cell r="G23">
            <v>2133</v>
          </cell>
          <cell r="H23">
            <v>1243.7909999999999</v>
          </cell>
          <cell r="I23">
            <v>58.311814345991564</v>
          </cell>
          <cell r="N23">
            <v>2000</v>
          </cell>
          <cell r="O23">
            <v>144</v>
          </cell>
          <cell r="P23">
            <v>63.408999999999999</v>
          </cell>
          <cell r="T23">
            <v>2900</v>
          </cell>
          <cell r="U23">
            <v>209</v>
          </cell>
          <cell r="V23">
            <v>121.866</v>
          </cell>
          <cell r="Z23">
            <v>2300</v>
          </cell>
          <cell r="AA23">
            <v>166</v>
          </cell>
          <cell r="AB23">
            <v>96.977000000000004</v>
          </cell>
          <cell r="AF23">
            <v>2500</v>
          </cell>
          <cell r="AG23">
            <v>180</v>
          </cell>
          <cell r="AH23">
            <v>105.095</v>
          </cell>
          <cell r="AL23">
            <v>2700</v>
          </cell>
          <cell r="AM23">
            <v>194</v>
          </cell>
          <cell r="AN23">
            <v>113.429</v>
          </cell>
          <cell r="AR23">
            <v>2500</v>
          </cell>
          <cell r="AS23">
            <v>180</v>
          </cell>
          <cell r="AT23">
            <v>106.06699999999999</v>
          </cell>
          <cell r="AX23">
            <v>14900</v>
          </cell>
          <cell r="AY23">
            <v>1073</v>
          </cell>
          <cell r="AZ23">
            <v>606.84299999999996</v>
          </cell>
          <cell r="BA23">
            <v>56.555731593662628</v>
          </cell>
          <cell r="BF23">
            <v>3300</v>
          </cell>
          <cell r="BG23">
            <v>238</v>
          </cell>
          <cell r="BH23">
            <v>142.125</v>
          </cell>
          <cell r="BL23">
            <v>2800</v>
          </cell>
          <cell r="BM23">
            <v>202</v>
          </cell>
          <cell r="BN23">
            <v>121.349</v>
          </cell>
          <cell r="BR23">
            <v>2500</v>
          </cell>
          <cell r="BS23">
            <v>180</v>
          </cell>
          <cell r="BT23">
            <v>107.88</v>
          </cell>
          <cell r="BX23">
            <v>2300</v>
          </cell>
          <cell r="BY23">
            <v>166</v>
          </cell>
          <cell r="BZ23">
            <v>100.548</v>
          </cell>
          <cell r="CD23">
            <v>2000</v>
          </cell>
          <cell r="CE23">
            <v>144</v>
          </cell>
          <cell r="CF23">
            <v>86.724999999999994</v>
          </cell>
          <cell r="CJ23">
            <v>1800</v>
          </cell>
          <cell r="CK23">
            <v>130</v>
          </cell>
          <cell r="CL23">
            <v>78.320999999999998</v>
          </cell>
          <cell r="CP23">
            <v>14700</v>
          </cell>
          <cell r="CQ23">
            <v>1060</v>
          </cell>
          <cell r="CR23">
            <v>636.94799999999998</v>
          </cell>
          <cell r="CS23">
            <v>60.089433962264152</v>
          </cell>
          <cell r="CX23">
            <v>7200</v>
          </cell>
          <cell r="CY23">
            <v>519</v>
          </cell>
          <cell r="CZ23">
            <v>282.25200000000001</v>
          </cell>
          <cell r="DA23">
            <v>54.383815028901736</v>
          </cell>
          <cell r="DF23">
            <v>7700</v>
          </cell>
          <cell r="DG23">
            <v>554</v>
          </cell>
          <cell r="DH23">
            <v>324.59100000000001</v>
          </cell>
          <cell r="DI23">
            <v>58.590433212996395</v>
          </cell>
          <cell r="DN23">
            <v>8600</v>
          </cell>
          <cell r="DO23">
            <v>620</v>
          </cell>
          <cell r="DP23">
            <v>371.35399999999998</v>
          </cell>
          <cell r="DQ23">
            <v>59.895806451612899</v>
          </cell>
          <cell r="DV23">
            <v>6100</v>
          </cell>
          <cell r="DW23">
            <v>440</v>
          </cell>
          <cell r="DX23">
            <v>265.59399999999999</v>
          </cell>
          <cell r="DY23">
            <v>60.362272727272725</v>
          </cell>
        </row>
        <row r="24">
          <cell r="F24">
            <v>0</v>
          </cell>
          <cell r="G24">
            <v>0</v>
          </cell>
          <cell r="H24">
            <v>0</v>
          </cell>
          <cell r="I24">
            <v>0</v>
          </cell>
          <cell r="N24">
            <v>0</v>
          </cell>
          <cell r="O24">
            <v>0</v>
          </cell>
          <cell r="T24">
            <v>0</v>
          </cell>
          <cell r="U24">
            <v>0</v>
          </cell>
          <cell r="Z24">
            <v>0</v>
          </cell>
          <cell r="AA24">
            <v>0</v>
          </cell>
          <cell r="AF24">
            <v>0</v>
          </cell>
          <cell r="AG24">
            <v>0</v>
          </cell>
          <cell r="AL24">
            <v>0</v>
          </cell>
          <cell r="AM24">
            <v>0</v>
          </cell>
          <cell r="AR24">
            <v>0</v>
          </cell>
          <cell r="AS24">
            <v>0</v>
          </cell>
          <cell r="AX24">
            <v>0</v>
          </cell>
          <cell r="AY24">
            <v>0</v>
          </cell>
          <cell r="AZ24">
            <v>0</v>
          </cell>
          <cell r="BA24">
            <v>0</v>
          </cell>
          <cell r="BF24">
            <v>0</v>
          </cell>
          <cell r="BG24">
            <v>0</v>
          </cell>
          <cell r="BL24">
            <v>0</v>
          </cell>
          <cell r="BM24">
            <v>0</v>
          </cell>
          <cell r="BR24">
            <v>0</v>
          </cell>
          <cell r="BS24">
            <v>0</v>
          </cell>
          <cell r="BX24">
            <v>0</v>
          </cell>
          <cell r="BY24">
            <v>0</v>
          </cell>
          <cell r="CD24">
            <v>0</v>
          </cell>
          <cell r="CE24">
            <v>0</v>
          </cell>
          <cell r="CJ24">
            <v>0</v>
          </cell>
          <cell r="CK24">
            <v>0</v>
          </cell>
          <cell r="CP24">
            <v>0</v>
          </cell>
          <cell r="CQ24">
            <v>0</v>
          </cell>
          <cell r="CR24">
            <v>0</v>
          </cell>
          <cell r="CS24">
            <v>0</v>
          </cell>
          <cell r="CX24">
            <v>0</v>
          </cell>
          <cell r="CY24">
            <v>0</v>
          </cell>
          <cell r="CZ24">
            <v>0</v>
          </cell>
          <cell r="DA24">
            <v>0</v>
          </cell>
          <cell r="DF24">
            <v>0</v>
          </cell>
          <cell r="DG24">
            <v>0</v>
          </cell>
          <cell r="DH24">
            <v>0</v>
          </cell>
          <cell r="DI24">
            <v>0</v>
          </cell>
          <cell r="DN24">
            <v>0</v>
          </cell>
          <cell r="DO24">
            <v>0</v>
          </cell>
          <cell r="DP24">
            <v>0</v>
          </cell>
          <cell r="DQ24">
            <v>0</v>
          </cell>
          <cell r="DV24">
            <v>0</v>
          </cell>
          <cell r="DW24">
            <v>0</v>
          </cell>
          <cell r="DX24">
            <v>0</v>
          </cell>
          <cell r="DY24">
            <v>0</v>
          </cell>
        </row>
        <row r="25">
          <cell r="F25">
            <v>0</v>
          </cell>
          <cell r="G25">
            <v>0</v>
          </cell>
          <cell r="H25">
            <v>0</v>
          </cell>
          <cell r="I25">
            <v>0</v>
          </cell>
          <cell r="AX25">
            <v>0</v>
          </cell>
          <cell r="AY25">
            <v>0</v>
          </cell>
          <cell r="AZ25">
            <v>0</v>
          </cell>
          <cell r="BA25">
            <v>0</v>
          </cell>
          <cell r="CP25">
            <v>0</v>
          </cell>
          <cell r="CQ25">
            <v>0</v>
          </cell>
          <cell r="CR25">
            <v>0</v>
          </cell>
          <cell r="CS25">
            <v>0</v>
          </cell>
          <cell r="CX25">
            <v>0</v>
          </cell>
          <cell r="CY25">
            <v>0</v>
          </cell>
          <cell r="CZ25">
            <v>0</v>
          </cell>
          <cell r="DA25">
            <v>0</v>
          </cell>
          <cell r="DF25">
            <v>0</v>
          </cell>
          <cell r="DG25">
            <v>0</v>
          </cell>
          <cell r="DH25">
            <v>0</v>
          </cell>
          <cell r="DI25">
            <v>0</v>
          </cell>
          <cell r="DN25">
            <v>0</v>
          </cell>
          <cell r="DO25">
            <v>0</v>
          </cell>
          <cell r="DP25">
            <v>0</v>
          </cell>
          <cell r="DQ25">
            <v>0</v>
          </cell>
          <cell r="DV25">
            <v>0</v>
          </cell>
          <cell r="DW25">
            <v>0</v>
          </cell>
          <cell r="DX25">
            <v>0</v>
          </cell>
          <cell r="DY25">
            <v>0</v>
          </cell>
        </row>
        <row r="26">
          <cell r="F26">
            <v>0</v>
          </cell>
          <cell r="G26">
            <v>0</v>
          </cell>
          <cell r="H26">
            <v>0</v>
          </cell>
          <cell r="I26">
            <v>0</v>
          </cell>
          <cell r="N26">
            <v>0</v>
          </cell>
          <cell r="O26">
            <v>0</v>
          </cell>
          <cell r="T26">
            <v>0</v>
          </cell>
          <cell r="U26">
            <v>0</v>
          </cell>
          <cell r="Z26">
            <v>0</v>
          </cell>
          <cell r="AA26">
            <v>0</v>
          </cell>
          <cell r="AF26">
            <v>0</v>
          </cell>
          <cell r="AG26">
            <v>0</v>
          </cell>
          <cell r="AL26">
            <v>0</v>
          </cell>
          <cell r="AM26">
            <v>0</v>
          </cell>
          <cell r="AR26">
            <v>0</v>
          </cell>
          <cell r="AS26">
            <v>0</v>
          </cell>
          <cell r="AX26">
            <v>0</v>
          </cell>
          <cell r="AY26">
            <v>0</v>
          </cell>
          <cell r="AZ26">
            <v>0</v>
          </cell>
          <cell r="BA26">
            <v>0</v>
          </cell>
          <cell r="BF26">
            <v>0</v>
          </cell>
          <cell r="BG26">
            <v>0</v>
          </cell>
          <cell r="BL26">
            <v>0</v>
          </cell>
          <cell r="BM26">
            <v>0</v>
          </cell>
          <cell r="BR26">
            <v>0</v>
          </cell>
          <cell r="BS26">
            <v>0</v>
          </cell>
          <cell r="BX26">
            <v>0</v>
          </cell>
          <cell r="BY26">
            <v>0</v>
          </cell>
          <cell r="CD26">
            <v>0</v>
          </cell>
          <cell r="CE26">
            <v>0</v>
          </cell>
          <cell r="CJ26">
            <v>0</v>
          </cell>
          <cell r="CK26">
            <v>0</v>
          </cell>
          <cell r="CP26">
            <v>0</v>
          </cell>
          <cell r="CQ26">
            <v>0</v>
          </cell>
          <cell r="CR26">
            <v>0</v>
          </cell>
          <cell r="CS26">
            <v>0</v>
          </cell>
          <cell r="CX26">
            <v>0</v>
          </cell>
          <cell r="CY26">
            <v>0</v>
          </cell>
          <cell r="CZ26">
            <v>0</v>
          </cell>
          <cell r="DA26">
            <v>0</v>
          </cell>
          <cell r="DF26">
            <v>0</v>
          </cell>
          <cell r="DG26">
            <v>0</v>
          </cell>
          <cell r="DH26">
            <v>0</v>
          </cell>
          <cell r="DI26">
            <v>0</v>
          </cell>
          <cell r="DN26">
            <v>0</v>
          </cell>
          <cell r="DO26">
            <v>0</v>
          </cell>
          <cell r="DP26">
            <v>0</v>
          </cell>
          <cell r="DQ26">
            <v>0</v>
          </cell>
          <cell r="DV26">
            <v>0</v>
          </cell>
          <cell r="DW26">
            <v>0</v>
          </cell>
          <cell r="DX26">
            <v>0</v>
          </cell>
          <cell r="DY26">
            <v>0</v>
          </cell>
        </row>
        <row r="27">
          <cell r="F27">
            <v>0</v>
          </cell>
          <cell r="G27">
            <v>0</v>
          </cell>
          <cell r="H27">
            <v>0</v>
          </cell>
          <cell r="I27">
            <v>0</v>
          </cell>
          <cell r="AX27">
            <v>0</v>
          </cell>
          <cell r="AY27">
            <v>0</v>
          </cell>
          <cell r="AZ27">
            <v>0</v>
          </cell>
          <cell r="BA27">
            <v>0</v>
          </cell>
          <cell r="CP27">
            <v>0</v>
          </cell>
          <cell r="CQ27">
            <v>0</v>
          </cell>
          <cell r="CR27">
            <v>0</v>
          </cell>
          <cell r="CS27">
            <v>0</v>
          </cell>
          <cell r="CX27">
            <v>0</v>
          </cell>
          <cell r="CY27">
            <v>0</v>
          </cell>
          <cell r="CZ27">
            <v>0</v>
          </cell>
          <cell r="DA27">
            <v>0</v>
          </cell>
          <cell r="DF27">
            <v>0</v>
          </cell>
          <cell r="DG27">
            <v>0</v>
          </cell>
          <cell r="DH27">
            <v>0</v>
          </cell>
          <cell r="DI27">
            <v>0</v>
          </cell>
          <cell r="DN27">
            <v>0</v>
          </cell>
          <cell r="DO27">
            <v>0</v>
          </cell>
          <cell r="DP27">
            <v>0</v>
          </cell>
          <cell r="DQ27">
            <v>0</v>
          </cell>
          <cell r="DV27">
            <v>0</v>
          </cell>
          <cell r="DW27">
            <v>0</v>
          </cell>
          <cell r="DX27">
            <v>0</v>
          </cell>
          <cell r="DY27">
            <v>0</v>
          </cell>
        </row>
        <row r="28">
          <cell r="F28">
            <v>0</v>
          </cell>
          <cell r="G28">
            <v>0</v>
          </cell>
          <cell r="H28">
            <v>0</v>
          </cell>
          <cell r="I28">
            <v>0</v>
          </cell>
          <cell r="N28">
            <v>0</v>
          </cell>
          <cell r="O28">
            <v>0</v>
          </cell>
          <cell r="T28">
            <v>0</v>
          </cell>
          <cell r="U28">
            <v>0</v>
          </cell>
          <cell r="Z28">
            <v>0</v>
          </cell>
          <cell r="AA28">
            <v>0</v>
          </cell>
          <cell r="AF28">
            <v>0</v>
          </cell>
          <cell r="AG28">
            <v>0</v>
          </cell>
          <cell r="AL28">
            <v>0</v>
          </cell>
          <cell r="AM28">
            <v>0</v>
          </cell>
          <cell r="AR28">
            <v>0</v>
          </cell>
          <cell r="AS28">
            <v>0</v>
          </cell>
          <cell r="AX28">
            <v>0</v>
          </cell>
          <cell r="AY28">
            <v>0</v>
          </cell>
          <cell r="AZ28">
            <v>0</v>
          </cell>
          <cell r="BA28">
            <v>0</v>
          </cell>
          <cell r="BF28">
            <v>0</v>
          </cell>
          <cell r="BG28">
            <v>0</v>
          </cell>
          <cell r="BL28">
            <v>0</v>
          </cell>
          <cell r="BM28">
            <v>0</v>
          </cell>
          <cell r="BR28">
            <v>0</v>
          </cell>
          <cell r="BS28">
            <v>0</v>
          </cell>
          <cell r="BX28">
            <v>0</v>
          </cell>
          <cell r="BY28">
            <v>0</v>
          </cell>
          <cell r="CD28">
            <v>0</v>
          </cell>
          <cell r="CE28">
            <v>0</v>
          </cell>
          <cell r="CJ28">
            <v>0</v>
          </cell>
          <cell r="CK28">
            <v>0</v>
          </cell>
          <cell r="CP28">
            <v>0</v>
          </cell>
          <cell r="CQ28">
            <v>0</v>
          </cell>
          <cell r="CR28">
            <v>0</v>
          </cell>
          <cell r="CS28">
            <v>0</v>
          </cell>
          <cell r="CX28">
            <v>0</v>
          </cell>
          <cell r="CY28">
            <v>0</v>
          </cell>
          <cell r="CZ28">
            <v>0</v>
          </cell>
          <cell r="DA28">
            <v>0</v>
          </cell>
          <cell r="DF28">
            <v>0</v>
          </cell>
          <cell r="DG28">
            <v>0</v>
          </cell>
          <cell r="DH28">
            <v>0</v>
          </cell>
          <cell r="DI28">
            <v>0</v>
          </cell>
          <cell r="DN28">
            <v>0</v>
          </cell>
          <cell r="DO28">
            <v>0</v>
          </cell>
          <cell r="DP28">
            <v>0</v>
          </cell>
          <cell r="DQ28">
            <v>0</v>
          </cell>
          <cell r="DV28">
            <v>0</v>
          </cell>
          <cell r="DW28">
            <v>0</v>
          </cell>
          <cell r="DX28">
            <v>0</v>
          </cell>
          <cell r="DY28">
            <v>0</v>
          </cell>
        </row>
        <row r="29">
          <cell r="F29">
            <v>31900</v>
          </cell>
          <cell r="G29">
            <v>3367</v>
          </cell>
          <cell r="H29">
            <v>1852.19</v>
          </cell>
          <cell r="I29">
            <v>55.010098010098005</v>
          </cell>
          <cell r="N29">
            <v>2100</v>
          </cell>
          <cell r="O29">
            <v>222</v>
          </cell>
          <cell r="P29">
            <v>111.114</v>
          </cell>
          <cell r="T29">
            <v>3300</v>
          </cell>
          <cell r="U29">
            <v>348</v>
          </cell>
          <cell r="V29">
            <v>181.714</v>
          </cell>
          <cell r="Z29">
            <v>2700</v>
          </cell>
          <cell r="AA29">
            <v>285</v>
          </cell>
          <cell r="AB29">
            <v>152.453</v>
          </cell>
          <cell r="AF29">
            <v>3000</v>
          </cell>
          <cell r="AG29">
            <v>317</v>
          </cell>
          <cell r="AH29">
            <v>172.26400000000001</v>
          </cell>
          <cell r="AL29">
            <v>3200</v>
          </cell>
          <cell r="AM29">
            <v>338</v>
          </cell>
          <cell r="AN29">
            <v>185.727</v>
          </cell>
          <cell r="AR29">
            <v>3000</v>
          </cell>
          <cell r="AS29">
            <v>317</v>
          </cell>
          <cell r="AT29">
            <v>176.04900000000001</v>
          </cell>
          <cell r="AX29">
            <v>17300</v>
          </cell>
          <cell r="AY29">
            <v>1827</v>
          </cell>
          <cell r="AZ29">
            <v>979.32099999999991</v>
          </cell>
          <cell r="BA29">
            <v>53.602681992337168</v>
          </cell>
          <cell r="BF29">
            <v>2900</v>
          </cell>
          <cell r="BG29">
            <v>306</v>
          </cell>
          <cell r="BH29">
            <v>171.25200000000001</v>
          </cell>
          <cell r="BL29">
            <v>2500</v>
          </cell>
          <cell r="BM29">
            <v>264</v>
          </cell>
          <cell r="BN29">
            <v>148.995</v>
          </cell>
          <cell r="BR29">
            <v>2500</v>
          </cell>
          <cell r="BS29">
            <v>264</v>
          </cell>
          <cell r="BT29">
            <v>149.69999999999999</v>
          </cell>
          <cell r="BX29">
            <v>2400</v>
          </cell>
          <cell r="BY29">
            <v>253</v>
          </cell>
          <cell r="BZ29">
            <v>144.09200000000001</v>
          </cell>
          <cell r="CD29">
            <v>2200</v>
          </cell>
          <cell r="CE29">
            <v>232</v>
          </cell>
          <cell r="CF29">
            <v>132.541</v>
          </cell>
          <cell r="CJ29">
            <v>2100</v>
          </cell>
          <cell r="CK29">
            <v>221</v>
          </cell>
          <cell r="CL29">
            <v>126.289</v>
          </cell>
          <cell r="CP29">
            <v>14600</v>
          </cell>
          <cell r="CQ29">
            <v>1540</v>
          </cell>
          <cell r="CR29">
            <v>872.86900000000014</v>
          </cell>
          <cell r="CS29">
            <v>56.679805194805198</v>
          </cell>
          <cell r="CX29">
            <v>8100</v>
          </cell>
          <cell r="CY29">
            <v>855</v>
          </cell>
          <cell r="CZ29">
            <v>445.28099999999995</v>
          </cell>
          <cell r="DA29">
            <v>52.079649122807012</v>
          </cell>
          <cell r="DF29">
            <v>9200</v>
          </cell>
          <cell r="DG29">
            <v>972</v>
          </cell>
          <cell r="DH29">
            <v>534.04</v>
          </cell>
          <cell r="DI29">
            <v>54.942386831275712</v>
          </cell>
          <cell r="DN29">
            <v>7900</v>
          </cell>
          <cell r="DO29">
            <v>834</v>
          </cell>
          <cell r="DP29">
            <v>469.947</v>
          </cell>
          <cell r="DQ29">
            <v>56.348561151079139</v>
          </cell>
          <cell r="DV29">
            <v>6700</v>
          </cell>
          <cell r="DW29">
            <v>706</v>
          </cell>
          <cell r="DX29">
            <v>402.92200000000003</v>
          </cell>
          <cell r="DY29">
            <v>57.071104815864025</v>
          </cell>
        </row>
        <row r="30">
          <cell r="F30">
            <v>77100</v>
          </cell>
          <cell r="G30">
            <v>7482</v>
          </cell>
          <cell r="H30">
            <v>4338.9840000000004</v>
          </cell>
          <cell r="I30">
            <v>57.992301523656785</v>
          </cell>
          <cell r="N30">
            <v>5200</v>
          </cell>
          <cell r="O30">
            <v>506</v>
          </cell>
          <cell r="P30">
            <v>260.21799999999996</v>
          </cell>
          <cell r="T30">
            <v>7900</v>
          </cell>
          <cell r="U30">
            <v>773</v>
          </cell>
          <cell r="V30">
            <v>438.04199999999997</v>
          </cell>
          <cell r="Z30">
            <v>6400</v>
          </cell>
          <cell r="AA30">
            <v>629</v>
          </cell>
          <cell r="AB30">
            <v>361.46000000000004</v>
          </cell>
          <cell r="AF30">
            <v>6900</v>
          </cell>
          <cell r="AG30">
            <v>675</v>
          </cell>
          <cell r="AH30">
            <v>389.38900000000001</v>
          </cell>
          <cell r="AL30">
            <v>7400</v>
          </cell>
          <cell r="AM30">
            <v>723</v>
          </cell>
          <cell r="AN30">
            <v>419.47400000000005</v>
          </cell>
          <cell r="AR30">
            <v>6800</v>
          </cell>
          <cell r="AS30">
            <v>662</v>
          </cell>
          <cell r="AT30">
            <v>385.858</v>
          </cell>
          <cell r="AX30">
            <v>40600</v>
          </cell>
          <cell r="AY30">
            <v>3968</v>
          </cell>
          <cell r="AZ30">
            <v>2254.4409999999998</v>
          </cell>
          <cell r="BA30">
            <v>56.815549395161277</v>
          </cell>
          <cell r="BF30">
            <v>7500</v>
          </cell>
          <cell r="BG30">
            <v>709</v>
          </cell>
          <cell r="BH30">
            <v>417.11900000000003</v>
          </cell>
          <cell r="BL30">
            <v>6500</v>
          </cell>
          <cell r="BM30">
            <v>618</v>
          </cell>
          <cell r="BN30">
            <v>365.798</v>
          </cell>
          <cell r="BR30">
            <v>6300</v>
          </cell>
          <cell r="BS30">
            <v>609</v>
          </cell>
          <cell r="BT30">
            <v>361.322</v>
          </cell>
          <cell r="BX30">
            <v>5900</v>
          </cell>
          <cell r="BY30">
            <v>571</v>
          </cell>
          <cell r="BZ30">
            <v>340.09400000000005</v>
          </cell>
          <cell r="CD30">
            <v>5300</v>
          </cell>
          <cell r="CE30">
            <v>516</v>
          </cell>
          <cell r="CF30">
            <v>307.43299999999999</v>
          </cell>
          <cell r="CJ30">
            <v>5000</v>
          </cell>
          <cell r="CK30">
            <v>491</v>
          </cell>
          <cell r="CL30">
            <v>292.77699999999999</v>
          </cell>
          <cell r="CP30">
            <v>36500</v>
          </cell>
          <cell r="CQ30">
            <v>3514</v>
          </cell>
          <cell r="CR30">
            <v>2084.5430000000001</v>
          </cell>
          <cell r="CS30">
            <v>59.321087080250436</v>
          </cell>
          <cell r="CX30">
            <v>19500</v>
          </cell>
          <cell r="CY30">
            <v>1908</v>
          </cell>
          <cell r="CZ30">
            <v>1059.72</v>
          </cell>
          <cell r="DA30">
            <v>55.540880503144649</v>
          </cell>
          <cell r="DF30">
            <v>21100</v>
          </cell>
          <cell r="DG30">
            <v>2060</v>
          </cell>
          <cell r="DH30">
            <v>1194.721</v>
          </cell>
          <cell r="DI30">
            <v>57.996165048543688</v>
          </cell>
          <cell r="DN30">
            <v>20300</v>
          </cell>
          <cell r="DO30">
            <v>1936</v>
          </cell>
          <cell r="DP30">
            <v>1144.239</v>
          </cell>
          <cell r="DQ30">
            <v>59.103254132231406</v>
          </cell>
          <cell r="DV30">
            <v>16200</v>
          </cell>
          <cell r="DW30">
            <v>1578</v>
          </cell>
          <cell r="DX30">
            <v>940.30400000000009</v>
          </cell>
          <cell r="DY30">
            <v>59.588339670468947</v>
          </cell>
        </row>
        <row r="31">
          <cell r="F31">
            <v>0</v>
          </cell>
          <cell r="G31">
            <v>0</v>
          </cell>
          <cell r="H31">
            <v>0</v>
          </cell>
          <cell r="I31">
            <v>0</v>
          </cell>
          <cell r="AX31">
            <v>0</v>
          </cell>
          <cell r="AY31">
            <v>0</v>
          </cell>
          <cell r="AZ31">
            <v>0</v>
          </cell>
          <cell r="BA31">
            <v>0</v>
          </cell>
          <cell r="CP31">
            <v>0</v>
          </cell>
          <cell r="CQ31">
            <v>0</v>
          </cell>
          <cell r="CR31">
            <v>0</v>
          </cell>
          <cell r="CS31">
            <v>0</v>
          </cell>
          <cell r="CX31">
            <v>0</v>
          </cell>
          <cell r="CY31">
            <v>0</v>
          </cell>
          <cell r="CZ31">
            <v>0</v>
          </cell>
          <cell r="DA31">
            <v>0</v>
          </cell>
          <cell r="DF31">
            <v>0</v>
          </cell>
          <cell r="DG31">
            <v>0</v>
          </cell>
          <cell r="DH31">
            <v>0</v>
          </cell>
          <cell r="DI31">
            <v>0</v>
          </cell>
          <cell r="DN31">
            <v>0</v>
          </cell>
          <cell r="DO31">
            <v>0</v>
          </cell>
          <cell r="DP31">
            <v>0</v>
          </cell>
          <cell r="DQ31">
            <v>0</v>
          </cell>
          <cell r="DV31">
            <v>0</v>
          </cell>
          <cell r="DW31">
            <v>0</v>
          </cell>
          <cell r="DX31">
            <v>0</v>
          </cell>
          <cell r="DY31">
            <v>0</v>
          </cell>
        </row>
        <row r="32">
          <cell r="F32">
            <v>23500</v>
          </cell>
          <cell r="G32">
            <v>3789</v>
          </cell>
          <cell r="H32">
            <v>2188.0690000000004</v>
          </cell>
          <cell r="I32">
            <v>57.74792821324889</v>
          </cell>
          <cell r="N32">
            <v>1700</v>
          </cell>
          <cell r="O32">
            <v>280</v>
          </cell>
          <cell r="P32">
            <v>141.08500000000001</v>
          </cell>
          <cell r="T32">
            <v>2100</v>
          </cell>
          <cell r="U32">
            <v>346</v>
          </cell>
          <cell r="V32">
            <v>185.13900000000001</v>
          </cell>
          <cell r="Z32">
            <v>2000</v>
          </cell>
          <cell r="AA32">
            <v>329</v>
          </cell>
          <cell r="AB32">
            <v>183.00800000000001</v>
          </cell>
          <cell r="AF32">
            <v>2200</v>
          </cell>
          <cell r="AG32">
            <v>362</v>
          </cell>
          <cell r="AH32">
            <v>206.52099999999999</v>
          </cell>
          <cell r="AL32">
            <v>2600</v>
          </cell>
          <cell r="AM32">
            <v>428</v>
          </cell>
          <cell r="AN32">
            <v>249.57599999999999</v>
          </cell>
          <cell r="AR32">
            <v>2300</v>
          </cell>
          <cell r="AS32">
            <v>379</v>
          </cell>
          <cell r="AT32">
            <v>224.24100000000001</v>
          </cell>
          <cell r="AX32">
            <v>12900</v>
          </cell>
          <cell r="AY32">
            <v>2124</v>
          </cell>
          <cell r="AZ32">
            <v>1189.5700000000002</v>
          </cell>
          <cell r="BA32">
            <v>56.006120527306976</v>
          </cell>
          <cell r="BF32">
            <v>2100</v>
          </cell>
          <cell r="BG32">
            <v>330</v>
          </cell>
          <cell r="BH32">
            <v>192.36799999999999</v>
          </cell>
          <cell r="BL32">
            <v>1800</v>
          </cell>
          <cell r="BM32">
            <v>283</v>
          </cell>
          <cell r="BN32">
            <v>167.483</v>
          </cell>
          <cell r="BR32">
            <v>1800</v>
          </cell>
          <cell r="BS32">
            <v>283</v>
          </cell>
          <cell r="BT32">
            <v>169.464</v>
          </cell>
          <cell r="BX32">
            <v>1800</v>
          </cell>
          <cell r="BY32">
            <v>283</v>
          </cell>
          <cell r="BZ32">
            <v>172.09800000000001</v>
          </cell>
          <cell r="CD32">
            <v>1600</v>
          </cell>
          <cell r="CE32">
            <v>251</v>
          </cell>
          <cell r="CF32">
            <v>152.995</v>
          </cell>
          <cell r="CJ32">
            <v>1500</v>
          </cell>
          <cell r="CK32">
            <v>235</v>
          </cell>
          <cell r="CL32">
            <v>144.09100000000001</v>
          </cell>
          <cell r="CP32">
            <v>10600</v>
          </cell>
          <cell r="CQ32">
            <v>1665</v>
          </cell>
          <cell r="CR32">
            <v>998.49900000000002</v>
          </cell>
          <cell r="CS32">
            <v>59.969909909909916</v>
          </cell>
          <cell r="CX32">
            <v>5800</v>
          </cell>
          <cell r="CY32">
            <v>955</v>
          </cell>
          <cell r="CZ32">
            <v>509.23200000000008</v>
          </cell>
          <cell r="DA32">
            <v>53.322722513089019</v>
          </cell>
          <cell r="DF32">
            <v>7100</v>
          </cell>
          <cell r="DG32">
            <v>1169</v>
          </cell>
          <cell r="DH32">
            <v>680.33799999999997</v>
          </cell>
          <cell r="DI32">
            <v>58.198289136013685</v>
          </cell>
          <cell r="DN32">
            <v>5700</v>
          </cell>
          <cell r="DO32">
            <v>896</v>
          </cell>
          <cell r="DP32">
            <v>529.31500000000005</v>
          </cell>
          <cell r="DQ32">
            <v>59.075334821428584</v>
          </cell>
          <cell r="DV32">
            <v>4900</v>
          </cell>
          <cell r="DW32">
            <v>769</v>
          </cell>
          <cell r="DX32">
            <v>469.18400000000003</v>
          </cell>
          <cell r="DY32">
            <v>61.01222366710013</v>
          </cell>
        </row>
        <row r="33">
          <cell r="F33">
            <v>0</v>
          </cell>
          <cell r="G33">
            <v>0</v>
          </cell>
          <cell r="H33">
            <v>0</v>
          </cell>
          <cell r="I33">
            <v>0</v>
          </cell>
          <cell r="AX33">
            <v>0</v>
          </cell>
          <cell r="AY33">
            <v>0</v>
          </cell>
          <cell r="AZ33">
            <v>0</v>
          </cell>
          <cell r="BA33">
            <v>0</v>
          </cell>
          <cell r="CP33">
            <v>0</v>
          </cell>
          <cell r="CQ33">
            <v>0</v>
          </cell>
          <cell r="CR33">
            <v>0</v>
          </cell>
          <cell r="CS33">
            <v>0</v>
          </cell>
          <cell r="CX33">
            <v>0</v>
          </cell>
          <cell r="CY33">
            <v>0</v>
          </cell>
          <cell r="CZ33">
            <v>0</v>
          </cell>
          <cell r="DA33">
            <v>0</v>
          </cell>
          <cell r="DF33">
            <v>0</v>
          </cell>
          <cell r="DG33">
            <v>0</v>
          </cell>
          <cell r="DH33">
            <v>0</v>
          </cell>
          <cell r="DI33">
            <v>0</v>
          </cell>
          <cell r="DN33">
            <v>0</v>
          </cell>
          <cell r="DO33">
            <v>0</v>
          </cell>
          <cell r="DP33">
            <v>0</v>
          </cell>
          <cell r="DQ33">
            <v>0</v>
          </cell>
          <cell r="DV33">
            <v>0</v>
          </cell>
          <cell r="DW33">
            <v>0</v>
          </cell>
          <cell r="DX33">
            <v>0</v>
          </cell>
          <cell r="DY33">
            <v>0</v>
          </cell>
        </row>
        <row r="34">
          <cell r="F34">
            <v>38200</v>
          </cell>
          <cell r="G34">
            <v>8215</v>
          </cell>
          <cell r="H34">
            <v>4995.7000000000007</v>
          </cell>
          <cell r="I34">
            <v>60.811929397443706</v>
          </cell>
          <cell r="N34">
            <v>2300</v>
          </cell>
          <cell r="O34">
            <v>495</v>
          </cell>
          <cell r="P34">
            <v>281.851</v>
          </cell>
          <cell r="T34">
            <v>3500</v>
          </cell>
          <cell r="U34">
            <v>753</v>
          </cell>
          <cell r="V34">
            <v>430.97300000000001</v>
          </cell>
          <cell r="Z34">
            <v>3000</v>
          </cell>
          <cell r="AA34">
            <v>645</v>
          </cell>
          <cell r="AB34">
            <v>375.78300000000002</v>
          </cell>
          <cell r="AF34">
            <v>3400</v>
          </cell>
          <cell r="AG34">
            <v>731</v>
          </cell>
          <cell r="AH34">
            <v>428.01299999999998</v>
          </cell>
          <cell r="AL34">
            <v>3800</v>
          </cell>
          <cell r="AM34">
            <v>817</v>
          </cell>
          <cell r="AN34">
            <v>484.23899999999998</v>
          </cell>
          <cell r="AR34">
            <v>3500</v>
          </cell>
          <cell r="AS34">
            <v>753</v>
          </cell>
          <cell r="AT34">
            <v>450.11500000000001</v>
          </cell>
          <cell r="AX34">
            <v>19500</v>
          </cell>
          <cell r="AY34">
            <v>4194</v>
          </cell>
          <cell r="AZ34">
            <v>2450.9740000000002</v>
          </cell>
          <cell r="BA34">
            <v>58.440009537434435</v>
          </cell>
          <cell r="BF34">
            <v>3500</v>
          </cell>
          <cell r="BG34">
            <v>753</v>
          </cell>
          <cell r="BH34">
            <v>460.05700000000002</v>
          </cell>
          <cell r="BL34">
            <v>3200</v>
          </cell>
          <cell r="BM34">
            <v>688</v>
          </cell>
          <cell r="BN34">
            <v>429.07400000000001</v>
          </cell>
          <cell r="BR34">
            <v>3200</v>
          </cell>
          <cell r="BS34">
            <v>688</v>
          </cell>
          <cell r="BT34">
            <v>433.85300000000001</v>
          </cell>
          <cell r="BX34">
            <v>3000</v>
          </cell>
          <cell r="BY34">
            <v>645</v>
          </cell>
          <cell r="BZ34">
            <v>413.50400000000002</v>
          </cell>
          <cell r="CD34">
            <v>3000</v>
          </cell>
          <cell r="CE34">
            <v>645</v>
          </cell>
          <cell r="CF34">
            <v>415.11900000000003</v>
          </cell>
          <cell r="CJ34">
            <v>2800</v>
          </cell>
          <cell r="CK34">
            <v>602</v>
          </cell>
          <cell r="CL34">
            <v>393.11900000000003</v>
          </cell>
          <cell r="CP34">
            <v>18700</v>
          </cell>
          <cell r="CQ34">
            <v>4021</v>
          </cell>
          <cell r="CR34">
            <v>2544.7260000000006</v>
          </cell>
          <cell r="CS34">
            <v>63.285899030092033</v>
          </cell>
          <cell r="CX34">
            <v>8800</v>
          </cell>
          <cell r="CY34">
            <v>1893</v>
          </cell>
          <cell r="CZ34">
            <v>1088.607</v>
          </cell>
          <cell r="DA34">
            <v>57.50697305863708</v>
          </cell>
          <cell r="DF34">
            <v>10700</v>
          </cell>
          <cell r="DG34">
            <v>2301</v>
          </cell>
          <cell r="DH34">
            <v>1362.367</v>
          </cell>
          <cell r="DI34">
            <v>59.207605388961312</v>
          </cell>
          <cell r="DN34">
            <v>9900</v>
          </cell>
          <cell r="DO34">
            <v>2129</v>
          </cell>
          <cell r="DP34">
            <v>1322.9840000000002</v>
          </cell>
          <cell r="DQ34">
            <v>62.141099107562248</v>
          </cell>
          <cell r="DV34">
            <v>8800</v>
          </cell>
          <cell r="DW34">
            <v>1892</v>
          </cell>
          <cell r="DX34">
            <v>1221.7420000000002</v>
          </cell>
          <cell r="DY34">
            <v>64.574101479915441</v>
          </cell>
        </row>
        <row r="35">
          <cell r="F35">
            <v>12700</v>
          </cell>
          <cell r="G35">
            <v>2990</v>
          </cell>
          <cell r="H35">
            <v>1853.758</v>
          </cell>
          <cell r="I35">
            <v>61.998595317725758</v>
          </cell>
          <cell r="N35">
            <v>900</v>
          </cell>
          <cell r="O35">
            <v>212</v>
          </cell>
          <cell r="P35">
            <v>124.489</v>
          </cell>
          <cell r="T35">
            <v>1100</v>
          </cell>
          <cell r="U35">
            <v>259</v>
          </cell>
          <cell r="V35">
            <v>154.54400000000001</v>
          </cell>
          <cell r="Z35">
            <v>1000</v>
          </cell>
          <cell r="AA35">
            <v>235</v>
          </cell>
          <cell r="AB35">
            <v>141.90100000000001</v>
          </cell>
          <cell r="AF35">
            <v>1100</v>
          </cell>
          <cell r="AG35">
            <v>259</v>
          </cell>
          <cell r="AH35">
            <v>155.88800000000001</v>
          </cell>
          <cell r="AL35">
            <v>1300</v>
          </cell>
          <cell r="AM35">
            <v>306</v>
          </cell>
          <cell r="AN35">
            <v>186.154</v>
          </cell>
          <cell r="AR35">
            <v>1100</v>
          </cell>
          <cell r="AS35">
            <v>259</v>
          </cell>
          <cell r="AT35">
            <v>158.07300000000001</v>
          </cell>
          <cell r="AX35">
            <v>6500</v>
          </cell>
          <cell r="AY35">
            <v>1530</v>
          </cell>
          <cell r="AZ35">
            <v>921.04900000000009</v>
          </cell>
          <cell r="BA35">
            <v>60.19928104575164</v>
          </cell>
          <cell r="BF35">
            <v>1100</v>
          </cell>
          <cell r="BG35">
            <v>259</v>
          </cell>
          <cell r="BH35">
            <v>162.333</v>
          </cell>
          <cell r="BL35">
            <v>1100</v>
          </cell>
          <cell r="BM35">
            <v>259</v>
          </cell>
          <cell r="BN35">
            <v>164.57900000000001</v>
          </cell>
          <cell r="BR35">
            <v>1100</v>
          </cell>
          <cell r="BS35">
            <v>259</v>
          </cell>
          <cell r="BT35">
            <v>164.96199999999999</v>
          </cell>
          <cell r="BX35">
            <v>1100</v>
          </cell>
          <cell r="BY35">
            <v>259</v>
          </cell>
          <cell r="BZ35">
            <v>167.30699999999999</v>
          </cell>
          <cell r="CD35">
            <v>900</v>
          </cell>
          <cell r="CE35">
            <v>212</v>
          </cell>
          <cell r="CF35">
            <v>136.322</v>
          </cell>
          <cell r="CJ35">
            <v>900</v>
          </cell>
          <cell r="CK35">
            <v>212</v>
          </cell>
          <cell r="CL35">
            <v>137.20599999999999</v>
          </cell>
          <cell r="CP35">
            <v>6200</v>
          </cell>
          <cell r="CQ35">
            <v>1460</v>
          </cell>
          <cell r="CR35">
            <v>932.70899999999995</v>
          </cell>
          <cell r="CS35">
            <v>63.884178082191781</v>
          </cell>
          <cell r="CX35">
            <v>3000</v>
          </cell>
          <cell r="CY35">
            <v>706</v>
          </cell>
          <cell r="CZ35">
            <v>420.93400000000003</v>
          </cell>
          <cell r="DA35">
            <v>59.62237960339943</v>
          </cell>
          <cell r="DF35">
            <v>3500</v>
          </cell>
          <cell r="DG35">
            <v>824</v>
          </cell>
          <cell r="DH35">
            <v>500.11500000000001</v>
          </cell>
          <cell r="DI35">
            <v>60.693567961165051</v>
          </cell>
          <cell r="DN35">
            <v>3300</v>
          </cell>
          <cell r="DO35">
            <v>777</v>
          </cell>
          <cell r="DP35">
            <v>491.87400000000002</v>
          </cell>
          <cell r="DQ35">
            <v>63.304247104247104</v>
          </cell>
          <cell r="DV35">
            <v>2900</v>
          </cell>
          <cell r="DW35">
            <v>683</v>
          </cell>
          <cell r="DX35">
            <v>440.83500000000004</v>
          </cell>
          <cell r="DY35">
            <v>64.543923865300158</v>
          </cell>
        </row>
        <row r="36">
          <cell r="F36">
            <v>0</v>
          </cell>
          <cell r="G36">
            <v>0</v>
          </cell>
          <cell r="H36">
            <v>0</v>
          </cell>
          <cell r="I36">
            <v>0</v>
          </cell>
          <cell r="N36">
            <v>0</v>
          </cell>
          <cell r="O36">
            <v>0</v>
          </cell>
          <cell r="T36">
            <v>0</v>
          </cell>
          <cell r="U36">
            <v>0</v>
          </cell>
          <cell r="Z36">
            <v>0</v>
          </cell>
          <cell r="AA36">
            <v>0</v>
          </cell>
          <cell r="AF36">
            <v>0</v>
          </cell>
          <cell r="AG36">
            <v>0</v>
          </cell>
          <cell r="AL36">
            <v>0</v>
          </cell>
          <cell r="AM36">
            <v>0</v>
          </cell>
          <cell r="AR36">
            <v>0</v>
          </cell>
          <cell r="AS36">
            <v>0</v>
          </cell>
          <cell r="AX36">
            <v>0</v>
          </cell>
          <cell r="AY36">
            <v>0</v>
          </cell>
          <cell r="AZ36">
            <v>0</v>
          </cell>
          <cell r="BA36">
            <v>0</v>
          </cell>
          <cell r="BF36">
            <v>0</v>
          </cell>
          <cell r="BG36">
            <v>0</v>
          </cell>
          <cell r="BL36">
            <v>0</v>
          </cell>
          <cell r="BM36">
            <v>0</v>
          </cell>
          <cell r="BR36">
            <v>0</v>
          </cell>
          <cell r="BS36">
            <v>0</v>
          </cell>
          <cell r="BX36">
            <v>0</v>
          </cell>
          <cell r="BY36">
            <v>0</v>
          </cell>
          <cell r="CD36">
            <v>0</v>
          </cell>
          <cell r="CE36">
            <v>0</v>
          </cell>
          <cell r="CJ36">
            <v>0</v>
          </cell>
          <cell r="CK36">
            <v>0</v>
          </cell>
          <cell r="CP36">
            <v>0</v>
          </cell>
          <cell r="CQ36">
            <v>0</v>
          </cell>
          <cell r="CR36">
            <v>0</v>
          </cell>
          <cell r="CS36">
            <v>0</v>
          </cell>
          <cell r="CX36">
            <v>0</v>
          </cell>
          <cell r="CY36">
            <v>0</v>
          </cell>
          <cell r="CZ36">
            <v>0</v>
          </cell>
          <cell r="DA36">
            <v>0</v>
          </cell>
          <cell r="DF36">
            <v>0</v>
          </cell>
          <cell r="DG36">
            <v>0</v>
          </cell>
          <cell r="DH36">
            <v>0</v>
          </cell>
          <cell r="DI36">
            <v>0</v>
          </cell>
          <cell r="DN36">
            <v>0</v>
          </cell>
          <cell r="DO36">
            <v>0</v>
          </cell>
          <cell r="DP36">
            <v>0</v>
          </cell>
          <cell r="DQ36">
            <v>0</v>
          </cell>
          <cell r="DV36">
            <v>0</v>
          </cell>
          <cell r="DW36">
            <v>0</v>
          </cell>
          <cell r="DX36">
            <v>0</v>
          </cell>
          <cell r="DY36">
            <v>0</v>
          </cell>
        </row>
        <row r="37">
          <cell r="F37">
            <v>37800</v>
          </cell>
          <cell r="G37">
            <v>8131</v>
          </cell>
          <cell r="H37">
            <v>4267.4889999999996</v>
          </cell>
          <cell r="I37">
            <v>52.484183987209441</v>
          </cell>
          <cell r="N37">
            <v>2500</v>
          </cell>
          <cell r="O37">
            <v>538</v>
          </cell>
          <cell r="P37">
            <v>248.84100000000001</v>
          </cell>
          <cell r="T37">
            <v>3200</v>
          </cell>
          <cell r="U37">
            <v>688</v>
          </cell>
          <cell r="V37">
            <v>327.29700000000003</v>
          </cell>
          <cell r="Z37">
            <v>2900</v>
          </cell>
          <cell r="AA37">
            <v>624</v>
          </cell>
          <cell r="AB37">
            <v>308.2</v>
          </cell>
          <cell r="AF37">
            <v>3300</v>
          </cell>
          <cell r="AG37">
            <v>710</v>
          </cell>
          <cell r="AH37">
            <v>357.041</v>
          </cell>
          <cell r="AL37">
            <v>3600</v>
          </cell>
          <cell r="AM37">
            <v>774</v>
          </cell>
          <cell r="AN37">
            <v>396.161</v>
          </cell>
          <cell r="AR37">
            <v>3300</v>
          </cell>
          <cell r="AS37">
            <v>710</v>
          </cell>
          <cell r="AT37">
            <v>369.08300000000003</v>
          </cell>
          <cell r="AX37">
            <v>18800</v>
          </cell>
          <cell r="AY37">
            <v>4044</v>
          </cell>
          <cell r="AZ37">
            <v>2006.623</v>
          </cell>
          <cell r="BA37">
            <v>49.619757665677547</v>
          </cell>
          <cell r="BF37">
            <v>3500</v>
          </cell>
          <cell r="BG37">
            <v>753</v>
          </cell>
          <cell r="BH37">
            <v>398.41800000000001</v>
          </cell>
          <cell r="BL37">
            <v>3300</v>
          </cell>
          <cell r="BM37">
            <v>710</v>
          </cell>
          <cell r="BN37">
            <v>383.21699999999998</v>
          </cell>
          <cell r="BR37">
            <v>3200</v>
          </cell>
          <cell r="BS37">
            <v>688</v>
          </cell>
          <cell r="BT37">
            <v>378.36599999999999</v>
          </cell>
          <cell r="BX37">
            <v>3100</v>
          </cell>
          <cell r="BY37">
            <v>667</v>
          </cell>
          <cell r="BZ37">
            <v>374.55799999999999</v>
          </cell>
          <cell r="CD37">
            <v>3000</v>
          </cell>
          <cell r="CE37">
            <v>645</v>
          </cell>
          <cell r="CF37">
            <v>366.33800000000002</v>
          </cell>
          <cell r="CJ37">
            <v>2900</v>
          </cell>
          <cell r="CK37">
            <v>624</v>
          </cell>
          <cell r="CL37">
            <v>359.96899999999999</v>
          </cell>
          <cell r="CP37">
            <v>19000</v>
          </cell>
          <cell r="CQ37">
            <v>4087</v>
          </cell>
          <cell r="CR37">
            <v>2260.866</v>
          </cell>
          <cell r="CS37">
            <v>55.318473207731834</v>
          </cell>
          <cell r="CX37">
            <v>8600</v>
          </cell>
          <cell r="CY37">
            <v>1850</v>
          </cell>
          <cell r="CZ37">
            <v>884.33799999999997</v>
          </cell>
          <cell r="DA37">
            <v>47.802054054054047</v>
          </cell>
          <cell r="DF37">
            <v>10200</v>
          </cell>
          <cell r="DG37">
            <v>2194</v>
          </cell>
          <cell r="DH37">
            <v>1122.2850000000001</v>
          </cell>
          <cell r="DI37">
            <v>51.152461257976299</v>
          </cell>
          <cell r="DN37">
            <v>10000</v>
          </cell>
          <cell r="DO37">
            <v>2151</v>
          </cell>
          <cell r="DP37">
            <v>1160.001</v>
          </cell>
          <cell r="DQ37">
            <v>53.928451882845188</v>
          </cell>
          <cell r="DV37">
            <v>9000</v>
          </cell>
          <cell r="DW37">
            <v>1936</v>
          </cell>
          <cell r="DX37">
            <v>1100.865</v>
          </cell>
          <cell r="DY37">
            <v>56.862861570247937</v>
          </cell>
        </row>
        <row r="38">
          <cell r="F38">
            <v>0</v>
          </cell>
          <cell r="G38">
            <v>0</v>
          </cell>
          <cell r="H38">
            <v>0</v>
          </cell>
          <cell r="I38">
            <v>0</v>
          </cell>
          <cell r="N38">
            <v>0</v>
          </cell>
          <cell r="O38">
            <v>0</v>
          </cell>
          <cell r="T38">
            <v>0</v>
          </cell>
          <cell r="U38">
            <v>0</v>
          </cell>
          <cell r="Z38">
            <v>0</v>
          </cell>
          <cell r="AA38">
            <v>0</v>
          </cell>
          <cell r="AF38">
            <v>0</v>
          </cell>
          <cell r="AG38">
            <v>0</v>
          </cell>
          <cell r="AL38">
            <v>0</v>
          </cell>
          <cell r="AM38">
            <v>0</v>
          </cell>
          <cell r="AR38">
            <v>0</v>
          </cell>
          <cell r="AS38">
            <v>0</v>
          </cell>
          <cell r="AX38">
            <v>0</v>
          </cell>
          <cell r="AY38">
            <v>0</v>
          </cell>
          <cell r="AZ38">
            <v>0</v>
          </cell>
          <cell r="BA38">
            <v>0</v>
          </cell>
          <cell r="BF38">
            <v>0</v>
          </cell>
          <cell r="BG38">
            <v>0</v>
          </cell>
          <cell r="BL38">
            <v>0</v>
          </cell>
          <cell r="BM38">
            <v>0</v>
          </cell>
          <cell r="BR38">
            <v>0</v>
          </cell>
          <cell r="BS38">
            <v>0</v>
          </cell>
          <cell r="BX38">
            <v>0</v>
          </cell>
          <cell r="BY38">
            <v>0</v>
          </cell>
          <cell r="CD38">
            <v>0</v>
          </cell>
          <cell r="CE38">
            <v>0</v>
          </cell>
          <cell r="CJ38">
            <v>0</v>
          </cell>
          <cell r="CK38">
            <v>0</v>
          </cell>
          <cell r="CP38">
            <v>0</v>
          </cell>
          <cell r="CQ38">
            <v>0</v>
          </cell>
          <cell r="CR38">
            <v>0</v>
          </cell>
          <cell r="CS38">
            <v>0</v>
          </cell>
          <cell r="CX38">
            <v>0</v>
          </cell>
          <cell r="CY38">
            <v>0</v>
          </cell>
          <cell r="CZ38">
            <v>0</v>
          </cell>
          <cell r="DA38">
            <v>0</v>
          </cell>
          <cell r="DF38">
            <v>0</v>
          </cell>
          <cell r="DG38">
            <v>0</v>
          </cell>
          <cell r="DH38">
            <v>0</v>
          </cell>
          <cell r="DI38">
            <v>0</v>
          </cell>
          <cell r="DN38">
            <v>0</v>
          </cell>
          <cell r="DO38">
            <v>0</v>
          </cell>
          <cell r="DP38">
            <v>0</v>
          </cell>
          <cell r="DQ38">
            <v>0</v>
          </cell>
          <cell r="DV38">
            <v>0</v>
          </cell>
          <cell r="DW38">
            <v>0</v>
          </cell>
          <cell r="DX38">
            <v>0</v>
          </cell>
          <cell r="DY38">
            <v>0</v>
          </cell>
        </row>
        <row r="39">
          <cell r="F39">
            <v>32800</v>
          </cell>
          <cell r="G39">
            <v>4920</v>
          </cell>
          <cell r="H39">
            <v>2782.1850000000004</v>
          </cell>
          <cell r="I39">
            <v>56.54847560975611</v>
          </cell>
          <cell r="N39">
            <v>2100</v>
          </cell>
          <cell r="O39">
            <v>315</v>
          </cell>
          <cell r="P39">
            <v>161.816</v>
          </cell>
          <cell r="T39">
            <v>3200</v>
          </cell>
          <cell r="U39">
            <v>480</v>
          </cell>
          <cell r="V39">
            <v>259.62400000000002</v>
          </cell>
          <cell r="Z39">
            <v>2700</v>
          </cell>
          <cell r="AA39">
            <v>405</v>
          </cell>
          <cell r="AB39">
            <v>223.696</v>
          </cell>
          <cell r="AF39">
            <v>2900</v>
          </cell>
          <cell r="AG39">
            <v>435</v>
          </cell>
          <cell r="AH39">
            <v>242.227</v>
          </cell>
          <cell r="AL39">
            <v>3300</v>
          </cell>
          <cell r="AM39">
            <v>495</v>
          </cell>
          <cell r="AN39">
            <v>278.40199999999999</v>
          </cell>
          <cell r="AR39">
            <v>2900</v>
          </cell>
          <cell r="AS39">
            <v>435</v>
          </cell>
          <cell r="AT39">
            <v>246.375</v>
          </cell>
          <cell r="AX39">
            <v>17100</v>
          </cell>
          <cell r="AY39">
            <v>2565</v>
          </cell>
          <cell r="AZ39">
            <v>1412.14</v>
          </cell>
          <cell r="BA39">
            <v>55.054191033138409</v>
          </cell>
          <cell r="BF39">
            <v>3100</v>
          </cell>
          <cell r="BG39">
            <v>465</v>
          </cell>
          <cell r="BH39">
            <v>266.25299999999999</v>
          </cell>
          <cell r="BL39">
            <v>2900</v>
          </cell>
          <cell r="BM39">
            <v>435</v>
          </cell>
          <cell r="BN39">
            <v>251.15199999999999</v>
          </cell>
          <cell r="BR39">
            <v>2700</v>
          </cell>
          <cell r="BS39">
            <v>405</v>
          </cell>
          <cell r="BT39">
            <v>235.21100000000001</v>
          </cell>
          <cell r="BX39">
            <v>2700</v>
          </cell>
          <cell r="BY39">
            <v>405</v>
          </cell>
          <cell r="BZ39">
            <v>237.87700000000001</v>
          </cell>
          <cell r="CD39">
            <v>2200</v>
          </cell>
          <cell r="CE39">
            <v>330</v>
          </cell>
          <cell r="CF39">
            <v>194.15899999999999</v>
          </cell>
          <cell r="CJ39">
            <v>2100</v>
          </cell>
          <cell r="CK39">
            <v>315</v>
          </cell>
          <cell r="CL39">
            <v>185.393</v>
          </cell>
          <cell r="CP39">
            <v>15700</v>
          </cell>
          <cell r="CQ39">
            <v>2355</v>
          </cell>
          <cell r="CR39">
            <v>1370.0450000000001</v>
          </cell>
          <cell r="CS39">
            <v>58.176008492569011</v>
          </cell>
          <cell r="CX39">
            <v>8000</v>
          </cell>
          <cell r="CY39">
            <v>1200</v>
          </cell>
          <cell r="CZ39">
            <v>645.13600000000008</v>
          </cell>
          <cell r="DA39">
            <v>53.76133333333334</v>
          </cell>
          <cell r="DF39">
            <v>9100</v>
          </cell>
          <cell r="DG39">
            <v>1365</v>
          </cell>
          <cell r="DH39">
            <v>767.00400000000002</v>
          </cell>
          <cell r="DI39">
            <v>56.190769230769234</v>
          </cell>
          <cell r="DN39">
            <v>8700</v>
          </cell>
          <cell r="DO39">
            <v>1305</v>
          </cell>
          <cell r="DP39">
            <v>752.61599999999999</v>
          </cell>
          <cell r="DQ39">
            <v>57.671724137931037</v>
          </cell>
          <cell r="DV39">
            <v>7000</v>
          </cell>
          <cell r="DW39">
            <v>1050</v>
          </cell>
          <cell r="DX39">
            <v>617.42899999999997</v>
          </cell>
          <cell r="DY39">
            <v>58.802761904761901</v>
          </cell>
        </row>
        <row r="40">
          <cell r="F40">
            <v>0</v>
          </cell>
          <cell r="G40">
            <v>0</v>
          </cell>
          <cell r="H40">
            <v>0</v>
          </cell>
          <cell r="I40">
            <v>0</v>
          </cell>
          <cell r="AX40">
            <v>0</v>
          </cell>
          <cell r="AY40">
            <v>0</v>
          </cell>
          <cell r="AZ40">
            <v>0</v>
          </cell>
          <cell r="BA40">
            <v>0</v>
          </cell>
          <cell r="CP40">
            <v>0</v>
          </cell>
          <cell r="CQ40">
            <v>0</v>
          </cell>
          <cell r="CR40">
            <v>0</v>
          </cell>
          <cell r="CS40">
            <v>0</v>
          </cell>
          <cell r="CX40">
            <v>0</v>
          </cell>
          <cell r="CY40">
            <v>0</v>
          </cell>
          <cell r="CZ40">
            <v>0</v>
          </cell>
          <cell r="DA40">
            <v>0</v>
          </cell>
          <cell r="DF40">
            <v>0</v>
          </cell>
          <cell r="DG40">
            <v>0</v>
          </cell>
          <cell r="DH40">
            <v>0</v>
          </cell>
          <cell r="DI40">
            <v>0</v>
          </cell>
          <cell r="DN40">
            <v>0</v>
          </cell>
          <cell r="DO40">
            <v>0</v>
          </cell>
          <cell r="DP40">
            <v>0</v>
          </cell>
          <cell r="DQ40">
            <v>0</v>
          </cell>
          <cell r="DV40">
            <v>0</v>
          </cell>
          <cell r="DW40">
            <v>0</v>
          </cell>
          <cell r="DX40">
            <v>0</v>
          </cell>
          <cell r="DY40">
            <v>0</v>
          </cell>
        </row>
        <row r="41">
          <cell r="F41">
            <v>0</v>
          </cell>
          <cell r="G41">
            <v>0</v>
          </cell>
          <cell r="H41">
            <v>0</v>
          </cell>
          <cell r="I41">
            <v>0</v>
          </cell>
          <cell r="N41">
            <v>0</v>
          </cell>
          <cell r="O41">
            <v>0</v>
          </cell>
          <cell r="T41">
            <v>0</v>
          </cell>
          <cell r="U41">
            <v>0</v>
          </cell>
          <cell r="Z41">
            <v>0</v>
          </cell>
          <cell r="AA41">
            <v>0</v>
          </cell>
          <cell r="AF41">
            <v>0</v>
          </cell>
          <cell r="AG41">
            <v>0</v>
          </cell>
          <cell r="AL41">
            <v>0</v>
          </cell>
          <cell r="AM41">
            <v>0</v>
          </cell>
          <cell r="AR41">
            <v>0</v>
          </cell>
          <cell r="AS41">
            <v>0</v>
          </cell>
          <cell r="AX41">
            <v>0</v>
          </cell>
          <cell r="AY41">
            <v>0</v>
          </cell>
          <cell r="AZ41">
            <v>0</v>
          </cell>
          <cell r="BA41">
            <v>0</v>
          </cell>
          <cell r="BF41">
            <v>0</v>
          </cell>
          <cell r="BG41">
            <v>0</v>
          </cell>
          <cell r="BL41">
            <v>0</v>
          </cell>
          <cell r="BM41">
            <v>0</v>
          </cell>
          <cell r="BR41">
            <v>0</v>
          </cell>
          <cell r="BS41">
            <v>0</v>
          </cell>
          <cell r="BX41">
            <v>0</v>
          </cell>
          <cell r="BY41">
            <v>0</v>
          </cell>
          <cell r="CD41">
            <v>0</v>
          </cell>
          <cell r="CE41">
            <v>0</v>
          </cell>
          <cell r="CJ41">
            <v>0</v>
          </cell>
          <cell r="CK41">
            <v>0</v>
          </cell>
          <cell r="CP41">
            <v>0</v>
          </cell>
          <cell r="CQ41">
            <v>0</v>
          </cell>
          <cell r="CR41">
            <v>0</v>
          </cell>
          <cell r="CS41">
            <v>0</v>
          </cell>
          <cell r="CX41">
            <v>0</v>
          </cell>
          <cell r="CY41">
            <v>0</v>
          </cell>
          <cell r="CZ41">
            <v>0</v>
          </cell>
          <cell r="DA41">
            <v>0</v>
          </cell>
          <cell r="DF41">
            <v>0</v>
          </cell>
          <cell r="DG41">
            <v>0</v>
          </cell>
          <cell r="DH41">
            <v>0</v>
          </cell>
          <cell r="DI41">
            <v>0</v>
          </cell>
          <cell r="DN41">
            <v>0</v>
          </cell>
          <cell r="DO41">
            <v>0</v>
          </cell>
          <cell r="DP41">
            <v>0</v>
          </cell>
          <cell r="DQ41">
            <v>0</v>
          </cell>
          <cell r="DV41">
            <v>0</v>
          </cell>
          <cell r="DW41">
            <v>0</v>
          </cell>
          <cell r="DX41">
            <v>0</v>
          </cell>
          <cell r="DY41">
            <v>0</v>
          </cell>
        </row>
        <row r="42">
          <cell r="F42">
            <v>0</v>
          </cell>
          <cell r="G42">
            <v>0</v>
          </cell>
          <cell r="H42">
            <v>0</v>
          </cell>
          <cell r="I42">
            <v>0</v>
          </cell>
          <cell r="AX42">
            <v>0</v>
          </cell>
          <cell r="AY42">
            <v>0</v>
          </cell>
          <cell r="AZ42">
            <v>0</v>
          </cell>
          <cell r="BA42">
            <v>0</v>
          </cell>
          <cell r="CP42">
            <v>0</v>
          </cell>
          <cell r="CQ42">
            <v>0</v>
          </cell>
          <cell r="CR42">
            <v>0</v>
          </cell>
          <cell r="CS42">
            <v>0</v>
          </cell>
          <cell r="CX42">
            <v>0</v>
          </cell>
          <cell r="CY42">
            <v>0</v>
          </cell>
          <cell r="CZ42">
            <v>0</v>
          </cell>
          <cell r="DA42">
            <v>0</v>
          </cell>
          <cell r="DF42">
            <v>0</v>
          </cell>
          <cell r="DG42">
            <v>0</v>
          </cell>
          <cell r="DH42">
            <v>0</v>
          </cell>
          <cell r="DI42">
            <v>0</v>
          </cell>
          <cell r="DN42">
            <v>0</v>
          </cell>
          <cell r="DO42">
            <v>0</v>
          </cell>
          <cell r="DP42">
            <v>0</v>
          </cell>
          <cell r="DQ42">
            <v>0</v>
          </cell>
          <cell r="DV42">
            <v>0</v>
          </cell>
          <cell r="DW42">
            <v>0</v>
          </cell>
          <cell r="DX42">
            <v>0</v>
          </cell>
          <cell r="DY42">
            <v>0</v>
          </cell>
        </row>
        <row r="43">
          <cell r="F43">
            <v>0</v>
          </cell>
          <cell r="G43">
            <v>0</v>
          </cell>
          <cell r="H43">
            <v>0</v>
          </cell>
          <cell r="I43">
            <v>0</v>
          </cell>
          <cell r="AX43">
            <v>0</v>
          </cell>
          <cell r="AY43">
            <v>0</v>
          </cell>
          <cell r="AZ43">
            <v>0</v>
          </cell>
          <cell r="BA43">
            <v>0</v>
          </cell>
          <cell r="CP43">
            <v>0</v>
          </cell>
          <cell r="CQ43">
            <v>0</v>
          </cell>
          <cell r="CR43">
            <v>0</v>
          </cell>
          <cell r="CS43">
            <v>0</v>
          </cell>
          <cell r="CX43">
            <v>0</v>
          </cell>
          <cell r="CY43">
            <v>0</v>
          </cell>
          <cell r="CZ43">
            <v>0</v>
          </cell>
          <cell r="DA43">
            <v>0</v>
          </cell>
          <cell r="DF43">
            <v>0</v>
          </cell>
          <cell r="DG43">
            <v>0</v>
          </cell>
          <cell r="DH43">
            <v>0</v>
          </cell>
          <cell r="DI43">
            <v>0</v>
          </cell>
          <cell r="DN43">
            <v>0</v>
          </cell>
          <cell r="DO43">
            <v>0</v>
          </cell>
          <cell r="DP43">
            <v>0</v>
          </cell>
          <cell r="DQ43">
            <v>0</v>
          </cell>
          <cell r="DV43">
            <v>0</v>
          </cell>
          <cell r="DW43">
            <v>0</v>
          </cell>
          <cell r="DX43">
            <v>0</v>
          </cell>
          <cell r="DY43">
            <v>0</v>
          </cell>
        </row>
        <row r="44">
          <cell r="F44">
            <v>0</v>
          </cell>
          <cell r="G44">
            <v>0</v>
          </cell>
          <cell r="H44">
            <v>0</v>
          </cell>
          <cell r="I44">
            <v>0</v>
          </cell>
          <cell r="N44">
            <v>0</v>
          </cell>
          <cell r="O44">
            <v>0</v>
          </cell>
          <cell r="T44">
            <v>0</v>
          </cell>
          <cell r="U44">
            <v>0</v>
          </cell>
          <cell r="Z44">
            <v>0</v>
          </cell>
          <cell r="AA44">
            <v>0</v>
          </cell>
          <cell r="AF44">
            <v>0</v>
          </cell>
          <cell r="AG44">
            <v>0</v>
          </cell>
          <cell r="AL44">
            <v>0</v>
          </cell>
          <cell r="AM44">
            <v>0</v>
          </cell>
          <cell r="AR44">
            <v>0</v>
          </cell>
          <cell r="AS44">
            <v>0</v>
          </cell>
          <cell r="AX44">
            <v>0</v>
          </cell>
          <cell r="AY44">
            <v>0</v>
          </cell>
          <cell r="AZ44">
            <v>0</v>
          </cell>
          <cell r="BA44">
            <v>0</v>
          </cell>
          <cell r="BF44">
            <v>0</v>
          </cell>
          <cell r="BG44">
            <v>0</v>
          </cell>
          <cell r="BL44">
            <v>0</v>
          </cell>
          <cell r="BM44">
            <v>0</v>
          </cell>
          <cell r="BR44">
            <v>0</v>
          </cell>
          <cell r="BS44">
            <v>0</v>
          </cell>
          <cell r="BX44">
            <v>0</v>
          </cell>
          <cell r="BY44">
            <v>0</v>
          </cell>
          <cell r="CD44">
            <v>0</v>
          </cell>
          <cell r="CE44">
            <v>0</v>
          </cell>
          <cell r="CJ44">
            <v>0</v>
          </cell>
          <cell r="CK44">
            <v>0</v>
          </cell>
          <cell r="CP44">
            <v>0</v>
          </cell>
          <cell r="CQ44">
            <v>0</v>
          </cell>
          <cell r="CR44">
            <v>0</v>
          </cell>
          <cell r="CS44">
            <v>0</v>
          </cell>
          <cell r="CX44">
            <v>0</v>
          </cell>
          <cell r="CY44">
            <v>0</v>
          </cell>
          <cell r="CZ44">
            <v>0</v>
          </cell>
          <cell r="DA44">
            <v>0</v>
          </cell>
          <cell r="DF44">
            <v>0</v>
          </cell>
          <cell r="DG44">
            <v>0</v>
          </cell>
          <cell r="DH44">
            <v>0</v>
          </cell>
          <cell r="DI44">
            <v>0</v>
          </cell>
          <cell r="DN44">
            <v>0</v>
          </cell>
          <cell r="DO44">
            <v>0</v>
          </cell>
          <cell r="DP44">
            <v>0</v>
          </cell>
          <cell r="DQ44">
            <v>0</v>
          </cell>
          <cell r="DV44">
            <v>0</v>
          </cell>
          <cell r="DW44">
            <v>0</v>
          </cell>
          <cell r="DX44">
            <v>0</v>
          </cell>
          <cell r="DY44">
            <v>0</v>
          </cell>
        </row>
        <row r="45">
          <cell r="F45">
            <v>29700</v>
          </cell>
          <cell r="G45">
            <v>5795</v>
          </cell>
          <cell r="H45">
            <v>3472.06</v>
          </cell>
          <cell r="I45">
            <v>59.914754098360653</v>
          </cell>
          <cell r="N45">
            <v>1800</v>
          </cell>
          <cell r="O45">
            <v>351</v>
          </cell>
          <cell r="P45">
            <v>194.518</v>
          </cell>
          <cell r="T45">
            <v>3100</v>
          </cell>
          <cell r="U45">
            <v>605</v>
          </cell>
          <cell r="V45">
            <v>347.072</v>
          </cell>
          <cell r="Z45">
            <v>2800</v>
          </cell>
          <cell r="AA45">
            <v>546</v>
          </cell>
          <cell r="AB45">
            <v>320.26600000000002</v>
          </cell>
          <cell r="AF45">
            <v>2900</v>
          </cell>
          <cell r="AG45">
            <v>566</v>
          </cell>
          <cell r="AH45">
            <v>336.9</v>
          </cell>
          <cell r="AL45">
            <v>3200</v>
          </cell>
          <cell r="AM45">
            <v>624</v>
          </cell>
          <cell r="AN45">
            <v>374.95499999999998</v>
          </cell>
          <cell r="AR45">
            <v>2900</v>
          </cell>
          <cell r="AS45">
            <v>566</v>
          </cell>
          <cell r="AT45">
            <v>342.83</v>
          </cell>
          <cell r="AX45">
            <v>16700</v>
          </cell>
          <cell r="AY45">
            <v>3258</v>
          </cell>
          <cell r="AZ45">
            <v>1916.5410000000002</v>
          </cell>
          <cell r="BA45">
            <v>58.825690607734813</v>
          </cell>
          <cell r="BF45">
            <v>2700</v>
          </cell>
          <cell r="BG45">
            <v>527</v>
          </cell>
          <cell r="BH45">
            <v>320.54399999999998</v>
          </cell>
          <cell r="BL45">
            <v>2400</v>
          </cell>
          <cell r="BM45">
            <v>468</v>
          </cell>
          <cell r="BN45">
            <v>285.52699999999999</v>
          </cell>
          <cell r="BR45">
            <v>2300</v>
          </cell>
          <cell r="BS45">
            <v>449</v>
          </cell>
          <cell r="BT45">
            <v>274.99</v>
          </cell>
          <cell r="BX45">
            <v>2100</v>
          </cell>
          <cell r="BY45">
            <v>410</v>
          </cell>
          <cell r="BZ45">
            <v>252.571</v>
          </cell>
          <cell r="CD45">
            <v>1800</v>
          </cell>
          <cell r="CE45">
            <v>351</v>
          </cell>
          <cell r="CF45">
            <v>216.346</v>
          </cell>
          <cell r="CJ45">
            <v>1700</v>
          </cell>
          <cell r="CK45">
            <v>332</v>
          </cell>
          <cell r="CL45">
            <v>205.541</v>
          </cell>
          <cell r="CP45">
            <v>13000</v>
          </cell>
          <cell r="CQ45">
            <v>2537</v>
          </cell>
          <cell r="CR45">
            <v>1555.5189999999998</v>
          </cell>
          <cell r="CS45">
            <v>61.313322822230973</v>
          </cell>
          <cell r="CX45">
            <v>7700</v>
          </cell>
          <cell r="CY45">
            <v>1502</v>
          </cell>
          <cell r="CZ45">
            <v>861.85599999999999</v>
          </cell>
          <cell r="DA45">
            <v>57.380559254327565</v>
          </cell>
          <cell r="DF45">
            <v>9000</v>
          </cell>
          <cell r="DG45">
            <v>1756</v>
          </cell>
          <cell r="DH45">
            <v>1054.6849999999999</v>
          </cell>
          <cell r="DI45">
            <v>60.061788154897485</v>
          </cell>
          <cell r="DN45">
            <v>7400</v>
          </cell>
          <cell r="DO45">
            <v>1444</v>
          </cell>
          <cell r="DP45">
            <v>881.06099999999992</v>
          </cell>
          <cell r="DQ45">
            <v>61.015304709141269</v>
          </cell>
          <cell r="DV45">
            <v>5600</v>
          </cell>
          <cell r="DW45">
            <v>1093</v>
          </cell>
          <cell r="DX45">
            <v>674.45800000000008</v>
          </cell>
          <cell r="DY45">
            <v>61.70704483074109</v>
          </cell>
        </row>
        <row r="46">
          <cell r="F46">
            <v>0</v>
          </cell>
          <cell r="G46">
            <v>0</v>
          </cell>
          <cell r="H46">
            <v>0</v>
          </cell>
          <cell r="I46">
            <v>0</v>
          </cell>
          <cell r="AX46">
            <v>0</v>
          </cell>
          <cell r="AY46">
            <v>0</v>
          </cell>
          <cell r="AZ46">
            <v>0</v>
          </cell>
          <cell r="BA46">
            <v>0</v>
          </cell>
          <cell r="CP46">
            <v>0</v>
          </cell>
          <cell r="CQ46">
            <v>0</v>
          </cell>
          <cell r="CR46">
            <v>0</v>
          </cell>
          <cell r="CS46">
            <v>0</v>
          </cell>
          <cell r="CX46">
            <v>0</v>
          </cell>
          <cell r="CY46">
            <v>0</v>
          </cell>
          <cell r="CZ46">
            <v>0</v>
          </cell>
          <cell r="DA46">
            <v>0</v>
          </cell>
          <cell r="DF46">
            <v>0</v>
          </cell>
          <cell r="DG46">
            <v>0</v>
          </cell>
          <cell r="DH46">
            <v>0</v>
          </cell>
          <cell r="DI46">
            <v>0</v>
          </cell>
          <cell r="DN46">
            <v>0</v>
          </cell>
          <cell r="DO46">
            <v>0</v>
          </cell>
          <cell r="DP46">
            <v>0</v>
          </cell>
          <cell r="DQ46">
            <v>0</v>
          </cell>
          <cell r="DV46">
            <v>0</v>
          </cell>
          <cell r="DW46">
            <v>0</v>
          </cell>
          <cell r="DX46">
            <v>0</v>
          </cell>
          <cell r="DY46">
            <v>0</v>
          </cell>
        </row>
        <row r="47">
          <cell r="F47">
            <v>4500</v>
          </cell>
          <cell r="G47">
            <v>1008</v>
          </cell>
          <cell r="H47">
            <v>573.64700000000005</v>
          </cell>
          <cell r="I47">
            <v>56.909424603174607</v>
          </cell>
          <cell r="N47">
            <v>0</v>
          </cell>
          <cell r="O47">
            <v>0</v>
          </cell>
          <cell r="P47">
            <v>0</v>
          </cell>
          <cell r="T47">
            <v>0</v>
          </cell>
          <cell r="U47">
            <v>0</v>
          </cell>
          <cell r="V47">
            <v>0</v>
          </cell>
          <cell r="Z47">
            <v>0</v>
          </cell>
          <cell r="AA47">
            <v>0</v>
          </cell>
          <cell r="AB47">
            <v>0</v>
          </cell>
          <cell r="AF47">
            <v>0</v>
          </cell>
          <cell r="AG47">
            <v>0</v>
          </cell>
          <cell r="AH47">
            <v>0</v>
          </cell>
          <cell r="AL47">
            <v>0</v>
          </cell>
          <cell r="AM47">
            <v>0</v>
          </cell>
          <cell r="AN47">
            <v>0</v>
          </cell>
          <cell r="AR47">
            <v>0</v>
          </cell>
          <cell r="AS47">
            <v>0</v>
          </cell>
          <cell r="AT47">
            <v>0</v>
          </cell>
          <cell r="AX47">
            <v>0</v>
          </cell>
          <cell r="AY47">
            <v>0</v>
          </cell>
          <cell r="AZ47">
            <v>0</v>
          </cell>
          <cell r="BA47">
            <v>0</v>
          </cell>
          <cell r="BF47">
            <v>0</v>
          </cell>
          <cell r="BG47">
            <v>0</v>
          </cell>
          <cell r="BH47">
            <v>0</v>
          </cell>
          <cell r="BL47">
            <v>0</v>
          </cell>
          <cell r="BM47">
            <v>0</v>
          </cell>
          <cell r="BN47">
            <v>0</v>
          </cell>
          <cell r="BR47">
            <v>0</v>
          </cell>
          <cell r="BS47">
            <v>0</v>
          </cell>
          <cell r="BT47">
            <v>0</v>
          </cell>
          <cell r="BX47">
            <v>1200</v>
          </cell>
          <cell r="BY47">
            <v>269</v>
          </cell>
          <cell r="BZ47">
            <v>152.86500000000001</v>
          </cell>
          <cell r="CD47">
            <v>1500</v>
          </cell>
          <cell r="CE47">
            <v>336</v>
          </cell>
          <cell r="CF47">
            <v>188.708</v>
          </cell>
          <cell r="CJ47">
            <v>1800</v>
          </cell>
          <cell r="CK47">
            <v>403</v>
          </cell>
          <cell r="CL47">
            <v>232.07400000000001</v>
          </cell>
          <cell r="CP47">
            <v>4500</v>
          </cell>
          <cell r="CQ47">
            <v>1008</v>
          </cell>
          <cell r="CR47">
            <v>573.64700000000005</v>
          </cell>
          <cell r="CS47">
            <v>56.909424603174607</v>
          </cell>
          <cell r="CX47">
            <v>0</v>
          </cell>
          <cell r="CY47">
            <v>0</v>
          </cell>
          <cell r="CZ47">
            <v>0</v>
          </cell>
          <cell r="DA47">
            <v>0</v>
          </cell>
          <cell r="DF47">
            <v>0</v>
          </cell>
          <cell r="DG47">
            <v>0</v>
          </cell>
          <cell r="DH47">
            <v>0</v>
          </cell>
          <cell r="DI47">
            <v>0</v>
          </cell>
          <cell r="DN47">
            <v>0</v>
          </cell>
          <cell r="DO47">
            <v>0</v>
          </cell>
          <cell r="DP47">
            <v>0</v>
          </cell>
          <cell r="DQ47">
            <v>0</v>
          </cell>
          <cell r="DV47">
            <v>4500</v>
          </cell>
          <cell r="DW47">
            <v>1008</v>
          </cell>
          <cell r="DX47">
            <v>573.64699999999993</v>
          </cell>
          <cell r="DY47">
            <v>56.9094246031746</v>
          </cell>
        </row>
        <row r="48">
          <cell r="F48">
            <v>74200</v>
          </cell>
          <cell r="G48">
            <v>18550</v>
          </cell>
          <cell r="H48">
            <v>10197.669</v>
          </cell>
          <cell r="I48">
            <v>54.973956873315366</v>
          </cell>
          <cell r="N48">
            <v>5900</v>
          </cell>
          <cell r="O48">
            <v>1475</v>
          </cell>
          <cell r="P48">
            <v>779.12300000000005</v>
          </cell>
          <cell r="T48">
            <v>7400</v>
          </cell>
          <cell r="U48">
            <v>1850</v>
          </cell>
          <cell r="V48">
            <v>992.23900000000003</v>
          </cell>
          <cell r="Z48">
            <v>7300</v>
          </cell>
          <cell r="AA48">
            <v>1825</v>
          </cell>
          <cell r="AB48">
            <v>983.49199999999996</v>
          </cell>
          <cell r="AF48">
            <v>7700</v>
          </cell>
          <cell r="AG48">
            <v>1925</v>
          </cell>
          <cell r="AH48">
            <v>1038.558</v>
          </cell>
          <cell r="AL48">
            <v>7900</v>
          </cell>
          <cell r="AM48">
            <v>1975</v>
          </cell>
          <cell r="AN48">
            <v>1071.518</v>
          </cell>
          <cell r="AR48">
            <v>7400</v>
          </cell>
          <cell r="AS48">
            <v>1850</v>
          </cell>
          <cell r="AT48">
            <v>1007.718</v>
          </cell>
          <cell r="AX48">
            <v>43600</v>
          </cell>
          <cell r="AY48">
            <v>10900</v>
          </cell>
          <cell r="AZ48">
            <v>5872.6479999999992</v>
          </cell>
          <cell r="BA48">
            <v>53.877504587155954</v>
          </cell>
          <cell r="BF48">
            <v>7400</v>
          </cell>
          <cell r="BG48">
            <v>1850</v>
          </cell>
          <cell r="BH48">
            <v>1021.866</v>
          </cell>
          <cell r="BL48">
            <v>5800</v>
          </cell>
          <cell r="BM48">
            <v>1450</v>
          </cell>
          <cell r="BN48">
            <v>810.25900000000001</v>
          </cell>
          <cell r="BR48">
            <v>5200</v>
          </cell>
          <cell r="BS48">
            <v>1300</v>
          </cell>
          <cell r="BT48">
            <v>733.50300000000004</v>
          </cell>
          <cell r="BX48">
            <v>4500</v>
          </cell>
          <cell r="BY48">
            <v>1125</v>
          </cell>
          <cell r="BZ48">
            <v>644.35699999999997</v>
          </cell>
          <cell r="CD48">
            <v>4200</v>
          </cell>
          <cell r="CE48">
            <v>1050</v>
          </cell>
          <cell r="CF48">
            <v>605.14300000000003</v>
          </cell>
          <cell r="CJ48">
            <v>3500</v>
          </cell>
          <cell r="CK48">
            <v>875</v>
          </cell>
          <cell r="CL48">
            <v>509.89299999999997</v>
          </cell>
          <cell r="CP48">
            <v>30600</v>
          </cell>
          <cell r="CQ48">
            <v>7650</v>
          </cell>
          <cell r="CR48">
            <v>4325.0210000000006</v>
          </cell>
          <cell r="CS48">
            <v>56.536222222222236</v>
          </cell>
          <cell r="CX48">
            <v>20600</v>
          </cell>
          <cell r="CY48">
            <v>5150</v>
          </cell>
          <cell r="CZ48">
            <v>2754.8540000000003</v>
          </cell>
          <cell r="DA48">
            <v>53.492310679611656</v>
          </cell>
          <cell r="DF48">
            <v>23000</v>
          </cell>
          <cell r="DG48">
            <v>5750</v>
          </cell>
          <cell r="DH48">
            <v>3117.7939999999999</v>
          </cell>
          <cell r="DI48">
            <v>54.222504347826082</v>
          </cell>
          <cell r="DN48">
            <v>18400</v>
          </cell>
          <cell r="DO48">
            <v>4600</v>
          </cell>
          <cell r="DP48">
            <v>2565.6280000000002</v>
          </cell>
          <cell r="DQ48">
            <v>55.774521739130435</v>
          </cell>
          <cell r="DV48">
            <v>12200</v>
          </cell>
          <cell r="DW48">
            <v>3050</v>
          </cell>
          <cell r="DX48">
            <v>1759.393</v>
          </cell>
          <cell r="DY48">
            <v>57.685016393442623</v>
          </cell>
        </row>
        <row r="49">
          <cell r="F49">
            <v>0</v>
          </cell>
          <cell r="G49">
            <v>0</v>
          </cell>
          <cell r="H49">
            <v>0</v>
          </cell>
          <cell r="I49">
            <v>0</v>
          </cell>
          <cell r="AX49">
            <v>0</v>
          </cell>
          <cell r="AY49">
            <v>0</v>
          </cell>
          <cell r="AZ49">
            <v>0</v>
          </cell>
          <cell r="BA49">
            <v>0</v>
          </cell>
          <cell r="CP49">
            <v>0</v>
          </cell>
          <cell r="CQ49">
            <v>0</v>
          </cell>
          <cell r="CR49">
            <v>0</v>
          </cell>
          <cell r="CS49">
            <v>0</v>
          </cell>
          <cell r="CX49">
            <v>0</v>
          </cell>
          <cell r="CY49">
            <v>0</v>
          </cell>
          <cell r="CZ49">
            <v>0</v>
          </cell>
          <cell r="DA49">
            <v>0</v>
          </cell>
          <cell r="DF49">
            <v>0</v>
          </cell>
          <cell r="DG49">
            <v>0</v>
          </cell>
          <cell r="DH49">
            <v>0</v>
          </cell>
          <cell r="DI49">
            <v>0</v>
          </cell>
          <cell r="DN49">
            <v>0</v>
          </cell>
          <cell r="DO49">
            <v>0</v>
          </cell>
          <cell r="DP49">
            <v>0</v>
          </cell>
          <cell r="DQ49">
            <v>0</v>
          </cell>
          <cell r="DV49">
            <v>0</v>
          </cell>
          <cell r="DW49">
            <v>0</v>
          </cell>
          <cell r="DX49">
            <v>0</v>
          </cell>
          <cell r="DY49">
            <v>0</v>
          </cell>
        </row>
        <row r="50">
          <cell r="F50">
            <v>0</v>
          </cell>
          <cell r="G50">
            <v>0</v>
          </cell>
          <cell r="H50">
            <v>0</v>
          </cell>
          <cell r="I50">
            <v>0</v>
          </cell>
          <cell r="N50">
            <v>0</v>
          </cell>
          <cell r="O50">
            <v>0</v>
          </cell>
          <cell r="T50">
            <v>0</v>
          </cell>
          <cell r="U50">
            <v>0</v>
          </cell>
          <cell r="Z50">
            <v>0</v>
          </cell>
          <cell r="AA50">
            <v>0</v>
          </cell>
          <cell r="AF50">
            <v>0</v>
          </cell>
          <cell r="AG50">
            <v>0</v>
          </cell>
          <cell r="AL50">
            <v>0</v>
          </cell>
          <cell r="AM50">
            <v>0</v>
          </cell>
          <cell r="AR50">
            <v>0</v>
          </cell>
          <cell r="AS50">
            <v>0</v>
          </cell>
          <cell r="AX50">
            <v>0</v>
          </cell>
          <cell r="AY50">
            <v>0</v>
          </cell>
          <cell r="AZ50">
            <v>0</v>
          </cell>
          <cell r="BA50">
            <v>0</v>
          </cell>
          <cell r="BF50">
            <v>0</v>
          </cell>
          <cell r="BG50">
            <v>0</v>
          </cell>
          <cell r="BL50">
            <v>0</v>
          </cell>
          <cell r="BM50">
            <v>0</v>
          </cell>
          <cell r="BR50">
            <v>0</v>
          </cell>
          <cell r="BS50">
            <v>0</v>
          </cell>
          <cell r="BX50">
            <v>0</v>
          </cell>
          <cell r="BY50">
            <v>0</v>
          </cell>
          <cell r="CD50">
            <v>0</v>
          </cell>
          <cell r="CE50">
            <v>0</v>
          </cell>
          <cell r="CJ50">
            <v>0</v>
          </cell>
          <cell r="CK50">
            <v>0</v>
          </cell>
          <cell r="CP50">
            <v>0</v>
          </cell>
          <cell r="CQ50">
            <v>0</v>
          </cell>
          <cell r="CR50">
            <v>0</v>
          </cell>
          <cell r="CS50">
            <v>0</v>
          </cell>
          <cell r="CX50">
            <v>0</v>
          </cell>
          <cell r="CY50">
            <v>0</v>
          </cell>
          <cell r="CZ50">
            <v>0</v>
          </cell>
          <cell r="DA50">
            <v>0</v>
          </cell>
          <cell r="DF50">
            <v>0</v>
          </cell>
          <cell r="DG50">
            <v>0</v>
          </cell>
          <cell r="DH50">
            <v>0</v>
          </cell>
          <cell r="DI50">
            <v>0</v>
          </cell>
          <cell r="DN50">
            <v>0</v>
          </cell>
          <cell r="DO50">
            <v>0</v>
          </cell>
          <cell r="DP50">
            <v>0</v>
          </cell>
          <cell r="DQ50">
            <v>0</v>
          </cell>
          <cell r="DV50">
            <v>0</v>
          </cell>
          <cell r="DW50">
            <v>0</v>
          </cell>
          <cell r="DX50">
            <v>0</v>
          </cell>
          <cell r="DY50">
            <v>0</v>
          </cell>
        </row>
        <row r="51">
          <cell r="F51">
            <v>13200</v>
          </cell>
          <cell r="G51">
            <v>3300</v>
          </cell>
          <cell r="H51">
            <v>1986.5990000000002</v>
          </cell>
          <cell r="I51">
            <v>60.199969696969703</v>
          </cell>
          <cell r="N51">
            <v>0</v>
          </cell>
          <cell r="O51">
            <v>0</v>
          </cell>
          <cell r="P51">
            <v>0</v>
          </cell>
          <cell r="T51">
            <v>0</v>
          </cell>
          <cell r="U51">
            <v>0</v>
          </cell>
          <cell r="V51">
            <v>0</v>
          </cell>
          <cell r="Z51">
            <v>0</v>
          </cell>
          <cell r="AA51">
            <v>0</v>
          </cell>
          <cell r="AB51">
            <v>0</v>
          </cell>
          <cell r="AF51">
            <v>0</v>
          </cell>
          <cell r="AG51">
            <v>0</v>
          </cell>
          <cell r="AH51">
            <v>0</v>
          </cell>
          <cell r="AL51">
            <v>0</v>
          </cell>
          <cell r="AM51">
            <v>0</v>
          </cell>
          <cell r="AN51">
            <v>0</v>
          </cell>
          <cell r="AR51">
            <v>0</v>
          </cell>
          <cell r="AS51">
            <v>0</v>
          </cell>
          <cell r="AT51">
            <v>0</v>
          </cell>
          <cell r="AX51">
            <v>0</v>
          </cell>
          <cell r="AY51">
            <v>0</v>
          </cell>
          <cell r="AZ51">
            <v>0</v>
          </cell>
          <cell r="BA51">
            <v>0</v>
          </cell>
          <cell r="BF51">
            <v>0</v>
          </cell>
          <cell r="BG51">
            <v>0</v>
          </cell>
          <cell r="BH51">
            <v>0</v>
          </cell>
          <cell r="BL51">
            <v>1500</v>
          </cell>
          <cell r="BM51">
            <v>375</v>
          </cell>
          <cell r="BN51">
            <v>222.036</v>
          </cell>
          <cell r="BR51">
            <v>2400</v>
          </cell>
          <cell r="BS51">
            <v>600</v>
          </cell>
          <cell r="BT51">
            <v>355.31400000000002</v>
          </cell>
          <cell r="BX51">
            <v>3000</v>
          </cell>
          <cell r="BY51">
            <v>750</v>
          </cell>
          <cell r="BZ51">
            <v>453.42</v>
          </cell>
          <cell r="CD51">
            <v>3200</v>
          </cell>
          <cell r="CE51">
            <v>800</v>
          </cell>
          <cell r="CF51">
            <v>482.17099999999999</v>
          </cell>
          <cell r="CJ51">
            <v>3100</v>
          </cell>
          <cell r="CK51">
            <v>775</v>
          </cell>
          <cell r="CL51">
            <v>473.65800000000002</v>
          </cell>
          <cell r="CP51">
            <v>13200</v>
          </cell>
          <cell r="CQ51">
            <v>3300</v>
          </cell>
          <cell r="CR51">
            <v>1986.5990000000002</v>
          </cell>
          <cell r="CS51">
            <v>60.199969696969703</v>
          </cell>
          <cell r="CX51">
            <v>0</v>
          </cell>
          <cell r="CY51">
            <v>0</v>
          </cell>
          <cell r="CZ51">
            <v>0</v>
          </cell>
          <cell r="DA51">
            <v>0</v>
          </cell>
          <cell r="DF51">
            <v>0</v>
          </cell>
          <cell r="DG51">
            <v>0</v>
          </cell>
          <cell r="DH51">
            <v>0</v>
          </cell>
          <cell r="DI51">
            <v>0</v>
          </cell>
          <cell r="DN51">
            <v>3900</v>
          </cell>
          <cell r="DO51">
            <v>975</v>
          </cell>
          <cell r="DP51">
            <v>577.35</v>
          </cell>
          <cell r="DQ51">
            <v>59.215384615384615</v>
          </cell>
          <cell r="DV51">
            <v>9300</v>
          </cell>
          <cell r="DW51">
            <v>2325</v>
          </cell>
          <cell r="DX51">
            <v>1409.249</v>
          </cell>
          <cell r="DY51">
            <v>60.612860215053765</v>
          </cell>
        </row>
        <row r="52">
          <cell r="F52">
            <v>0</v>
          </cell>
          <cell r="G52">
            <v>0</v>
          </cell>
          <cell r="H52">
            <v>0</v>
          </cell>
          <cell r="I52">
            <v>0</v>
          </cell>
          <cell r="AX52">
            <v>0</v>
          </cell>
          <cell r="AY52">
            <v>0</v>
          </cell>
          <cell r="AZ52">
            <v>0</v>
          </cell>
          <cell r="BA52">
            <v>0</v>
          </cell>
          <cell r="CP52">
            <v>0</v>
          </cell>
          <cell r="CQ52">
            <v>0</v>
          </cell>
          <cell r="CR52">
            <v>0</v>
          </cell>
          <cell r="CS52">
            <v>0</v>
          </cell>
          <cell r="CX52">
            <v>0</v>
          </cell>
          <cell r="CY52">
            <v>0</v>
          </cell>
          <cell r="CZ52">
            <v>0</v>
          </cell>
          <cell r="DA52">
            <v>0</v>
          </cell>
          <cell r="DF52">
            <v>0</v>
          </cell>
          <cell r="DG52">
            <v>0</v>
          </cell>
          <cell r="DH52">
            <v>0</v>
          </cell>
          <cell r="DI52">
            <v>0</v>
          </cell>
          <cell r="DN52">
            <v>0</v>
          </cell>
          <cell r="DO52">
            <v>0</v>
          </cell>
          <cell r="DP52">
            <v>0</v>
          </cell>
          <cell r="DQ52">
            <v>0</v>
          </cell>
          <cell r="DV52">
            <v>0</v>
          </cell>
          <cell r="DW52">
            <v>0</v>
          </cell>
          <cell r="DX52">
            <v>0</v>
          </cell>
          <cell r="DY52">
            <v>0</v>
          </cell>
        </row>
        <row r="53">
          <cell r="F53">
            <v>0</v>
          </cell>
          <cell r="G53">
            <v>0</v>
          </cell>
          <cell r="H53">
            <v>0</v>
          </cell>
          <cell r="I53">
            <v>0</v>
          </cell>
          <cell r="N53">
            <v>0</v>
          </cell>
          <cell r="O53">
            <v>0</v>
          </cell>
          <cell r="T53">
            <v>0</v>
          </cell>
          <cell r="U53">
            <v>0</v>
          </cell>
          <cell r="Z53">
            <v>0</v>
          </cell>
          <cell r="AA53">
            <v>0</v>
          </cell>
          <cell r="AF53">
            <v>0</v>
          </cell>
          <cell r="AG53">
            <v>0</v>
          </cell>
          <cell r="AL53">
            <v>0</v>
          </cell>
          <cell r="AM53">
            <v>0</v>
          </cell>
          <cell r="AR53">
            <v>0</v>
          </cell>
          <cell r="AS53">
            <v>0</v>
          </cell>
          <cell r="AX53">
            <v>0</v>
          </cell>
          <cell r="AY53">
            <v>0</v>
          </cell>
          <cell r="AZ53">
            <v>0</v>
          </cell>
          <cell r="BA53">
            <v>0</v>
          </cell>
          <cell r="BF53">
            <v>0</v>
          </cell>
          <cell r="BG53">
            <v>0</v>
          </cell>
          <cell r="BL53">
            <v>0</v>
          </cell>
          <cell r="BM53">
            <v>0</v>
          </cell>
          <cell r="BR53">
            <v>0</v>
          </cell>
          <cell r="BS53">
            <v>0</v>
          </cell>
          <cell r="BX53">
            <v>0</v>
          </cell>
          <cell r="BY53">
            <v>0</v>
          </cell>
          <cell r="CD53">
            <v>0</v>
          </cell>
          <cell r="CE53">
            <v>0</v>
          </cell>
          <cell r="CJ53">
            <v>0</v>
          </cell>
          <cell r="CK53">
            <v>0</v>
          </cell>
          <cell r="CP53">
            <v>0</v>
          </cell>
          <cell r="CQ53">
            <v>0</v>
          </cell>
          <cell r="CR53">
            <v>0</v>
          </cell>
          <cell r="CS53">
            <v>0</v>
          </cell>
          <cell r="CX53">
            <v>0</v>
          </cell>
          <cell r="CY53">
            <v>0</v>
          </cell>
          <cell r="CZ53">
            <v>0</v>
          </cell>
          <cell r="DA53">
            <v>0</v>
          </cell>
          <cell r="DF53">
            <v>0</v>
          </cell>
          <cell r="DG53">
            <v>0</v>
          </cell>
          <cell r="DH53">
            <v>0</v>
          </cell>
          <cell r="DI53">
            <v>0</v>
          </cell>
          <cell r="DN53">
            <v>0</v>
          </cell>
          <cell r="DO53">
            <v>0</v>
          </cell>
          <cell r="DP53">
            <v>0</v>
          </cell>
          <cell r="DQ53">
            <v>0</v>
          </cell>
          <cell r="DV53">
            <v>0</v>
          </cell>
          <cell r="DW53">
            <v>0</v>
          </cell>
          <cell r="DX53">
            <v>0</v>
          </cell>
          <cell r="DY53">
            <v>0</v>
          </cell>
        </row>
        <row r="54">
          <cell r="F54">
            <v>266600</v>
          </cell>
          <cell r="G54">
            <v>56698</v>
          </cell>
          <cell r="H54">
            <v>32317.176000000007</v>
          </cell>
          <cell r="I54">
            <v>56.998793608240163</v>
          </cell>
          <cell r="N54">
            <v>17200</v>
          </cell>
          <cell r="O54">
            <v>3666</v>
          </cell>
          <cell r="P54">
            <v>1931.7230000000002</v>
          </cell>
          <cell r="T54">
            <v>23600</v>
          </cell>
          <cell r="U54">
            <v>4981</v>
          </cell>
          <cell r="V54">
            <v>2696.8879999999999</v>
          </cell>
          <cell r="Z54">
            <v>21700</v>
          </cell>
          <cell r="AA54">
            <v>4609</v>
          </cell>
          <cell r="AB54">
            <v>2536.346</v>
          </cell>
          <cell r="AF54">
            <v>23500</v>
          </cell>
          <cell r="AG54">
            <v>4988</v>
          </cell>
          <cell r="AH54">
            <v>2765.1480000000001</v>
          </cell>
          <cell r="AL54">
            <v>25700</v>
          </cell>
          <cell r="AM54">
            <v>5419</v>
          </cell>
          <cell r="AN54">
            <v>3041.0050000000001</v>
          </cell>
          <cell r="AR54">
            <v>23400</v>
          </cell>
          <cell r="AS54">
            <v>4952</v>
          </cell>
          <cell r="AT54">
            <v>2798.4349999999999</v>
          </cell>
          <cell r="AX54">
            <v>135100</v>
          </cell>
          <cell r="AY54">
            <v>28615</v>
          </cell>
          <cell r="AZ54">
            <v>15769.545</v>
          </cell>
          <cell r="BA54">
            <v>55.109365717281143</v>
          </cell>
          <cell r="BF54">
            <v>23400</v>
          </cell>
          <cell r="BG54">
            <v>4937</v>
          </cell>
          <cell r="BH54">
            <v>2821.8389999999999</v>
          </cell>
          <cell r="BL54">
            <v>22000</v>
          </cell>
          <cell r="BM54">
            <v>4668</v>
          </cell>
          <cell r="BN54">
            <v>2713.3270000000002</v>
          </cell>
          <cell r="BR54">
            <v>21900</v>
          </cell>
          <cell r="BS54">
            <v>4672</v>
          </cell>
          <cell r="BT54">
            <v>2745.663</v>
          </cell>
          <cell r="BX54">
            <v>22500</v>
          </cell>
          <cell r="BY54">
            <v>4813</v>
          </cell>
          <cell r="BZ54">
            <v>2868.5569999999998</v>
          </cell>
          <cell r="CD54">
            <v>21400</v>
          </cell>
          <cell r="CE54">
            <v>4620</v>
          </cell>
          <cell r="CF54">
            <v>2757.3009999999999</v>
          </cell>
          <cell r="CJ54">
            <v>20300</v>
          </cell>
          <cell r="CK54">
            <v>4373</v>
          </cell>
          <cell r="CL54">
            <v>2640.944</v>
          </cell>
          <cell r="CP54">
            <v>131500</v>
          </cell>
          <cell r="CQ54">
            <v>28083</v>
          </cell>
          <cell r="CR54">
            <v>16547.631000000001</v>
          </cell>
          <cell r="CS54">
            <v>58.924014528362356</v>
          </cell>
          <cell r="CX54">
            <v>62500</v>
          </cell>
          <cell r="CY54">
            <v>13256</v>
          </cell>
          <cell r="CZ54">
            <v>7164.9570000000003</v>
          </cell>
          <cell r="DA54">
            <v>54.050671394085704</v>
          </cell>
          <cell r="DF54">
            <v>72600</v>
          </cell>
          <cell r="DG54">
            <v>15359</v>
          </cell>
          <cell r="DH54">
            <v>8604.5879999999997</v>
          </cell>
          <cell r="DI54">
            <v>56.023100462269682</v>
          </cell>
          <cell r="DN54">
            <v>67300</v>
          </cell>
          <cell r="DO54">
            <v>14277</v>
          </cell>
          <cell r="DP54">
            <v>8280.8289999999997</v>
          </cell>
          <cell r="DQ54">
            <v>58.001183722070458</v>
          </cell>
          <cell r="DV54">
            <v>64200</v>
          </cell>
          <cell r="DW54">
            <v>13806</v>
          </cell>
          <cell r="DX54">
            <v>8266.8020000000015</v>
          </cell>
          <cell r="DY54">
            <v>59.878328263074032</v>
          </cell>
        </row>
        <row r="55">
          <cell r="F55">
            <v>11150</v>
          </cell>
          <cell r="G55">
            <v>3373</v>
          </cell>
          <cell r="H55">
            <v>410.74600000000009</v>
          </cell>
          <cell r="I55">
            <v>12.177468129261786</v>
          </cell>
          <cell r="N55">
            <v>550</v>
          </cell>
          <cell r="O55">
            <v>168</v>
          </cell>
          <cell r="P55">
            <v>-1.907</v>
          </cell>
          <cell r="T55">
            <v>950</v>
          </cell>
          <cell r="U55">
            <v>289</v>
          </cell>
          <cell r="V55">
            <v>24.786000000000001</v>
          </cell>
          <cell r="Z55">
            <v>1000</v>
          </cell>
          <cell r="AA55">
            <v>305</v>
          </cell>
          <cell r="AB55">
            <v>30.436</v>
          </cell>
          <cell r="AF55">
            <v>1000</v>
          </cell>
          <cell r="AG55">
            <v>305</v>
          </cell>
          <cell r="AH55">
            <v>26.259</v>
          </cell>
          <cell r="AL55">
            <v>1100</v>
          </cell>
          <cell r="AM55">
            <v>335</v>
          </cell>
          <cell r="AN55">
            <v>36.853999999999999</v>
          </cell>
          <cell r="AR55">
            <v>950</v>
          </cell>
          <cell r="AS55">
            <v>259</v>
          </cell>
          <cell r="AT55">
            <v>-3.129</v>
          </cell>
          <cell r="AX55">
            <v>5550</v>
          </cell>
          <cell r="AY55">
            <v>1661</v>
          </cell>
          <cell r="AZ55">
            <v>113.29900000000001</v>
          </cell>
          <cell r="BA55">
            <v>6.8211318482841659</v>
          </cell>
          <cell r="BF55">
            <v>950</v>
          </cell>
          <cell r="BG55">
            <v>291</v>
          </cell>
          <cell r="BH55">
            <v>51.374000000000002</v>
          </cell>
          <cell r="BL55">
            <v>900</v>
          </cell>
          <cell r="BM55">
            <v>276</v>
          </cell>
          <cell r="BN55">
            <v>51.259</v>
          </cell>
          <cell r="BR55">
            <v>1000</v>
          </cell>
          <cell r="BS55">
            <v>305</v>
          </cell>
          <cell r="BT55">
            <v>54.831000000000003</v>
          </cell>
          <cell r="BX55">
            <v>1000</v>
          </cell>
          <cell r="BY55">
            <v>305</v>
          </cell>
          <cell r="BZ55">
            <v>68.59</v>
          </cell>
          <cell r="CD55">
            <v>900</v>
          </cell>
          <cell r="CE55">
            <v>275</v>
          </cell>
          <cell r="CF55">
            <v>48.377000000000002</v>
          </cell>
          <cell r="CJ55">
            <v>850</v>
          </cell>
          <cell r="CK55">
            <v>260</v>
          </cell>
          <cell r="CL55">
            <v>23.015999999999998</v>
          </cell>
          <cell r="CP55">
            <v>5600</v>
          </cell>
          <cell r="CQ55">
            <v>1712</v>
          </cell>
          <cell r="CR55">
            <v>297.44700000000006</v>
          </cell>
          <cell r="CS55">
            <v>17.374240654205611</v>
          </cell>
          <cell r="CX55">
            <v>2500</v>
          </cell>
          <cell r="CY55">
            <v>762</v>
          </cell>
          <cell r="CZ55">
            <v>53.314999999999998</v>
          </cell>
          <cell r="DA55">
            <v>6.9967191601049858</v>
          </cell>
          <cell r="DF55">
            <v>3050</v>
          </cell>
          <cell r="DG55">
            <v>899</v>
          </cell>
          <cell r="DH55">
            <v>59.984000000000002</v>
          </cell>
          <cell r="DI55">
            <v>6.6723025583982203</v>
          </cell>
          <cell r="DN55">
            <v>2850</v>
          </cell>
          <cell r="DO55">
            <v>872</v>
          </cell>
          <cell r="DP55">
            <v>157.464</v>
          </cell>
          <cell r="DQ55">
            <v>18.057798165137616</v>
          </cell>
          <cell r="DV55">
            <v>2750</v>
          </cell>
          <cell r="DW55">
            <v>840</v>
          </cell>
          <cell r="DX55">
            <v>139.983</v>
          </cell>
          <cell r="DY55">
            <v>16.664642857142859</v>
          </cell>
        </row>
        <row r="56">
          <cell r="F56">
            <v>400</v>
          </cell>
          <cell r="G56">
            <v>132</v>
          </cell>
          <cell r="H56">
            <v>-14.181999999999999</v>
          </cell>
          <cell r="I56">
            <v>-10.743939393939392</v>
          </cell>
          <cell r="N56">
            <v>60</v>
          </cell>
          <cell r="O56">
            <v>20</v>
          </cell>
          <cell r="P56">
            <v>-1.927</v>
          </cell>
          <cell r="T56">
            <v>60</v>
          </cell>
          <cell r="U56">
            <v>20</v>
          </cell>
          <cell r="V56">
            <v>-1.927</v>
          </cell>
          <cell r="Z56">
            <v>70</v>
          </cell>
          <cell r="AA56">
            <v>23</v>
          </cell>
          <cell r="AB56">
            <v>-2.5819999999999999</v>
          </cell>
          <cell r="AF56">
            <v>70</v>
          </cell>
          <cell r="AG56">
            <v>23</v>
          </cell>
          <cell r="AH56">
            <v>-2.5819999999999999</v>
          </cell>
          <cell r="AL56">
            <v>70</v>
          </cell>
          <cell r="AM56">
            <v>23</v>
          </cell>
          <cell r="AN56">
            <v>-2.5819999999999999</v>
          </cell>
          <cell r="AR56">
            <v>70</v>
          </cell>
          <cell r="AS56">
            <v>23</v>
          </cell>
          <cell r="AT56">
            <v>-2.5819999999999999</v>
          </cell>
          <cell r="AX56">
            <v>400</v>
          </cell>
          <cell r="AY56">
            <v>132</v>
          </cell>
          <cell r="AZ56">
            <v>-14.181999999999999</v>
          </cell>
          <cell r="BA56">
            <v>-10.743939393939392</v>
          </cell>
          <cell r="BF56">
            <v>0</v>
          </cell>
          <cell r="BG56">
            <v>0</v>
          </cell>
          <cell r="BH56">
            <v>0</v>
          </cell>
          <cell r="BL56">
            <v>0</v>
          </cell>
          <cell r="BM56">
            <v>0</v>
          </cell>
          <cell r="BN56">
            <v>0</v>
          </cell>
          <cell r="BR56">
            <v>0</v>
          </cell>
          <cell r="BS56">
            <v>0</v>
          </cell>
          <cell r="BT56">
            <v>0</v>
          </cell>
          <cell r="BX56">
            <v>0</v>
          </cell>
          <cell r="BY56">
            <v>0</v>
          </cell>
          <cell r="BZ56">
            <v>0</v>
          </cell>
          <cell r="CD56">
            <v>0</v>
          </cell>
          <cell r="CE56">
            <v>0</v>
          </cell>
          <cell r="CF56">
            <v>0</v>
          </cell>
          <cell r="CJ56">
            <v>0</v>
          </cell>
          <cell r="CK56">
            <v>0</v>
          </cell>
          <cell r="CL56">
            <v>0</v>
          </cell>
          <cell r="CP56">
            <v>0</v>
          </cell>
          <cell r="CQ56">
            <v>0</v>
          </cell>
          <cell r="CR56">
            <v>0</v>
          </cell>
          <cell r="CS56">
            <v>0</v>
          </cell>
          <cell r="CX56">
            <v>190</v>
          </cell>
          <cell r="CY56">
            <v>63</v>
          </cell>
          <cell r="CZ56">
            <v>-6.4359999999999999</v>
          </cell>
          <cell r="DA56">
            <v>-10.215873015873015</v>
          </cell>
          <cell r="DF56">
            <v>210</v>
          </cell>
          <cell r="DG56">
            <v>69</v>
          </cell>
          <cell r="DH56">
            <v>-7.7459999999999996</v>
          </cell>
          <cell r="DI56">
            <v>-11.226086956521739</v>
          </cell>
          <cell r="DN56">
            <v>0</v>
          </cell>
          <cell r="DO56">
            <v>0</v>
          </cell>
          <cell r="DP56">
            <v>0</v>
          </cell>
          <cell r="DQ56">
            <v>0</v>
          </cell>
          <cell r="DV56">
            <v>0</v>
          </cell>
          <cell r="DW56">
            <v>0</v>
          </cell>
          <cell r="DX56">
            <v>0</v>
          </cell>
          <cell r="DY56">
            <v>0</v>
          </cell>
        </row>
        <row r="57">
          <cell r="F57">
            <v>0</v>
          </cell>
          <cell r="G57">
            <v>0</v>
          </cell>
          <cell r="H57">
            <v>0</v>
          </cell>
          <cell r="I57">
            <v>0</v>
          </cell>
          <cell r="AX57">
            <v>0</v>
          </cell>
          <cell r="AY57">
            <v>0</v>
          </cell>
          <cell r="AZ57">
            <v>0</v>
          </cell>
          <cell r="BA57">
            <v>0</v>
          </cell>
          <cell r="CP57">
            <v>0</v>
          </cell>
          <cell r="CQ57">
            <v>0</v>
          </cell>
          <cell r="CR57">
            <v>0</v>
          </cell>
          <cell r="CS57">
            <v>0</v>
          </cell>
          <cell r="CX57">
            <v>0</v>
          </cell>
          <cell r="CY57">
            <v>0</v>
          </cell>
          <cell r="CZ57">
            <v>0</v>
          </cell>
          <cell r="DA57">
            <v>0</v>
          </cell>
          <cell r="DF57">
            <v>0</v>
          </cell>
          <cell r="DG57">
            <v>0</v>
          </cell>
          <cell r="DH57">
            <v>0</v>
          </cell>
          <cell r="DI57">
            <v>0</v>
          </cell>
          <cell r="DN57">
            <v>0</v>
          </cell>
          <cell r="DO57">
            <v>0</v>
          </cell>
          <cell r="DP57">
            <v>0</v>
          </cell>
          <cell r="DQ57">
            <v>0</v>
          </cell>
          <cell r="DV57">
            <v>0</v>
          </cell>
          <cell r="DW57">
            <v>0</v>
          </cell>
          <cell r="DX57">
            <v>0</v>
          </cell>
          <cell r="DY57">
            <v>0</v>
          </cell>
        </row>
        <row r="58">
          <cell r="F58">
            <v>0</v>
          </cell>
          <cell r="G58">
            <v>0</v>
          </cell>
          <cell r="H58">
            <v>0</v>
          </cell>
          <cell r="I58">
            <v>0</v>
          </cell>
          <cell r="AX58">
            <v>0</v>
          </cell>
          <cell r="AY58">
            <v>0</v>
          </cell>
          <cell r="AZ58">
            <v>0</v>
          </cell>
          <cell r="BA58">
            <v>0</v>
          </cell>
          <cell r="CP58">
            <v>0</v>
          </cell>
          <cell r="CQ58">
            <v>0</v>
          </cell>
          <cell r="CR58">
            <v>0</v>
          </cell>
          <cell r="CS58">
            <v>0</v>
          </cell>
          <cell r="CX58">
            <v>0</v>
          </cell>
          <cell r="CY58">
            <v>0</v>
          </cell>
          <cell r="CZ58">
            <v>0</v>
          </cell>
          <cell r="DA58">
            <v>0</v>
          </cell>
          <cell r="DF58">
            <v>0</v>
          </cell>
          <cell r="DG58">
            <v>0</v>
          </cell>
          <cell r="DH58">
            <v>0</v>
          </cell>
          <cell r="DI58">
            <v>0</v>
          </cell>
          <cell r="DN58">
            <v>0</v>
          </cell>
          <cell r="DO58">
            <v>0</v>
          </cell>
          <cell r="DP58">
            <v>0</v>
          </cell>
          <cell r="DQ58">
            <v>0</v>
          </cell>
          <cell r="DV58">
            <v>0</v>
          </cell>
          <cell r="DW58">
            <v>0</v>
          </cell>
          <cell r="DX58">
            <v>0</v>
          </cell>
          <cell r="DY58">
            <v>0</v>
          </cell>
        </row>
        <row r="59">
          <cell r="F59">
            <v>3000</v>
          </cell>
          <cell r="G59">
            <v>1524</v>
          </cell>
          <cell r="H59">
            <v>211.54399999999998</v>
          </cell>
          <cell r="I59">
            <v>13.880839895013123</v>
          </cell>
          <cell r="N59">
            <v>200</v>
          </cell>
          <cell r="O59">
            <v>102</v>
          </cell>
          <cell r="P59">
            <v>13.061999999999999</v>
          </cell>
          <cell r="T59">
            <v>250</v>
          </cell>
          <cell r="U59">
            <v>127</v>
          </cell>
          <cell r="V59">
            <v>16.305</v>
          </cell>
          <cell r="Z59">
            <v>300</v>
          </cell>
          <cell r="AA59">
            <v>152</v>
          </cell>
          <cell r="AB59">
            <v>19.381</v>
          </cell>
          <cell r="AF59">
            <v>250</v>
          </cell>
          <cell r="AG59">
            <v>127</v>
          </cell>
          <cell r="AH59">
            <v>16.167000000000002</v>
          </cell>
          <cell r="AL59">
            <v>300</v>
          </cell>
          <cell r="AM59">
            <v>152</v>
          </cell>
          <cell r="AN59">
            <v>19.367000000000001</v>
          </cell>
          <cell r="AR59">
            <v>250</v>
          </cell>
          <cell r="AS59">
            <v>127</v>
          </cell>
          <cell r="AT59">
            <v>16.579000000000001</v>
          </cell>
          <cell r="AX59">
            <v>1550</v>
          </cell>
          <cell r="AY59">
            <v>787</v>
          </cell>
          <cell r="AZ59">
            <v>100.861</v>
          </cell>
          <cell r="BA59">
            <v>12.815883100381194</v>
          </cell>
          <cell r="BF59">
            <v>250</v>
          </cell>
          <cell r="BG59">
            <v>127</v>
          </cell>
          <cell r="BH59">
            <v>18.338999999999999</v>
          </cell>
          <cell r="BL59">
            <v>250</v>
          </cell>
          <cell r="BM59">
            <v>127</v>
          </cell>
          <cell r="BN59">
            <v>19.155000000000001</v>
          </cell>
          <cell r="BR59">
            <v>250</v>
          </cell>
          <cell r="BS59">
            <v>127</v>
          </cell>
          <cell r="BT59">
            <v>19.155000000000001</v>
          </cell>
          <cell r="BX59">
            <v>300</v>
          </cell>
          <cell r="BY59">
            <v>152</v>
          </cell>
          <cell r="BZ59">
            <v>22.585999999999999</v>
          </cell>
          <cell r="CD59">
            <v>200</v>
          </cell>
          <cell r="CE59">
            <v>102</v>
          </cell>
          <cell r="CF59">
            <v>15.724</v>
          </cell>
          <cell r="CJ59">
            <v>200</v>
          </cell>
          <cell r="CK59">
            <v>102</v>
          </cell>
          <cell r="CL59">
            <v>15.724</v>
          </cell>
          <cell r="CP59">
            <v>1450</v>
          </cell>
          <cell r="CQ59">
            <v>737</v>
          </cell>
          <cell r="CR59">
            <v>110.68299999999999</v>
          </cell>
          <cell r="CS59">
            <v>15.018046132971504</v>
          </cell>
          <cell r="CX59">
            <v>750</v>
          </cell>
          <cell r="CY59">
            <v>381</v>
          </cell>
          <cell r="CZ59">
            <v>48.747999999999998</v>
          </cell>
          <cell r="DA59">
            <v>12.794750656167977</v>
          </cell>
          <cell r="DF59">
            <v>800</v>
          </cell>
          <cell r="DG59">
            <v>406</v>
          </cell>
          <cell r="DH59">
            <v>52.113000000000007</v>
          </cell>
          <cell r="DI59">
            <v>12.835714285714287</v>
          </cell>
          <cell r="DN59">
            <v>750</v>
          </cell>
          <cell r="DO59">
            <v>381</v>
          </cell>
          <cell r="DP59">
            <v>56.649000000000001</v>
          </cell>
          <cell r="DQ59">
            <v>14.868503937007874</v>
          </cell>
          <cell r="DV59">
            <v>700</v>
          </cell>
          <cell r="DW59">
            <v>356</v>
          </cell>
          <cell r="DX59">
            <v>54.034000000000006</v>
          </cell>
          <cell r="DY59">
            <v>15.17808988764045</v>
          </cell>
        </row>
        <row r="60">
          <cell r="F60">
            <v>14550</v>
          </cell>
          <cell r="G60">
            <v>5029</v>
          </cell>
          <cell r="H60">
            <v>608.10800000000006</v>
          </cell>
          <cell r="I60">
            <v>12.092026247762975</v>
          </cell>
          <cell r="N60">
            <v>810</v>
          </cell>
          <cell r="O60">
            <v>290</v>
          </cell>
          <cell r="P60">
            <v>9.2279999999999998</v>
          </cell>
          <cell r="T60">
            <v>1260</v>
          </cell>
          <cell r="U60">
            <v>436</v>
          </cell>
          <cell r="V60">
            <v>39.164000000000001</v>
          </cell>
          <cell r="Z60">
            <v>1370</v>
          </cell>
          <cell r="AA60">
            <v>480</v>
          </cell>
          <cell r="AB60">
            <v>47.234999999999999</v>
          </cell>
          <cell r="AF60">
            <v>1320</v>
          </cell>
          <cell r="AG60">
            <v>455</v>
          </cell>
          <cell r="AH60">
            <v>39.844000000000001</v>
          </cell>
          <cell r="AL60">
            <v>1470</v>
          </cell>
          <cell r="AM60">
            <v>510</v>
          </cell>
          <cell r="AN60">
            <v>53.638999999999996</v>
          </cell>
          <cell r="AR60">
            <v>1270</v>
          </cell>
          <cell r="AS60">
            <v>409</v>
          </cell>
          <cell r="AT60">
            <v>10.868</v>
          </cell>
          <cell r="AX60">
            <v>7500</v>
          </cell>
          <cell r="AY60">
            <v>2580</v>
          </cell>
          <cell r="AZ60">
            <v>199.97800000000001</v>
          </cell>
          <cell r="BA60">
            <v>7.7510852713178302</v>
          </cell>
          <cell r="BF60">
            <v>1200</v>
          </cell>
          <cell r="BG60">
            <v>418</v>
          </cell>
          <cell r="BH60">
            <v>69.712999999999994</v>
          </cell>
          <cell r="BL60">
            <v>1150</v>
          </cell>
          <cell r="BM60">
            <v>403</v>
          </cell>
          <cell r="BN60">
            <v>70.414000000000001</v>
          </cell>
          <cell r="BR60">
            <v>1250</v>
          </cell>
          <cell r="BS60">
            <v>432</v>
          </cell>
          <cell r="BT60">
            <v>73.986000000000004</v>
          </cell>
          <cell r="BX60">
            <v>1300</v>
          </cell>
          <cell r="BY60">
            <v>457</v>
          </cell>
          <cell r="BZ60">
            <v>91.176000000000002</v>
          </cell>
          <cell r="CD60">
            <v>1100</v>
          </cell>
          <cell r="CE60">
            <v>377</v>
          </cell>
          <cell r="CF60">
            <v>64.100999999999999</v>
          </cell>
          <cell r="CJ60">
            <v>1050</v>
          </cell>
          <cell r="CK60">
            <v>362</v>
          </cell>
          <cell r="CL60">
            <v>38.739999999999995</v>
          </cell>
          <cell r="CP60">
            <v>7050</v>
          </cell>
          <cell r="CQ60">
            <v>2449</v>
          </cell>
          <cell r="CR60">
            <v>408.13000000000005</v>
          </cell>
          <cell r="CS60">
            <v>16.665169456921195</v>
          </cell>
          <cell r="CX60">
            <v>3440</v>
          </cell>
          <cell r="CY60">
            <v>1206</v>
          </cell>
          <cell r="CZ60">
            <v>95.626999999999995</v>
          </cell>
          <cell r="DA60">
            <v>7.9292703150912107</v>
          </cell>
          <cell r="DF60">
            <v>4060</v>
          </cell>
          <cell r="DG60">
            <v>1374</v>
          </cell>
          <cell r="DH60">
            <v>104.351</v>
          </cell>
          <cell r="DI60">
            <v>7.5946870451237274</v>
          </cell>
          <cell r="DN60">
            <v>3600</v>
          </cell>
          <cell r="DO60">
            <v>1253</v>
          </cell>
          <cell r="DP60">
            <v>214.113</v>
          </cell>
          <cell r="DQ60">
            <v>17.08802873104549</v>
          </cell>
          <cell r="DV60">
            <v>3450</v>
          </cell>
          <cell r="DW60">
            <v>1196</v>
          </cell>
          <cell r="DX60">
            <v>194.017</v>
          </cell>
          <cell r="DY60">
            <v>16.22215719063545</v>
          </cell>
        </row>
        <row r="61">
          <cell r="F61">
            <v>0</v>
          </cell>
          <cell r="G61">
            <v>0</v>
          </cell>
          <cell r="H61">
            <v>0</v>
          </cell>
          <cell r="I61">
            <v>0</v>
          </cell>
          <cell r="AX61">
            <v>0</v>
          </cell>
          <cell r="AY61">
            <v>0</v>
          </cell>
          <cell r="AZ61">
            <v>0</v>
          </cell>
          <cell r="BA61">
            <v>0</v>
          </cell>
          <cell r="CP61">
            <v>0</v>
          </cell>
          <cell r="CQ61">
            <v>0</v>
          </cell>
          <cell r="CR61">
            <v>0</v>
          </cell>
          <cell r="CS61">
            <v>0</v>
          </cell>
          <cell r="CX61">
            <v>0</v>
          </cell>
          <cell r="CY61">
            <v>0</v>
          </cell>
          <cell r="CZ61">
            <v>0</v>
          </cell>
          <cell r="DA61">
            <v>0</v>
          </cell>
          <cell r="DF61">
            <v>0</v>
          </cell>
          <cell r="DG61">
            <v>0</v>
          </cell>
          <cell r="DH61">
            <v>0</v>
          </cell>
          <cell r="DI61">
            <v>0</v>
          </cell>
          <cell r="DN61">
            <v>0</v>
          </cell>
          <cell r="DO61">
            <v>0</v>
          </cell>
          <cell r="DP61">
            <v>0</v>
          </cell>
          <cell r="DQ61">
            <v>0</v>
          </cell>
          <cell r="DV61">
            <v>0</v>
          </cell>
          <cell r="DW61">
            <v>0</v>
          </cell>
          <cell r="DX61">
            <v>0</v>
          </cell>
          <cell r="DY61">
            <v>0</v>
          </cell>
        </row>
        <row r="62">
          <cell r="F62">
            <v>0</v>
          </cell>
          <cell r="G62">
            <v>0</v>
          </cell>
          <cell r="H62">
            <v>0</v>
          </cell>
          <cell r="I62">
            <v>0</v>
          </cell>
          <cell r="AX62">
            <v>0</v>
          </cell>
          <cell r="AY62">
            <v>0</v>
          </cell>
          <cell r="AZ62">
            <v>0</v>
          </cell>
          <cell r="BA62">
            <v>0</v>
          </cell>
          <cell r="CP62">
            <v>0</v>
          </cell>
          <cell r="CQ62">
            <v>0</v>
          </cell>
          <cell r="CR62">
            <v>0</v>
          </cell>
          <cell r="CS62">
            <v>0</v>
          </cell>
          <cell r="CX62">
            <v>0</v>
          </cell>
          <cell r="CY62">
            <v>0</v>
          </cell>
          <cell r="CZ62">
            <v>0</v>
          </cell>
          <cell r="DA62">
            <v>0</v>
          </cell>
          <cell r="DF62">
            <v>0</v>
          </cell>
          <cell r="DG62">
            <v>0</v>
          </cell>
          <cell r="DH62">
            <v>0</v>
          </cell>
          <cell r="DI62">
            <v>0</v>
          </cell>
          <cell r="DN62">
            <v>0</v>
          </cell>
          <cell r="DO62">
            <v>0</v>
          </cell>
          <cell r="DP62">
            <v>0</v>
          </cell>
          <cell r="DQ62">
            <v>0</v>
          </cell>
          <cell r="DV62">
            <v>0</v>
          </cell>
          <cell r="DW62">
            <v>0</v>
          </cell>
          <cell r="DX62">
            <v>0</v>
          </cell>
          <cell r="DY62">
            <v>0</v>
          </cell>
        </row>
        <row r="63">
          <cell r="F63">
            <v>0</v>
          </cell>
          <cell r="G63">
            <v>0</v>
          </cell>
          <cell r="H63">
            <v>0</v>
          </cell>
          <cell r="I63">
            <v>0</v>
          </cell>
          <cell r="N63">
            <v>0</v>
          </cell>
          <cell r="O63">
            <v>0</v>
          </cell>
          <cell r="P63">
            <v>0</v>
          </cell>
          <cell r="T63">
            <v>0</v>
          </cell>
          <cell r="U63">
            <v>0</v>
          </cell>
          <cell r="V63">
            <v>0</v>
          </cell>
          <cell r="Z63">
            <v>0</v>
          </cell>
          <cell r="AA63">
            <v>0</v>
          </cell>
          <cell r="AB63">
            <v>0</v>
          </cell>
          <cell r="AF63">
            <v>0</v>
          </cell>
          <cell r="AG63">
            <v>0</v>
          </cell>
          <cell r="AH63">
            <v>0</v>
          </cell>
          <cell r="AL63">
            <v>0</v>
          </cell>
          <cell r="AM63">
            <v>0</v>
          </cell>
          <cell r="AN63">
            <v>0</v>
          </cell>
          <cell r="AR63">
            <v>0</v>
          </cell>
          <cell r="AS63">
            <v>0</v>
          </cell>
          <cell r="AT63">
            <v>0</v>
          </cell>
          <cell r="AX63">
            <v>0</v>
          </cell>
          <cell r="AY63">
            <v>0</v>
          </cell>
          <cell r="AZ63">
            <v>0</v>
          </cell>
          <cell r="BA63">
            <v>0</v>
          </cell>
          <cell r="BF63">
            <v>0</v>
          </cell>
          <cell r="BG63">
            <v>0</v>
          </cell>
          <cell r="BH63">
            <v>0</v>
          </cell>
          <cell r="BL63">
            <v>0</v>
          </cell>
          <cell r="BM63">
            <v>0</v>
          </cell>
          <cell r="BN63">
            <v>0</v>
          </cell>
          <cell r="BR63">
            <v>0</v>
          </cell>
          <cell r="BS63">
            <v>0</v>
          </cell>
          <cell r="BT63">
            <v>0</v>
          </cell>
          <cell r="BX63">
            <v>0</v>
          </cell>
          <cell r="BY63">
            <v>0</v>
          </cell>
          <cell r="BZ63">
            <v>0</v>
          </cell>
          <cell r="CD63">
            <v>0</v>
          </cell>
          <cell r="CE63">
            <v>0</v>
          </cell>
          <cell r="CF63">
            <v>0</v>
          </cell>
          <cell r="CJ63">
            <v>0</v>
          </cell>
          <cell r="CK63">
            <v>0</v>
          </cell>
          <cell r="CL63">
            <v>0</v>
          </cell>
          <cell r="CP63">
            <v>0</v>
          </cell>
          <cell r="CQ63">
            <v>0</v>
          </cell>
          <cell r="CR63">
            <v>0</v>
          </cell>
          <cell r="CS63">
            <v>0</v>
          </cell>
          <cell r="CX63">
            <v>0</v>
          </cell>
          <cell r="CY63">
            <v>0</v>
          </cell>
          <cell r="CZ63">
            <v>0</v>
          </cell>
          <cell r="DA63">
            <v>0</v>
          </cell>
          <cell r="DF63">
            <v>0</v>
          </cell>
          <cell r="DG63">
            <v>0</v>
          </cell>
          <cell r="DH63">
            <v>0</v>
          </cell>
          <cell r="DI63">
            <v>0</v>
          </cell>
          <cell r="DN63">
            <v>0</v>
          </cell>
          <cell r="DO63">
            <v>0</v>
          </cell>
          <cell r="DP63">
            <v>0</v>
          </cell>
          <cell r="DQ63">
            <v>0</v>
          </cell>
          <cell r="DV63">
            <v>0</v>
          </cell>
          <cell r="DW63">
            <v>0</v>
          </cell>
          <cell r="DX63">
            <v>0</v>
          </cell>
          <cell r="DY63">
            <v>0</v>
          </cell>
        </row>
        <row r="64">
          <cell r="F64">
            <v>0</v>
          </cell>
          <cell r="G64">
            <v>0</v>
          </cell>
          <cell r="H64">
            <v>0</v>
          </cell>
          <cell r="I64">
            <v>0</v>
          </cell>
          <cell r="AX64">
            <v>0</v>
          </cell>
          <cell r="AY64">
            <v>0</v>
          </cell>
          <cell r="AZ64">
            <v>0</v>
          </cell>
          <cell r="BA64">
            <v>0</v>
          </cell>
          <cell r="CP64">
            <v>0</v>
          </cell>
          <cell r="CQ64">
            <v>0</v>
          </cell>
          <cell r="CR64">
            <v>0</v>
          </cell>
          <cell r="CS64">
            <v>0</v>
          </cell>
          <cell r="CX64">
            <v>0</v>
          </cell>
          <cell r="CY64">
            <v>0</v>
          </cell>
          <cell r="CZ64">
            <v>0</v>
          </cell>
          <cell r="DA64">
            <v>0</v>
          </cell>
          <cell r="DF64">
            <v>0</v>
          </cell>
          <cell r="DG64">
            <v>0</v>
          </cell>
          <cell r="DH64">
            <v>0</v>
          </cell>
          <cell r="DI64">
            <v>0</v>
          </cell>
          <cell r="DN64">
            <v>0</v>
          </cell>
          <cell r="DO64">
            <v>0</v>
          </cell>
          <cell r="DP64">
            <v>0</v>
          </cell>
          <cell r="DQ64">
            <v>0</v>
          </cell>
          <cell r="DV64">
            <v>0</v>
          </cell>
          <cell r="DW64">
            <v>0</v>
          </cell>
          <cell r="DX64">
            <v>0</v>
          </cell>
          <cell r="DY64">
            <v>0</v>
          </cell>
        </row>
        <row r="65">
          <cell r="F65">
            <v>46400</v>
          </cell>
          <cell r="G65">
            <v>1903</v>
          </cell>
          <cell r="H65">
            <v>741.29499999999985</v>
          </cell>
          <cell r="I65">
            <v>38.954019968470824</v>
          </cell>
          <cell r="N65">
            <v>3500</v>
          </cell>
          <cell r="O65">
            <v>144</v>
          </cell>
          <cell r="P65">
            <v>56.395000000000003</v>
          </cell>
          <cell r="T65">
            <v>4600</v>
          </cell>
          <cell r="U65">
            <v>189</v>
          </cell>
          <cell r="V65">
            <v>73.816000000000003</v>
          </cell>
          <cell r="Z65">
            <v>4100</v>
          </cell>
          <cell r="AA65">
            <v>168</v>
          </cell>
          <cell r="AB65">
            <v>65.376999999999995</v>
          </cell>
          <cell r="AF65">
            <v>4200</v>
          </cell>
          <cell r="AG65">
            <v>172</v>
          </cell>
          <cell r="AH65">
            <v>66.831999999999994</v>
          </cell>
          <cell r="AL65">
            <v>4500</v>
          </cell>
          <cell r="AM65">
            <v>185</v>
          </cell>
          <cell r="AN65">
            <v>72.319999999999993</v>
          </cell>
          <cell r="AR65">
            <v>4000</v>
          </cell>
          <cell r="AS65">
            <v>164</v>
          </cell>
          <cell r="AT65">
            <v>63.84</v>
          </cell>
          <cell r="AX65">
            <v>24900</v>
          </cell>
          <cell r="AY65">
            <v>1022</v>
          </cell>
          <cell r="AZ65">
            <v>398.57999999999993</v>
          </cell>
          <cell r="BA65">
            <v>38.999999999999993</v>
          </cell>
          <cell r="BF65">
            <v>3500</v>
          </cell>
          <cell r="BG65">
            <v>144</v>
          </cell>
          <cell r="BH65">
            <v>56.395000000000003</v>
          </cell>
          <cell r="BL65">
            <v>3300</v>
          </cell>
          <cell r="BM65">
            <v>135</v>
          </cell>
          <cell r="BN65">
            <v>52.368000000000002</v>
          </cell>
          <cell r="BR65">
            <v>4300</v>
          </cell>
          <cell r="BS65">
            <v>176</v>
          </cell>
          <cell r="BT65">
            <v>68.328000000000003</v>
          </cell>
          <cell r="BX65">
            <v>4000</v>
          </cell>
          <cell r="BY65">
            <v>164</v>
          </cell>
          <cell r="BZ65">
            <v>63.88</v>
          </cell>
          <cell r="CD65">
            <v>3300</v>
          </cell>
          <cell r="CE65">
            <v>135</v>
          </cell>
          <cell r="CF65">
            <v>52.368000000000002</v>
          </cell>
          <cell r="CJ65">
            <v>3100</v>
          </cell>
          <cell r="CK65">
            <v>127</v>
          </cell>
          <cell r="CL65">
            <v>49.375999999999998</v>
          </cell>
          <cell r="CP65">
            <v>21500</v>
          </cell>
          <cell r="CQ65">
            <v>881</v>
          </cell>
          <cell r="CR65">
            <v>342.71499999999997</v>
          </cell>
          <cell r="CS65">
            <v>38.900681044267877</v>
          </cell>
          <cell r="CX65">
            <v>12200</v>
          </cell>
          <cell r="CY65">
            <v>501</v>
          </cell>
          <cell r="CZ65">
            <v>195.58800000000002</v>
          </cell>
          <cell r="DA65">
            <v>39.039520958083834</v>
          </cell>
          <cell r="DF65">
            <v>12700</v>
          </cell>
          <cell r="DG65">
            <v>521</v>
          </cell>
          <cell r="DH65">
            <v>202.99199999999999</v>
          </cell>
          <cell r="DI65">
            <v>38.961996161228406</v>
          </cell>
          <cell r="DN65">
            <v>11100</v>
          </cell>
          <cell r="DO65">
            <v>455</v>
          </cell>
          <cell r="DP65">
            <v>177.09100000000001</v>
          </cell>
          <cell r="DQ65">
            <v>38.921098901098908</v>
          </cell>
          <cell r="DV65">
            <v>10400</v>
          </cell>
          <cell r="DW65">
            <v>426</v>
          </cell>
          <cell r="DX65">
            <v>165.624</v>
          </cell>
          <cell r="DY65">
            <v>38.878873239436615</v>
          </cell>
        </row>
        <row r="66">
          <cell r="F66">
            <v>0</v>
          </cell>
          <cell r="G66">
            <v>0</v>
          </cell>
          <cell r="H66">
            <v>0</v>
          </cell>
          <cell r="I66">
            <v>0</v>
          </cell>
          <cell r="AX66">
            <v>0</v>
          </cell>
          <cell r="AY66">
            <v>0</v>
          </cell>
          <cell r="AZ66">
            <v>0</v>
          </cell>
          <cell r="BA66">
            <v>0</v>
          </cell>
          <cell r="CP66">
            <v>0</v>
          </cell>
          <cell r="CQ66">
            <v>0</v>
          </cell>
          <cell r="CR66">
            <v>0</v>
          </cell>
          <cell r="CS66">
            <v>0</v>
          </cell>
          <cell r="CX66">
            <v>0</v>
          </cell>
          <cell r="CY66">
            <v>0</v>
          </cell>
          <cell r="CZ66">
            <v>0</v>
          </cell>
          <cell r="DA66">
            <v>0</v>
          </cell>
          <cell r="DF66">
            <v>0</v>
          </cell>
          <cell r="DG66">
            <v>0</v>
          </cell>
          <cell r="DH66">
            <v>0</v>
          </cell>
          <cell r="DI66">
            <v>0</v>
          </cell>
          <cell r="DN66">
            <v>0</v>
          </cell>
          <cell r="DO66">
            <v>0</v>
          </cell>
          <cell r="DP66">
            <v>0</v>
          </cell>
          <cell r="DQ66">
            <v>0</v>
          </cell>
          <cell r="DV66">
            <v>0</v>
          </cell>
          <cell r="DW66">
            <v>0</v>
          </cell>
          <cell r="DX66">
            <v>0</v>
          </cell>
          <cell r="DY66">
            <v>0</v>
          </cell>
        </row>
        <row r="67">
          <cell r="F67">
            <v>25200</v>
          </cell>
          <cell r="G67">
            <v>1702</v>
          </cell>
          <cell r="H67">
            <v>893.18200000000002</v>
          </cell>
          <cell r="I67">
            <v>52.478378378378373</v>
          </cell>
          <cell r="N67">
            <v>1900</v>
          </cell>
          <cell r="O67">
            <v>128</v>
          </cell>
          <cell r="P67">
            <v>68.073999999999998</v>
          </cell>
          <cell r="T67">
            <v>2500</v>
          </cell>
          <cell r="U67">
            <v>169</v>
          </cell>
          <cell r="V67">
            <v>89.55</v>
          </cell>
          <cell r="Z67">
            <v>2300</v>
          </cell>
          <cell r="AA67">
            <v>155</v>
          </cell>
          <cell r="AB67">
            <v>81.537999999999997</v>
          </cell>
          <cell r="AF67">
            <v>2400</v>
          </cell>
          <cell r="AG67">
            <v>162</v>
          </cell>
          <cell r="AH67">
            <v>85.055999999999997</v>
          </cell>
          <cell r="AL67">
            <v>2500</v>
          </cell>
          <cell r="AM67">
            <v>169</v>
          </cell>
          <cell r="AN67">
            <v>88.65</v>
          </cell>
          <cell r="AR67">
            <v>2300</v>
          </cell>
          <cell r="AS67">
            <v>155</v>
          </cell>
          <cell r="AT67">
            <v>80.962999999999994</v>
          </cell>
          <cell r="AX67">
            <v>13900</v>
          </cell>
          <cell r="AY67">
            <v>938</v>
          </cell>
          <cell r="AZ67">
            <v>493.83100000000002</v>
          </cell>
          <cell r="BA67">
            <v>52.647228144989342</v>
          </cell>
          <cell r="BF67">
            <v>1900</v>
          </cell>
          <cell r="BG67">
            <v>128</v>
          </cell>
          <cell r="BH67">
            <v>66.763000000000005</v>
          </cell>
          <cell r="BL67">
            <v>1800</v>
          </cell>
          <cell r="BM67">
            <v>122</v>
          </cell>
          <cell r="BN67">
            <v>63.95</v>
          </cell>
          <cell r="BR67">
            <v>2000</v>
          </cell>
          <cell r="BS67">
            <v>135</v>
          </cell>
          <cell r="BT67">
            <v>70.459999999999994</v>
          </cell>
          <cell r="BX67">
            <v>2000</v>
          </cell>
          <cell r="BY67">
            <v>135</v>
          </cell>
          <cell r="BZ67">
            <v>70.44</v>
          </cell>
          <cell r="CD67">
            <v>1800</v>
          </cell>
          <cell r="CE67">
            <v>122</v>
          </cell>
          <cell r="CF67">
            <v>63.878</v>
          </cell>
          <cell r="CJ67">
            <v>1800</v>
          </cell>
          <cell r="CK67">
            <v>122</v>
          </cell>
          <cell r="CL67">
            <v>63.86</v>
          </cell>
          <cell r="CP67">
            <v>11300</v>
          </cell>
          <cell r="CQ67">
            <v>764</v>
          </cell>
          <cell r="CR67">
            <v>399.351</v>
          </cell>
          <cell r="CS67">
            <v>52.271073298429314</v>
          </cell>
          <cell r="CX67">
            <v>6700</v>
          </cell>
          <cell r="CY67">
            <v>452</v>
          </cell>
          <cell r="CZ67">
            <v>239.16199999999998</v>
          </cell>
          <cell r="DA67">
            <v>52.911946902654861</v>
          </cell>
          <cell r="DF67">
            <v>7200</v>
          </cell>
          <cell r="DG67">
            <v>486</v>
          </cell>
          <cell r="DH67">
            <v>254.66900000000001</v>
          </cell>
          <cell r="DI67">
            <v>52.401028806584357</v>
          </cell>
          <cell r="DN67">
            <v>5700</v>
          </cell>
          <cell r="DO67">
            <v>385</v>
          </cell>
          <cell r="DP67">
            <v>201.173</v>
          </cell>
          <cell r="DQ67">
            <v>52.25272727272727</v>
          </cell>
          <cell r="DV67">
            <v>5600</v>
          </cell>
          <cell r="DW67">
            <v>379</v>
          </cell>
          <cell r="DX67">
            <v>198.178</v>
          </cell>
          <cell r="DY67">
            <v>52.289709762532979</v>
          </cell>
        </row>
        <row r="68">
          <cell r="F68">
            <v>0</v>
          </cell>
          <cell r="G68">
            <v>0</v>
          </cell>
          <cell r="H68">
            <v>0</v>
          </cell>
          <cell r="I68">
            <v>0</v>
          </cell>
          <cell r="AX68">
            <v>0</v>
          </cell>
          <cell r="AY68">
            <v>0</v>
          </cell>
          <cell r="AZ68">
            <v>0</v>
          </cell>
          <cell r="BA68">
            <v>0</v>
          </cell>
          <cell r="CP68">
            <v>0</v>
          </cell>
          <cell r="CQ68">
            <v>0</v>
          </cell>
          <cell r="CR68">
            <v>0</v>
          </cell>
          <cell r="CS68">
            <v>0</v>
          </cell>
          <cell r="CX68">
            <v>0</v>
          </cell>
          <cell r="CY68">
            <v>0</v>
          </cell>
          <cell r="CZ68">
            <v>0</v>
          </cell>
          <cell r="DA68">
            <v>0</v>
          </cell>
          <cell r="DF68">
            <v>0</v>
          </cell>
          <cell r="DG68">
            <v>0</v>
          </cell>
          <cell r="DH68">
            <v>0</v>
          </cell>
          <cell r="DI68">
            <v>0</v>
          </cell>
          <cell r="DN68">
            <v>0</v>
          </cell>
          <cell r="DO68">
            <v>0</v>
          </cell>
          <cell r="DP68">
            <v>0</v>
          </cell>
          <cell r="DQ68">
            <v>0</v>
          </cell>
          <cell r="DV68">
            <v>0</v>
          </cell>
          <cell r="DW68">
            <v>0</v>
          </cell>
          <cell r="DX68">
            <v>0</v>
          </cell>
          <cell r="DY68">
            <v>0</v>
          </cell>
        </row>
        <row r="69">
          <cell r="F69">
            <v>0</v>
          </cell>
          <cell r="G69">
            <v>0</v>
          </cell>
          <cell r="H69">
            <v>0</v>
          </cell>
          <cell r="I69">
            <v>0</v>
          </cell>
          <cell r="AX69">
            <v>0</v>
          </cell>
          <cell r="AY69">
            <v>0</v>
          </cell>
          <cell r="AZ69">
            <v>0</v>
          </cell>
          <cell r="BA69">
            <v>0</v>
          </cell>
          <cell r="CP69">
            <v>0</v>
          </cell>
          <cell r="CQ69">
            <v>0</v>
          </cell>
          <cell r="CR69">
            <v>0</v>
          </cell>
          <cell r="CS69">
            <v>0</v>
          </cell>
          <cell r="CX69">
            <v>0</v>
          </cell>
          <cell r="CY69">
            <v>0</v>
          </cell>
          <cell r="CZ69">
            <v>0</v>
          </cell>
          <cell r="DA69">
            <v>0</v>
          </cell>
          <cell r="DF69">
            <v>0</v>
          </cell>
          <cell r="DG69">
            <v>0</v>
          </cell>
          <cell r="DH69">
            <v>0</v>
          </cell>
          <cell r="DI69">
            <v>0</v>
          </cell>
          <cell r="DN69">
            <v>0</v>
          </cell>
          <cell r="DO69">
            <v>0</v>
          </cell>
          <cell r="DP69">
            <v>0</v>
          </cell>
          <cell r="DQ69">
            <v>0</v>
          </cell>
          <cell r="DV69">
            <v>0</v>
          </cell>
          <cell r="DW69">
            <v>0</v>
          </cell>
          <cell r="DX69">
            <v>0</v>
          </cell>
          <cell r="DY69">
            <v>0</v>
          </cell>
        </row>
        <row r="70">
          <cell r="F70">
            <v>128</v>
          </cell>
          <cell r="G70">
            <v>982.4</v>
          </cell>
          <cell r="H70">
            <v>235.68</v>
          </cell>
          <cell r="I70">
            <v>23.990228013029316</v>
          </cell>
          <cell r="O70">
            <v>60.2</v>
          </cell>
          <cell r="P70">
            <v>14.4</v>
          </cell>
          <cell r="U70">
            <v>79</v>
          </cell>
          <cell r="V70">
            <v>18.96</v>
          </cell>
          <cell r="AA70">
            <v>90</v>
          </cell>
          <cell r="AB70">
            <v>21.6</v>
          </cell>
          <cell r="AG70">
            <v>80</v>
          </cell>
          <cell r="AH70">
            <v>19.2</v>
          </cell>
          <cell r="AM70">
            <v>92</v>
          </cell>
          <cell r="AN70">
            <v>22.08</v>
          </cell>
          <cell r="AS70">
            <v>83</v>
          </cell>
          <cell r="AT70">
            <v>19.920000000000002</v>
          </cell>
          <cell r="AX70">
            <v>0</v>
          </cell>
          <cell r="AY70">
            <v>484.2</v>
          </cell>
          <cell r="AZ70">
            <v>116.16000000000003</v>
          </cell>
          <cell r="BA70">
            <v>23.990086741016114</v>
          </cell>
          <cell r="BG70">
            <v>84.2</v>
          </cell>
          <cell r="BH70">
            <v>20.16</v>
          </cell>
          <cell r="BL70">
            <v>25</v>
          </cell>
          <cell r="BM70">
            <v>80</v>
          </cell>
          <cell r="BN70">
            <v>19.2</v>
          </cell>
          <cell r="BR70">
            <v>27</v>
          </cell>
          <cell r="BS70">
            <v>88</v>
          </cell>
          <cell r="BT70">
            <v>21.12</v>
          </cell>
          <cell r="BX70">
            <v>26</v>
          </cell>
          <cell r="BY70">
            <v>85</v>
          </cell>
          <cell r="BZ70">
            <v>20.399999999999999</v>
          </cell>
          <cell r="CD70">
            <v>26</v>
          </cell>
          <cell r="CE70">
            <v>83</v>
          </cell>
          <cell r="CF70">
            <v>19.920000000000002</v>
          </cell>
          <cell r="CJ70">
            <v>24</v>
          </cell>
          <cell r="CK70">
            <v>78</v>
          </cell>
          <cell r="CL70">
            <v>18.72</v>
          </cell>
          <cell r="CP70">
            <v>128</v>
          </cell>
          <cell r="CQ70">
            <v>498.2</v>
          </cell>
          <cell r="CR70">
            <v>119.52</v>
          </cell>
          <cell r="CS70">
            <v>23.990365315134486</v>
          </cell>
          <cell r="CX70">
            <v>0</v>
          </cell>
          <cell r="CY70">
            <v>229.2</v>
          </cell>
          <cell r="CZ70">
            <v>54.96</v>
          </cell>
          <cell r="DA70">
            <v>23.979057591623036</v>
          </cell>
          <cell r="DF70">
            <v>0</v>
          </cell>
          <cell r="DG70">
            <v>255</v>
          </cell>
          <cell r="DH70">
            <v>61.2</v>
          </cell>
          <cell r="DI70">
            <v>24.000000000000004</v>
          </cell>
          <cell r="DN70">
            <v>52</v>
          </cell>
          <cell r="DO70">
            <v>252.2</v>
          </cell>
          <cell r="DP70">
            <v>60.480000000000004</v>
          </cell>
          <cell r="DQ70">
            <v>23.980967486122129</v>
          </cell>
          <cell r="DV70">
            <v>76</v>
          </cell>
          <cell r="DW70">
            <v>246</v>
          </cell>
          <cell r="DX70">
            <v>59.04</v>
          </cell>
          <cell r="DY70">
            <v>24</v>
          </cell>
        </row>
        <row r="71">
          <cell r="F71">
            <v>71728</v>
          </cell>
          <cell r="G71">
            <v>4587.3999999999996</v>
          </cell>
          <cell r="H71">
            <v>1870.1569999999999</v>
          </cell>
          <cell r="I71">
            <v>40.767253782098791</v>
          </cell>
          <cell r="N71">
            <v>5400</v>
          </cell>
          <cell r="O71">
            <v>332.2</v>
          </cell>
          <cell r="P71">
            <v>138.869</v>
          </cell>
          <cell r="T71">
            <v>7100</v>
          </cell>
          <cell r="U71">
            <v>437</v>
          </cell>
          <cell r="V71">
            <v>182.32599999999999</v>
          </cell>
          <cell r="Z71">
            <v>6400</v>
          </cell>
          <cell r="AA71">
            <v>413</v>
          </cell>
          <cell r="AB71">
            <v>168.51499999999999</v>
          </cell>
          <cell r="AF71">
            <v>6600</v>
          </cell>
          <cell r="AG71">
            <v>414</v>
          </cell>
          <cell r="AH71">
            <v>171.08799999999997</v>
          </cell>
          <cell r="AL71">
            <v>7000</v>
          </cell>
          <cell r="AM71">
            <v>446</v>
          </cell>
          <cell r="AN71">
            <v>183.05</v>
          </cell>
          <cell r="AR71">
            <v>6300</v>
          </cell>
          <cell r="AS71">
            <v>402</v>
          </cell>
          <cell r="AT71">
            <v>164.72300000000001</v>
          </cell>
          <cell r="AX71">
            <v>38800</v>
          </cell>
          <cell r="AY71">
            <v>2444.1999999999998</v>
          </cell>
          <cell r="AZ71">
            <v>1008.5709999999999</v>
          </cell>
          <cell r="BA71">
            <v>41.263849112183948</v>
          </cell>
          <cell r="BF71">
            <v>5400</v>
          </cell>
          <cell r="BG71">
            <v>356.2</v>
          </cell>
          <cell r="BH71">
            <v>143.31800000000001</v>
          </cell>
          <cell r="BL71">
            <v>5125</v>
          </cell>
          <cell r="BM71">
            <v>337</v>
          </cell>
          <cell r="BN71">
            <v>135.518</v>
          </cell>
          <cell r="BR71">
            <v>6327</v>
          </cell>
          <cell r="BS71">
            <v>399</v>
          </cell>
          <cell r="BT71">
            <v>159.90800000000002</v>
          </cell>
          <cell r="BX71">
            <v>6026</v>
          </cell>
          <cell r="BY71">
            <v>384</v>
          </cell>
          <cell r="BZ71">
            <v>154.72</v>
          </cell>
          <cell r="CD71">
            <v>5126</v>
          </cell>
          <cell r="CE71">
            <v>340</v>
          </cell>
          <cell r="CF71">
            <v>136.166</v>
          </cell>
          <cell r="CJ71">
            <v>4924</v>
          </cell>
          <cell r="CK71">
            <v>327</v>
          </cell>
          <cell r="CL71">
            <v>131.95599999999999</v>
          </cell>
          <cell r="CP71">
            <v>32928</v>
          </cell>
          <cell r="CQ71">
            <v>2143.1999999999998</v>
          </cell>
          <cell r="CR71">
            <v>861.58600000000001</v>
          </cell>
          <cell r="CS71">
            <v>40.200914520343417</v>
          </cell>
          <cell r="CX71">
            <v>18900</v>
          </cell>
          <cell r="CY71">
            <v>1182.2</v>
          </cell>
          <cell r="CZ71">
            <v>489.71</v>
          </cell>
          <cell r="DA71">
            <v>41.423616985281676</v>
          </cell>
          <cell r="DF71">
            <v>19900</v>
          </cell>
          <cell r="DG71">
            <v>1262</v>
          </cell>
          <cell r="DH71">
            <v>518.86099999999999</v>
          </cell>
          <cell r="DI71">
            <v>41.114183835182253</v>
          </cell>
          <cell r="DN71">
            <v>16852</v>
          </cell>
          <cell r="DO71">
            <v>1092.2</v>
          </cell>
          <cell r="DP71">
            <v>438.74400000000003</v>
          </cell>
          <cell r="DQ71">
            <v>40.170664713422447</v>
          </cell>
          <cell r="DV71">
            <v>16076</v>
          </cell>
          <cell r="DW71">
            <v>1051</v>
          </cell>
          <cell r="DX71">
            <v>422.84200000000004</v>
          </cell>
          <cell r="DY71">
            <v>40.232350142721224</v>
          </cell>
        </row>
        <row r="72">
          <cell r="F72">
            <v>429978</v>
          </cell>
          <cell r="G72">
            <v>73796.399999999994</v>
          </cell>
          <cell r="H72">
            <v>39134.425000000003</v>
          </cell>
          <cell r="I72">
            <v>53.030262993858791</v>
          </cell>
          <cell r="N72">
            <v>28610</v>
          </cell>
          <cell r="O72">
            <v>4794.2</v>
          </cell>
          <cell r="P72">
            <v>2340.038</v>
          </cell>
          <cell r="T72">
            <v>39860</v>
          </cell>
          <cell r="U72">
            <v>6627</v>
          </cell>
          <cell r="V72">
            <v>3356.4199999999996</v>
          </cell>
          <cell r="Z72">
            <v>35870</v>
          </cell>
          <cell r="AA72">
            <v>6131</v>
          </cell>
          <cell r="AB72">
            <v>3113.556</v>
          </cell>
          <cell r="AF72">
            <v>38320</v>
          </cell>
          <cell r="AG72">
            <v>6532</v>
          </cell>
          <cell r="AH72">
            <v>3365.4690000000001</v>
          </cell>
          <cell r="AL72">
            <v>41570</v>
          </cell>
          <cell r="AM72">
            <v>7098</v>
          </cell>
          <cell r="AN72">
            <v>3697.1680000000001</v>
          </cell>
          <cell r="AR72">
            <v>37770</v>
          </cell>
          <cell r="AS72">
            <v>6425</v>
          </cell>
          <cell r="AT72">
            <v>3359.884</v>
          </cell>
          <cell r="AX72">
            <v>222000</v>
          </cell>
          <cell r="AY72">
            <v>37607.199999999997</v>
          </cell>
          <cell r="AZ72">
            <v>19232.535</v>
          </cell>
          <cell r="BA72">
            <v>51.14056616818057</v>
          </cell>
          <cell r="BF72">
            <v>37500</v>
          </cell>
          <cell r="BG72">
            <v>6420.2</v>
          </cell>
          <cell r="BH72">
            <v>3451.989</v>
          </cell>
          <cell r="BL72">
            <v>34775</v>
          </cell>
          <cell r="BM72">
            <v>6026</v>
          </cell>
          <cell r="BN72">
            <v>3285.0569999999998</v>
          </cell>
          <cell r="BR72">
            <v>35777</v>
          </cell>
          <cell r="BS72">
            <v>6112</v>
          </cell>
          <cell r="BT72">
            <v>3340.8789999999999</v>
          </cell>
          <cell r="BX72">
            <v>35726</v>
          </cell>
          <cell r="BY72">
            <v>6225</v>
          </cell>
          <cell r="BZ72">
            <v>3454.547</v>
          </cell>
          <cell r="CD72">
            <v>32926</v>
          </cell>
          <cell r="CE72">
            <v>5853</v>
          </cell>
          <cell r="CF72">
            <v>3265.0009999999997</v>
          </cell>
          <cell r="CJ72">
            <v>31274</v>
          </cell>
          <cell r="CK72">
            <v>5553</v>
          </cell>
          <cell r="CL72">
            <v>3104.4169999999999</v>
          </cell>
          <cell r="CP72">
            <v>207978</v>
          </cell>
          <cell r="CQ72">
            <v>36189.199999999997</v>
          </cell>
          <cell r="CR72">
            <v>19901.890000000003</v>
          </cell>
          <cell r="CS72">
            <v>54.994003735921225</v>
          </cell>
          <cell r="CX72">
            <v>104340</v>
          </cell>
          <cell r="CY72">
            <v>17552.2</v>
          </cell>
          <cell r="CZ72">
            <v>8810.0139999999992</v>
          </cell>
          <cell r="DA72">
            <v>50.193217944189328</v>
          </cell>
          <cell r="DF72">
            <v>117660</v>
          </cell>
          <cell r="DG72">
            <v>20055</v>
          </cell>
          <cell r="DH72">
            <v>10422.520999999999</v>
          </cell>
          <cell r="DI72">
            <v>51.969688357018192</v>
          </cell>
          <cell r="DN72">
            <v>108052</v>
          </cell>
          <cell r="DO72">
            <v>18558.2</v>
          </cell>
          <cell r="DP72">
            <v>10077.924999999999</v>
          </cell>
          <cell r="DQ72">
            <v>54.304431464258386</v>
          </cell>
          <cell r="DV72">
            <v>99926</v>
          </cell>
          <cell r="DW72">
            <v>17631</v>
          </cell>
          <cell r="DX72">
            <v>9823.965000000002</v>
          </cell>
          <cell r="DY72">
            <v>55.719840054449563</v>
          </cell>
        </row>
        <row r="73">
          <cell r="F73">
            <v>29700</v>
          </cell>
          <cell r="G73">
            <v>1228</v>
          </cell>
          <cell r="H73">
            <v>497.01300000000003</v>
          </cell>
          <cell r="I73">
            <v>40.473371335504886</v>
          </cell>
          <cell r="N73">
            <v>1900</v>
          </cell>
          <cell r="O73">
            <v>81</v>
          </cell>
          <cell r="P73">
            <v>32.835999999999999</v>
          </cell>
          <cell r="T73">
            <v>2500</v>
          </cell>
          <cell r="U73">
            <v>107</v>
          </cell>
          <cell r="V73">
            <v>44.93</v>
          </cell>
          <cell r="Z73">
            <v>2300</v>
          </cell>
          <cell r="AA73">
            <v>98</v>
          </cell>
          <cell r="AB73">
            <v>43.137999999999998</v>
          </cell>
          <cell r="AF73">
            <v>2500</v>
          </cell>
          <cell r="AG73">
            <v>107</v>
          </cell>
          <cell r="AH73">
            <v>49.500999999999998</v>
          </cell>
          <cell r="AL73">
            <v>3000</v>
          </cell>
          <cell r="AM73">
            <v>128</v>
          </cell>
          <cell r="AN73">
            <v>54.076999999999998</v>
          </cell>
          <cell r="AR73">
            <v>2500</v>
          </cell>
          <cell r="AS73">
            <v>107</v>
          </cell>
          <cell r="AT73">
            <v>49.493000000000002</v>
          </cell>
          <cell r="AX73">
            <v>14700</v>
          </cell>
          <cell r="AY73">
            <v>628</v>
          </cell>
          <cell r="AZ73">
            <v>273.97500000000002</v>
          </cell>
          <cell r="BA73">
            <v>43.626592356687901</v>
          </cell>
          <cell r="BF73">
            <v>2500</v>
          </cell>
          <cell r="BG73">
            <v>100</v>
          </cell>
          <cell r="BH73">
            <v>40.692999999999998</v>
          </cell>
          <cell r="BL73">
            <v>2500</v>
          </cell>
          <cell r="BM73">
            <v>100</v>
          </cell>
          <cell r="BN73">
            <v>36.436</v>
          </cell>
          <cell r="BR73">
            <v>3000</v>
          </cell>
          <cell r="BS73">
            <v>120</v>
          </cell>
          <cell r="BT73">
            <v>43.576000000000001</v>
          </cell>
          <cell r="BX73">
            <v>2500</v>
          </cell>
          <cell r="BY73">
            <v>100</v>
          </cell>
          <cell r="BZ73">
            <v>36.436</v>
          </cell>
          <cell r="CD73">
            <v>2000</v>
          </cell>
          <cell r="CE73">
            <v>80</v>
          </cell>
          <cell r="CF73">
            <v>29.454999999999998</v>
          </cell>
          <cell r="CJ73">
            <v>2500</v>
          </cell>
          <cell r="CK73">
            <v>100</v>
          </cell>
          <cell r="CL73">
            <v>36.442</v>
          </cell>
          <cell r="CP73">
            <v>15000</v>
          </cell>
          <cell r="CQ73">
            <v>600</v>
          </cell>
          <cell r="CR73">
            <v>223.03800000000001</v>
          </cell>
          <cell r="CS73">
            <v>37.173000000000002</v>
          </cell>
          <cell r="CX73">
            <v>6700</v>
          </cell>
          <cell r="CY73">
            <v>286</v>
          </cell>
          <cell r="CZ73">
            <v>120.904</v>
          </cell>
          <cell r="DA73">
            <v>42.274125874125872</v>
          </cell>
          <cell r="DF73">
            <v>8000</v>
          </cell>
          <cell r="DG73">
            <v>342</v>
          </cell>
          <cell r="DH73">
            <v>153.071</v>
          </cell>
          <cell r="DI73">
            <v>44.757602339181283</v>
          </cell>
          <cell r="DN73">
            <v>8000</v>
          </cell>
          <cell r="DO73">
            <v>320</v>
          </cell>
          <cell r="DP73">
            <v>120.70499999999998</v>
          </cell>
          <cell r="DQ73">
            <v>37.720312499999999</v>
          </cell>
          <cell r="DV73">
            <v>7000</v>
          </cell>
          <cell r="DW73">
            <v>280</v>
          </cell>
          <cell r="DX73">
            <v>102.333</v>
          </cell>
          <cell r="DY73">
            <v>36.547499999999999</v>
          </cell>
        </row>
        <row r="74">
          <cell r="F74">
            <v>0</v>
          </cell>
          <cell r="G74">
            <v>4062</v>
          </cell>
          <cell r="H74">
            <v>203.10000000000002</v>
          </cell>
          <cell r="I74">
            <v>5</v>
          </cell>
          <cell r="N74">
            <v>0</v>
          </cell>
          <cell r="O74">
            <v>80</v>
          </cell>
          <cell r="P74">
            <v>4</v>
          </cell>
          <cell r="T74">
            <v>0</v>
          </cell>
          <cell r="U74">
            <v>80</v>
          </cell>
          <cell r="V74">
            <v>4</v>
          </cell>
          <cell r="Z74">
            <v>0</v>
          </cell>
          <cell r="AA74">
            <v>80</v>
          </cell>
          <cell r="AB74">
            <v>4</v>
          </cell>
          <cell r="AF74">
            <v>0</v>
          </cell>
          <cell r="AG74">
            <v>182</v>
          </cell>
          <cell r="AH74">
            <v>9.1</v>
          </cell>
          <cell r="AL74">
            <v>0</v>
          </cell>
          <cell r="AM74">
            <v>182</v>
          </cell>
          <cell r="AN74">
            <v>9.1</v>
          </cell>
          <cell r="AR74">
            <v>0</v>
          </cell>
          <cell r="AS74">
            <v>212</v>
          </cell>
          <cell r="AT74">
            <v>10.6</v>
          </cell>
          <cell r="AX74">
            <v>0</v>
          </cell>
          <cell r="AY74">
            <v>816</v>
          </cell>
          <cell r="AZ74">
            <v>40.799999999999997</v>
          </cell>
          <cell r="BA74">
            <v>5</v>
          </cell>
          <cell r="BF74">
            <v>0</v>
          </cell>
          <cell r="BG74">
            <v>510</v>
          </cell>
          <cell r="BH74">
            <v>25.5</v>
          </cell>
          <cell r="BL74">
            <v>0</v>
          </cell>
          <cell r="BM74">
            <v>510</v>
          </cell>
          <cell r="BN74">
            <v>25.5</v>
          </cell>
          <cell r="BR74">
            <v>0</v>
          </cell>
          <cell r="BS74">
            <v>510</v>
          </cell>
          <cell r="BT74">
            <v>25.5</v>
          </cell>
          <cell r="BX74">
            <v>0</v>
          </cell>
          <cell r="BY74">
            <v>510</v>
          </cell>
          <cell r="BZ74">
            <v>25.5</v>
          </cell>
          <cell r="CD74">
            <v>0</v>
          </cell>
          <cell r="CE74">
            <v>516</v>
          </cell>
          <cell r="CF74">
            <v>25.8</v>
          </cell>
          <cell r="CJ74">
            <v>0</v>
          </cell>
          <cell r="CK74">
            <v>690</v>
          </cell>
          <cell r="CL74">
            <v>34.5</v>
          </cell>
          <cell r="CP74">
            <v>0</v>
          </cell>
          <cell r="CQ74">
            <v>3246</v>
          </cell>
          <cell r="CR74">
            <v>162.30000000000001</v>
          </cell>
          <cell r="CS74">
            <v>5</v>
          </cell>
          <cell r="CX74">
            <v>0</v>
          </cell>
          <cell r="CY74">
            <v>240</v>
          </cell>
          <cell r="CZ74">
            <v>12</v>
          </cell>
          <cell r="DA74">
            <v>5</v>
          </cell>
          <cell r="DF74">
            <v>0</v>
          </cell>
          <cell r="DG74">
            <v>576</v>
          </cell>
          <cell r="DH74">
            <v>28.799999999999997</v>
          </cell>
          <cell r="DI74">
            <v>5</v>
          </cell>
          <cell r="DN74">
            <v>0</v>
          </cell>
          <cell r="DO74">
            <v>1530</v>
          </cell>
          <cell r="DP74">
            <v>76.5</v>
          </cell>
          <cell r="DQ74">
            <v>5</v>
          </cell>
          <cell r="DV74">
            <v>0</v>
          </cell>
          <cell r="DW74">
            <v>1716</v>
          </cell>
          <cell r="DX74">
            <v>85.8</v>
          </cell>
          <cell r="DY74">
            <v>5</v>
          </cell>
        </row>
        <row r="75">
          <cell r="F75">
            <v>0</v>
          </cell>
          <cell r="G75">
            <v>1976</v>
          </cell>
          <cell r="H75">
            <v>484.12</v>
          </cell>
          <cell r="I75">
            <v>24.5</v>
          </cell>
          <cell r="N75">
            <v>0</v>
          </cell>
          <cell r="O75">
            <v>125</v>
          </cell>
          <cell r="P75">
            <v>30.625</v>
          </cell>
          <cell r="T75">
            <v>0</v>
          </cell>
          <cell r="U75">
            <v>166</v>
          </cell>
          <cell r="V75">
            <v>40.67</v>
          </cell>
          <cell r="Z75">
            <v>0</v>
          </cell>
          <cell r="AA75">
            <v>171</v>
          </cell>
          <cell r="AB75">
            <v>41.895000000000003</v>
          </cell>
          <cell r="AF75">
            <v>0</v>
          </cell>
          <cell r="AG75">
            <v>161</v>
          </cell>
          <cell r="AH75">
            <v>39.445</v>
          </cell>
          <cell r="AL75">
            <v>0</v>
          </cell>
          <cell r="AM75">
            <v>174</v>
          </cell>
          <cell r="AN75">
            <v>42.63</v>
          </cell>
          <cell r="AR75">
            <v>0</v>
          </cell>
          <cell r="AS75">
            <v>168</v>
          </cell>
          <cell r="AT75">
            <v>41.16</v>
          </cell>
          <cell r="AX75">
            <v>0</v>
          </cell>
          <cell r="AY75">
            <v>965</v>
          </cell>
          <cell r="AZ75">
            <v>236.42500000000001</v>
          </cell>
          <cell r="BA75">
            <v>24.500000000000004</v>
          </cell>
          <cell r="BF75">
            <v>0</v>
          </cell>
          <cell r="BG75">
            <v>180</v>
          </cell>
          <cell r="BH75">
            <v>44.1</v>
          </cell>
          <cell r="BL75">
            <v>0</v>
          </cell>
          <cell r="BM75">
            <v>174</v>
          </cell>
          <cell r="BN75">
            <v>42.63</v>
          </cell>
          <cell r="BR75">
            <v>0</v>
          </cell>
          <cell r="BS75">
            <v>168</v>
          </cell>
          <cell r="BT75">
            <v>41.16</v>
          </cell>
          <cell r="BX75">
            <v>0</v>
          </cell>
          <cell r="BY75">
            <v>175</v>
          </cell>
          <cell r="BZ75">
            <v>42.875</v>
          </cell>
          <cell r="CD75">
            <v>0</v>
          </cell>
          <cell r="CE75">
            <v>167</v>
          </cell>
          <cell r="CF75">
            <v>40.914999999999999</v>
          </cell>
          <cell r="CJ75">
            <v>0</v>
          </cell>
          <cell r="CK75">
            <v>147</v>
          </cell>
          <cell r="CL75">
            <v>36.015000000000001</v>
          </cell>
          <cell r="CP75">
            <v>0</v>
          </cell>
          <cell r="CQ75">
            <v>1011</v>
          </cell>
          <cell r="CR75">
            <v>247.69499999999999</v>
          </cell>
          <cell r="CS75">
            <v>24.5</v>
          </cell>
          <cell r="CX75">
            <v>0</v>
          </cell>
          <cell r="CY75">
            <v>462</v>
          </cell>
          <cell r="CZ75">
            <v>113.19</v>
          </cell>
          <cell r="DA75">
            <v>24.5</v>
          </cell>
          <cell r="DF75">
            <v>0</v>
          </cell>
          <cell r="DG75">
            <v>503</v>
          </cell>
          <cell r="DH75">
            <v>123.235</v>
          </cell>
          <cell r="DI75">
            <v>24.5</v>
          </cell>
          <cell r="DN75">
            <v>0</v>
          </cell>
          <cell r="DO75">
            <v>522</v>
          </cell>
          <cell r="DP75">
            <v>127.89</v>
          </cell>
          <cell r="DQ75">
            <v>24.5</v>
          </cell>
          <cell r="DV75">
            <v>0</v>
          </cell>
          <cell r="DW75">
            <v>489</v>
          </cell>
          <cell r="DX75">
            <v>119.80499999999999</v>
          </cell>
          <cell r="DY75">
            <v>24.5</v>
          </cell>
        </row>
        <row r="76">
          <cell r="F76">
            <v>0</v>
          </cell>
          <cell r="G76">
            <v>0</v>
          </cell>
          <cell r="H76">
            <v>0</v>
          </cell>
          <cell r="I76">
            <v>0</v>
          </cell>
          <cell r="N76">
            <v>0</v>
          </cell>
          <cell r="AR76">
            <v>0</v>
          </cell>
          <cell r="AX76">
            <v>0</v>
          </cell>
          <cell r="AY76">
            <v>0</v>
          </cell>
          <cell r="AZ76">
            <v>0</v>
          </cell>
          <cell r="BA76">
            <v>0</v>
          </cell>
          <cell r="BF76">
            <v>0</v>
          </cell>
          <cell r="BL76">
            <v>0</v>
          </cell>
          <cell r="BR76">
            <v>0</v>
          </cell>
          <cell r="BX76">
            <v>0</v>
          </cell>
          <cell r="CD76">
            <v>0</v>
          </cell>
          <cell r="CJ76">
            <v>0</v>
          </cell>
          <cell r="CP76">
            <v>0</v>
          </cell>
          <cell r="CQ76">
            <v>0</v>
          </cell>
          <cell r="CR76">
            <v>0</v>
          </cell>
          <cell r="CS76">
            <v>0</v>
          </cell>
          <cell r="CX76">
            <v>0</v>
          </cell>
          <cell r="CY76">
            <v>0</v>
          </cell>
          <cell r="CZ76">
            <v>0</v>
          </cell>
          <cell r="DA76">
            <v>0</v>
          </cell>
          <cell r="DF76">
            <v>0</v>
          </cell>
          <cell r="DG76">
            <v>0</v>
          </cell>
          <cell r="DH76">
            <v>0</v>
          </cell>
          <cell r="DI76">
            <v>0</v>
          </cell>
          <cell r="DN76">
            <v>0</v>
          </cell>
          <cell r="DO76">
            <v>0</v>
          </cell>
          <cell r="DP76">
            <v>0</v>
          </cell>
          <cell r="DQ76">
            <v>0</v>
          </cell>
          <cell r="DV76">
            <v>0</v>
          </cell>
          <cell r="DW76">
            <v>0</v>
          </cell>
          <cell r="DX76">
            <v>0</v>
          </cell>
          <cell r="DY76">
            <v>0</v>
          </cell>
        </row>
        <row r="77">
          <cell r="F77">
            <v>429978</v>
          </cell>
          <cell r="G77">
            <v>81062.399999999994</v>
          </cell>
          <cell r="H77">
            <v>40318.658000000003</v>
          </cell>
          <cell r="I77">
            <v>49.737804456813521</v>
          </cell>
          <cell r="N77">
            <v>28610</v>
          </cell>
          <cell r="O77">
            <v>5080.2</v>
          </cell>
          <cell r="P77">
            <v>2407.4989999999998</v>
          </cell>
          <cell r="T77">
            <v>39860</v>
          </cell>
          <cell r="U77">
            <v>6980</v>
          </cell>
          <cell r="V77">
            <v>3446.0199999999995</v>
          </cell>
          <cell r="Z77">
            <v>35870</v>
          </cell>
          <cell r="AA77">
            <v>6480</v>
          </cell>
          <cell r="AB77">
            <v>3202.5889999999999</v>
          </cell>
          <cell r="AF77">
            <v>38320</v>
          </cell>
          <cell r="AG77">
            <v>6982</v>
          </cell>
          <cell r="AH77">
            <v>3463.5150000000003</v>
          </cell>
          <cell r="AL77">
            <v>41570</v>
          </cell>
          <cell r="AM77">
            <v>7582</v>
          </cell>
          <cell r="AN77">
            <v>3802.9749999999999</v>
          </cell>
          <cell r="AR77">
            <v>37770</v>
          </cell>
          <cell r="AS77">
            <v>6912</v>
          </cell>
          <cell r="AT77">
            <v>3461.1369999999997</v>
          </cell>
          <cell r="AX77">
            <v>222000</v>
          </cell>
          <cell r="AY77">
            <v>40016.199999999997</v>
          </cell>
          <cell r="AZ77">
            <v>19783.734999999997</v>
          </cell>
          <cell r="BA77">
            <v>49.439314577596072</v>
          </cell>
          <cell r="BF77">
            <v>37500</v>
          </cell>
          <cell r="BG77">
            <v>7210.2</v>
          </cell>
          <cell r="BH77">
            <v>3562.2820000000002</v>
          </cell>
          <cell r="BL77">
            <v>34775</v>
          </cell>
          <cell r="BM77">
            <v>6810</v>
          </cell>
          <cell r="BN77">
            <v>3389.623</v>
          </cell>
          <cell r="BR77">
            <v>35777</v>
          </cell>
          <cell r="BS77">
            <v>6910</v>
          </cell>
          <cell r="BT77">
            <v>3451.1149999999998</v>
          </cell>
          <cell r="BX77">
            <v>35726</v>
          </cell>
          <cell r="BY77">
            <v>7010</v>
          </cell>
          <cell r="BZ77">
            <v>3559.3580000000002</v>
          </cell>
          <cell r="CD77">
            <v>32926</v>
          </cell>
          <cell r="CE77">
            <v>6616</v>
          </cell>
          <cell r="CF77">
            <v>3361.1709999999998</v>
          </cell>
          <cell r="CJ77">
            <v>31274</v>
          </cell>
          <cell r="CK77">
            <v>6490</v>
          </cell>
          <cell r="CL77">
            <v>3211.3739999999998</v>
          </cell>
          <cell r="CP77">
            <v>207978</v>
          </cell>
          <cell r="CQ77">
            <v>41046.199999999997</v>
          </cell>
          <cell r="CR77">
            <v>20534.923000000003</v>
          </cell>
          <cell r="CS77">
            <v>50.028804128031346</v>
          </cell>
          <cell r="CX77">
            <v>104340</v>
          </cell>
          <cell r="CY77">
            <v>18540.2</v>
          </cell>
          <cell r="CZ77">
            <v>9056.1080000000002</v>
          </cell>
          <cell r="DA77">
            <v>48.845794543748177</v>
          </cell>
          <cell r="DF77">
            <v>117660</v>
          </cell>
          <cell r="DG77">
            <v>21476</v>
          </cell>
          <cell r="DH77">
            <v>10727.626999999999</v>
          </cell>
          <cell r="DI77">
            <v>49.951699571614824</v>
          </cell>
          <cell r="DN77">
            <v>108052</v>
          </cell>
          <cell r="DO77">
            <v>20930.2</v>
          </cell>
          <cell r="DP77">
            <v>10403.019999999999</v>
          </cell>
          <cell r="DQ77">
            <v>49.703395094170141</v>
          </cell>
          <cell r="DV77">
            <v>99926</v>
          </cell>
          <cell r="DW77">
            <v>20116</v>
          </cell>
          <cell r="DX77">
            <v>10131.903000000002</v>
          </cell>
          <cell r="DY77">
            <v>50.36738417180355</v>
          </cell>
        </row>
        <row r="78">
          <cell r="F78">
            <v>0</v>
          </cell>
          <cell r="G78">
            <v>0</v>
          </cell>
          <cell r="H78">
            <v>0</v>
          </cell>
          <cell r="I78">
            <v>0</v>
          </cell>
          <cell r="N78">
            <v>0</v>
          </cell>
          <cell r="O78">
            <v>0</v>
          </cell>
          <cell r="T78">
            <v>0</v>
          </cell>
          <cell r="U78">
            <v>0</v>
          </cell>
          <cell r="Z78">
            <v>0</v>
          </cell>
          <cell r="AA78">
            <v>0</v>
          </cell>
          <cell r="AF78">
            <v>0</v>
          </cell>
          <cell r="AG78">
            <v>0</v>
          </cell>
          <cell r="AL78">
            <v>0</v>
          </cell>
          <cell r="AM78">
            <v>0</v>
          </cell>
          <cell r="AR78">
            <v>0</v>
          </cell>
          <cell r="AS78">
            <v>0</v>
          </cell>
          <cell r="AX78">
            <v>0</v>
          </cell>
          <cell r="AY78">
            <v>0</v>
          </cell>
          <cell r="AZ78">
            <v>0</v>
          </cell>
          <cell r="BA78">
            <v>0</v>
          </cell>
          <cell r="BF78">
            <v>0</v>
          </cell>
          <cell r="BG78">
            <v>0</v>
          </cell>
          <cell r="BL78">
            <v>0</v>
          </cell>
          <cell r="BM78">
            <v>0</v>
          </cell>
          <cell r="BR78">
            <v>0</v>
          </cell>
          <cell r="BS78">
            <v>0</v>
          </cell>
          <cell r="BX78">
            <v>0</v>
          </cell>
          <cell r="BY78">
            <v>0</v>
          </cell>
          <cell r="CD78">
            <v>0</v>
          </cell>
          <cell r="CE78">
            <v>0</v>
          </cell>
          <cell r="CJ78">
            <v>0</v>
          </cell>
          <cell r="CK78">
            <v>0</v>
          </cell>
          <cell r="CP78">
            <v>0</v>
          </cell>
          <cell r="CQ78">
            <v>0</v>
          </cell>
          <cell r="CR78">
            <v>0</v>
          </cell>
          <cell r="CS78">
            <v>0</v>
          </cell>
          <cell r="CX78">
            <v>0</v>
          </cell>
          <cell r="CY78">
            <v>0</v>
          </cell>
          <cell r="CZ78">
            <v>0</v>
          </cell>
          <cell r="DA78">
            <v>0</v>
          </cell>
          <cell r="DF78">
            <v>0</v>
          </cell>
          <cell r="DG78">
            <v>0</v>
          </cell>
          <cell r="DH78">
            <v>0</v>
          </cell>
          <cell r="DI78">
            <v>0</v>
          </cell>
          <cell r="DN78">
            <v>0</v>
          </cell>
          <cell r="DO78">
            <v>0</v>
          </cell>
          <cell r="DP78">
            <v>0</v>
          </cell>
          <cell r="DQ78">
            <v>0</v>
          </cell>
          <cell r="DV78">
            <v>0</v>
          </cell>
          <cell r="DW78">
            <v>0</v>
          </cell>
          <cell r="DX78">
            <v>0</v>
          </cell>
          <cell r="DY78">
            <v>0</v>
          </cell>
        </row>
        <row r="79">
          <cell r="F79">
            <v>0</v>
          </cell>
          <cell r="G79">
            <v>0</v>
          </cell>
          <cell r="H79">
            <v>0</v>
          </cell>
          <cell r="I79">
            <v>0</v>
          </cell>
          <cell r="N79">
            <v>0</v>
          </cell>
          <cell r="O79">
            <v>0</v>
          </cell>
          <cell r="T79">
            <v>0</v>
          </cell>
          <cell r="U79">
            <v>0</v>
          </cell>
          <cell r="Z79">
            <v>0</v>
          </cell>
          <cell r="AA79">
            <v>0</v>
          </cell>
          <cell r="AF79">
            <v>0</v>
          </cell>
          <cell r="AG79">
            <v>0</v>
          </cell>
          <cell r="AL79">
            <v>0</v>
          </cell>
          <cell r="AM79">
            <v>0</v>
          </cell>
          <cell r="AR79">
            <v>0</v>
          </cell>
          <cell r="AS79">
            <v>0</v>
          </cell>
          <cell r="AX79">
            <v>0</v>
          </cell>
          <cell r="AY79">
            <v>0</v>
          </cell>
          <cell r="AZ79">
            <v>0</v>
          </cell>
          <cell r="BA79">
            <v>0</v>
          </cell>
          <cell r="BF79">
            <v>0</v>
          </cell>
          <cell r="BG79">
            <v>0</v>
          </cell>
          <cell r="BL79">
            <v>0</v>
          </cell>
          <cell r="BM79">
            <v>0</v>
          </cell>
          <cell r="BR79">
            <v>0</v>
          </cell>
          <cell r="BS79">
            <v>0</v>
          </cell>
          <cell r="BX79">
            <v>0</v>
          </cell>
          <cell r="BY79">
            <v>0</v>
          </cell>
          <cell r="CD79">
            <v>0</v>
          </cell>
          <cell r="CE79">
            <v>0</v>
          </cell>
          <cell r="CJ79">
            <v>0</v>
          </cell>
          <cell r="CK79">
            <v>0</v>
          </cell>
          <cell r="CP79">
            <v>0</v>
          </cell>
          <cell r="CQ79">
            <v>0</v>
          </cell>
          <cell r="CR79">
            <v>0</v>
          </cell>
          <cell r="CS79">
            <v>0</v>
          </cell>
          <cell r="CX79">
            <v>0</v>
          </cell>
          <cell r="CY79">
            <v>0</v>
          </cell>
          <cell r="CZ79">
            <v>0</v>
          </cell>
          <cell r="DA79">
            <v>0</v>
          </cell>
          <cell r="DF79">
            <v>0</v>
          </cell>
          <cell r="DG79">
            <v>0</v>
          </cell>
          <cell r="DH79">
            <v>0</v>
          </cell>
          <cell r="DI79">
            <v>0</v>
          </cell>
          <cell r="DN79">
            <v>0</v>
          </cell>
          <cell r="DO79">
            <v>0</v>
          </cell>
          <cell r="DP79">
            <v>0</v>
          </cell>
          <cell r="DQ79">
            <v>0</v>
          </cell>
          <cell r="DV79">
            <v>0</v>
          </cell>
          <cell r="DW79">
            <v>0</v>
          </cell>
          <cell r="DX79">
            <v>0</v>
          </cell>
          <cell r="DY79">
            <v>0</v>
          </cell>
        </row>
        <row r="80">
          <cell r="F80">
            <v>0</v>
          </cell>
          <cell r="G80">
            <v>0</v>
          </cell>
          <cell r="H80">
            <v>0</v>
          </cell>
          <cell r="I80">
            <v>0</v>
          </cell>
          <cell r="N80">
            <v>0</v>
          </cell>
          <cell r="O80">
            <v>0</v>
          </cell>
          <cell r="T80">
            <v>0</v>
          </cell>
          <cell r="U80">
            <v>0</v>
          </cell>
          <cell r="Z80">
            <v>0</v>
          </cell>
          <cell r="AA80">
            <v>0</v>
          </cell>
          <cell r="AF80">
            <v>0</v>
          </cell>
          <cell r="AG80">
            <v>0</v>
          </cell>
          <cell r="AL80">
            <v>0</v>
          </cell>
          <cell r="AM80">
            <v>0</v>
          </cell>
          <cell r="AR80">
            <v>0</v>
          </cell>
          <cell r="AS80">
            <v>0</v>
          </cell>
          <cell r="AX80">
            <v>0</v>
          </cell>
          <cell r="AY80">
            <v>0</v>
          </cell>
          <cell r="AZ80">
            <v>0</v>
          </cell>
          <cell r="BA80">
            <v>0</v>
          </cell>
          <cell r="BF80">
            <v>0</v>
          </cell>
          <cell r="BG80">
            <v>0</v>
          </cell>
          <cell r="BL80">
            <v>0</v>
          </cell>
          <cell r="BM80">
            <v>0</v>
          </cell>
          <cell r="BR80">
            <v>0</v>
          </cell>
          <cell r="BS80">
            <v>0</v>
          </cell>
          <cell r="BX80">
            <v>0</v>
          </cell>
          <cell r="BY80">
            <v>0</v>
          </cell>
          <cell r="CD80">
            <v>0</v>
          </cell>
          <cell r="CE80">
            <v>0</v>
          </cell>
          <cell r="CJ80">
            <v>0</v>
          </cell>
          <cell r="CK80">
            <v>0</v>
          </cell>
          <cell r="CP80">
            <v>0</v>
          </cell>
          <cell r="CQ80">
            <v>0</v>
          </cell>
          <cell r="CR80">
            <v>0</v>
          </cell>
          <cell r="CS80">
            <v>0</v>
          </cell>
          <cell r="CX80">
            <v>0</v>
          </cell>
          <cell r="CY80">
            <v>0</v>
          </cell>
          <cell r="CZ80">
            <v>0</v>
          </cell>
          <cell r="DA80">
            <v>0</v>
          </cell>
          <cell r="DF80">
            <v>0</v>
          </cell>
          <cell r="DG80">
            <v>0</v>
          </cell>
          <cell r="DH80">
            <v>0</v>
          </cell>
          <cell r="DI80">
            <v>0</v>
          </cell>
          <cell r="DN80">
            <v>0</v>
          </cell>
          <cell r="DO80">
            <v>0</v>
          </cell>
          <cell r="DP80">
            <v>0</v>
          </cell>
          <cell r="DQ80">
            <v>0</v>
          </cell>
          <cell r="DV80">
            <v>0</v>
          </cell>
          <cell r="DW80">
            <v>0</v>
          </cell>
          <cell r="DX80">
            <v>0</v>
          </cell>
          <cell r="DY80">
            <v>0</v>
          </cell>
        </row>
        <row r="81">
          <cell r="F81">
            <v>0</v>
          </cell>
          <cell r="G81">
            <v>0</v>
          </cell>
          <cell r="H81">
            <v>0</v>
          </cell>
          <cell r="I81">
            <v>0</v>
          </cell>
          <cell r="N81">
            <v>0</v>
          </cell>
          <cell r="O81">
            <v>0</v>
          </cell>
          <cell r="T81">
            <v>0</v>
          </cell>
          <cell r="U81">
            <v>0</v>
          </cell>
          <cell r="Z81">
            <v>0</v>
          </cell>
          <cell r="AA81">
            <v>0</v>
          </cell>
          <cell r="AF81">
            <v>0</v>
          </cell>
          <cell r="AG81">
            <v>0</v>
          </cell>
          <cell r="AL81">
            <v>0</v>
          </cell>
          <cell r="AM81">
            <v>0</v>
          </cell>
          <cell r="AR81">
            <v>0</v>
          </cell>
          <cell r="AS81">
            <v>0</v>
          </cell>
          <cell r="AX81">
            <v>0</v>
          </cell>
          <cell r="AY81">
            <v>0</v>
          </cell>
          <cell r="AZ81">
            <v>0</v>
          </cell>
          <cell r="BA81">
            <v>0</v>
          </cell>
          <cell r="BF81">
            <v>0</v>
          </cell>
          <cell r="BG81">
            <v>0</v>
          </cell>
          <cell r="BL81">
            <v>0</v>
          </cell>
          <cell r="BM81">
            <v>0</v>
          </cell>
          <cell r="BR81">
            <v>0</v>
          </cell>
          <cell r="BS81">
            <v>0</v>
          </cell>
          <cell r="BX81">
            <v>0</v>
          </cell>
          <cell r="BY81">
            <v>0</v>
          </cell>
          <cell r="CD81">
            <v>0</v>
          </cell>
          <cell r="CE81">
            <v>0</v>
          </cell>
          <cell r="CJ81">
            <v>0</v>
          </cell>
          <cell r="CK81">
            <v>0</v>
          </cell>
          <cell r="CP81">
            <v>0</v>
          </cell>
          <cell r="CQ81">
            <v>0</v>
          </cell>
          <cell r="CR81">
            <v>0</v>
          </cell>
          <cell r="CS81">
            <v>0</v>
          </cell>
          <cell r="CX81">
            <v>0</v>
          </cell>
          <cell r="CY81">
            <v>0</v>
          </cell>
          <cell r="CZ81">
            <v>0</v>
          </cell>
          <cell r="DA81">
            <v>0</v>
          </cell>
          <cell r="DF81">
            <v>0</v>
          </cell>
          <cell r="DG81">
            <v>0</v>
          </cell>
          <cell r="DH81">
            <v>0</v>
          </cell>
          <cell r="DI81">
            <v>0</v>
          </cell>
          <cell r="DN81">
            <v>0</v>
          </cell>
          <cell r="DO81">
            <v>0</v>
          </cell>
          <cell r="DP81">
            <v>0</v>
          </cell>
          <cell r="DQ81">
            <v>0</v>
          </cell>
          <cell r="DV81">
            <v>0</v>
          </cell>
          <cell r="DW81">
            <v>0</v>
          </cell>
          <cell r="DX81">
            <v>0</v>
          </cell>
          <cell r="DY81">
            <v>0</v>
          </cell>
        </row>
        <row r="82">
          <cell r="F82">
            <v>0</v>
          </cell>
          <cell r="G82">
            <v>0</v>
          </cell>
          <cell r="H82">
            <v>0</v>
          </cell>
          <cell r="I82">
            <v>0</v>
          </cell>
          <cell r="N82">
            <v>0</v>
          </cell>
          <cell r="O82">
            <v>0</v>
          </cell>
          <cell r="P82">
            <v>0</v>
          </cell>
          <cell r="T82">
            <v>0</v>
          </cell>
          <cell r="U82">
            <v>0</v>
          </cell>
          <cell r="V82">
            <v>0</v>
          </cell>
          <cell r="Z82">
            <v>0</v>
          </cell>
          <cell r="AA82">
            <v>0</v>
          </cell>
          <cell r="AB82">
            <v>0</v>
          </cell>
          <cell r="AF82">
            <v>0</v>
          </cell>
          <cell r="AG82">
            <v>0</v>
          </cell>
          <cell r="AH82">
            <v>0</v>
          </cell>
          <cell r="AL82">
            <v>0</v>
          </cell>
          <cell r="AM82">
            <v>0</v>
          </cell>
          <cell r="AN82">
            <v>0</v>
          </cell>
          <cell r="AR82">
            <v>0</v>
          </cell>
          <cell r="AS82">
            <v>0</v>
          </cell>
          <cell r="AT82">
            <v>0</v>
          </cell>
          <cell r="AX82">
            <v>0</v>
          </cell>
          <cell r="AY82">
            <v>0</v>
          </cell>
          <cell r="AZ82">
            <v>0</v>
          </cell>
          <cell r="BA82">
            <v>0</v>
          </cell>
          <cell r="BF82">
            <v>0</v>
          </cell>
          <cell r="BG82">
            <v>0</v>
          </cell>
          <cell r="BH82">
            <v>0</v>
          </cell>
          <cell r="BL82">
            <v>0</v>
          </cell>
          <cell r="BM82">
            <v>0</v>
          </cell>
          <cell r="BN82">
            <v>0</v>
          </cell>
          <cell r="BR82">
            <v>0</v>
          </cell>
          <cell r="BS82">
            <v>0</v>
          </cell>
          <cell r="BT82">
            <v>0</v>
          </cell>
          <cell r="BX82">
            <v>0</v>
          </cell>
          <cell r="BY82">
            <v>0</v>
          </cell>
          <cell r="BZ82">
            <v>0</v>
          </cell>
          <cell r="CD82">
            <v>0</v>
          </cell>
          <cell r="CE82">
            <v>0</v>
          </cell>
          <cell r="CF82">
            <v>0</v>
          </cell>
          <cell r="CJ82">
            <v>0</v>
          </cell>
          <cell r="CK82">
            <v>0</v>
          </cell>
          <cell r="CL82">
            <v>0</v>
          </cell>
          <cell r="CP82">
            <v>0</v>
          </cell>
          <cell r="CQ82">
            <v>0</v>
          </cell>
          <cell r="CR82">
            <v>0</v>
          </cell>
          <cell r="CS82">
            <v>0</v>
          </cell>
          <cell r="CX82">
            <v>0</v>
          </cell>
          <cell r="CY82">
            <v>0</v>
          </cell>
          <cell r="CZ82">
            <v>0</v>
          </cell>
          <cell r="DA82">
            <v>0</v>
          </cell>
          <cell r="DF82">
            <v>0</v>
          </cell>
          <cell r="DG82">
            <v>0</v>
          </cell>
          <cell r="DH82">
            <v>0</v>
          </cell>
          <cell r="DI82">
            <v>0</v>
          </cell>
          <cell r="DN82">
            <v>0</v>
          </cell>
          <cell r="DO82">
            <v>0</v>
          </cell>
          <cell r="DP82">
            <v>0</v>
          </cell>
          <cell r="DQ82">
            <v>0</v>
          </cell>
          <cell r="DV82">
            <v>0</v>
          </cell>
          <cell r="DW82">
            <v>0</v>
          </cell>
          <cell r="DX82">
            <v>0</v>
          </cell>
          <cell r="DY82">
            <v>0</v>
          </cell>
        </row>
        <row r="83">
          <cell r="F83">
            <v>0</v>
          </cell>
          <cell r="G83">
            <v>0</v>
          </cell>
          <cell r="H83">
            <v>0</v>
          </cell>
          <cell r="I83">
            <v>0</v>
          </cell>
          <cell r="N83">
            <v>0</v>
          </cell>
          <cell r="O83">
            <v>0</v>
          </cell>
          <cell r="T83">
            <v>0</v>
          </cell>
          <cell r="U83">
            <v>0</v>
          </cell>
          <cell r="Z83">
            <v>0</v>
          </cell>
          <cell r="AA83">
            <v>0</v>
          </cell>
          <cell r="AF83">
            <v>0</v>
          </cell>
          <cell r="AG83">
            <v>0</v>
          </cell>
          <cell r="AL83">
            <v>0</v>
          </cell>
          <cell r="AM83">
            <v>0</v>
          </cell>
          <cell r="AR83">
            <v>0</v>
          </cell>
          <cell r="AS83">
            <v>0</v>
          </cell>
          <cell r="AX83">
            <v>0</v>
          </cell>
          <cell r="AY83">
            <v>0</v>
          </cell>
          <cell r="AZ83">
            <v>0</v>
          </cell>
          <cell r="BA83">
            <v>0</v>
          </cell>
          <cell r="BF83">
            <v>0</v>
          </cell>
          <cell r="BG83">
            <v>0</v>
          </cell>
          <cell r="BL83">
            <v>0</v>
          </cell>
          <cell r="BM83">
            <v>0</v>
          </cell>
          <cell r="BR83">
            <v>0</v>
          </cell>
          <cell r="BS83">
            <v>0</v>
          </cell>
          <cell r="BX83">
            <v>0</v>
          </cell>
          <cell r="BY83">
            <v>0</v>
          </cell>
          <cell r="CD83">
            <v>0</v>
          </cell>
          <cell r="CE83">
            <v>0</v>
          </cell>
          <cell r="CJ83">
            <v>0</v>
          </cell>
          <cell r="CK83">
            <v>0</v>
          </cell>
          <cell r="CP83">
            <v>0</v>
          </cell>
          <cell r="CQ83">
            <v>0</v>
          </cell>
          <cell r="CR83">
            <v>0</v>
          </cell>
          <cell r="CS83">
            <v>0</v>
          </cell>
          <cell r="CX83">
            <v>0</v>
          </cell>
          <cell r="CY83">
            <v>0</v>
          </cell>
          <cell r="CZ83">
            <v>0</v>
          </cell>
          <cell r="DA83">
            <v>0</v>
          </cell>
          <cell r="DF83">
            <v>0</v>
          </cell>
          <cell r="DG83">
            <v>0</v>
          </cell>
          <cell r="DH83">
            <v>0</v>
          </cell>
          <cell r="DI83">
            <v>0</v>
          </cell>
          <cell r="DN83">
            <v>0</v>
          </cell>
          <cell r="DO83">
            <v>0</v>
          </cell>
          <cell r="DP83">
            <v>0</v>
          </cell>
          <cell r="DQ83">
            <v>0</v>
          </cell>
          <cell r="DV83">
            <v>0</v>
          </cell>
          <cell r="DW83">
            <v>0</v>
          </cell>
          <cell r="DX83">
            <v>0</v>
          </cell>
          <cell r="DY83">
            <v>0</v>
          </cell>
        </row>
        <row r="84">
          <cell r="F84">
            <v>0</v>
          </cell>
          <cell r="G84">
            <v>0</v>
          </cell>
          <cell r="H84">
            <v>0</v>
          </cell>
          <cell r="I84">
            <v>0</v>
          </cell>
          <cell r="N84">
            <v>0</v>
          </cell>
          <cell r="O84">
            <v>0</v>
          </cell>
          <cell r="T84">
            <v>0</v>
          </cell>
          <cell r="U84">
            <v>0</v>
          </cell>
          <cell r="Z84">
            <v>0</v>
          </cell>
          <cell r="AA84">
            <v>0</v>
          </cell>
          <cell r="AF84">
            <v>0</v>
          </cell>
          <cell r="AG84">
            <v>0</v>
          </cell>
          <cell r="AL84">
            <v>0</v>
          </cell>
          <cell r="AM84">
            <v>0</v>
          </cell>
          <cell r="AR84">
            <v>0</v>
          </cell>
          <cell r="AS84">
            <v>0</v>
          </cell>
          <cell r="AX84">
            <v>0</v>
          </cell>
          <cell r="AY84">
            <v>0</v>
          </cell>
          <cell r="AZ84">
            <v>0</v>
          </cell>
          <cell r="BA84">
            <v>0</v>
          </cell>
          <cell r="BF84">
            <v>0</v>
          </cell>
          <cell r="BG84">
            <v>0</v>
          </cell>
          <cell r="BL84">
            <v>0</v>
          </cell>
          <cell r="BM84">
            <v>0</v>
          </cell>
          <cell r="BR84">
            <v>0</v>
          </cell>
          <cell r="BS84">
            <v>0</v>
          </cell>
          <cell r="BX84">
            <v>0</v>
          </cell>
          <cell r="BY84">
            <v>0</v>
          </cell>
          <cell r="CD84">
            <v>0</v>
          </cell>
          <cell r="CE84">
            <v>0</v>
          </cell>
          <cell r="CJ84">
            <v>0</v>
          </cell>
          <cell r="CK84">
            <v>0</v>
          </cell>
          <cell r="CP84">
            <v>0</v>
          </cell>
          <cell r="CQ84">
            <v>0</v>
          </cell>
          <cell r="CR84">
            <v>0</v>
          </cell>
          <cell r="CS84">
            <v>0</v>
          </cell>
          <cell r="CX84">
            <v>0</v>
          </cell>
          <cell r="CY84">
            <v>0</v>
          </cell>
          <cell r="CZ84">
            <v>0</v>
          </cell>
          <cell r="DA84">
            <v>0</v>
          </cell>
          <cell r="DF84">
            <v>0</v>
          </cell>
          <cell r="DG84">
            <v>0</v>
          </cell>
          <cell r="DH84">
            <v>0</v>
          </cell>
          <cell r="DI84">
            <v>0</v>
          </cell>
          <cell r="DN84">
            <v>0</v>
          </cell>
          <cell r="DO84">
            <v>0</v>
          </cell>
          <cell r="DP84">
            <v>0</v>
          </cell>
          <cell r="DQ84">
            <v>0</v>
          </cell>
          <cell r="DV84">
            <v>0</v>
          </cell>
          <cell r="DW84">
            <v>0</v>
          </cell>
          <cell r="DX84">
            <v>0</v>
          </cell>
          <cell r="DY84">
            <v>0</v>
          </cell>
        </row>
        <row r="85">
          <cell r="F85">
            <v>90000</v>
          </cell>
          <cell r="G85">
            <v>2411.4398199999996</v>
          </cell>
          <cell r="H85">
            <v>102.06899999999999</v>
          </cell>
          <cell r="I85">
            <v>4.232699450073774</v>
          </cell>
          <cell r="N85">
            <v>5331</v>
          </cell>
          <cell r="O85">
            <v>143.594762</v>
          </cell>
          <cell r="P85">
            <v>2.427</v>
          </cell>
          <cell r="T85">
            <v>5507</v>
          </cell>
          <cell r="U85">
            <v>148.931082</v>
          </cell>
          <cell r="V85">
            <v>6.9530000000000003</v>
          </cell>
          <cell r="Z85">
            <v>6662</v>
          </cell>
          <cell r="AA85">
            <v>181.069524</v>
          </cell>
          <cell r="AB85">
            <v>6.4390000000000001</v>
          </cell>
          <cell r="AF85">
            <v>6526</v>
          </cell>
          <cell r="AG85">
            <v>176.94600399999999</v>
          </cell>
          <cell r="AH85">
            <v>5.0380000000000003</v>
          </cell>
          <cell r="AL85">
            <v>6526</v>
          </cell>
          <cell r="AM85">
            <v>176.94600399999999</v>
          </cell>
          <cell r="AN85">
            <v>5.7290000000000001</v>
          </cell>
          <cell r="AR85">
            <v>6598</v>
          </cell>
          <cell r="AS85">
            <v>179.12904399999999</v>
          </cell>
          <cell r="AT85">
            <v>7.7249999999999996</v>
          </cell>
          <cell r="AX85">
            <v>37150</v>
          </cell>
          <cell r="AY85">
            <v>1006.6164199999998</v>
          </cell>
          <cell r="AZ85">
            <v>34.311</v>
          </cell>
          <cell r="BA85">
            <v>3.4085476173734586</v>
          </cell>
          <cell r="BF85">
            <v>7433.5</v>
          </cell>
          <cell r="BG85">
            <v>197.39610999999999</v>
          </cell>
          <cell r="BH85">
            <v>7.4640000000000004</v>
          </cell>
          <cell r="BL85">
            <v>8649.5</v>
          </cell>
          <cell r="BM85">
            <v>229.68970999999999</v>
          </cell>
          <cell r="BN85">
            <v>10.801</v>
          </cell>
          <cell r="BR85">
            <v>9078.5</v>
          </cell>
          <cell r="BS85">
            <v>241.343378</v>
          </cell>
          <cell r="BT85">
            <v>10.41</v>
          </cell>
          <cell r="BX85">
            <v>10758.5</v>
          </cell>
          <cell r="BY85">
            <v>286.89245</v>
          </cell>
          <cell r="BZ85">
            <v>17.372</v>
          </cell>
          <cell r="CD85">
            <v>9257</v>
          </cell>
          <cell r="CE85">
            <v>246.10461199999997</v>
          </cell>
          <cell r="CF85">
            <v>12.506</v>
          </cell>
          <cell r="CJ85">
            <v>7673</v>
          </cell>
          <cell r="CK85">
            <v>203.39714000000001</v>
          </cell>
          <cell r="CL85">
            <v>9.2050000000000001</v>
          </cell>
          <cell r="CP85">
            <v>52850</v>
          </cell>
          <cell r="CQ85">
            <v>1404.8234</v>
          </cell>
          <cell r="CR85">
            <v>67.757999999999996</v>
          </cell>
          <cell r="CS85">
            <v>4.8232397040083468</v>
          </cell>
          <cell r="CX85">
            <v>17500</v>
          </cell>
          <cell r="CY85">
            <v>473.59536800000001</v>
          </cell>
          <cell r="CZ85">
            <v>15.819000000000001</v>
          </cell>
          <cell r="DA85">
            <v>3.3401931414160284</v>
          </cell>
          <cell r="DF85">
            <v>19650</v>
          </cell>
          <cell r="DG85">
            <v>533.02105199999994</v>
          </cell>
          <cell r="DH85">
            <v>18.491999999999997</v>
          </cell>
          <cell r="DI85">
            <v>3.4692813596413075</v>
          </cell>
          <cell r="DN85">
            <v>25161.5</v>
          </cell>
          <cell r="DO85">
            <v>668.42919800000004</v>
          </cell>
          <cell r="DP85">
            <v>28.675000000000001</v>
          </cell>
          <cell r="DQ85">
            <v>4.2899083531656261</v>
          </cell>
          <cell r="DV85">
            <v>27688.5</v>
          </cell>
          <cell r="DW85">
            <v>736.39420199999995</v>
          </cell>
          <cell r="DX85">
            <v>39.082999999999998</v>
          </cell>
          <cell r="DY85">
            <v>5.3073475991327808</v>
          </cell>
        </row>
        <row r="86">
          <cell r="F86">
            <v>20000</v>
          </cell>
          <cell r="G86">
            <v>660.20002299999999</v>
          </cell>
          <cell r="H86">
            <v>81.53</v>
          </cell>
          <cell r="I86">
            <v>12.349287664293222</v>
          </cell>
          <cell r="N86">
            <v>464</v>
          </cell>
          <cell r="O86">
            <v>15.800017299999999</v>
          </cell>
          <cell r="P86">
            <v>-2.6720000000000002</v>
          </cell>
          <cell r="T86">
            <v>1208</v>
          </cell>
          <cell r="U86">
            <v>40.216713299999995</v>
          </cell>
          <cell r="V86">
            <v>4.508</v>
          </cell>
          <cell r="Z86">
            <v>928</v>
          </cell>
          <cell r="AA86">
            <v>31.600034599999997</v>
          </cell>
          <cell r="AB86">
            <v>4.1959999999999997</v>
          </cell>
          <cell r="AF86">
            <v>1594</v>
          </cell>
          <cell r="AG86">
            <v>53.178778599999994</v>
          </cell>
          <cell r="AH86">
            <v>6.165</v>
          </cell>
          <cell r="AL86">
            <v>1594</v>
          </cell>
          <cell r="AM86">
            <v>53.178778599999994</v>
          </cell>
          <cell r="AN86">
            <v>6.3579999999999997</v>
          </cell>
          <cell r="AR86">
            <v>1612</v>
          </cell>
          <cell r="AS86">
            <v>53.833690599999997</v>
          </cell>
          <cell r="AT86">
            <v>6.9160000000000004</v>
          </cell>
          <cell r="AX86">
            <v>7400</v>
          </cell>
          <cell r="AY86">
            <v>247.80801299999999</v>
          </cell>
          <cell r="AZ86">
            <v>25.470999999999997</v>
          </cell>
          <cell r="BA86">
            <v>10.278521542400648</v>
          </cell>
          <cell r="BF86">
            <v>1924</v>
          </cell>
          <cell r="BG86">
            <v>62.807481500000002</v>
          </cell>
          <cell r="BH86">
            <v>7.7869999999999999</v>
          </cell>
          <cell r="BL86">
            <v>1978</v>
          </cell>
          <cell r="BM86">
            <v>64.725561499999998</v>
          </cell>
          <cell r="BN86">
            <v>8.6549999999999994</v>
          </cell>
          <cell r="BR86">
            <v>2134</v>
          </cell>
          <cell r="BS86">
            <v>69.874281699999997</v>
          </cell>
          <cell r="BT86">
            <v>9.2739999999999991</v>
          </cell>
          <cell r="BX86">
            <v>2749</v>
          </cell>
          <cell r="BY86">
            <v>90.149482500000005</v>
          </cell>
          <cell r="BZ86">
            <v>13.157999999999999</v>
          </cell>
          <cell r="CD86">
            <v>2203</v>
          </cell>
          <cell r="CE86">
            <v>72.128961799999999</v>
          </cell>
          <cell r="CF86">
            <v>10.034000000000001</v>
          </cell>
          <cell r="CJ86">
            <v>1612</v>
          </cell>
          <cell r="CK86">
            <v>52.706240999999991</v>
          </cell>
          <cell r="CL86">
            <v>7.1509999999999998</v>
          </cell>
          <cell r="CP86">
            <v>12600</v>
          </cell>
          <cell r="CQ86">
            <v>412.39201000000003</v>
          </cell>
          <cell r="CR86">
            <v>56.059000000000005</v>
          </cell>
          <cell r="CS86">
            <v>13.59361933321647</v>
          </cell>
          <cell r="CX86">
            <v>2600</v>
          </cell>
          <cell r="CY86">
            <v>87.616765199999989</v>
          </cell>
          <cell r="CZ86">
            <v>6.032</v>
          </cell>
          <cell r="DA86">
            <v>6.8845271635296577</v>
          </cell>
          <cell r="DF86">
            <v>4800</v>
          </cell>
          <cell r="DG86">
            <v>160.19124779999999</v>
          </cell>
          <cell r="DH86">
            <v>19.439</v>
          </cell>
          <cell r="DI86">
            <v>12.134870204812778</v>
          </cell>
          <cell r="DN86">
            <v>6036</v>
          </cell>
          <cell r="DO86">
            <v>197.4073247</v>
          </cell>
          <cell r="DP86">
            <v>25.716000000000001</v>
          </cell>
          <cell r="DQ86">
            <v>13.026872249588822</v>
          </cell>
          <cell r="DV86">
            <v>6564</v>
          </cell>
          <cell r="DW86">
            <v>214.98468529999997</v>
          </cell>
          <cell r="DX86">
            <v>30.343</v>
          </cell>
          <cell r="DY86">
            <v>14.114028614483825</v>
          </cell>
        </row>
        <row r="87">
          <cell r="F87">
            <v>0</v>
          </cell>
          <cell r="G87">
            <v>0</v>
          </cell>
          <cell r="H87">
            <v>0</v>
          </cell>
          <cell r="I87">
            <v>0</v>
          </cell>
          <cell r="N87">
            <v>0</v>
          </cell>
          <cell r="O87">
            <v>0</v>
          </cell>
          <cell r="T87">
            <v>0</v>
          </cell>
          <cell r="U87">
            <v>0</v>
          </cell>
          <cell r="Z87">
            <v>0</v>
          </cell>
          <cell r="AA87">
            <v>0</v>
          </cell>
          <cell r="AF87">
            <v>0</v>
          </cell>
          <cell r="AG87">
            <v>0</v>
          </cell>
          <cell r="AL87">
            <v>0</v>
          </cell>
          <cell r="AM87">
            <v>0</v>
          </cell>
          <cell r="AR87">
            <v>0</v>
          </cell>
          <cell r="AS87">
            <v>0</v>
          </cell>
          <cell r="AX87">
            <v>0</v>
          </cell>
          <cell r="AY87">
            <v>0</v>
          </cell>
          <cell r="AZ87">
            <v>0</v>
          </cell>
          <cell r="BA87">
            <v>0</v>
          </cell>
          <cell r="BF87">
            <v>0</v>
          </cell>
          <cell r="BG87">
            <v>0</v>
          </cell>
          <cell r="BL87">
            <v>0</v>
          </cell>
          <cell r="BM87">
            <v>0</v>
          </cell>
          <cell r="BR87">
            <v>0</v>
          </cell>
          <cell r="BS87">
            <v>0</v>
          </cell>
          <cell r="BX87">
            <v>0</v>
          </cell>
          <cell r="BY87">
            <v>0</v>
          </cell>
          <cell r="CD87">
            <v>0</v>
          </cell>
          <cell r="CE87">
            <v>0</v>
          </cell>
          <cell r="CJ87">
            <v>0</v>
          </cell>
          <cell r="CK87">
            <v>0</v>
          </cell>
          <cell r="CP87">
            <v>0</v>
          </cell>
          <cell r="CQ87">
            <v>0</v>
          </cell>
          <cell r="CR87">
            <v>0</v>
          </cell>
          <cell r="CS87">
            <v>0</v>
          </cell>
          <cell r="CX87">
            <v>0</v>
          </cell>
          <cell r="CY87">
            <v>0</v>
          </cell>
          <cell r="CZ87">
            <v>0</v>
          </cell>
          <cell r="DA87">
            <v>0</v>
          </cell>
          <cell r="DF87">
            <v>0</v>
          </cell>
          <cell r="DG87">
            <v>0</v>
          </cell>
          <cell r="DH87">
            <v>0</v>
          </cell>
          <cell r="DI87">
            <v>0</v>
          </cell>
          <cell r="DN87">
            <v>0</v>
          </cell>
          <cell r="DO87">
            <v>0</v>
          </cell>
          <cell r="DP87">
            <v>0</v>
          </cell>
          <cell r="DQ87">
            <v>0</v>
          </cell>
          <cell r="DV87">
            <v>0</v>
          </cell>
          <cell r="DW87">
            <v>0</v>
          </cell>
          <cell r="DX87">
            <v>0</v>
          </cell>
          <cell r="DY87">
            <v>0</v>
          </cell>
        </row>
        <row r="88">
          <cell r="F88">
            <v>86000</v>
          </cell>
          <cell r="G88">
            <v>2985.3152</v>
          </cell>
          <cell r="H88">
            <v>-465.85400000000004</v>
          </cell>
          <cell r="I88">
            <v>-15.604851373818082</v>
          </cell>
          <cell r="N88">
            <v>5484</v>
          </cell>
          <cell r="O88">
            <v>191.094832</v>
          </cell>
          <cell r="P88">
            <v>-47.673999999999999</v>
          </cell>
          <cell r="T88">
            <v>5968</v>
          </cell>
          <cell r="U88">
            <v>211.63966400000001</v>
          </cell>
          <cell r="V88">
            <v>-36.94</v>
          </cell>
          <cell r="Z88">
            <v>6968</v>
          </cell>
          <cell r="AA88">
            <v>245.749664</v>
          </cell>
          <cell r="AB88">
            <v>-39.398000000000003</v>
          </cell>
          <cell r="AF88">
            <v>6594</v>
          </cell>
          <cell r="AG88">
            <v>229.874112</v>
          </cell>
          <cell r="AH88">
            <v>-38.387999999999998</v>
          </cell>
          <cell r="AL88">
            <v>6594</v>
          </cell>
          <cell r="AM88">
            <v>229.874112</v>
          </cell>
          <cell r="AN88">
            <v>-37.094999999999999</v>
          </cell>
          <cell r="AR88">
            <v>6792</v>
          </cell>
          <cell r="AS88">
            <v>238.27881600000001</v>
          </cell>
          <cell r="AT88">
            <v>-34.225999999999999</v>
          </cell>
          <cell r="AX88">
            <v>38400</v>
          </cell>
          <cell r="AY88">
            <v>1346.5111999999999</v>
          </cell>
          <cell r="AZ88">
            <v>-233.721</v>
          </cell>
          <cell r="BA88">
            <v>-17.357523650750174</v>
          </cell>
          <cell r="BF88">
            <v>7594</v>
          </cell>
          <cell r="BG88">
            <v>257.71535999999998</v>
          </cell>
          <cell r="BH88">
            <v>-44.4</v>
          </cell>
          <cell r="BL88">
            <v>8188</v>
          </cell>
          <cell r="BM88">
            <v>282.33071999999999</v>
          </cell>
          <cell r="BN88">
            <v>-40.716999999999999</v>
          </cell>
          <cell r="BR88">
            <v>8188</v>
          </cell>
          <cell r="BS88">
            <v>282.33071999999999</v>
          </cell>
          <cell r="BT88">
            <v>-40.232999999999997</v>
          </cell>
          <cell r="BX88">
            <v>8089</v>
          </cell>
          <cell r="BY88">
            <v>278.22816</v>
          </cell>
          <cell r="BZ88">
            <v>-37.773000000000003</v>
          </cell>
          <cell r="CD88">
            <v>8089</v>
          </cell>
          <cell r="CE88">
            <v>278.22816</v>
          </cell>
          <cell r="CF88">
            <v>-37.689</v>
          </cell>
          <cell r="CJ88">
            <v>7452</v>
          </cell>
          <cell r="CK88">
            <v>259.97088000000002</v>
          </cell>
          <cell r="CL88">
            <v>-31.321000000000002</v>
          </cell>
          <cell r="CP88">
            <v>47600</v>
          </cell>
          <cell r="CQ88">
            <v>1638.8039999999999</v>
          </cell>
          <cell r="CR88">
            <v>-232.13300000000001</v>
          </cell>
          <cell r="CS88">
            <v>-14.164781145274238</v>
          </cell>
          <cell r="CX88">
            <v>18420</v>
          </cell>
          <cell r="CY88">
            <v>648.48415999999997</v>
          </cell>
          <cell r="CZ88">
            <v>-124.012</v>
          </cell>
          <cell r="DA88">
            <v>-19.123366097330734</v>
          </cell>
          <cell r="DF88">
            <v>19980</v>
          </cell>
          <cell r="DG88">
            <v>698.02703999999994</v>
          </cell>
          <cell r="DH88">
            <v>-109.709</v>
          </cell>
          <cell r="DI88">
            <v>-15.717012911133072</v>
          </cell>
          <cell r="DN88">
            <v>23970</v>
          </cell>
          <cell r="DO88">
            <v>822.3768</v>
          </cell>
          <cell r="DP88">
            <v>-125.35</v>
          </cell>
          <cell r="DQ88">
            <v>-15.242404698187009</v>
          </cell>
          <cell r="DV88">
            <v>23630</v>
          </cell>
          <cell r="DW88">
            <v>816.42720000000008</v>
          </cell>
          <cell r="DX88">
            <v>-106.783</v>
          </cell>
          <cell r="DY88">
            <v>-13.079304560161638</v>
          </cell>
        </row>
        <row r="89">
          <cell r="F89">
            <v>9000</v>
          </cell>
          <cell r="G89">
            <v>430.38720000000001</v>
          </cell>
          <cell r="H89">
            <v>13.912000000000003</v>
          </cell>
          <cell r="I89">
            <v>3.2324381394242216</v>
          </cell>
          <cell r="N89">
            <v>396</v>
          </cell>
          <cell r="O89">
            <v>19.210751999999999</v>
          </cell>
          <cell r="P89">
            <v>-1.42</v>
          </cell>
          <cell r="T89">
            <v>792</v>
          </cell>
          <cell r="U89">
            <v>38.421503999999999</v>
          </cell>
          <cell r="V89">
            <v>-0.92700000000000005</v>
          </cell>
          <cell r="Z89">
            <v>792</v>
          </cell>
          <cell r="AA89">
            <v>38.421503999999999</v>
          </cell>
          <cell r="AB89">
            <v>0.10100000000000001</v>
          </cell>
          <cell r="AF89">
            <v>486</v>
          </cell>
          <cell r="AG89">
            <v>23.576832</v>
          </cell>
          <cell r="AH89">
            <v>0.47299999999999998</v>
          </cell>
          <cell r="AL89">
            <v>486</v>
          </cell>
          <cell r="AM89">
            <v>23.576832</v>
          </cell>
          <cell r="AN89">
            <v>0.79400000000000004</v>
          </cell>
          <cell r="AR89">
            <v>648</v>
          </cell>
          <cell r="AS89">
            <v>31.435776000000001</v>
          </cell>
          <cell r="AT89">
            <v>1.4490000000000001</v>
          </cell>
          <cell r="AX89">
            <v>3600</v>
          </cell>
          <cell r="AY89">
            <v>174.64319999999998</v>
          </cell>
          <cell r="AZ89">
            <v>0.4700000000000002</v>
          </cell>
          <cell r="BA89">
            <v>0.26912012606273833</v>
          </cell>
          <cell r="BF89">
            <v>486</v>
          </cell>
          <cell r="BG89">
            <v>23.016960000000001</v>
          </cell>
          <cell r="BH89">
            <v>0.77100000000000002</v>
          </cell>
          <cell r="BL89">
            <v>972</v>
          </cell>
          <cell r="BM89">
            <v>46.033920000000002</v>
          </cell>
          <cell r="BN89">
            <v>1.99</v>
          </cell>
          <cell r="BR89">
            <v>972</v>
          </cell>
          <cell r="BS89">
            <v>46.033920000000002</v>
          </cell>
          <cell r="BT89">
            <v>2.2650000000000001</v>
          </cell>
          <cell r="BX89">
            <v>891</v>
          </cell>
          <cell r="BY89">
            <v>42.197760000000002</v>
          </cell>
          <cell r="BZ89">
            <v>2.38</v>
          </cell>
          <cell r="CD89">
            <v>891</v>
          </cell>
          <cell r="CE89">
            <v>42.197760000000002</v>
          </cell>
          <cell r="CF89">
            <v>2.532</v>
          </cell>
          <cell r="CJ89">
            <v>1188</v>
          </cell>
          <cell r="CK89">
            <v>56.263680000000001</v>
          </cell>
          <cell r="CL89">
            <v>3.504</v>
          </cell>
          <cell r="CP89">
            <v>5400</v>
          </cell>
          <cell r="CQ89">
            <v>255.744</v>
          </cell>
          <cell r="CR89">
            <v>13.442000000000002</v>
          </cell>
          <cell r="CS89">
            <v>5.2560372872872883</v>
          </cell>
          <cell r="CX89">
            <v>1980</v>
          </cell>
          <cell r="CY89">
            <v>96.053759999999997</v>
          </cell>
          <cell r="CZ89">
            <v>-2.246</v>
          </cell>
          <cell r="DA89">
            <v>-2.3382738999493617</v>
          </cell>
          <cell r="DF89">
            <v>1620</v>
          </cell>
          <cell r="DG89">
            <v>78.589439999999996</v>
          </cell>
          <cell r="DH89">
            <v>2.7160000000000002</v>
          </cell>
          <cell r="DI89">
            <v>3.4559350467441941</v>
          </cell>
          <cell r="DN89">
            <v>2430</v>
          </cell>
          <cell r="DO89">
            <v>115.0848</v>
          </cell>
          <cell r="DP89">
            <v>5.0259999999999998</v>
          </cell>
          <cell r="DQ89">
            <v>4.3672144366588812</v>
          </cell>
          <cell r="DV89">
            <v>2970</v>
          </cell>
          <cell r="DW89">
            <v>140.6592</v>
          </cell>
          <cell r="DX89">
            <v>8.4160000000000004</v>
          </cell>
          <cell r="DY89">
            <v>5.9832559832559831</v>
          </cell>
        </row>
        <row r="90">
          <cell r="F90">
            <v>205000</v>
          </cell>
          <cell r="G90">
            <v>6487.3422430000001</v>
          </cell>
          <cell r="H90">
            <v>-268.34300000000007</v>
          </cell>
          <cell r="I90">
            <v>-4.1364088705131703</v>
          </cell>
          <cell r="N90">
            <v>11675</v>
          </cell>
          <cell r="O90">
            <v>369.70036329999999</v>
          </cell>
          <cell r="P90">
            <v>-49.338999999999999</v>
          </cell>
          <cell r="T90">
            <v>13475</v>
          </cell>
          <cell r="U90">
            <v>439.20896330000005</v>
          </cell>
          <cell r="V90">
            <v>-26.405999999999999</v>
          </cell>
          <cell r="Z90">
            <v>15350</v>
          </cell>
          <cell r="AA90">
            <v>496.84072660000004</v>
          </cell>
          <cell r="AB90">
            <v>-28.662000000000006</v>
          </cell>
          <cell r="AF90">
            <v>15200</v>
          </cell>
          <cell r="AG90">
            <v>483.5757266</v>
          </cell>
          <cell r="AH90">
            <v>-26.712</v>
          </cell>
          <cell r="AL90">
            <v>15200</v>
          </cell>
          <cell r="AM90">
            <v>483.5757266</v>
          </cell>
          <cell r="AN90">
            <v>-24.213999999999999</v>
          </cell>
          <cell r="AR90">
            <v>15650</v>
          </cell>
          <cell r="AS90">
            <v>502.67732659999996</v>
          </cell>
          <cell r="AT90">
            <v>-18.135999999999999</v>
          </cell>
          <cell r="AX90">
            <v>86550</v>
          </cell>
          <cell r="AY90">
            <v>2775.578833</v>
          </cell>
          <cell r="AZ90">
            <v>-173.46900000000002</v>
          </cell>
          <cell r="BA90">
            <v>-6.2498314923559599</v>
          </cell>
          <cell r="BF90">
            <v>17437.5</v>
          </cell>
          <cell r="BG90">
            <v>540.93591150000009</v>
          </cell>
          <cell r="BH90">
            <v>-28.377999999999997</v>
          </cell>
          <cell r="BL90">
            <v>19787.5</v>
          </cell>
          <cell r="BM90">
            <v>622.77991149999991</v>
          </cell>
          <cell r="BN90">
            <v>-19.271000000000001</v>
          </cell>
          <cell r="BR90">
            <v>20372.5</v>
          </cell>
          <cell r="BS90">
            <v>639.58229969999991</v>
          </cell>
          <cell r="BT90">
            <v>-18.283999999999999</v>
          </cell>
          <cell r="BX90">
            <v>22487.5</v>
          </cell>
          <cell r="BY90">
            <v>697.46785250000005</v>
          </cell>
          <cell r="BZ90">
            <v>-4.8630000000000022</v>
          </cell>
          <cell r="CD90">
            <v>20440</v>
          </cell>
          <cell r="CE90">
            <v>638.65949380000006</v>
          </cell>
          <cell r="CF90">
            <v>-12.617000000000001</v>
          </cell>
          <cell r="CJ90">
            <v>17925</v>
          </cell>
          <cell r="CK90">
            <v>572.337941</v>
          </cell>
          <cell r="CL90">
            <v>-11.461</v>
          </cell>
          <cell r="CP90">
            <v>118450</v>
          </cell>
          <cell r="CQ90">
            <v>3711.76341</v>
          </cell>
          <cell r="CR90">
            <v>-94.873999999999995</v>
          </cell>
          <cell r="CS90">
            <v>-2.556035757677777</v>
          </cell>
          <cell r="CX90">
            <v>40500</v>
          </cell>
          <cell r="CY90">
            <v>1305.7500532000001</v>
          </cell>
          <cell r="CZ90">
            <v>-104.407</v>
          </cell>
          <cell r="DA90">
            <v>-7.9959407042817938</v>
          </cell>
          <cell r="DF90">
            <v>46050</v>
          </cell>
          <cell r="DG90">
            <v>1469.8287797999999</v>
          </cell>
          <cell r="DH90">
            <v>-69.062000000000012</v>
          </cell>
          <cell r="DI90">
            <v>-4.6986425187154994</v>
          </cell>
          <cell r="DN90">
            <v>57597.5</v>
          </cell>
          <cell r="DO90">
            <v>1803.2981227</v>
          </cell>
          <cell r="DP90">
            <v>-65.932999999999993</v>
          </cell>
          <cell r="DQ90">
            <v>-3.6562451416120467</v>
          </cell>
          <cell r="DV90">
            <v>60852.5</v>
          </cell>
          <cell r="DW90">
            <v>1908.4652873</v>
          </cell>
          <cell r="DX90">
            <v>-28.940999999999999</v>
          </cell>
          <cell r="DY90">
            <v>-1.516454094952089</v>
          </cell>
        </row>
        <row r="91">
          <cell r="F91">
            <v>163000</v>
          </cell>
          <cell r="G91">
            <v>10211.71132</v>
          </cell>
          <cell r="H91">
            <v>735.02799999999991</v>
          </cell>
          <cell r="I91">
            <v>7.1978924684290808</v>
          </cell>
          <cell r="N91">
            <v>10017</v>
          </cell>
          <cell r="O91">
            <v>631.61865999999998</v>
          </cell>
          <cell r="P91">
            <v>38.430999999999997</v>
          </cell>
          <cell r="T91">
            <v>10809</v>
          </cell>
          <cell r="U91">
            <v>687.44990800000005</v>
          </cell>
          <cell r="V91">
            <v>49.164000000000001</v>
          </cell>
          <cell r="Z91">
            <v>13034</v>
          </cell>
          <cell r="AA91">
            <v>828.14531999999997</v>
          </cell>
          <cell r="AB91">
            <v>58.957999999999998</v>
          </cell>
          <cell r="AF91">
            <v>12422</v>
          </cell>
          <cell r="AG91">
            <v>785.00299199999995</v>
          </cell>
          <cell r="AH91">
            <v>52.177999999999997</v>
          </cell>
          <cell r="AL91">
            <v>12422</v>
          </cell>
          <cell r="AM91">
            <v>785.00299199999995</v>
          </cell>
          <cell r="AN91">
            <v>52.387</v>
          </cell>
          <cell r="AR91">
            <v>12746</v>
          </cell>
          <cell r="AS91">
            <v>807.84304799999995</v>
          </cell>
          <cell r="AT91">
            <v>56.76</v>
          </cell>
          <cell r="AX91">
            <v>71450</v>
          </cell>
          <cell r="AY91">
            <v>4525.0629200000003</v>
          </cell>
          <cell r="AZ91">
            <v>307.87799999999999</v>
          </cell>
          <cell r="BA91">
            <v>6.8038390944628002</v>
          </cell>
          <cell r="BF91">
            <v>13384.5</v>
          </cell>
          <cell r="BG91">
            <v>826.60590000000002</v>
          </cell>
          <cell r="BH91">
            <v>39.920999999999999</v>
          </cell>
          <cell r="BL91">
            <v>16356.5</v>
          </cell>
          <cell r="BM91">
            <v>1014.85894</v>
          </cell>
          <cell r="BN91">
            <v>60.274999999999999</v>
          </cell>
          <cell r="BR91">
            <v>16811.5</v>
          </cell>
          <cell r="BS91">
            <v>1043.337988</v>
          </cell>
          <cell r="BT91">
            <v>70.438000000000002</v>
          </cell>
          <cell r="BX91">
            <v>18469.5</v>
          </cell>
          <cell r="BY91">
            <v>1146.1053400000001</v>
          </cell>
          <cell r="BZ91">
            <v>94.789000000000001</v>
          </cell>
          <cell r="CD91">
            <v>14877</v>
          </cell>
          <cell r="CE91">
            <v>925.06867199999999</v>
          </cell>
          <cell r="CF91">
            <v>84.986999999999995</v>
          </cell>
          <cell r="CJ91">
            <v>11651</v>
          </cell>
          <cell r="CK91">
            <v>730.67156</v>
          </cell>
          <cell r="CL91">
            <v>76.739999999999995</v>
          </cell>
          <cell r="CP91">
            <v>91550</v>
          </cell>
          <cell r="CQ91">
            <v>5686.6484</v>
          </cell>
          <cell r="CR91">
            <v>427.14999999999992</v>
          </cell>
          <cell r="CS91">
            <v>7.5114543744255382</v>
          </cell>
          <cell r="CX91">
            <v>33860</v>
          </cell>
          <cell r="CY91">
            <v>2147.2138880000002</v>
          </cell>
          <cell r="CZ91">
            <v>146.553</v>
          </cell>
          <cell r="DA91">
            <v>6.825263231531407</v>
          </cell>
          <cell r="DF91">
            <v>37590</v>
          </cell>
          <cell r="DG91">
            <v>2377.8490320000001</v>
          </cell>
          <cell r="DH91">
            <v>161.32499999999999</v>
          </cell>
          <cell r="DI91">
            <v>6.7844929526207185</v>
          </cell>
          <cell r="DN91">
            <v>46552.5</v>
          </cell>
          <cell r="DO91">
            <v>2884.8028279999999</v>
          </cell>
          <cell r="DP91">
            <v>170.63400000000001</v>
          </cell>
          <cell r="DQ91">
            <v>5.9149276457933375</v>
          </cell>
          <cell r="DV91">
            <v>44997.5</v>
          </cell>
          <cell r="DW91">
            <v>2801.8455720000002</v>
          </cell>
          <cell r="DX91">
            <v>256.51600000000002</v>
          </cell>
          <cell r="DY91">
            <v>9.1552511874126949</v>
          </cell>
        </row>
        <row r="92">
          <cell r="F92">
            <v>50000</v>
          </cell>
          <cell r="G92">
            <v>3180.1900000000005</v>
          </cell>
          <cell r="H92">
            <v>239.90199999999999</v>
          </cell>
          <cell r="I92">
            <v>7.5436373298450707</v>
          </cell>
          <cell r="N92">
            <v>3500</v>
          </cell>
          <cell r="O92">
            <v>225.505</v>
          </cell>
          <cell r="P92">
            <v>10.368</v>
          </cell>
          <cell r="T92">
            <v>3500</v>
          </cell>
          <cell r="U92">
            <v>225.505</v>
          </cell>
          <cell r="V92">
            <v>14.032</v>
          </cell>
          <cell r="Z92">
            <v>4000</v>
          </cell>
          <cell r="AA92">
            <v>257.72000000000003</v>
          </cell>
          <cell r="AB92">
            <v>14.932</v>
          </cell>
          <cell r="AF92">
            <v>4000</v>
          </cell>
          <cell r="AG92">
            <v>257.72000000000003</v>
          </cell>
          <cell r="AH92">
            <v>10.401</v>
          </cell>
          <cell r="AL92">
            <v>4000</v>
          </cell>
          <cell r="AM92">
            <v>257.72000000000003</v>
          </cell>
          <cell r="AN92">
            <v>14.138999999999999</v>
          </cell>
          <cell r="AR92">
            <v>4000</v>
          </cell>
          <cell r="AS92">
            <v>257.72000000000003</v>
          </cell>
          <cell r="AT92">
            <v>14.567</v>
          </cell>
          <cell r="AX92">
            <v>23000</v>
          </cell>
          <cell r="AY92">
            <v>1481.8900000000003</v>
          </cell>
          <cell r="AZ92">
            <v>78.438999999999993</v>
          </cell>
          <cell r="BA92">
            <v>5.2931729075707352</v>
          </cell>
          <cell r="BF92">
            <v>4000</v>
          </cell>
          <cell r="BG92">
            <v>251.6</v>
          </cell>
          <cell r="BH92">
            <v>21.51</v>
          </cell>
          <cell r="BL92">
            <v>4500</v>
          </cell>
          <cell r="BM92">
            <v>283.05</v>
          </cell>
          <cell r="BN92">
            <v>21.908000000000001</v>
          </cell>
          <cell r="BR92">
            <v>5000</v>
          </cell>
          <cell r="BS92">
            <v>314.5</v>
          </cell>
          <cell r="BT92">
            <v>26.728999999999999</v>
          </cell>
          <cell r="BX92">
            <v>5000</v>
          </cell>
          <cell r="BY92">
            <v>314.5</v>
          </cell>
          <cell r="BZ92">
            <v>36.177</v>
          </cell>
          <cell r="CD92">
            <v>4500</v>
          </cell>
          <cell r="CE92">
            <v>283.05</v>
          </cell>
          <cell r="CF92">
            <v>25.975999999999999</v>
          </cell>
          <cell r="CJ92">
            <v>4000</v>
          </cell>
          <cell r="CK92">
            <v>251.6</v>
          </cell>
          <cell r="CL92">
            <v>29.163</v>
          </cell>
          <cell r="CP92">
            <v>27000</v>
          </cell>
          <cell r="CQ92">
            <v>1698.3</v>
          </cell>
          <cell r="CR92">
            <v>161.46299999999999</v>
          </cell>
          <cell r="CS92">
            <v>9.5073308602720363</v>
          </cell>
          <cell r="CX92">
            <v>11000</v>
          </cell>
          <cell r="CY92">
            <v>708.73</v>
          </cell>
          <cell r="CZ92">
            <v>39.332000000000001</v>
          </cell>
          <cell r="DA92">
            <v>5.5496451398981277</v>
          </cell>
          <cell r="DF92">
            <v>12000</v>
          </cell>
          <cell r="DG92">
            <v>773.16000000000008</v>
          </cell>
          <cell r="DH92">
            <v>39.106999999999999</v>
          </cell>
          <cell r="DI92">
            <v>5.0580733612706288</v>
          </cell>
          <cell r="DN92">
            <v>13500</v>
          </cell>
          <cell r="DO92">
            <v>849.15</v>
          </cell>
          <cell r="DP92">
            <v>70.147000000000006</v>
          </cell>
          <cell r="DQ92">
            <v>8.2608490843784956</v>
          </cell>
          <cell r="DV92">
            <v>13500</v>
          </cell>
          <cell r="DW92">
            <v>849.15</v>
          </cell>
          <cell r="DX92">
            <v>91.316000000000003</v>
          </cell>
          <cell r="DY92">
            <v>10.753812636165577</v>
          </cell>
        </row>
        <row r="93">
          <cell r="F93">
            <v>34000</v>
          </cell>
          <cell r="G93">
            <v>2389.9179099999997</v>
          </cell>
          <cell r="H93">
            <v>201.85900000000001</v>
          </cell>
          <cell r="I93">
            <v>8.4462733701175541</v>
          </cell>
          <cell r="N93">
            <v>1553</v>
          </cell>
          <cell r="O93">
            <v>110.55240499999999</v>
          </cell>
          <cell r="P93">
            <v>-13.129</v>
          </cell>
          <cell r="T93">
            <v>2081</v>
          </cell>
          <cell r="U93">
            <v>150.97502900000001</v>
          </cell>
          <cell r="V93">
            <v>-4.1130000000000004</v>
          </cell>
          <cell r="Z93">
            <v>2606</v>
          </cell>
          <cell r="AA93">
            <v>186.99481</v>
          </cell>
          <cell r="AB93">
            <v>2.1739999999999999</v>
          </cell>
          <cell r="AF93">
            <v>2198</v>
          </cell>
          <cell r="AG93">
            <v>155.75914599999999</v>
          </cell>
          <cell r="AH93">
            <v>4.9539999999999997</v>
          </cell>
          <cell r="AL93">
            <v>2198</v>
          </cell>
          <cell r="AM93">
            <v>155.75914599999999</v>
          </cell>
          <cell r="AN93">
            <v>9.3879999999999999</v>
          </cell>
          <cell r="AR93">
            <v>2414</v>
          </cell>
          <cell r="AS93">
            <v>172.29567399999999</v>
          </cell>
          <cell r="AT93">
            <v>14.771000000000001</v>
          </cell>
          <cell r="AX93">
            <v>13050</v>
          </cell>
          <cell r="AY93">
            <v>932.33621000000005</v>
          </cell>
          <cell r="AZ93">
            <v>14.045</v>
          </cell>
          <cell r="BA93">
            <v>1.5064308185563231</v>
          </cell>
          <cell r="BF93">
            <v>2610.5</v>
          </cell>
          <cell r="BG93">
            <v>179.68957499999999</v>
          </cell>
          <cell r="BH93">
            <v>13.747</v>
          </cell>
          <cell r="BL93">
            <v>3258.5</v>
          </cell>
          <cell r="BM93">
            <v>228.121095</v>
          </cell>
          <cell r="BN93">
            <v>25.437000000000001</v>
          </cell>
          <cell r="BR93">
            <v>3953.5</v>
          </cell>
          <cell r="BS93">
            <v>274.482169</v>
          </cell>
          <cell r="BT93">
            <v>32.902999999999999</v>
          </cell>
          <cell r="BX93">
            <v>4625.5</v>
          </cell>
          <cell r="BY93">
            <v>318.65454499999998</v>
          </cell>
          <cell r="BZ93">
            <v>42.676000000000002</v>
          </cell>
          <cell r="CD93">
            <v>3443</v>
          </cell>
          <cell r="CE93">
            <v>239.64078600000002</v>
          </cell>
          <cell r="CF93">
            <v>35.473999999999997</v>
          </cell>
          <cell r="CJ93">
            <v>3059</v>
          </cell>
          <cell r="CK93">
            <v>216.99352999999999</v>
          </cell>
          <cell r="CL93">
            <v>37.576999999999998</v>
          </cell>
          <cell r="CP93">
            <v>20950</v>
          </cell>
          <cell r="CQ93">
            <v>1457.5816999999997</v>
          </cell>
          <cell r="CR93">
            <v>187.81400000000002</v>
          </cell>
          <cell r="CS93">
            <v>12.885315450928072</v>
          </cell>
          <cell r="CX93">
            <v>6240</v>
          </cell>
          <cell r="CY93">
            <v>448.522244</v>
          </cell>
          <cell r="CZ93">
            <v>-15.068000000000001</v>
          </cell>
          <cell r="DA93">
            <v>-3.3594766372389775</v>
          </cell>
          <cell r="DF93">
            <v>6810</v>
          </cell>
          <cell r="DG93">
            <v>483.81396599999994</v>
          </cell>
          <cell r="DH93">
            <v>29.113</v>
          </cell>
          <cell r="DI93">
            <v>6.017395537523611</v>
          </cell>
          <cell r="DN93">
            <v>9822.5</v>
          </cell>
          <cell r="DO93">
            <v>682.29283899999996</v>
          </cell>
          <cell r="DP93">
            <v>72.086999999999989</v>
          </cell>
          <cell r="DQ93">
            <v>10.565404746978444</v>
          </cell>
          <cell r="DV93">
            <v>11127.5</v>
          </cell>
          <cell r="DW93">
            <v>775.288861</v>
          </cell>
          <cell r="DX93">
            <v>115.727</v>
          </cell>
          <cell r="DY93">
            <v>14.926952497515632</v>
          </cell>
        </row>
        <row r="94">
          <cell r="F94">
            <v>33000</v>
          </cell>
          <cell r="G94">
            <v>2296.17</v>
          </cell>
          <cell r="H94">
            <v>196.065</v>
          </cell>
          <cell r="I94">
            <v>8.5387841492572409</v>
          </cell>
          <cell r="N94">
            <v>2500</v>
          </cell>
          <cell r="O94">
            <v>176.23500000000001</v>
          </cell>
          <cell r="P94">
            <v>11.673999999999999</v>
          </cell>
          <cell r="T94">
            <v>2500</v>
          </cell>
          <cell r="U94">
            <v>176.23500000000001</v>
          </cell>
          <cell r="V94">
            <v>14.349</v>
          </cell>
          <cell r="Z94">
            <v>2500</v>
          </cell>
          <cell r="AA94">
            <v>176.23500000000001</v>
          </cell>
          <cell r="AB94">
            <v>11.625999999999999</v>
          </cell>
          <cell r="AF94">
            <v>2500</v>
          </cell>
          <cell r="AG94">
            <v>176.23500000000001</v>
          </cell>
          <cell r="AH94">
            <v>8.9770000000000003</v>
          </cell>
          <cell r="AL94">
            <v>2500</v>
          </cell>
          <cell r="AM94">
            <v>176.23500000000001</v>
          </cell>
          <cell r="AN94">
            <v>11.327999999999999</v>
          </cell>
          <cell r="AR94">
            <v>2500</v>
          </cell>
          <cell r="AS94">
            <v>176.23500000000001</v>
          </cell>
          <cell r="AT94">
            <v>11.782999999999999</v>
          </cell>
          <cell r="AX94">
            <v>15000</v>
          </cell>
          <cell r="AY94">
            <v>1057.4100000000001</v>
          </cell>
          <cell r="AZ94">
            <v>69.736999999999995</v>
          </cell>
          <cell r="BA94">
            <v>6.5950766495493696</v>
          </cell>
          <cell r="BF94">
            <v>3000</v>
          </cell>
          <cell r="BG94">
            <v>206.46</v>
          </cell>
          <cell r="BH94">
            <v>19.102</v>
          </cell>
          <cell r="BL94">
            <v>3000</v>
          </cell>
          <cell r="BM94">
            <v>206.46</v>
          </cell>
          <cell r="BN94">
            <v>17.433</v>
          </cell>
          <cell r="BR94">
            <v>3000</v>
          </cell>
          <cell r="BS94">
            <v>206.46</v>
          </cell>
          <cell r="BT94">
            <v>19.248999999999999</v>
          </cell>
          <cell r="BX94">
            <v>3000</v>
          </cell>
          <cell r="BY94">
            <v>206.46</v>
          </cell>
          <cell r="BZ94">
            <v>24.94</v>
          </cell>
          <cell r="CD94">
            <v>3000</v>
          </cell>
          <cell r="CE94">
            <v>206.46</v>
          </cell>
          <cell r="CF94">
            <v>20.472999999999999</v>
          </cell>
          <cell r="CJ94">
            <v>3000</v>
          </cell>
          <cell r="CK94">
            <v>206.46</v>
          </cell>
          <cell r="CL94">
            <v>25.131</v>
          </cell>
          <cell r="CP94">
            <v>18000</v>
          </cell>
          <cell r="CQ94">
            <v>1238.76</v>
          </cell>
          <cell r="CR94">
            <v>126.328</v>
          </cell>
          <cell r="CS94">
            <v>10.19793987535923</v>
          </cell>
          <cell r="CX94">
            <v>7500</v>
          </cell>
          <cell r="CY94">
            <v>528.70500000000004</v>
          </cell>
          <cell r="CZ94">
            <v>37.649000000000001</v>
          </cell>
          <cell r="DA94">
            <v>7.12098429180734</v>
          </cell>
          <cell r="DF94">
            <v>7500</v>
          </cell>
          <cell r="DG94">
            <v>528.70500000000004</v>
          </cell>
          <cell r="DH94">
            <v>32.088000000000001</v>
          </cell>
          <cell r="DI94">
            <v>6.0691690072914</v>
          </cell>
          <cell r="DN94">
            <v>9000</v>
          </cell>
          <cell r="DO94">
            <v>619.38</v>
          </cell>
          <cell r="DP94">
            <v>55.783999999999992</v>
          </cell>
          <cell r="DQ94">
            <v>9.0064257806193275</v>
          </cell>
          <cell r="DV94">
            <v>9000</v>
          </cell>
          <cell r="DW94">
            <v>619.38</v>
          </cell>
          <cell r="DX94">
            <v>70.543999999999997</v>
          </cell>
          <cell r="DY94">
            <v>11.389453970099131</v>
          </cell>
        </row>
        <row r="95">
          <cell r="F95">
            <v>0</v>
          </cell>
          <cell r="G95">
            <v>0</v>
          </cell>
          <cell r="H95">
            <v>0</v>
          </cell>
          <cell r="I95">
            <v>0</v>
          </cell>
          <cell r="N95">
            <v>0</v>
          </cell>
          <cell r="O95">
            <v>0</v>
          </cell>
          <cell r="T95">
            <v>0</v>
          </cell>
          <cell r="U95">
            <v>0</v>
          </cell>
          <cell r="Z95">
            <v>0</v>
          </cell>
          <cell r="AA95">
            <v>0</v>
          </cell>
          <cell r="AF95">
            <v>0</v>
          </cell>
          <cell r="AG95">
            <v>0</v>
          </cell>
          <cell r="AL95">
            <v>0</v>
          </cell>
          <cell r="AM95">
            <v>0</v>
          </cell>
          <cell r="AR95">
            <v>0</v>
          </cell>
          <cell r="AS95">
            <v>0</v>
          </cell>
          <cell r="AX95">
            <v>0</v>
          </cell>
          <cell r="AY95">
            <v>0</v>
          </cell>
          <cell r="AZ95">
            <v>0</v>
          </cell>
          <cell r="BA95">
            <v>0</v>
          </cell>
          <cell r="BF95">
            <v>0</v>
          </cell>
          <cell r="BG95">
            <v>0</v>
          </cell>
          <cell r="BL95">
            <v>0</v>
          </cell>
          <cell r="BM95">
            <v>0</v>
          </cell>
          <cell r="BR95">
            <v>0</v>
          </cell>
          <cell r="BS95">
            <v>0</v>
          </cell>
          <cell r="BX95">
            <v>0</v>
          </cell>
          <cell r="BY95">
            <v>0</v>
          </cell>
          <cell r="CD95">
            <v>0</v>
          </cell>
          <cell r="CE95">
            <v>0</v>
          </cell>
          <cell r="CJ95">
            <v>0</v>
          </cell>
          <cell r="CK95">
            <v>0</v>
          </cell>
          <cell r="CP95">
            <v>0</v>
          </cell>
          <cell r="CQ95">
            <v>0</v>
          </cell>
          <cell r="CR95">
            <v>0</v>
          </cell>
          <cell r="CS95">
            <v>0</v>
          </cell>
          <cell r="CX95">
            <v>0</v>
          </cell>
          <cell r="CY95">
            <v>0</v>
          </cell>
          <cell r="CZ95">
            <v>0</v>
          </cell>
          <cell r="DA95">
            <v>0</v>
          </cell>
          <cell r="DF95">
            <v>0</v>
          </cell>
          <cell r="DG95">
            <v>0</v>
          </cell>
          <cell r="DH95">
            <v>0</v>
          </cell>
          <cell r="DI95">
            <v>0</v>
          </cell>
          <cell r="DN95">
            <v>0</v>
          </cell>
          <cell r="DO95">
            <v>0</v>
          </cell>
          <cell r="DP95">
            <v>0</v>
          </cell>
          <cell r="DQ95">
            <v>0</v>
          </cell>
          <cell r="DV95">
            <v>0</v>
          </cell>
          <cell r="DW95">
            <v>0</v>
          </cell>
          <cell r="DX95">
            <v>0</v>
          </cell>
          <cell r="DY95">
            <v>0</v>
          </cell>
        </row>
        <row r="96">
          <cell r="F96">
            <v>0</v>
          </cell>
          <cell r="G96">
            <v>0</v>
          </cell>
          <cell r="H96">
            <v>0</v>
          </cell>
          <cell r="I96">
            <v>0</v>
          </cell>
          <cell r="N96">
            <v>0</v>
          </cell>
          <cell r="O96">
            <v>0</v>
          </cell>
          <cell r="T96">
            <v>0</v>
          </cell>
          <cell r="U96">
            <v>0</v>
          </cell>
          <cell r="Z96">
            <v>0</v>
          </cell>
          <cell r="AA96">
            <v>0</v>
          </cell>
          <cell r="AF96">
            <v>0</v>
          </cell>
          <cell r="AG96">
            <v>0</v>
          </cell>
          <cell r="AL96">
            <v>0</v>
          </cell>
          <cell r="AM96">
            <v>0</v>
          </cell>
          <cell r="AR96">
            <v>0</v>
          </cell>
          <cell r="AS96">
            <v>0</v>
          </cell>
          <cell r="AX96">
            <v>0</v>
          </cell>
          <cell r="AY96">
            <v>0</v>
          </cell>
          <cell r="AZ96">
            <v>0</v>
          </cell>
          <cell r="BA96">
            <v>0</v>
          </cell>
          <cell r="BF96">
            <v>0</v>
          </cell>
          <cell r="BG96">
            <v>0</v>
          </cell>
          <cell r="BL96">
            <v>0</v>
          </cell>
          <cell r="BM96">
            <v>0</v>
          </cell>
          <cell r="BR96">
            <v>0</v>
          </cell>
          <cell r="BS96">
            <v>0</v>
          </cell>
          <cell r="BX96">
            <v>0</v>
          </cell>
          <cell r="BY96">
            <v>0</v>
          </cell>
          <cell r="CD96">
            <v>0</v>
          </cell>
          <cell r="CE96">
            <v>0</v>
          </cell>
          <cell r="CJ96">
            <v>0</v>
          </cell>
          <cell r="CK96">
            <v>0</v>
          </cell>
          <cell r="CP96">
            <v>0</v>
          </cell>
          <cell r="CQ96">
            <v>0</v>
          </cell>
          <cell r="CR96">
            <v>0</v>
          </cell>
          <cell r="CS96">
            <v>0</v>
          </cell>
          <cell r="CX96">
            <v>0</v>
          </cell>
          <cell r="CY96">
            <v>0</v>
          </cell>
          <cell r="CZ96">
            <v>0</v>
          </cell>
          <cell r="DA96">
            <v>0</v>
          </cell>
          <cell r="DF96">
            <v>0</v>
          </cell>
          <cell r="DG96">
            <v>0</v>
          </cell>
          <cell r="DH96">
            <v>0</v>
          </cell>
          <cell r="DI96">
            <v>0</v>
          </cell>
          <cell r="DN96">
            <v>0</v>
          </cell>
          <cell r="DO96">
            <v>0</v>
          </cell>
          <cell r="DP96">
            <v>0</v>
          </cell>
          <cell r="DQ96">
            <v>0</v>
          </cell>
          <cell r="DV96">
            <v>0</v>
          </cell>
          <cell r="DW96">
            <v>0</v>
          </cell>
          <cell r="DX96">
            <v>0</v>
          </cell>
          <cell r="DY96">
            <v>0</v>
          </cell>
        </row>
        <row r="97">
          <cell r="F97">
            <v>0</v>
          </cell>
          <cell r="G97">
            <v>0</v>
          </cell>
          <cell r="H97">
            <v>0</v>
          </cell>
          <cell r="I97">
            <v>0</v>
          </cell>
          <cell r="N97">
            <v>0</v>
          </cell>
          <cell r="O97">
            <v>0</v>
          </cell>
          <cell r="T97">
            <v>0</v>
          </cell>
          <cell r="U97">
            <v>0</v>
          </cell>
          <cell r="Z97">
            <v>0</v>
          </cell>
          <cell r="AA97">
            <v>0</v>
          </cell>
          <cell r="AF97">
            <v>0</v>
          </cell>
          <cell r="AG97">
            <v>0</v>
          </cell>
          <cell r="AL97">
            <v>0</v>
          </cell>
          <cell r="AM97">
            <v>0</v>
          </cell>
          <cell r="AR97">
            <v>0</v>
          </cell>
          <cell r="AS97">
            <v>0</v>
          </cell>
          <cell r="AX97">
            <v>0</v>
          </cell>
          <cell r="AY97">
            <v>0</v>
          </cell>
          <cell r="AZ97">
            <v>0</v>
          </cell>
          <cell r="BA97">
            <v>0</v>
          </cell>
          <cell r="BF97">
            <v>0</v>
          </cell>
          <cell r="BG97">
            <v>0</v>
          </cell>
          <cell r="BL97">
            <v>0</v>
          </cell>
          <cell r="BM97">
            <v>0</v>
          </cell>
          <cell r="BR97">
            <v>0</v>
          </cell>
          <cell r="BS97">
            <v>0</v>
          </cell>
          <cell r="BX97">
            <v>0</v>
          </cell>
          <cell r="BY97">
            <v>0</v>
          </cell>
          <cell r="CD97">
            <v>0</v>
          </cell>
          <cell r="CE97">
            <v>0</v>
          </cell>
          <cell r="CJ97">
            <v>0</v>
          </cell>
          <cell r="CK97">
            <v>0</v>
          </cell>
          <cell r="CP97">
            <v>0</v>
          </cell>
          <cell r="CQ97">
            <v>0</v>
          </cell>
          <cell r="CR97">
            <v>0</v>
          </cell>
          <cell r="CS97">
            <v>0</v>
          </cell>
          <cell r="CX97">
            <v>0</v>
          </cell>
          <cell r="CY97">
            <v>0</v>
          </cell>
          <cell r="CZ97">
            <v>0</v>
          </cell>
          <cell r="DA97">
            <v>0</v>
          </cell>
          <cell r="DF97">
            <v>0</v>
          </cell>
          <cell r="DG97">
            <v>0</v>
          </cell>
          <cell r="DH97">
            <v>0</v>
          </cell>
          <cell r="DI97">
            <v>0</v>
          </cell>
          <cell r="DN97">
            <v>0</v>
          </cell>
          <cell r="DO97">
            <v>0</v>
          </cell>
          <cell r="DP97">
            <v>0</v>
          </cell>
          <cell r="DQ97">
            <v>0</v>
          </cell>
          <cell r="DV97">
            <v>0</v>
          </cell>
          <cell r="DW97">
            <v>0</v>
          </cell>
          <cell r="DX97">
            <v>0</v>
          </cell>
          <cell r="DY97">
            <v>0</v>
          </cell>
        </row>
        <row r="98">
          <cell r="F98">
            <v>0</v>
          </cell>
          <cell r="G98">
            <v>0</v>
          </cell>
          <cell r="H98">
            <v>0</v>
          </cell>
          <cell r="I98">
            <v>0</v>
          </cell>
          <cell r="N98">
            <v>0</v>
          </cell>
          <cell r="O98">
            <v>0</v>
          </cell>
          <cell r="T98">
            <v>0</v>
          </cell>
          <cell r="U98">
            <v>0</v>
          </cell>
          <cell r="Z98">
            <v>0</v>
          </cell>
          <cell r="AA98">
            <v>0</v>
          </cell>
          <cell r="AF98">
            <v>0</v>
          </cell>
          <cell r="AG98">
            <v>0</v>
          </cell>
          <cell r="AL98">
            <v>0</v>
          </cell>
          <cell r="AM98">
            <v>0</v>
          </cell>
          <cell r="AR98">
            <v>0</v>
          </cell>
          <cell r="AS98">
            <v>0</v>
          </cell>
          <cell r="AX98">
            <v>0</v>
          </cell>
          <cell r="AY98">
            <v>0</v>
          </cell>
          <cell r="AZ98">
            <v>0</v>
          </cell>
          <cell r="BA98">
            <v>0</v>
          </cell>
          <cell r="BF98">
            <v>0</v>
          </cell>
          <cell r="BG98">
            <v>0</v>
          </cell>
          <cell r="BL98">
            <v>0</v>
          </cell>
          <cell r="BM98">
            <v>0</v>
          </cell>
          <cell r="BR98">
            <v>0</v>
          </cell>
          <cell r="BS98">
            <v>0</v>
          </cell>
          <cell r="BX98">
            <v>0</v>
          </cell>
          <cell r="BY98">
            <v>0</v>
          </cell>
          <cell r="CD98">
            <v>0</v>
          </cell>
          <cell r="CE98">
            <v>0</v>
          </cell>
          <cell r="CJ98">
            <v>0</v>
          </cell>
          <cell r="CK98">
            <v>0</v>
          </cell>
          <cell r="CP98">
            <v>0</v>
          </cell>
          <cell r="CQ98">
            <v>0</v>
          </cell>
          <cell r="CR98">
            <v>0</v>
          </cell>
          <cell r="CS98">
            <v>0</v>
          </cell>
          <cell r="CX98">
            <v>0</v>
          </cell>
          <cell r="CY98">
            <v>0</v>
          </cell>
          <cell r="CZ98">
            <v>0</v>
          </cell>
          <cell r="DA98">
            <v>0</v>
          </cell>
          <cell r="DF98">
            <v>0</v>
          </cell>
          <cell r="DG98">
            <v>0</v>
          </cell>
          <cell r="DH98">
            <v>0</v>
          </cell>
          <cell r="DI98">
            <v>0</v>
          </cell>
          <cell r="DN98">
            <v>0</v>
          </cell>
          <cell r="DO98">
            <v>0</v>
          </cell>
          <cell r="DP98">
            <v>0</v>
          </cell>
          <cell r="DQ98">
            <v>0</v>
          </cell>
          <cell r="DV98">
            <v>0</v>
          </cell>
          <cell r="DW98">
            <v>0</v>
          </cell>
          <cell r="DX98">
            <v>0</v>
          </cell>
          <cell r="DY98">
            <v>0</v>
          </cell>
        </row>
        <row r="99">
          <cell r="F99">
            <v>0</v>
          </cell>
          <cell r="G99">
            <v>0</v>
          </cell>
          <cell r="H99">
            <v>0</v>
          </cell>
          <cell r="I99">
            <v>0</v>
          </cell>
          <cell r="N99">
            <v>0</v>
          </cell>
          <cell r="O99">
            <v>0</v>
          </cell>
          <cell r="T99">
            <v>0</v>
          </cell>
          <cell r="U99">
            <v>0</v>
          </cell>
          <cell r="Z99">
            <v>0</v>
          </cell>
          <cell r="AA99">
            <v>0</v>
          </cell>
          <cell r="AF99">
            <v>0</v>
          </cell>
          <cell r="AG99">
            <v>0</v>
          </cell>
          <cell r="AL99">
            <v>0</v>
          </cell>
          <cell r="AM99">
            <v>0</v>
          </cell>
          <cell r="AR99">
            <v>0</v>
          </cell>
          <cell r="AS99">
            <v>0</v>
          </cell>
          <cell r="AX99">
            <v>0</v>
          </cell>
          <cell r="AY99">
            <v>0</v>
          </cell>
          <cell r="AZ99">
            <v>0</v>
          </cell>
          <cell r="BA99">
            <v>0</v>
          </cell>
          <cell r="BF99">
            <v>0</v>
          </cell>
          <cell r="BG99">
            <v>0</v>
          </cell>
          <cell r="BL99">
            <v>0</v>
          </cell>
          <cell r="BM99">
            <v>0</v>
          </cell>
          <cell r="BR99">
            <v>0</v>
          </cell>
          <cell r="BS99">
            <v>0</v>
          </cell>
          <cell r="BX99">
            <v>0</v>
          </cell>
          <cell r="BY99">
            <v>0</v>
          </cell>
          <cell r="CD99">
            <v>0</v>
          </cell>
          <cell r="CE99">
            <v>0</v>
          </cell>
          <cell r="CJ99">
            <v>0</v>
          </cell>
          <cell r="CK99">
            <v>0</v>
          </cell>
          <cell r="CP99">
            <v>0</v>
          </cell>
          <cell r="CQ99">
            <v>0</v>
          </cell>
          <cell r="CR99">
            <v>0</v>
          </cell>
          <cell r="CS99">
            <v>0</v>
          </cell>
          <cell r="CX99">
            <v>0</v>
          </cell>
          <cell r="CY99">
            <v>0</v>
          </cell>
          <cell r="CZ99">
            <v>0</v>
          </cell>
          <cell r="DA99">
            <v>0</v>
          </cell>
          <cell r="DF99">
            <v>0</v>
          </cell>
          <cell r="DG99">
            <v>0</v>
          </cell>
          <cell r="DH99">
            <v>0</v>
          </cell>
          <cell r="DI99">
            <v>0</v>
          </cell>
          <cell r="DN99">
            <v>0</v>
          </cell>
          <cell r="DO99">
            <v>0</v>
          </cell>
          <cell r="DP99">
            <v>0</v>
          </cell>
          <cell r="DQ99">
            <v>0</v>
          </cell>
          <cell r="DV99">
            <v>0</v>
          </cell>
          <cell r="DW99">
            <v>0</v>
          </cell>
          <cell r="DX99">
            <v>0</v>
          </cell>
          <cell r="DY99">
            <v>0</v>
          </cell>
        </row>
        <row r="100">
          <cell r="F100">
            <v>0</v>
          </cell>
          <cell r="G100">
            <v>0</v>
          </cell>
          <cell r="H100">
            <v>0</v>
          </cell>
          <cell r="I100">
            <v>0</v>
          </cell>
          <cell r="N100">
            <v>0</v>
          </cell>
          <cell r="O100">
            <v>0</v>
          </cell>
          <cell r="T100">
            <v>0</v>
          </cell>
          <cell r="U100">
            <v>0</v>
          </cell>
          <cell r="Z100">
            <v>0</v>
          </cell>
          <cell r="AA100">
            <v>0</v>
          </cell>
          <cell r="AF100">
            <v>0</v>
          </cell>
          <cell r="AG100">
            <v>0</v>
          </cell>
          <cell r="AL100">
            <v>0</v>
          </cell>
          <cell r="AM100">
            <v>0</v>
          </cell>
          <cell r="AR100">
            <v>0</v>
          </cell>
          <cell r="AS100">
            <v>0</v>
          </cell>
          <cell r="AX100">
            <v>0</v>
          </cell>
          <cell r="AY100">
            <v>0</v>
          </cell>
          <cell r="AZ100">
            <v>0</v>
          </cell>
          <cell r="BA100">
            <v>0</v>
          </cell>
          <cell r="BF100">
            <v>0</v>
          </cell>
          <cell r="BG100">
            <v>0</v>
          </cell>
          <cell r="BL100">
            <v>0</v>
          </cell>
          <cell r="BM100">
            <v>0</v>
          </cell>
          <cell r="BR100">
            <v>0</v>
          </cell>
          <cell r="BS100">
            <v>0</v>
          </cell>
          <cell r="BX100">
            <v>0</v>
          </cell>
          <cell r="BY100">
            <v>0</v>
          </cell>
          <cell r="CD100">
            <v>0</v>
          </cell>
          <cell r="CE100">
            <v>0</v>
          </cell>
          <cell r="CJ100">
            <v>0</v>
          </cell>
          <cell r="CK100">
            <v>0</v>
          </cell>
          <cell r="CP100">
            <v>0</v>
          </cell>
          <cell r="CQ100">
            <v>0</v>
          </cell>
          <cell r="CR100">
            <v>0</v>
          </cell>
          <cell r="CS100">
            <v>0</v>
          </cell>
          <cell r="CX100">
            <v>0</v>
          </cell>
          <cell r="CY100">
            <v>0</v>
          </cell>
          <cell r="CZ100">
            <v>0</v>
          </cell>
          <cell r="DA100">
            <v>0</v>
          </cell>
          <cell r="DF100">
            <v>0</v>
          </cell>
          <cell r="DG100">
            <v>0</v>
          </cell>
          <cell r="DH100">
            <v>0</v>
          </cell>
          <cell r="DI100">
            <v>0</v>
          </cell>
          <cell r="DN100">
            <v>0</v>
          </cell>
          <cell r="DO100">
            <v>0</v>
          </cell>
          <cell r="DP100">
            <v>0</v>
          </cell>
          <cell r="DQ100">
            <v>0</v>
          </cell>
          <cell r="DV100">
            <v>0</v>
          </cell>
          <cell r="DW100">
            <v>0</v>
          </cell>
          <cell r="DX100">
            <v>0</v>
          </cell>
          <cell r="DY100">
            <v>0</v>
          </cell>
        </row>
        <row r="101">
          <cell r="F101">
            <v>105000</v>
          </cell>
          <cell r="G101">
            <v>6084.4120000000003</v>
          </cell>
          <cell r="H101">
            <v>-34.176999999999992</v>
          </cell>
          <cell r="I101">
            <v>-0.56171409825633101</v>
          </cell>
          <cell r="N101">
            <v>7144</v>
          </cell>
          <cell r="O101">
            <v>414.80792000000002</v>
          </cell>
          <cell r="P101">
            <v>-35.484999999999999</v>
          </cell>
          <cell r="T101">
            <v>8288</v>
          </cell>
          <cell r="U101">
            <v>488.51583999999997</v>
          </cell>
          <cell r="V101">
            <v>-12.84</v>
          </cell>
          <cell r="Z101">
            <v>8288</v>
          </cell>
          <cell r="AA101">
            <v>488.51583999999997</v>
          </cell>
          <cell r="AB101">
            <v>-7.35</v>
          </cell>
          <cell r="AF101">
            <v>7404</v>
          </cell>
          <cell r="AG101">
            <v>431.55971999999997</v>
          </cell>
          <cell r="AH101">
            <v>-11.787000000000001</v>
          </cell>
          <cell r="AL101">
            <v>7404</v>
          </cell>
          <cell r="AM101">
            <v>431.55971999999997</v>
          </cell>
          <cell r="AN101">
            <v>-7.8179999999999996</v>
          </cell>
          <cell r="AR101">
            <v>7872</v>
          </cell>
          <cell r="AS101">
            <v>461.71296000000001</v>
          </cell>
          <cell r="AT101">
            <v>-2.0049999999999999</v>
          </cell>
          <cell r="AX101">
            <v>46400</v>
          </cell>
          <cell r="AY101">
            <v>2716.672</v>
          </cell>
          <cell r="AZ101">
            <v>-77.284999999999997</v>
          </cell>
          <cell r="BA101">
            <v>-2.8448410408028648</v>
          </cell>
          <cell r="BF101">
            <v>8404</v>
          </cell>
          <cell r="BG101">
            <v>476.8116</v>
          </cell>
          <cell r="BH101">
            <v>-10.441000000000001</v>
          </cell>
          <cell r="BL101">
            <v>9808</v>
          </cell>
          <cell r="BM101">
            <v>565.1232</v>
          </cell>
          <cell r="BN101">
            <v>2.173</v>
          </cell>
          <cell r="BR101">
            <v>9808</v>
          </cell>
          <cell r="BS101">
            <v>565.1232</v>
          </cell>
          <cell r="BT101">
            <v>5.5209999999999999</v>
          </cell>
          <cell r="BX101">
            <v>10574</v>
          </cell>
          <cell r="BY101">
            <v>605.90459999999996</v>
          </cell>
          <cell r="BZ101">
            <v>14.141999999999999</v>
          </cell>
          <cell r="CD101">
            <v>9574</v>
          </cell>
          <cell r="CE101">
            <v>550.40459999999996</v>
          </cell>
          <cell r="CF101">
            <v>13.497999999999999</v>
          </cell>
          <cell r="CJ101">
            <v>10432</v>
          </cell>
          <cell r="CK101">
            <v>604.37279999999998</v>
          </cell>
          <cell r="CL101">
            <v>18.215</v>
          </cell>
          <cell r="CP101">
            <v>58600</v>
          </cell>
          <cell r="CQ101">
            <v>3367.74</v>
          </cell>
          <cell r="CR101">
            <v>43.108000000000004</v>
          </cell>
          <cell r="CS101">
            <v>1.2800275555713923</v>
          </cell>
          <cell r="CX101">
            <v>23720</v>
          </cell>
          <cell r="CY101">
            <v>1391.8396</v>
          </cell>
          <cell r="CZ101">
            <v>-55.675000000000004</v>
          </cell>
          <cell r="DA101">
            <v>-4.0001017358609428</v>
          </cell>
          <cell r="DF101">
            <v>22680</v>
          </cell>
          <cell r="DG101">
            <v>1324.8324</v>
          </cell>
          <cell r="DH101">
            <v>-21.61</v>
          </cell>
          <cell r="DI101">
            <v>-1.6311497212779518</v>
          </cell>
          <cell r="DN101">
            <v>28020</v>
          </cell>
          <cell r="DO101">
            <v>1607.058</v>
          </cell>
          <cell r="DP101">
            <v>-2.7470000000000008</v>
          </cell>
          <cell r="DQ101">
            <v>-0.17093346973164633</v>
          </cell>
          <cell r="DV101">
            <v>30580</v>
          </cell>
          <cell r="DW101">
            <v>1760.6819999999998</v>
          </cell>
          <cell r="DX101">
            <v>45.855000000000004</v>
          </cell>
          <cell r="DY101">
            <v>2.6043885267186244</v>
          </cell>
        </row>
        <row r="102">
          <cell r="F102">
            <v>25000</v>
          </cell>
          <cell r="G102">
            <v>1693.3044</v>
          </cell>
          <cell r="H102">
            <v>122.69800000000001</v>
          </cell>
          <cell r="I102">
            <v>7.2460686926697884</v>
          </cell>
          <cell r="N102">
            <v>1336</v>
          </cell>
          <cell r="O102">
            <v>90.389983999999998</v>
          </cell>
          <cell r="P102">
            <v>-4.516</v>
          </cell>
          <cell r="T102">
            <v>2172</v>
          </cell>
          <cell r="U102">
            <v>149.322968</v>
          </cell>
          <cell r="V102">
            <v>3.8860000000000001</v>
          </cell>
          <cell r="Z102">
            <v>2172</v>
          </cell>
          <cell r="AA102">
            <v>149.322968</v>
          </cell>
          <cell r="AB102">
            <v>7.6139999999999999</v>
          </cell>
          <cell r="AF102">
            <v>1526</v>
          </cell>
          <cell r="AG102">
            <v>103.783844</v>
          </cell>
          <cell r="AH102">
            <v>5.2359999999999998</v>
          </cell>
          <cell r="AL102">
            <v>1526</v>
          </cell>
          <cell r="AM102">
            <v>103.783844</v>
          </cell>
          <cell r="AN102">
            <v>6.4450000000000003</v>
          </cell>
          <cell r="AR102">
            <v>1868</v>
          </cell>
          <cell r="AS102">
            <v>127.892792</v>
          </cell>
          <cell r="AT102">
            <v>9.8460000000000001</v>
          </cell>
          <cell r="AX102">
            <v>10600</v>
          </cell>
          <cell r="AY102">
            <v>724.49640000000011</v>
          </cell>
          <cell r="AZ102">
            <v>28.511000000000003</v>
          </cell>
          <cell r="BA102">
            <v>3.935285254695537</v>
          </cell>
          <cell r="BF102">
            <v>1526</v>
          </cell>
          <cell r="BG102">
            <v>101.31932</v>
          </cell>
          <cell r="BH102">
            <v>6.2389999999999999</v>
          </cell>
          <cell r="BL102">
            <v>2552</v>
          </cell>
          <cell r="BM102">
            <v>171.92864</v>
          </cell>
          <cell r="BN102">
            <v>14.749000000000001</v>
          </cell>
          <cell r="BR102">
            <v>2552</v>
          </cell>
          <cell r="BS102">
            <v>171.92864</v>
          </cell>
          <cell r="BT102">
            <v>16.035</v>
          </cell>
          <cell r="BX102">
            <v>2381</v>
          </cell>
          <cell r="BY102">
            <v>160.16041999999999</v>
          </cell>
          <cell r="BZ102">
            <v>16.942</v>
          </cell>
          <cell r="CD102">
            <v>2381</v>
          </cell>
          <cell r="CE102">
            <v>160.16041999999999</v>
          </cell>
          <cell r="CF102">
            <v>17.303000000000001</v>
          </cell>
          <cell r="CJ102">
            <v>3008</v>
          </cell>
          <cell r="CK102">
            <v>203.31056000000001</v>
          </cell>
          <cell r="CL102">
            <v>22.919</v>
          </cell>
          <cell r="CP102">
            <v>14400</v>
          </cell>
          <cell r="CQ102">
            <v>968.80799999999999</v>
          </cell>
          <cell r="CR102">
            <v>94.186999999999998</v>
          </cell>
          <cell r="CS102">
            <v>9.721946969884641</v>
          </cell>
          <cell r="CX102">
            <v>5680</v>
          </cell>
          <cell r="CY102">
            <v>389.03592000000003</v>
          </cell>
          <cell r="CZ102">
            <v>6.984</v>
          </cell>
          <cell r="DA102">
            <v>1.7952069824297971</v>
          </cell>
          <cell r="DF102">
            <v>4920</v>
          </cell>
          <cell r="DG102">
            <v>335.46048000000002</v>
          </cell>
          <cell r="DH102">
            <v>21.527000000000001</v>
          </cell>
          <cell r="DI102">
            <v>6.4171493464744334</v>
          </cell>
          <cell r="DN102">
            <v>6630</v>
          </cell>
          <cell r="DO102">
            <v>445.17660000000001</v>
          </cell>
          <cell r="DP102">
            <v>37.022999999999996</v>
          </cell>
          <cell r="DQ102">
            <v>8.3164748551473728</v>
          </cell>
          <cell r="DV102">
            <v>7770</v>
          </cell>
          <cell r="DW102">
            <v>523.63139999999999</v>
          </cell>
          <cell r="DX102">
            <v>57.164000000000001</v>
          </cell>
          <cell r="DY102">
            <v>10.916839593653094</v>
          </cell>
        </row>
        <row r="103">
          <cell r="F103">
            <v>3000</v>
          </cell>
          <cell r="G103">
            <v>202.76</v>
          </cell>
          <cell r="H103">
            <v>-61.558</v>
          </cell>
          <cell r="I103">
            <v>-30.360031564411127</v>
          </cell>
          <cell r="N103">
            <v>0</v>
          </cell>
          <cell r="O103">
            <v>0</v>
          </cell>
          <cell r="P103">
            <v>0</v>
          </cell>
          <cell r="T103">
            <v>0</v>
          </cell>
          <cell r="U103">
            <v>0</v>
          </cell>
          <cell r="V103">
            <v>0</v>
          </cell>
          <cell r="Z103">
            <v>0</v>
          </cell>
          <cell r="AA103">
            <v>0</v>
          </cell>
          <cell r="AB103">
            <v>0</v>
          </cell>
          <cell r="AF103">
            <v>0</v>
          </cell>
          <cell r="AG103">
            <v>0</v>
          </cell>
          <cell r="AH103">
            <v>0</v>
          </cell>
          <cell r="AL103">
            <v>0</v>
          </cell>
          <cell r="AM103">
            <v>0</v>
          </cell>
          <cell r="AN103">
            <v>0</v>
          </cell>
          <cell r="AR103">
            <v>0</v>
          </cell>
          <cell r="AS103">
            <v>0</v>
          </cell>
          <cell r="AT103">
            <v>0</v>
          </cell>
          <cell r="AX103">
            <v>0</v>
          </cell>
          <cell r="AY103">
            <v>0</v>
          </cell>
          <cell r="AZ103">
            <v>0</v>
          </cell>
          <cell r="BA103">
            <v>0</v>
          </cell>
          <cell r="BF103">
            <v>0</v>
          </cell>
          <cell r="BG103">
            <v>0</v>
          </cell>
          <cell r="BH103">
            <v>0</v>
          </cell>
          <cell r="BL103">
            <v>0</v>
          </cell>
          <cell r="BM103">
            <v>0</v>
          </cell>
          <cell r="BN103">
            <v>0</v>
          </cell>
          <cell r="BR103">
            <v>0</v>
          </cell>
          <cell r="BS103">
            <v>0</v>
          </cell>
          <cell r="BT103">
            <v>0</v>
          </cell>
          <cell r="BX103">
            <v>0</v>
          </cell>
          <cell r="BY103">
            <v>0</v>
          </cell>
          <cell r="BZ103">
            <v>0</v>
          </cell>
          <cell r="CD103">
            <v>0</v>
          </cell>
          <cell r="CE103">
            <v>0</v>
          </cell>
          <cell r="CF103">
            <v>0</v>
          </cell>
          <cell r="CJ103">
            <v>3000</v>
          </cell>
          <cell r="CK103">
            <v>202.76</v>
          </cell>
          <cell r="CL103">
            <v>-61.558</v>
          </cell>
          <cell r="CP103">
            <v>3000</v>
          </cell>
          <cell r="CQ103">
            <v>202.76</v>
          </cell>
          <cell r="CR103">
            <v>-61.558</v>
          </cell>
          <cell r="CS103">
            <v>-30.360031564411127</v>
          </cell>
          <cell r="CX103">
            <v>0</v>
          </cell>
          <cell r="CY103">
            <v>0</v>
          </cell>
          <cell r="CZ103">
            <v>0</v>
          </cell>
          <cell r="DA103">
            <v>0</v>
          </cell>
          <cell r="DF103">
            <v>0</v>
          </cell>
          <cell r="DG103">
            <v>0</v>
          </cell>
          <cell r="DH103">
            <v>0</v>
          </cell>
          <cell r="DI103">
            <v>0</v>
          </cell>
          <cell r="DN103">
            <v>0</v>
          </cell>
          <cell r="DO103">
            <v>0</v>
          </cell>
          <cell r="DP103">
            <v>0</v>
          </cell>
          <cell r="DQ103">
            <v>0</v>
          </cell>
          <cell r="DV103">
            <v>3000</v>
          </cell>
          <cell r="DW103">
            <v>202.76</v>
          </cell>
          <cell r="DX103">
            <v>-61.558</v>
          </cell>
          <cell r="DY103">
            <v>-30.360031564411127</v>
          </cell>
        </row>
        <row r="104">
          <cell r="F104">
            <v>0</v>
          </cell>
          <cell r="G104">
            <v>0</v>
          </cell>
          <cell r="H104">
            <v>0</v>
          </cell>
          <cell r="I104">
            <v>0</v>
          </cell>
          <cell r="N104">
            <v>0</v>
          </cell>
          <cell r="O104">
            <v>0</v>
          </cell>
          <cell r="T104">
            <v>0</v>
          </cell>
          <cell r="U104">
            <v>0</v>
          </cell>
          <cell r="Z104">
            <v>0</v>
          </cell>
          <cell r="AA104">
            <v>0</v>
          </cell>
          <cell r="AF104">
            <v>0</v>
          </cell>
          <cell r="AG104">
            <v>0</v>
          </cell>
          <cell r="AL104">
            <v>0</v>
          </cell>
          <cell r="AM104">
            <v>0</v>
          </cell>
          <cell r="AR104">
            <v>0</v>
          </cell>
          <cell r="AS104">
            <v>0</v>
          </cell>
          <cell r="AX104">
            <v>0</v>
          </cell>
          <cell r="AY104">
            <v>0</v>
          </cell>
          <cell r="AZ104">
            <v>0</v>
          </cell>
          <cell r="BA104">
            <v>0</v>
          </cell>
          <cell r="BF104">
            <v>0</v>
          </cell>
          <cell r="BG104">
            <v>0</v>
          </cell>
          <cell r="BL104">
            <v>0</v>
          </cell>
          <cell r="BM104">
            <v>0</v>
          </cell>
          <cell r="BR104">
            <v>0</v>
          </cell>
          <cell r="BS104">
            <v>0</v>
          </cell>
          <cell r="BX104">
            <v>0</v>
          </cell>
          <cell r="BY104">
            <v>0</v>
          </cell>
          <cell r="CD104">
            <v>0</v>
          </cell>
          <cell r="CE104">
            <v>0</v>
          </cell>
          <cell r="CJ104">
            <v>0</v>
          </cell>
          <cell r="CK104">
            <v>0</v>
          </cell>
          <cell r="CP104">
            <v>0</v>
          </cell>
          <cell r="CQ104">
            <v>0</v>
          </cell>
          <cell r="CR104">
            <v>0</v>
          </cell>
          <cell r="CS104">
            <v>0</v>
          </cell>
          <cell r="CX104">
            <v>0</v>
          </cell>
          <cell r="CY104">
            <v>0</v>
          </cell>
          <cell r="CZ104">
            <v>0</v>
          </cell>
          <cell r="DA104">
            <v>0</v>
          </cell>
          <cell r="DF104">
            <v>0</v>
          </cell>
          <cell r="DG104">
            <v>0</v>
          </cell>
          <cell r="DH104">
            <v>0</v>
          </cell>
          <cell r="DI104">
            <v>0</v>
          </cell>
          <cell r="DN104">
            <v>0</v>
          </cell>
          <cell r="DO104">
            <v>0</v>
          </cell>
          <cell r="DP104">
            <v>0</v>
          </cell>
          <cell r="DQ104">
            <v>0</v>
          </cell>
          <cell r="DV104">
            <v>0</v>
          </cell>
          <cell r="DW104">
            <v>0</v>
          </cell>
          <cell r="DX104">
            <v>0</v>
          </cell>
          <cell r="DY104">
            <v>0</v>
          </cell>
        </row>
        <row r="105">
          <cell r="F105">
            <v>4000</v>
          </cell>
          <cell r="G105">
            <v>288.23</v>
          </cell>
          <cell r="H105">
            <v>-77.409000000000006</v>
          </cell>
          <cell r="I105">
            <v>-26.85667695937272</v>
          </cell>
          <cell r="N105">
            <v>0</v>
          </cell>
          <cell r="O105">
            <v>0</v>
          </cell>
          <cell r="P105">
            <v>0</v>
          </cell>
          <cell r="T105">
            <v>0</v>
          </cell>
          <cell r="U105">
            <v>0</v>
          </cell>
          <cell r="V105">
            <v>0</v>
          </cell>
          <cell r="Z105">
            <v>0</v>
          </cell>
          <cell r="AA105">
            <v>0</v>
          </cell>
          <cell r="AB105">
            <v>0</v>
          </cell>
          <cell r="AF105">
            <v>0</v>
          </cell>
          <cell r="AG105">
            <v>0</v>
          </cell>
          <cell r="AH105">
            <v>0</v>
          </cell>
          <cell r="AL105">
            <v>0</v>
          </cell>
          <cell r="AM105">
            <v>0</v>
          </cell>
          <cell r="AN105">
            <v>0</v>
          </cell>
          <cell r="AR105">
            <v>0</v>
          </cell>
          <cell r="AS105">
            <v>0</v>
          </cell>
          <cell r="AT105">
            <v>0</v>
          </cell>
          <cell r="AX105">
            <v>0</v>
          </cell>
          <cell r="AY105">
            <v>0</v>
          </cell>
          <cell r="AZ105">
            <v>0</v>
          </cell>
          <cell r="BA105">
            <v>0</v>
          </cell>
          <cell r="BF105">
            <v>0</v>
          </cell>
          <cell r="BG105">
            <v>0</v>
          </cell>
          <cell r="BH105">
            <v>0</v>
          </cell>
          <cell r="BL105">
            <v>0</v>
          </cell>
          <cell r="BM105">
            <v>0</v>
          </cell>
          <cell r="BN105">
            <v>0</v>
          </cell>
          <cell r="BR105">
            <v>0</v>
          </cell>
          <cell r="BS105">
            <v>0</v>
          </cell>
          <cell r="BT105">
            <v>0</v>
          </cell>
          <cell r="BX105">
            <v>0</v>
          </cell>
          <cell r="BY105">
            <v>0</v>
          </cell>
          <cell r="BZ105">
            <v>0</v>
          </cell>
          <cell r="CD105">
            <v>0</v>
          </cell>
          <cell r="CE105">
            <v>0</v>
          </cell>
          <cell r="CF105">
            <v>0</v>
          </cell>
          <cell r="CJ105">
            <v>4000</v>
          </cell>
          <cell r="CK105">
            <v>288.23</v>
          </cell>
          <cell r="CL105">
            <v>-77.409000000000006</v>
          </cell>
          <cell r="CP105">
            <v>4000</v>
          </cell>
          <cell r="CQ105">
            <v>288.23</v>
          </cell>
          <cell r="CR105">
            <v>-77.409000000000006</v>
          </cell>
          <cell r="CS105">
            <v>-26.85667695937272</v>
          </cell>
          <cell r="CX105">
            <v>0</v>
          </cell>
          <cell r="CY105">
            <v>0</v>
          </cell>
          <cell r="CZ105">
            <v>0</v>
          </cell>
          <cell r="DA105">
            <v>0</v>
          </cell>
          <cell r="DF105">
            <v>0</v>
          </cell>
          <cell r="DG105">
            <v>0</v>
          </cell>
          <cell r="DH105">
            <v>0</v>
          </cell>
          <cell r="DI105">
            <v>0</v>
          </cell>
          <cell r="DN105">
            <v>0</v>
          </cell>
          <cell r="DO105">
            <v>0</v>
          </cell>
          <cell r="DP105">
            <v>0</v>
          </cell>
          <cell r="DQ105">
            <v>0</v>
          </cell>
          <cell r="DV105">
            <v>4000</v>
          </cell>
          <cell r="DW105">
            <v>288.23</v>
          </cell>
          <cell r="DX105">
            <v>-77.409000000000006</v>
          </cell>
          <cell r="DY105">
            <v>-26.85667695937272</v>
          </cell>
        </row>
        <row r="106">
          <cell r="F106">
            <v>3000</v>
          </cell>
          <cell r="G106">
            <v>297.48</v>
          </cell>
          <cell r="H106">
            <v>8.8970000000000002</v>
          </cell>
          <cell r="I106">
            <v>2.9907892967594458</v>
          </cell>
          <cell r="N106">
            <v>0</v>
          </cell>
          <cell r="O106">
            <v>0</v>
          </cell>
          <cell r="P106">
            <v>0</v>
          </cell>
          <cell r="T106">
            <v>0</v>
          </cell>
          <cell r="U106">
            <v>0</v>
          </cell>
          <cell r="V106">
            <v>0</v>
          </cell>
          <cell r="Z106">
            <v>0</v>
          </cell>
          <cell r="AA106">
            <v>0</v>
          </cell>
          <cell r="AB106">
            <v>0</v>
          </cell>
          <cell r="AF106">
            <v>0</v>
          </cell>
          <cell r="AG106">
            <v>0</v>
          </cell>
          <cell r="AH106">
            <v>0</v>
          </cell>
          <cell r="AL106">
            <v>0</v>
          </cell>
          <cell r="AM106">
            <v>0</v>
          </cell>
          <cell r="AN106">
            <v>0</v>
          </cell>
          <cell r="AR106">
            <v>0</v>
          </cell>
          <cell r="AS106">
            <v>0</v>
          </cell>
          <cell r="AT106">
            <v>0</v>
          </cell>
          <cell r="AX106">
            <v>0</v>
          </cell>
          <cell r="AY106">
            <v>0</v>
          </cell>
          <cell r="AZ106">
            <v>0</v>
          </cell>
          <cell r="BA106">
            <v>0</v>
          </cell>
          <cell r="BF106">
            <v>0</v>
          </cell>
          <cell r="BG106">
            <v>0</v>
          </cell>
          <cell r="BH106">
            <v>0</v>
          </cell>
          <cell r="BL106">
            <v>0</v>
          </cell>
          <cell r="BM106">
            <v>0</v>
          </cell>
          <cell r="BN106">
            <v>0</v>
          </cell>
          <cell r="BR106">
            <v>0</v>
          </cell>
          <cell r="BS106">
            <v>0</v>
          </cell>
          <cell r="BT106">
            <v>0</v>
          </cell>
          <cell r="BX106">
            <v>0</v>
          </cell>
          <cell r="BY106">
            <v>0</v>
          </cell>
          <cell r="BZ106">
            <v>0</v>
          </cell>
          <cell r="CD106">
            <v>0</v>
          </cell>
          <cell r="CE106">
            <v>0</v>
          </cell>
          <cell r="CF106">
            <v>0</v>
          </cell>
          <cell r="CJ106">
            <v>3000</v>
          </cell>
          <cell r="CK106">
            <v>297.48</v>
          </cell>
          <cell r="CL106">
            <v>8.8970000000000002</v>
          </cell>
          <cell r="CP106">
            <v>3000</v>
          </cell>
          <cell r="CQ106">
            <v>297.48</v>
          </cell>
          <cell r="CR106">
            <v>8.8970000000000002</v>
          </cell>
          <cell r="CS106">
            <v>2.9907892967594458</v>
          </cell>
          <cell r="CX106">
            <v>0</v>
          </cell>
          <cell r="CY106">
            <v>0</v>
          </cell>
          <cell r="CZ106">
            <v>0</v>
          </cell>
          <cell r="DA106">
            <v>0</v>
          </cell>
          <cell r="DF106">
            <v>0</v>
          </cell>
          <cell r="DG106">
            <v>0</v>
          </cell>
          <cell r="DH106">
            <v>0</v>
          </cell>
          <cell r="DI106">
            <v>0</v>
          </cell>
          <cell r="DN106">
            <v>0</v>
          </cell>
          <cell r="DO106">
            <v>0</v>
          </cell>
          <cell r="DP106">
            <v>0</v>
          </cell>
          <cell r="DQ106">
            <v>0</v>
          </cell>
          <cell r="DV106">
            <v>3000</v>
          </cell>
          <cell r="DW106">
            <v>297.48</v>
          </cell>
          <cell r="DX106">
            <v>8.8970000000000002</v>
          </cell>
          <cell r="DY106">
            <v>2.9907892967594458</v>
          </cell>
        </row>
        <row r="107">
          <cell r="F107">
            <v>27000</v>
          </cell>
          <cell r="G107">
            <v>1911.2914000000001</v>
          </cell>
          <cell r="H107">
            <v>-1.0469999999999988</v>
          </cell>
          <cell r="I107">
            <v>-5.4779715955400557E-2</v>
          </cell>
          <cell r="N107">
            <v>849</v>
          </cell>
          <cell r="O107">
            <v>61.159987999999998</v>
          </cell>
          <cell r="P107">
            <v>-4.9139999999999997</v>
          </cell>
          <cell r="T107">
            <v>893</v>
          </cell>
          <cell r="U107">
            <v>64.962115999999995</v>
          </cell>
          <cell r="V107">
            <v>-2.0379999999999998</v>
          </cell>
          <cell r="Z107">
            <v>2198</v>
          </cell>
          <cell r="AA107">
            <v>158.32497599999999</v>
          </cell>
          <cell r="AB107">
            <v>0.38900000000000001</v>
          </cell>
          <cell r="AF107">
            <v>1664</v>
          </cell>
          <cell r="AG107">
            <v>119.381968</v>
          </cell>
          <cell r="AH107">
            <v>-0.23400000000000001</v>
          </cell>
          <cell r="AL107">
            <v>2164</v>
          </cell>
          <cell r="AM107">
            <v>155.386968</v>
          </cell>
          <cell r="AN107">
            <v>0.6</v>
          </cell>
          <cell r="AR107">
            <v>1682</v>
          </cell>
          <cell r="AS107">
            <v>120.93738399999999</v>
          </cell>
          <cell r="AT107">
            <v>1.419</v>
          </cell>
          <cell r="AX107">
            <v>9450</v>
          </cell>
          <cell r="AY107">
            <v>680.15340000000003</v>
          </cell>
          <cell r="AZ107">
            <v>-4.7779999999999987</v>
          </cell>
          <cell r="BA107">
            <v>-0.70248858566317518</v>
          </cell>
          <cell r="BF107">
            <v>2796.5</v>
          </cell>
          <cell r="BG107">
            <v>195.69373999999999</v>
          </cell>
          <cell r="BH107">
            <v>-2.702</v>
          </cell>
          <cell r="BL107">
            <v>2350.5</v>
          </cell>
          <cell r="BM107">
            <v>165.09917999999999</v>
          </cell>
          <cell r="BN107">
            <v>-1.4319999999999999</v>
          </cell>
          <cell r="BR107">
            <v>3149.5</v>
          </cell>
          <cell r="BS107">
            <v>221.04761999999999</v>
          </cell>
          <cell r="BT107">
            <v>-1.2310000000000001</v>
          </cell>
          <cell r="BX107">
            <v>4336.5</v>
          </cell>
          <cell r="BY107">
            <v>303.48214000000002</v>
          </cell>
          <cell r="BZ107">
            <v>5.827</v>
          </cell>
          <cell r="CD107">
            <v>2790</v>
          </cell>
          <cell r="CE107">
            <v>195.5376</v>
          </cell>
          <cell r="CF107">
            <v>-0.156</v>
          </cell>
          <cell r="CJ107">
            <v>2127</v>
          </cell>
          <cell r="CK107">
            <v>150.27771999999999</v>
          </cell>
          <cell r="CL107">
            <v>3.4249999999999998</v>
          </cell>
          <cell r="CP107">
            <v>17550</v>
          </cell>
          <cell r="CQ107">
            <v>1231.1379999999999</v>
          </cell>
          <cell r="CR107">
            <v>3.7309999999999999</v>
          </cell>
          <cell r="CS107">
            <v>0.30305294776052727</v>
          </cell>
          <cell r="CX107">
            <v>3940</v>
          </cell>
          <cell r="CY107">
            <v>284.44707999999997</v>
          </cell>
          <cell r="CZ107">
            <v>-6.5629999999999997</v>
          </cell>
          <cell r="DA107">
            <v>-2.3072833090780893</v>
          </cell>
          <cell r="DF107">
            <v>5510</v>
          </cell>
          <cell r="DG107">
            <v>395.70632000000001</v>
          </cell>
          <cell r="DH107">
            <v>1.7850000000000001</v>
          </cell>
          <cell r="DI107">
            <v>0.45109211295892371</v>
          </cell>
          <cell r="DN107">
            <v>8296.5</v>
          </cell>
          <cell r="DO107">
            <v>581.84053999999992</v>
          </cell>
          <cell r="DP107">
            <v>-5.3650000000000002</v>
          </cell>
          <cell r="DQ107">
            <v>-0.9220739414273198</v>
          </cell>
          <cell r="DV107">
            <v>9253.5</v>
          </cell>
          <cell r="DW107">
            <v>649.29746</v>
          </cell>
          <cell r="DX107">
            <v>9.0960000000000001</v>
          </cell>
          <cell r="DY107">
            <v>1.400898749858039</v>
          </cell>
        </row>
        <row r="108">
          <cell r="F108">
            <v>9000</v>
          </cell>
          <cell r="G108">
            <v>673.56</v>
          </cell>
          <cell r="H108">
            <v>29.809000000000005</v>
          </cell>
          <cell r="I108">
            <v>4.4255894055466491</v>
          </cell>
          <cell r="N108">
            <v>700</v>
          </cell>
          <cell r="O108">
            <v>53.06</v>
          </cell>
          <cell r="P108">
            <v>0.57299999999999995</v>
          </cell>
          <cell r="T108">
            <v>700</v>
          </cell>
          <cell r="U108">
            <v>53.06</v>
          </cell>
          <cell r="V108">
            <v>1.913</v>
          </cell>
          <cell r="Z108">
            <v>700</v>
          </cell>
          <cell r="AA108">
            <v>53.06</v>
          </cell>
          <cell r="AB108">
            <v>2.254</v>
          </cell>
          <cell r="AF108">
            <v>700</v>
          </cell>
          <cell r="AG108">
            <v>53.06</v>
          </cell>
          <cell r="AH108">
            <v>2.1619999999999999</v>
          </cell>
          <cell r="AL108">
            <v>700</v>
          </cell>
          <cell r="AM108">
            <v>53.06</v>
          </cell>
          <cell r="AN108">
            <v>2.2669999999999999</v>
          </cell>
          <cell r="AR108">
            <v>700</v>
          </cell>
          <cell r="AS108">
            <v>53.06</v>
          </cell>
          <cell r="AT108">
            <v>2.778</v>
          </cell>
          <cell r="AX108">
            <v>4200</v>
          </cell>
          <cell r="AY108">
            <v>318.36</v>
          </cell>
          <cell r="AZ108">
            <v>11.947000000000001</v>
          </cell>
          <cell r="BA108">
            <v>3.7526699334087201</v>
          </cell>
          <cell r="BF108">
            <v>800</v>
          </cell>
          <cell r="BG108">
            <v>59.2</v>
          </cell>
          <cell r="BH108">
            <v>1.4690000000000001</v>
          </cell>
          <cell r="BL108">
            <v>800</v>
          </cell>
          <cell r="BM108">
            <v>59.2</v>
          </cell>
          <cell r="BN108">
            <v>3.0390000000000001</v>
          </cell>
          <cell r="BR108">
            <v>800</v>
          </cell>
          <cell r="BS108">
            <v>59.2</v>
          </cell>
          <cell r="BT108">
            <v>3.1749999999999998</v>
          </cell>
          <cell r="BX108">
            <v>800</v>
          </cell>
          <cell r="BY108">
            <v>59.2</v>
          </cell>
          <cell r="BZ108">
            <v>3.5739999999999998</v>
          </cell>
          <cell r="CD108">
            <v>800</v>
          </cell>
          <cell r="CE108">
            <v>59.2</v>
          </cell>
          <cell r="CF108">
            <v>3.13</v>
          </cell>
          <cell r="CJ108">
            <v>800</v>
          </cell>
          <cell r="CK108">
            <v>59.2</v>
          </cell>
          <cell r="CL108">
            <v>3.4750000000000001</v>
          </cell>
          <cell r="CP108">
            <v>4800</v>
          </cell>
          <cell r="CQ108">
            <v>355.2</v>
          </cell>
          <cell r="CR108">
            <v>17.862000000000002</v>
          </cell>
          <cell r="CS108">
            <v>5.0287162162162167</v>
          </cell>
          <cell r="CX108">
            <v>2100</v>
          </cell>
          <cell r="CY108">
            <v>159.18</v>
          </cell>
          <cell r="CZ108">
            <v>4.74</v>
          </cell>
          <cell r="DA108">
            <v>2.9777610252544289</v>
          </cell>
          <cell r="DF108">
            <v>2100</v>
          </cell>
          <cell r="DG108">
            <v>159.18</v>
          </cell>
          <cell r="DH108">
            <v>7.2070000000000007</v>
          </cell>
          <cell r="DI108">
            <v>4.5275788415630105</v>
          </cell>
          <cell r="DN108">
            <v>2400</v>
          </cell>
          <cell r="DO108">
            <v>177.60000000000002</v>
          </cell>
          <cell r="DP108">
            <v>7.6829999999999998</v>
          </cell>
          <cell r="DQ108">
            <v>4.3260135135135132</v>
          </cell>
          <cell r="DV108">
            <v>2400</v>
          </cell>
          <cell r="DW108">
            <v>177.60000000000002</v>
          </cell>
          <cell r="DX108">
            <v>10.179</v>
          </cell>
          <cell r="DY108">
            <v>5.7314189189189184</v>
          </cell>
        </row>
        <row r="109">
          <cell r="F109">
            <v>3000</v>
          </cell>
          <cell r="G109">
            <v>245.45240000000001</v>
          </cell>
          <cell r="H109">
            <v>-7.415</v>
          </cell>
          <cell r="I109">
            <v>-3.0209523312870434</v>
          </cell>
          <cell r="N109">
            <v>144</v>
          </cell>
          <cell r="O109">
            <v>11.876344</v>
          </cell>
          <cell r="P109">
            <v>-4.2450000000000001</v>
          </cell>
          <cell r="T109">
            <v>288</v>
          </cell>
          <cell r="U109">
            <v>23.752687999999999</v>
          </cell>
          <cell r="V109">
            <v>-2.258</v>
          </cell>
          <cell r="Z109">
            <v>188</v>
          </cell>
          <cell r="AA109">
            <v>15.945288</v>
          </cell>
          <cell r="AB109">
            <v>-2.5000000000000001E-2</v>
          </cell>
          <cell r="AF109">
            <v>254</v>
          </cell>
          <cell r="AG109">
            <v>20.608504</v>
          </cell>
          <cell r="AH109">
            <v>-0.54900000000000004</v>
          </cell>
          <cell r="AL109">
            <v>254</v>
          </cell>
          <cell r="AM109">
            <v>20.608504</v>
          </cell>
          <cell r="AN109">
            <v>-0.29199999999999998</v>
          </cell>
          <cell r="AR109">
            <v>272</v>
          </cell>
          <cell r="AS109">
            <v>22.273071999999999</v>
          </cell>
          <cell r="AT109">
            <v>0.315</v>
          </cell>
          <cell r="AX109">
            <v>1400</v>
          </cell>
          <cell r="AY109">
            <v>115.06439999999999</v>
          </cell>
          <cell r="AZ109">
            <v>-7.0540000000000003</v>
          </cell>
          <cell r="BA109">
            <v>-6.1304799746924337</v>
          </cell>
          <cell r="BF109">
            <v>154</v>
          </cell>
          <cell r="BG109">
            <v>12.497120000000001</v>
          </cell>
          <cell r="BH109">
            <v>-0.38300000000000001</v>
          </cell>
          <cell r="BL109">
            <v>308</v>
          </cell>
          <cell r="BM109">
            <v>24.994240000000001</v>
          </cell>
          <cell r="BN109">
            <v>-1.026</v>
          </cell>
          <cell r="BR109">
            <v>308</v>
          </cell>
          <cell r="BS109">
            <v>24.994240000000001</v>
          </cell>
          <cell r="BT109">
            <v>-0.51500000000000001</v>
          </cell>
          <cell r="BX109">
            <v>299</v>
          </cell>
          <cell r="BY109">
            <v>24.181719999999999</v>
          </cell>
          <cell r="BZ109">
            <v>1.085</v>
          </cell>
          <cell r="CD109">
            <v>299</v>
          </cell>
          <cell r="CE109">
            <v>24.181719999999999</v>
          </cell>
          <cell r="CF109">
            <v>-0.26500000000000001</v>
          </cell>
          <cell r="CJ109">
            <v>232</v>
          </cell>
          <cell r="CK109">
            <v>19.538959999999999</v>
          </cell>
          <cell r="CL109">
            <v>0.74299999999999999</v>
          </cell>
          <cell r="CP109">
            <v>1600</v>
          </cell>
          <cell r="CQ109">
            <v>130.38800000000001</v>
          </cell>
          <cell r="CR109">
            <v>-0.36099999999999999</v>
          </cell>
          <cell r="CS109">
            <v>-0.2768659692609749</v>
          </cell>
          <cell r="CX109">
            <v>620</v>
          </cell>
          <cell r="CY109">
            <v>51.574319999999993</v>
          </cell>
          <cell r="CZ109">
            <v>-6.5280000000000005</v>
          </cell>
          <cell r="DA109">
            <v>-12.657462085782228</v>
          </cell>
          <cell r="DF109">
            <v>780</v>
          </cell>
          <cell r="DG109">
            <v>63.490079999999999</v>
          </cell>
          <cell r="DH109">
            <v>-0.52600000000000002</v>
          </cell>
          <cell r="DI109">
            <v>-0.82847588158654084</v>
          </cell>
          <cell r="DN109">
            <v>770</v>
          </cell>
          <cell r="DO109">
            <v>62.485600000000005</v>
          </cell>
          <cell r="DP109">
            <v>-1.9239999999999999</v>
          </cell>
          <cell r="DQ109">
            <v>-3.0791094268119372</v>
          </cell>
          <cell r="DV109">
            <v>830</v>
          </cell>
          <cell r="DW109">
            <v>67.9024</v>
          </cell>
          <cell r="DX109">
            <v>1.5629999999999999</v>
          </cell>
          <cell r="DY109">
            <v>2.3018332194443789</v>
          </cell>
        </row>
        <row r="110">
          <cell r="F110">
            <v>6000</v>
          </cell>
          <cell r="G110">
            <v>485.35200000000009</v>
          </cell>
          <cell r="H110">
            <v>3.6089999999999995</v>
          </cell>
          <cell r="I110">
            <v>0.74358403797656114</v>
          </cell>
          <cell r="N110">
            <v>500</v>
          </cell>
          <cell r="O110">
            <v>40.932000000000002</v>
          </cell>
          <cell r="P110">
            <v>-2.3050000000000002</v>
          </cell>
          <cell r="T110">
            <v>500</v>
          </cell>
          <cell r="U110">
            <v>40.932000000000002</v>
          </cell>
          <cell r="V110">
            <v>-0.96399999999999997</v>
          </cell>
          <cell r="Z110">
            <v>500</v>
          </cell>
          <cell r="AA110">
            <v>40.932000000000002</v>
          </cell>
          <cell r="AB110">
            <v>0.55000000000000004</v>
          </cell>
          <cell r="AF110">
            <v>500</v>
          </cell>
          <cell r="AG110">
            <v>40.932000000000002</v>
          </cell>
          <cell r="AH110">
            <v>0.252</v>
          </cell>
          <cell r="AL110">
            <v>500</v>
          </cell>
          <cell r="AM110">
            <v>40.932000000000002</v>
          </cell>
          <cell r="AN110">
            <v>0.47599999999999998</v>
          </cell>
          <cell r="AR110">
            <v>500</v>
          </cell>
          <cell r="AS110">
            <v>40.932000000000002</v>
          </cell>
          <cell r="AT110">
            <v>0.96</v>
          </cell>
          <cell r="AX110">
            <v>3000</v>
          </cell>
          <cell r="AY110">
            <v>245.59200000000004</v>
          </cell>
          <cell r="AZ110">
            <v>-1.0310000000000001</v>
          </cell>
          <cell r="BA110">
            <v>-0.41980194794618719</v>
          </cell>
          <cell r="BF110">
            <v>500</v>
          </cell>
          <cell r="BG110">
            <v>39.96</v>
          </cell>
          <cell r="BH110">
            <v>0.42699999999999999</v>
          </cell>
          <cell r="BL110">
            <v>500</v>
          </cell>
          <cell r="BM110">
            <v>39.96</v>
          </cell>
          <cell r="BN110">
            <v>0.107</v>
          </cell>
          <cell r="BR110">
            <v>500</v>
          </cell>
          <cell r="BS110">
            <v>39.96</v>
          </cell>
          <cell r="BT110">
            <v>0.53500000000000003</v>
          </cell>
          <cell r="BX110">
            <v>500</v>
          </cell>
          <cell r="BY110">
            <v>39.96</v>
          </cell>
          <cell r="BZ110">
            <v>1.5329999999999999</v>
          </cell>
          <cell r="CD110">
            <v>500</v>
          </cell>
          <cell r="CE110">
            <v>39.96</v>
          </cell>
          <cell r="CF110">
            <v>0.68100000000000005</v>
          </cell>
          <cell r="CJ110">
            <v>500</v>
          </cell>
          <cell r="CK110">
            <v>39.96</v>
          </cell>
          <cell r="CL110">
            <v>1.357</v>
          </cell>
          <cell r="CP110">
            <v>3000</v>
          </cell>
          <cell r="CQ110">
            <v>239.76000000000002</v>
          </cell>
          <cell r="CR110">
            <v>4.6399999999999997</v>
          </cell>
          <cell r="CS110">
            <v>1.9352686019352683</v>
          </cell>
          <cell r="CX110">
            <v>1500</v>
          </cell>
          <cell r="CY110">
            <v>122.79600000000001</v>
          </cell>
          <cell r="CZ110">
            <v>-2.7190000000000003</v>
          </cell>
          <cell r="DA110">
            <v>-2.2142415062379883</v>
          </cell>
          <cell r="DF110">
            <v>1500</v>
          </cell>
          <cell r="DG110">
            <v>122.79600000000001</v>
          </cell>
          <cell r="DH110">
            <v>1.6879999999999999</v>
          </cell>
          <cell r="DI110">
            <v>1.3746376103456137</v>
          </cell>
          <cell r="DN110">
            <v>1500</v>
          </cell>
          <cell r="DO110">
            <v>119.88</v>
          </cell>
          <cell r="DP110">
            <v>1.069</v>
          </cell>
          <cell r="DQ110">
            <v>0.89172505839172511</v>
          </cell>
          <cell r="DV110">
            <v>1500</v>
          </cell>
          <cell r="DW110">
            <v>119.88</v>
          </cell>
          <cell r="DX110">
            <v>3.5709999999999997</v>
          </cell>
          <cell r="DY110">
            <v>2.9788121454788121</v>
          </cell>
        </row>
        <row r="111">
          <cell r="F111">
            <v>60000</v>
          </cell>
          <cell r="G111">
            <v>5614.125</v>
          </cell>
          <cell r="H111">
            <v>955.35199999999998</v>
          </cell>
          <cell r="I111">
            <v>17.01693496315098</v>
          </cell>
          <cell r="N111">
            <v>4500</v>
          </cell>
          <cell r="O111">
            <v>426.375</v>
          </cell>
          <cell r="P111">
            <v>43.978000000000002</v>
          </cell>
          <cell r="T111">
            <v>4500</v>
          </cell>
          <cell r="U111">
            <v>426.375</v>
          </cell>
          <cell r="V111">
            <v>50.67</v>
          </cell>
          <cell r="Z111">
            <v>4500</v>
          </cell>
          <cell r="AA111">
            <v>426.375</v>
          </cell>
          <cell r="AB111">
            <v>56.924999999999997</v>
          </cell>
          <cell r="AF111">
            <v>5000</v>
          </cell>
          <cell r="AG111">
            <v>473.75</v>
          </cell>
          <cell r="AH111">
            <v>64.381</v>
          </cell>
          <cell r="AL111">
            <v>5000</v>
          </cell>
          <cell r="AM111">
            <v>473.75</v>
          </cell>
          <cell r="AN111">
            <v>71.957999999999998</v>
          </cell>
          <cell r="AR111">
            <v>5000</v>
          </cell>
          <cell r="AS111">
            <v>473.75</v>
          </cell>
          <cell r="AT111">
            <v>74.933000000000007</v>
          </cell>
          <cell r="AX111">
            <v>28500</v>
          </cell>
          <cell r="AY111">
            <v>2700.375</v>
          </cell>
          <cell r="AZ111">
            <v>362.84500000000003</v>
          </cell>
          <cell r="BA111">
            <v>13.436837476276445</v>
          </cell>
          <cell r="BF111">
            <v>5000</v>
          </cell>
          <cell r="BG111">
            <v>462.5</v>
          </cell>
          <cell r="BH111">
            <v>77.134</v>
          </cell>
          <cell r="BL111">
            <v>5000</v>
          </cell>
          <cell r="BM111">
            <v>462.5</v>
          </cell>
          <cell r="BN111">
            <v>88.460999999999999</v>
          </cell>
          <cell r="BR111">
            <v>5500</v>
          </cell>
          <cell r="BS111">
            <v>508.75</v>
          </cell>
          <cell r="BT111">
            <v>102.05800000000001</v>
          </cell>
          <cell r="BX111">
            <v>5500</v>
          </cell>
          <cell r="BY111">
            <v>508.75</v>
          </cell>
          <cell r="BZ111">
            <v>111.586</v>
          </cell>
          <cell r="CD111">
            <v>5500</v>
          </cell>
          <cell r="CE111">
            <v>508.75</v>
          </cell>
          <cell r="CF111">
            <v>108.134</v>
          </cell>
          <cell r="CJ111">
            <v>5000</v>
          </cell>
          <cell r="CK111">
            <v>462.5</v>
          </cell>
          <cell r="CL111">
            <v>105.134</v>
          </cell>
          <cell r="CP111">
            <v>31500</v>
          </cell>
          <cell r="CQ111">
            <v>2913.75</v>
          </cell>
          <cell r="CR111">
            <v>592.50699999999995</v>
          </cell>
          <cell r="CS111">
            <v>20.334860574860571</v>
          </cell>
          <cell r="CX111">
            <v>13500</v>
          </cell>
          <cell r="CY111">
            <v>1279.125</v>
          </cell>
          <cell r="CZ111">
            <v>151.57299999999998</v>
          </cell>
          <cell r="DA111">
            <v>11.849741033909899</v>
          </cell>
          <cell r="DF111">
            <v>15000</v>
          </cell>
          <cell r="DG111">
            <v>1421.25</v>
          </cell>
          <cell r="DH111">
            <v>211.27199999999999</v>
          </cell>
          <cell r="DI111">
            <v>14.865224274406334</v>
          </cell>
          <cell r="DN111">
            <v>15500</v>
          </cell>
          <cell r="DO111">
            <v>1433.75</v>
          </cell>
          <cell r="DP111">
            <v>267.65300000000002</v>
          </cell>
          <cell r="DQ111">
            <v>18.668038360941587</v>
          </cell>
          <cell r="DV111">
            <v>16000</v>
          </cell>
          <cell r="DW111">
            <v>1480</v>
          </cell>
          <cell r="DX111">
            <v>324.85399999999998</v>
          </cell>
          <cell r="DY111">
            <v>21.949594594594593</v>
          </cell>
        </row>
        <row r="112">
          <cell r="F112">
            <v>0</v>
          </cell>
          <cell r="G112">
            <v>0</v>
          </cell>
          <cell r="H112">
            <v>0</v>
          </cell>
          <cell r="I112">
            <v>0</v>
          </cell>
          <cell r="N112">
            <v>0</v>
          </cell>
          <cell r="O112">
            <v>0</v>
          </cell>
          <cell r="T112">
            <v>0</v>
          </cell>
          <cell r="U112">
            <v>0</v>
          </cell>
          <cell r="Z112">
            <v>0</v>
          </cell>
          <cell r="AA112">
            <v>0</v>
          </cell>
          <cell r="AF112">
            <v>0</v>
          </cell>
          <cell r="AG112">
            <v>0</v>
          </cell>
          <cell r="AL112">
            <v>0</v>
          </cell>
          <cell r="AM112">
            <v>0</v>
          </cell>
          <cell r="AR112">
            <v>0</v>
          </cell>
          <cell r="AS112">
            <v>0</v>
          </cell>
          <cell r="AX112">
            <v>0</v>
          </cell>
          <cell r="AY112">
            <v>0</v>
          </cell>
          <cell r="AZ112">
            <v>0</v>
          </cell>
          <cell r="BA112">
            <v>0</v>
          </cell>
          <cell r="BF112">
            <v>0</v>
          </cell>
          <cell r="BG112">
            <v>0</v>
          </cell>
          <cell r="BL112">
            <v>0</v>
          </cell>
          <cell r="BM112">
            <v>0</v>
          </cell>
          <cell r="BR112">
            <v>0</v>
          </cell>
          <cell r="BS112">
            <v>0</v>
          </cell>
          <cell r="BX112">
            <v>0</v>
          </cell>
          <cell r="BY112">
            <v>0</v>
          </cell>
          <cell r="CD112">
            <v>0</v>
          </cell>
          <cell r="CE112">
            <v>0</v>
          </cell>
          <cell r="CJ112">
            <v>0</v>
          </cell>
          <cell r="CK112">
            <v>0</v>
          </cell>
          <cell r="CP112">
            <v>0</v>
          </cell>
          <cell r="CQ112">
            <v>0</v>
          </cell>
          <cell r="CR112">
            <v>0</v>
          </cell>
          <cell r="CS112">
            <v>0</v>
          </cell>
          <cell r="CX112">
            <v>0</v>
          </cell>
          <cell r="CY112">
            <v>0</v>
          </cell>
          <cell r="CZ112">
            <v>0</v>
          </cell>
          <cell r="DA112">
            <v>0</v>
          </cell>
          <cell r="DF112">
            <v>0</v>
          </cell>
          <cell r="DG112">
            <v>0</v>
          </cell>
          <cell r="DH112">
            <v>0</v>
          </cell>
          <cell r="DI112">
            <v>0</v>
          </cell>
          <cell r="DN112">
            <v>0</v>
          </cell>
          <cell r="DO112">
            <v>0</v>
          </cell>
          <cell r="DP112">
            <v>0</v>
          </cell>
          <cell r="DQ112">
            <v>0</v>
          </cell>
          <cell r="DV112">
            <v>0</v>
          </cell>
          <cell r="DW112">
            <v>0</v>
          </cell>
          <cell r="DX112">
            <v>0</v>
          </cell>
          <cell r="DY112">
            <v>0</v>
          </cell>
        </row>
        <row r="113">
          <cell r="F113">
            <v>59000</v>
          </cell>
          <cell r="G113">
            <v>5959.71</v>
          </cell>
          <cell r="H113">
            <v>1137.78</v>
          </cell>
          <cell r="I113">
            <v>19.091197390477053</v>
          </cell>
          <cell r="N113">
            <v>4000</v>
          </cell>
          <cell r="O113">
            <v>409.32</v>
          </cell>
          <cell r="P113">
            <v>52.935000000000002</v>
          </cell>
          <cell r="T113">
            <v>4000</v>
          </cell>
          <cell r="U113">
            <v>409.32</v>
          </cell>
          <cell r="V113">
            <v>59.780999999999999</v>
          </cell>
          <cell r="Z113">
            <v>4000</v>
          </cell>
          <cell r="AA113">
            <v>409.32</v>
          </cell>
          <cell r="AB113">
            <v>68.248999999999995</v>
          </cell>
          <cell r="AF113">
            <v>5000</v>
          </cell>
          <cell r="AG113">
            <v>511.65</v>
          </cell>
          <cell r="AH113">
            <v>74.397000000000006</v>
          </cell>
          <cell r="AL113">
            <v>5000</v>
          </cell>
          <cell r="AM113">
            <v>511.65</v>
          </cell>
          <cell r="AN113">
            <v>85.337999999999994</v>
          </cell>
          <cell r="AR113">
            <v>5000</v>
          </cell>
          <cell r="AS113">
            <v>511.65</v>
          </cell>
          <cell r="AT113">
            <v>88.614000000000004</v>
          </cell>
          <cell r="AX113">
            <v>27000</v>
          </cell>
          <cell r="AY113">
            <v>2762.91</v>
          </cell>
          <cell r="AZ113">
            <v>429.31399999999996</v>
          </cell>
          <cell r="BA113">
            <v>15.538472118165267</v>
          </cell>
          <cell r="BF113">
            <v>5000</v>
          </cell>
          <cell r="BG113">
            <v>499.5</v>
          </cell>
          <cell r="BH113">
            <v>101.727</v>
          </cell>
          <cell r="BL113">
            <v>5000</v>
          </cell>
          <cell r="BM113">
            <v>499.5</v>
          </cell>
          <cell r="BN113">
            <v>104.58199999999999</v>
          </cell>
          <cell r="BR113">
            <v>6000</v>
          </cell>
          <cell r="BS113">
            <v>599.4</v>
          </cell>
          <cell r="BT113">
            <v>129.08199999999999</v>
          </cell>
          <cell r="BX113">
            <v>6000</v>
          </cell>
          <cell r="BY113">
            <v>599.4</v>
          </cell>
          <cell r="BZ113">
            <v>142.52600000000001</v>
          </cell>
          <cell r="CD113">
            <v>5000</v>
          </cell>
          <cell r="CE113">
            <v>499.5</v>
          </cell>
          <cell r="CF113">
            <v>108.801</v>
          </cell>
          <cell r="CJ113">
            <v>5000</v>
          </cell>
          <cell r="CK113">
            <v>499.5</v>
          </cell>
          <cell r="CL113">
            <v>121.748</v>
          </cell>
          <cell r="CP113">
            <v>32000</v>
          </cell>
          <cell r="CQ113">
            <v>3196.8</v>
          </cell>
          <cell r="CR113">
            <v>708.46600000000001</v>
          </cell>
          <cell r="CS113">
            <v>22.161724224224223</v>
          </cell>
          <cell r="CX113">
            <v>12000</v>
          </cell>
          <cell r="CY113">
            <v>1227.96</v>
          </cell>
          <cell r="CZ113">
            <v>180.965</v>
          </cell>
          <cell r="DA113">
            <v>14.737043551907227</v>
          </cell>
          <cell r="DF113">
            <v>15000</v>
          </cell>
          <cell r="DG113">
            <v>1534.9499999999998</v>
          </cell>
          <cell r="DH113">
            <v>248.34900000000002</v>
          </cell>
          <cell r="DI113">
            <v>16.179614971171702</v>
          </cell>
          <cell r="DN113">
            <v>16000</v>
          </cell>
          <cell r="DO113">
            <v>1598.4</v>
          </cell>
          <cell r="DP113">
            <v>335.39099999999996</v>
          </cell>
          <cell r="DQ113">
            <v>20.982920420420417</v>
          </cell>
          <cell r="DV113">
            <v>16000</v>
          </cell>
          <cell r="DW113">
            <v>1598.4</v>
          </cell>
          <cell r="DX113">
            <v>373.07499999999999</v>
          </cell>
          <cell r="DY113">
            <v>23.340528028028025</v>
          </cell>
        </row>
        <row r="114">
          <cell r="F114">
            <v>50000</v>
          </cell>
          <cell r="G114">
            <v>5155.68</v>
          </cell>
          <cell r="H114">
            <v>1060.904</v>
          </cell>
          <cell r="I114">
            <v>20.577382614902398</v>
          </cell>
          <cell r="N114">
            <v>2200</v>
          </cell>
          <cell r="O114">
            <v>230.12879999999998</v>
          </cell>
          <cell r="P114">
            <v>31.35</v>
          </cell>
          <cell r="T114">
            <v>4400</v>
          </cell>
          <cell r="U114">
            <v>460.25759999999997</v>
          </cell>
          <cell r="V114">
            <v>65.63</v>
          </cell>
          <cell r="Z114">
            <v>4400</v>
          </cell>
          <cell r="AA114">
            <v>460.25759999999997</v>
          </cell>
          <cell r="AB114">
            <v>69.875</v>
          </cell>
          <cell r="AF114">
            <v>2700</v>
          </cell>
          <cell r="AG114">
            <v>282.43079999999998</v>
          </cell>
          <cell r="AH114">
            <v>44.472999999999999</v>
          </cell>
          <cell r="AL114">
            <v>2700</v>
          </cell>
          <cell r="AM114">
            <v>282.43079999999998</v>
          </cell>
          <cell r="AN114">
            <v>48.645000000000003</v>
          </cell>
          <cell r="AR114">
            <v>3600</v>
          </cell>
          <cell r="AS114">
            <v>376.57439999999997</v>
          </cell>
          <cell r="AT114">
            <v>68.569000000000003</v>
          </cell>
          <cell r="AX114">
            <v>20000</v>
          </cell>
          <cell r="AY114">
            <v>2092.08</v>
          </cell>
          <cell r="AZ114">
            <v>328.54200000000003</v>
          </cell>
          <cell r="BA114">
            <v>15.704083973844215</v>
          </cell>
          <cell r="BF114">
            <v>2700</v>
          </cell>
          <cell r="BG114">
            <v>275.72399999999999</v>
          </cell>
          <cell r="BH114">
            <v>51.029000000000003</v>
          </cell>
          <cell r="BL114">
            <v>5400</v>
          </cell>
          <cell r="BM114">
            <v>551.44799999999998</v>
          </cell>
          <cell r="BN114">
            <v>117.08799999999999</v>
          </cell>
          <cell r="BR114">
            <v>5400</v>
          </cell>
          <cell r="BS114">
            <v>551.44799999999998</v>
          </cell>
          <cell r="BT114">
            <v>125.12</v>
          </cell>
          <cell r="BX114">
            <v>4950</v>
          </cell>
          <cell r="BY114">
            <v>505.49399999999997</v>
          </cell>
          <cell r="BZ114">
            <v>125.85899999999999</v>
          </cell>
          <cell r="CD114">
            <v>4950</v>
          </cell>
          <cell r="CE114">
            <v>505.49399999999997</v>
          </cell>
          <cell r="CF114">
            <v>128.524</v>
          </cell>
          <cell r="CJ114">
            <v>6600</v>
          </cell>
          <cell r="CK114">
            <v>673.99199999999996</v>
          </cell>
          <cell r="CL114">
            <v>184.74199999999999</v>
          </cell>
          <cell r="CP114">
            <v>30000</v>
          </cell>
          <cell r="CQ114">
            <v>3063.6</v>
          </cell>
          <cell r="CR114">
            <v>732.36199999999985</v>
          </cell>
          <cell r="CS114">
            <v>23.905274840057444</v>
          </cell>
          <cell r="CX114">
            <v>11000</v>
          </cell>
          <cell r="CY114">
            <v>1150.644</v>
          </cell>
          <cell r="CZ114">
            <v>166.85499999999999</v>
          </cell>
          <cell r="DA114">
            <v>14.501009869255824</v>
          </cell>
          <cell r="DF114">
            <v>9000</v>
          </cell>
          <cell r="DG114">
            <v>941.43599999999992</v>
          </cell>
          <cell r="DH114">
            <v>161.68700000000001</v>
          </cell>
          <cell r="DI114">
            <v>17.174507879452243</v>
          </cell>
          <cell r="DN114">
            <v>13500</v>
          </cell>
          <cell r="DO114">
            <v>1378.62</v>
          </cell>
          <cell r="DP114">
            <v>293.23699999999997</v>
          </cell>
          <cell r="DQ114">
            <v>21.270328299313807</v>
          </cell>
          <cell r="DV114">
            <v>16500</v>
          </cell>
          <cell r="DW114">
            <v>1684.98</v>
          </cell>
          <cell r="DX114">
            <v>439.125</v>
          </cell>
          <cell r="DY114">
            <v>26.061140191574971</v>
          </cell>
        </row>
        <row r="115">
          <cell r="F115">
            <v>0</v>
          </cell>
          <cell r="G115">
            <v>0</v>
          </cell>
          <cell r="H115">
            <v>0</v>
          </cell>
          <cell r="I115">
            <v>0</v>
          </cell>
          <cell r="N115">
            <v>0</v>
          </cell>
          <cell r="O115">
            <v>0</v>
          </cell>
          <cell r="T115">
            <v>0</v>
          </cell>
          <cell r="U115">
            <v>0</v>
          </cell>
          <cell r="Z115">
            <v>0</v>
          </cell>
          <cell r="AA115">
            <v>0</v>
          </cell>
          <cell r="AF115">
            <v>0</v>
          </cell>
          <cell r="AG115">
            <v>0</v>
          </cell>
          <cell r="AL115">
            <v>0</v>
          </cell>
          <cell r="AM115">
            <v>0</v>
          </cell>
          <cell r="AR115">
            <v>0</v>
          </cell>
          <cell r="AS115">
            <v>0</v>
          </cell>
          <cell r="AX115">
            <v>0</v>
          </cell>
          <cell r="AY115">
            <v>0</v>
          </cell>
          <cell r="AZ115">
            <v>0</v>
          </cell>
          <cell r="BA115">
            <v>0</v>
          </cell>
          <cell r="BF115">
            <v>0</v>
          </cell>
          <cell r="BG115">
            <v>0</v>
          </cell>
          <cell r="BL115">
            <v>0</v>
          </cell>
          <cell r="BM115">
            <v>0</v>
          </cell>
          <cell r="BR115">
            <v>0</v>
          </cell>
          <cell r="BS115">
            <v>0</v>
          </cell>
          <cell r="BX115">
            <v>0</v>
          </cell>
          <cell r="BY115">
            <v>0</v>
          </cell>
          <cell r="CD115">
            <v>0</v>
          </cell>
          <cell r="CE115">
            <v>0</v>
          </cell>
          <cell r="CJ115">
            <v>0</v>
          </cell>
          <cell r="CK115">
            <v>0</v>
          </cell>
          <cell r="CP115">
            <v>0</v>
          </cell>
          <cell r="CQ115">
            <v>0</v>
          </cell>
          <cell r="CR115">
            <v>0</v>
          </cell>
          <cell r="CS115">
            <v>0</v>
          </cell>
          <cell r="CX115">
            <v>0</v>
          </cell>
          <cell r="CY115">
            <v>0</v>
          </cell>
          <cell r="CZ115">
            <v>0</v>
          </cell>
          <cell r="DA115">
            <v>0</v>
          </cell>
          <cell r="DF115">
            <v>0</v>
          </cell>
          <cell r="DG115">
            <v>0</v>
          </cell>
          <cell r="DH115">
            <v>0</v>
          </cell>
          <cell r="DI115">
            <v>0</v>
          </cell>
          <cell r="DN115">
            <v>0</v>
          </cell>
          <cell r="DO115">
            <v>0</v>
          </cell>
          <cell r="DP115">
            <v>0</v>
          </cell>
          <cell r="DQ115">
            <v>0</v>
          </cell>
          <cell r="DV115">
            <v>0</v>
          </cell>
          <cell r="DW115">
            <v>0</v>
          </cell>
          <cell r="DX115">
            <v>0</v>
          </cell>
          <cell r="DY115">
            <v>0</v>
          </cell>
        </row>
        <row r="116">
          <cell r="F116">
            <v>126000</v>
          </cell>
          <cell r="G116">
            <v>12385.948000000002</v>
          </cell>
          <cell r="H116">
            <v>924.92499999999995</v>
          </cell>
          <cell r="I116">
            <v>7.4675349839996086</v>
          </cell>
          <cell r="N116">
            <v>22000</v>
          </cell>
          <cell r="O116">
            <v>2142.1080000000002</v>
          </cell>
          <cell r="P116">
            <v>36.283999999999999</v>
          </cell>
          <cell r="T116">
            <v>22000</v>
          </cell>
          <cell r="U116">
            <v>2142.1080000000002</v>
          </cell>
          <cell r="V116">
            <v>78.537000000000006</v>
          </cell>
          <cell r="Z116">
            <v>22000</v>
          </cell>
          <cell r="AA116">
            <v>2142.1080000000002</v>
          </cell>
          <cell r="AB116">
            <v>132.23500000000001</v>
          </cell>
          <cell r="AF116">
            <v>12000</v>
          </cell>
          <cell r="AG116">
            <v>1179.4480000000001</v>
          </cell>
          <cell r="AH116">
            <v>63.052999999999997</v>
          </cell>
          <cell r="AL116">
            <v>12000</v>
          </cell>
          <cell r="AM116">
            <v>1179.4480000000001</v>
          </cell>
          <cell r="AN116">
            <v>88.281999999999996</v>
          </cell>
          <cell r="AR116">
            <v>12000</v>
          </cell>
          <cell r="AS116">
            <v>1179.4480000000001</v>
          </cell>
          <cell r="AT116">
            <v>100.779</v>
          </cell>
          <cell r="AX116">
            <v>102000</v>
          </cell>
          <cell r="AY116">
            <v>9964.6680000000015</v>
          </cell>
          <cell r="AZ116">
            <v>499.16999999999996</v>
          </cell>
          <cell r="BA116">
            <v>5.0093992092862489</v>
          </cell>
          <cell r="BF116">
            <v>12100</v>
          </cell>
          <cell r="BG116">
            <v>1162.0219999999999</v>
          </cell>
          <cell r="BH116">
            <v>135.68</v>
          </cell>
          <cell r="BL116">
            <v>2200</v>
          </cell>
          <cell r="BM116">
            <v>232.804</v>
          </cell>
          <cell r="BN116">
            <v>47.878999999999998</v>
          </cell>
          <cell r="BR116">
            <v>2200</v>
          </cell>
          <cell r="BS116">
            <v>232.804</v>
          </cell>
          <cell r="BT116">
            <v>49.814999999999998</v>
          </cell>
          <cell r="BX116">
            <v>2700</v>
          </cell>
          <cell r="BY116">
            <v>285.714</v>
          </cell>
          <cell r="BZ116">
            <v>67.786000000000001</v>
          </cell>
          <cell r="CD116">
            <v>2700</v>
          </cell>
          <cell r="CE116">
            <v>285.714</v>
          </cell>
          <cell r="CF116">
            <v>67.703000000000003</v>
          </cell>
          <cell r="CJ116">
            <v>2100</v>
          </cell>
          <cell r="CK116">
            <v>222.22200000000001</v>
          </cell>
          <cell r="CL116">
            <v>56.892000000000003</v>
          </cell>
          <cell r="CP116">
            <v>24000</v>
          </cell>
          <cell r="CQ116">
            <v>2421.2800000000002</v>
          </cell>
          <cell r="CR116">
            <v>425.755</v>
          </cell>
          <cell r="CS116">
            <v>17.583881252891032</v>
          </cell>
          <cell r="CX116">
            <v>66000</v>
          </cell>
          <cell r="CY116">
            <v>6426.3240000000005</v>
          </cell>
          <cell r="CZ116">
            <v>247.05600000000001</v>
          </cell>
          <cell r="DA116">
            <v>3.8444373486304149</v>
          </cell>
          <cell r="DF116">
            <v>36000</v>
          </cell>
          <cell r="DG116">
            <v>3538.3440000000001</v>
          </cell>
          <cell r="DH116">
            <v>252.11399999999998</v>
          </cell>
          <cell r="DI116">
            <v>7.1251975500403573</v>
          </cell>
          <cell r="DN116">
            <v>16500</v>
          </cell>
          <cell r="DO116">
            <v>1627.63</v>
          </cell>
          <cell r="DP116">
            <v>233.374</v>
          </cell>
          <cell r="DQ116">
            <v>14.338270982962959</v>
          </cell>
          <cell r="DV116">
            <v>7500</v>
          </cell>
          <cell r="DW116">
            <v>793.65</v>
          </cell>
          <cell r="DX116">
            <v>192.381</v>
          </cell>
          <cell r="DY116">
            <v>24.24003024003024</v>
          </cell>
        </row>
        <row r="117">
          <cell r="F117">
            <v>93000</v>
          </cell>
          <cell r="G117">
            <v>8877.0400000000009</v>
          </cell>
          <cell r="H117">
            <v>-180.25400000000002</v>
          </cell>
          <cell r="I117">
            <v>-2.0305642421347656</v>
          </cell>
          <cell r="N117">
            <v>0</v>
          </cell>
          <cell r="O117">
            <v>0</v>
          </cell>
          <cell r="P117">
            <v>0</v>
          </cell>
          <cell r="T117">
            <v>0</v>
          </cell>
          <cell r="U117">
            <v>0</v>
          </cell>
          <cell r="V117">
            <v>0</v>
          </cell>
          <cell r="Z117">
            <v>0</v>
          </cell>
          <cell r="AA117">
            <v>0</v>
          </cell>
          <cell r="AB117">
            <v>0</v>
          </cell>
          <cell r="AF117">
            <v>0</v>
          </cell>
          <cell r="AG117">
            <v>0</v>
          </cell>
          <cell r="AH117">
            <v>0</v>
          </cell>
          <cell r="AL117">
            <v>0</v>
          </cell>
          <cell r="AM117">
            <v>0</v>
          </cell>
          <cell r="AN117">
            <v>0</v>
          </cell>
          <cell r="AR117">
            <v>0</v>
          </cell>
          <cell r="AS117">
            <v>0</v>
          </cell>
          <cell r="AT117">
            <v>0</v>
          </cell>
          <cell r="AX117">
            <v>0</v>
          </cell>
          <cell r="AY117">
            <v>0</v>
          </cell>
          <cell r="AZ117">
            <v>0</v>
          </cell>
          <cell r="BA117">
            <v>0</v>
          </cell>
          <cell r="BF117">
            <v>6670</v>
          </cell>
          <cell r="BG117">
            <v>624.29359999999997</v>
          </cell>
          <cell r="BH117">
            <v>-186.92400000000001</v>
          </cell>
          <cell r="BL117">
            <v>11840</v>
          </cell>
          <cell r="BM117">
            <v>1132.0372</v>
          </cell>
          <cell r="BN117">
            <v>-46.442</v>
          </cell>
          <cell r="BR117">
            <v>18440</v>
          </cell>
          <cell r="BS117">
            <v>1763.2572</v>
          </cell>
          <cell r="BT117">
            <v>52.523000000000003</v>
          </cell>
          <cell r="BX117">
            <v>21645</v>
          </cell>
          <cell r="BY117">
            <v>2055.0466000000001</v>
          </cell>
          <cell r="BZ117">
            <v>175.19399999999999</v>
          </cell>
          <cell r="CD117">
            <v>18545</v>
          </cell>
          <cell r="CE117">
            <v>1769.7765999999999</v>
          </cell>
          <cell r="CF117">
            <v>102.366</v>
          </cell>
          <cell r="CJ117">
            <v>15860</v>
          </cell>
          <cell r="CK117">
            <v>1532.6288</v>
          </cell>
          <cell r="CL117">
            <v>-276.971</v>
          </cell>
          <cell r="CP117">
            <v>93000</v>
          </cell>
          <cell r="CQ117">
            <v>8877.0400000000009</v>
          </cell>
          <cell r="CR117">
            <v>-180.25400000000002</v>
          </cell>
          <cell r="CS117">
            <v>-2.0305642421347656</v>
          </cell>
          <cell r="CX117">
            <v>0</v>
          </cell>
          <cell r="CY117">
            <v>0</v>
          </cell>
          <cell r="CZ117">
            <v>0</v>
          </cell>
          <cell r="DA117">
            <v>0</v>
          </cell>
          <cell r="DF117">
            <v>0</v>
          </cell>
          <cell r="DG117">
            <v>0</v>
          </cell>
          <cell r="DH117">
            <v>0</v>
          </cell>
          <cell r="DI117">
            <v>0</v>
          </cell>
          <cell r="DN117">
            <v>36950</v>
          </cell>
          <cell r="DO117">
            <v>3519.5879999999997</v>
          </cell>
          <cell r="DP117">
            <v>-180.84300000000002</v>
          </cell>
          <cell r="DQ117">
            <v>-5.1381866286622193</v>
          </cell>
          <cell r="DV117">
            <v>56050</v>
          </cell>
          <cell r="DW117">
            <v>5357.4519999999993</v>
          </cell>
          <cell r="DX117">
            <v>0.58899999999999864</v>
          </cell>
          <cell r="DY117">
            <v>1.0994032237712979E-2</v>
          </cell>
        </row>
        <row r="118">
          <cell r="F118">
            <v>7000</v>
          </cell>
          <cell r="G118">
            <v>777</v>
          </cell>
          <cell r="H118">
            <v>57.501000000000005</v>
          </cell>
          <cell r="I118">
            <v>7.4003861003861013</v>
          </cell>
          <cell r="N118">
            <v>0</v>
          </cell>
          <cell r="O118">
            <v>0</v>
          </cell>
          <cell r="P118">
            <v>0</v>
          </cell>
          <cell r="T118">
            <v>0</v>
          </cell>
          <cell r="U118">
            <v>0</v>
          </cell>
          <cell r="V118">
            <v>0</v>
          </cell>
          <cell r="Z118">
            <v>0</v>
          </cell>
          <cell r="AA118">
            <v>0</v>
          </cell>
          <cell r="AB118">
            <v>0</v>
          </cell>
          <cell r="AF118">
            <v>0</v>
          </cell>
          <cell r="AG118">
            <v>0</v>
          </cell>
          <cell r="AH118">
            <v>0</v>
          </cell>
          <cell r="AL118">
            <v>0</v>
          </cell>
          <cell r="AM118">
            <v>0</v>
          </cell>
          <cell r="AN118">
            <v>0</v>
          </cell>
          <cell r="AR118">
            <v>0</v>
          </cell>
          <cell r="AS118">
            <v>0</v>
          </cell>
          <cell r="AT118">
            <v>0</v>
          </cell>
          <cell r="AX118">
            <v>0</v>
          </cell>
          <cell r="AY118">
            <v>0</v>
          </cell>
          <cell r="AZ118">
            <v>0</v>
          </cell>
          <cell r="BA118">
            <v>0</v>
          </cell>
          <cell r="BF118">
            <v>630</v>
          </cell>
          <cell r="BG118">
            <v>69.930000000000007</v>
          </cell>
          <cell r="BH118">
            <v>-13.047000000000001</v>
          </cell>
          <cell r="BL118">
            <v>1260</v>
          </cell>
          <cell r="BM118">
            <v>139.86000000000001</v>
          </cell>
          <cell r="BN118">
            <v>-1.153</v>
          </cell>
          <cell r="BR118">
            <v>1260</v>
          </cell>
          <cell r="BS118">
            <v>139.86000000000001</v>
          </cell>
          <cell r="BT118">
            <v>6.9710000000000001</v>
          </cell>
          <cell r="BX118">
            <v>1155</v>
          </cell>
          <cell r="BY118">
            <v>128.20500000000001</v>
          </cell>
          <cell r="BZ118">
            <v>19.068999999999999</v>
          </cell>
          <cell r="CD118">
            <v>1155</v>
          </cell>
          <cell r="CE118">
            <v>128.20500000000001</v>
          </cell>
          <cell r="CF118">
            <v>17.433</v>
          </cell>
          <cell r="CJ118">
            <v>1540</v>
          </cell>
          <cell r="CK118">
            <v>170.94</v>
          </cell>
          <cell r="CL118">
            <v>28.228000000000002</v>
          </cell>
          <cell r="CP118">
            <v>7000</v>
          </cell>
          <cell r="CQ118">
            <v>777</v>
          </cell>
          <cell r="CR118">
            <v>57.501000000000005</v>
          </cell>
          <cell r="CS118">
            <v>7.4003861003861013</v>
          </cell>
          <cell r="CX118">
            <v>0</v>
          </cell>
          <cell r="CY118">
            <v>0</v>
          </cell>
          <cell r="CZ118">
            <v>0</v>
          </cell>
          <cell r="DA118">
            <v>0</v>
          </cell>
          <cell r="DF118">
            <v>0</v>
          </cell>
          <cell r="DG118">
            <v>0</v>
          </cell>
          <cell r="DH118">
            <v>0</v>
          </cell>
          <cell r="DI118">
            <v>0</v>
          </cell>
          <cell r="DN118">
            <v>3150</v>
          </cell>
          <cell r="DO118">
            <v>349.65000000000003</v>
          </cell>
          <cell r="DP118">
            <v>-7.229000000000001</v>
          </cell>
          <cell r="DQ118">
            <v>-2.0674960674960676</v>
          </cell>
          <cell r="DV118">
            <v>3850</v>
          </cell>
          <cell r="DW118">
            <v>427.35</v>
          </cell>
          <cell r="DX118">
            <v>64.72999999999999</v>
          </cell>
          <cell r="DY118">
            <v>15.146835146835144</v>
          </cell>
        </row>
        <row r="119">
          <cell r="F119">
            <v>133000</v>
          </cell>
          <cell r="G119">
            <v>12116.940419999999</v>
          </cell>
          <cell r="H119">
            <v>817.11200000000008</v>
          </cell>
          <cell r="I119">
            <v>6.7435505307205279</v>
          </cell>
          <cell r="N119">
            <v>7172</v>
          </cell>
          <cell r="O119">
            <v>668.84024999999997</v>
          </cell>
          <cell r="P119">
            <v>-64.153000000000006</v>
          </cell>
          <cell r="T119">
            <v>7744</v>
          </cell>
          <cell r="U119">
            <v>724.33797800000002</v>
          </cell>
          <cell r="V119">
            <v>-30.382000000000001</v>
          </cell>
          <cell r="Z119">
            <v>9844</v>
          </cell>
          <cell r="AA119">
            <v>911.30549999999994</v>
          </cell>
          <cell r="AB119">
            <v>21.571999999999999</v>
          </cell>
          <cell r="AF119">
            <v>9902</v>
          </cell>
          <cell r="AG119">
            <v>915.79589199999998</v>
          </cell>
          <cell r="AH119">
            <v>3.6659999999999999</v>
          </cell>
          <cell r="AL119">
            <v>9902</v>
          </cell>
          <cell r="AM119">
            <v>915.79589199999998</v>
          </cell>
          <cell r="AN119">
            <v>19.506</v>
          </cell>
          <cell r="AR119">
            <v>10136</v>
          </cell>
          <cell r="AS119">
            <v>938.49950799999999</v>
          </cell>
          <cell r="AT119">
            <v>28.818999999999999</v>
          </cell>
          <cell r="AX119">
            <v>54700</v>
          </cell>
          <cell r="AY119">
            <v>5074.5750200000002</v>
          </cell>
          <cell r="AZ119">
            <v>-20.972000000000008</v>
          </cell>
          <cell r="BA119">
            <v>-0.41327598700077955</v>
          </cell>
          <cell r="BF119">
            <v>11552</v>
          </cell>
          <cell r="BG119">
            <v>1037.46335</v>
          </cell>
          <cell r="BH119">
            <v>91.641999999999996</v>
          </cell>
          <cell r="BL119">
            <v>12254</v>
          </cell>
          <cell r="BM119">
            <v>1103.95679</v>
          </cell>
          <cell r="BN119">
            <v>124.20399999999999</v>
          </cell>
          <cell r="BR119">
            <v>13534</v>
          </cell>
          <cell r="BS119">
            <v>1218.002778</v>
          </cell>
          <cell r="BT119">
            <v>137.59899999999999</v>
          </cell>
          <cell r="BX119">
            <v>16537</v>
          </cell>
          <cell r="BY119">
            <v>1478.1044899999999</v>
          </cell>
          <cell r="BZ119">
            <v>206.649</v>
          </cell>
          <cell r="CD119">
            <v>13807</v>
          </cell>
          <cell r="CE119">
            <v>1240.818532</v>
          </cell>
          <cell r="CF119">
            <v>137.28200000000001</v>
          </cell>
          <cell r="CJ119">
            <v>10616</v>
          </cell>
          <cell r="CK119">
            <v>964.01945999999998</v>
          </cell>
          <cell r="CL119">
            <v>140.708</v>
          </cell>
          <cell r="CP119">
            <v>78300</v>
          </cell>
          <cell r="CQ119">
            <v>7042.3653999999997</v>
          </cell>
          <cell r="CR119">
            <v>838.08400000000006</v>
          </cell>
          <cell r="CS119">
            <v>11.900603737488545</v>
          </cell>
          <cell r="CX119">
            <v>24760</v>
          </cell>
          <cell r="CY119">
            <v>2304.4837280000002</v>
          </cell>
          <cell r="CZ119">
            <v>-72.963000000000008</v>
          </cell>
          <cell r="DA119">
            <v>-3.1661321411595575</v>
          </cell>
          <cell r="DF119">
            <v>29940</v>
          </cell>
          <cell r="DG119">
            <v>2770.0912920000001</v>
          </cell>
          <cell r="DH119">
            <v>51.991</v>
          </cell>
          <cell r="DI119">
            <v>1.8768695512003362</v>
          </cell>
          <cell r="DN119">
            <v>37340</v>
          </cell>
          <cell r="DO119">
            <v>3359.4229180000002</v>
          </cell>
          <cell r="DP119">
            <v>353.44499999999999</v>
          </cell>
          <cell r="DQ119">
            <v>10.52100341717083</v>
          </cell>
          <cell r="DV119">
            <v>40960</v>
          </cell>
          <cell r="DW119">
            <v>3682.9424819999999</v>
          </cell>
          <cell r="DX119">
            <v>484.63900000000001</v>
          </cell>
          <cell r="DY119">
            <v>13.159016258565615</v>
          </cell>
        </row>
        <row r="120">
          <cell r="F120">
            <v>48000</v>
          </cell>
          <cell r="G120">
            <v>4849.875</v>
          </cell>
          <cell r="H120">
            <v>485.13900000000001</v>
          </cell>
          <cell r="I120">
            <v>10.003123791850307</v>
          </cell>
          <cell r="N120">
            <v>3500</v>
          </cell>
          <cell r="O120">
            <v>358.15499999999997</v>
          </cell>
          <cell r="P120">
            <v>-16.239000000000001</v>
          </cell>
          <cell r="T120">
            <v>3500</v>
          </cell>
          <cell r="U120">
            <v>358.15499999999997</v>
          </cell>
          <cell r="V120">
            <v>0.52</v>
          </cell>
          <cell r="Z120">
            <v>3500</v>
          </cell>
          <cell r="AA120">
            <v>358.15499999999997</v>
          </cell>
          <cell r="AB120">
            <v>25.382999999999999</v>
          </cell>
          <cell r="AF120">
            <v>4000</v>
          </cell>
          <cell r="AG120">
            <v>409.32</v>
          </cell>
          <cell r="AH120">
            <v>18.155999999999999</v>
          </cell>
          <cell r="AL120">
            <v>4000</v>
          </cell>
          <cell r="AM120">
            <v>409.32</v>
          </cell>
          <cell r="AN120">
            <v>24.611999999999998</v>
          </cell>
          <cell r="AR120">
            <v>4000</v>
          </cell>
          <cell r="AS120">
            <v>409.32</v>
          </cell>
          <cell r="AT120">
            <v>29.838000000000001</v>
          </cell>
          <cell r="AX120">
            <v>22500</v>
          </cell>
          <cell r="AY120">
            <v>2302.4250000000002</v>
          </cell>
          <cell r="AZ120">
            <v>82.269999999999982</v>
          </cell>
          <cell r="BA120">
            <v>3.5731891375397664</v>
          </cell>
          <cell r="BF120">
            <v>4000</v>
          </cell>
          <cell r="BG120">
            <v>399.6</v>
          </cell>
          <cell r="BH120">
            <v>55.652999999999999</v>
          </cell>
          <cell r="BL120">
            <v>4000</v>
          </cell>
          <cell r="BM120">
            <v>399.6</v>
          </cell>
          <cell r="BN120">
            <v>58.476999999999997</v>
          </cell>
          <cell r="BR120">
            <v>4500</v>
          </cell>
          <cell r="BS120">
            <v>449.55</v>
          </cell>
          <cell r="BT120">
            <v>68.617999999999995</v>
          </cell>
          <cell r="BX120">
            <v>4500</v>
          </cell>
          <cell r="BY120">
            <v>449.55</v>
          </cell>
          <cell r="BZ120">
            <v>82.29</v>
          </cell>
          <cell r="CD120">
            <v>4500</v>
          </cell>
          <cell r="CE120">
            <v>449.55</v>
          </cell>
          <cell r="CF120">
            <v>67.489000000000004</v>
          </cell>
          <cell r="CJ120">
            <v>4000</v>
          </cell>
          <cell r="CK120">
            <v>399.6</v>
          </cell>
          <cell r="CL120">
            <v>70.341999999999999</v>
          </cell>
          <cell r="CP120">
            <v>25500</v>
          </cell>
          <cell r="CQ120">
            <v>2547.4499999999998</v>
          </cell>
          <cell r="CR120">
            <v>402.86900000000003</v>
          </cell>
          <cell r="CS120">
            <v>15.814598912638131</v>
          </cell>
          <cell r="CX120">
            <v>10500</v>
          </cell>
          <cell r="CY120">
            <v>1074.4649999999999</v>
          </cell>
          <cell r="CZ120">
            <v>9.6639999999999979</v>
          </cell>
          <cell r="DA120">
            <v>0.89942436468381937</v>
          </cell>
          <cell r="DF120">
            <v>12000</v>
          </cell>
          <cell r="DG120">
            <v>1227.96</v>
          </cell>
          <cell r="DH120">
            <v>72.605999999999995</v>
          </cell>
          <cell r="DI120">
            <v>5.9127333137887224</v>
          </cell>
          <cell r="DN120">
            <v>12500</v>
          </cell>
          <cell r="DO120">
            <v>1248.75</v>
          </cell>
          <cell r="DP120">
            <v>182.74799999999999</v>
          </cell>
          <cell r="DQ120">
            <v>14.634474474474473</v>
          </cell>
          <cell r="DV120">
            <v>13000</v>
          </cell>
          <cell r="DW120">
            <v>1298.7</v>
          </cell>
          <cell r="DX120">
            <v>220.12099999999998</v>
          </cell>
          <cell r="DY120">
            <v>16.949333949333948</v>
          </cell>
        </row>
        <row r="121">
          <cell r="F121">
            <v>7000</v>
          </cell>
          <cell r="G121">
            <v>711.33440000000007</v>
          </cell>
          <cell r="H121">
            <v>18.639999999999997</v>
          </cell>
          <cell r="I121">
            <v>2.6204271858636381</v>
          </cell>
          <cell r="N121">
            <v>308</v>
          </cell>
          <cell r="O121">
            <v>31.751103999999998</v>
          </cell>
          <cell r="P121">
            <v>-3.1419999999999999</v>
          </cell>
          <cell r="T121">
            <v>616</v>
          </cell>
          <cell r="U121">
            <v>63.502207999999996</v>
          </cell>
          <cell r="V121">
            <v>-4.5049999999999999</v>
          </cell>
          <cell r="Z121">
            <v>616</v>
          </cell>
          <cell r="AA121">
            <v>63.502207999999996</v>
          </cell>
          <cell r="AB121">
            <v>-2.15</v>
          </cell>
          <cell r="AF121">
            <v>378</v>
          </cell>
          <cell r="AG121">
            <v>38.967264</v>
          </cell>
          <cell r="AH121">
            <v>-0.59399999999999997</v>
          </cell>
          <cell r="AL121">
            <v>378</v>
          </cell>
          <cell r="AM121">
            <v>38.967264</v>
          </cell>
          <cell r="AN121">
            <v>0.16200000000000001</v>
          </cell>
          <cell r="AR121">
            <v>504</v>
          </cell>
          <cell r="AS121">
            <v>51.956352000000003</v>
          </cell>
          <cell r="AT121">
            <v>1.046</v>
          </cell>
          <cell r="AX121">
            <v>2800</v>
          </cell>
          <cell r="AY121">
            <v>288.64640000000003</v>
          </cell>
          <cell r="AZ121">
            <v>-9.1829999999999998</v>
          </cell>
          <cell r="BA121">
            <v>-3.181401188443715</v>
          </cell>
          <cell r="BF121">
            <v>378</v>
          </cell>
          <cell r="BG121">
            <v>38.041919999999998</v>
          </cell>
          <cell r="BH121">
            <v>0.57499999999999996</v>
          </cell>
          <cell r="BL121">
            <v>756</v>
          </cell>
          <cell r="BM121">
            <v>76.083839999999995</v>
          </cell>
          <cell r="BN121">
            <v>2.875</v>
          </cell>
          <cell r="BR121">
            <v>756</v>
          </cell>
          <cell r="BS121">
            <v>76.083839999999995</v>
          </cell>
          <cell r="BT121">
            <v>3.6379999999999999</v>
          </cell>
          <cell r="BX121">
            <v>693</v>
          </cell>
          <cell r="BY121">
            <v>69.743520000000004</v>
          </cell>
          <cell r="BZ121">
            <v>5.0069999999999997</v>
          </cell>
          <cell r="CD121">
            <v>693</v>
          </cell>
          <cell r="CE121">
            <v>69.743520000000004</v>
          </cell>
          <cell r="CF121">
            <v>6.0110000000000001</v>
          </cell>
          <cell r="CJ121">
            <v>924</v>
          </cell>
          <cell r="CK121">
            <v>92.99136</v>
          </cell>
          <cell r="CL121">
            <v>9.7170000000000005</v>
          </cell>
          <cell r="CP121">
            <v>4200</v>
          </cell>
          <cell r="CQ121">
            <v>422.68800000000005</v>
          </cell>
          <cell r="CR121">
            <v>27.822999999999997</v>
          </cell>
          <cell r="CS121">
            <v>6.5823964721023529</v>
          </cell>
          <cell r="CX121">
            <v>1540</v>
          </cell>
          <cell r="CY121">
            <v>158.75551999999999</v>
          </cell>
          <cell r="CZ121">
            <v>-9.7970000000000006</v>
          </cell>
          <cell r="DA121">
            <v>-6.1711240024913785</v>
          </cell>
          <cell r="DF121">
            <v>1260</v>
          </cell>
          <cell r="DG121">
            <v>129.89088000000001</v>
          </cell>
          <cell r="DH121">
            <v>0.6140000000000001</v>
          </cell>
          <cell r="DI121">
            <v>0.47270447317009479</v>
          </cell>
          <cell r="DN121">
            <v>1890</v>
          </cell>
          <cell r="DO121">
            <v>190.20959999999997</v>
          </cell>
          <cell r="DP121">
            <v>7.0880000000000001</v>
          </cell>
          <cell r="DQ121">
            <v>3.7264154911213745</v>
          </cell>
          <cell r="DV121">
            <v>2310</v>
          </cell>
          <cell r="DW121">
            <v>232.47840000000002</v>
          </cell>
          <cell r="DX121">
            <v>20.734999999999999</v>
          </cell>
          <cell r="DY121">
            <v>8.919108183814064</v>
          </cell>
        </row>
        <row r="122">
          <cell r="F122">
            <v>92000</v>
          </cell>
          <cell r="G122">
            <v>9509.1782080000012</v>
          </cell>
          <cell r="H122">
            <v>518.65300000000002</v>
          </cell>
          <cell r="I122">
            <v>5.4542357778473551</v>
          </cell>
          <cell r="N122">
            <v>7416</v>
          </cell>
          <cell r="O122">
            <v>775.11260800000002</v>
          </cell>
          <cell r="P122">
            <v>-66.834000000000003</v>
          </cell>
          <cell r="T122">
            <v>7416</v>
          </cell>
          <cell r="U122">
            <v>775.11260800000002</v>
          </cell>
          <cell r="V122">
            <v>-30.353999999999999</v>
          </cell>
          <cell r="Z122">
            <v>7416</v>
          </cell>
          <cell r="AA122">
            <v>775.11260800000002</v>
          </cell>
          <cell r="AB122">
            <v>22.5</v>
          </cell>
          <cell r="AF122">
            <v>7416</v>
          </cell>
          <cell r="AG122">
            <v>775.11260800000002</v>
          </cell>
          <cell r="AH122">
            <v>-4.51</v>
          </cell>
          <cell r="AL122">
            <v>7416</v>
          </cell>
          <cell r="AM122">
            <v>775.11260800000002</v>
          </cell>
          <cell r="AN122">
            <v>11.939</v>
          </cell>
          <cell r="AR122">
            <v>7416</v>
          </cell>
          <cell r="AS122">
            <v>775.11260800000002</v>
          </cell>
          <cell r="AT122">
            <v>24.699000000000002</v>
          </cell>
          <cell r="AX122">
            <v>44496</v>
          </cell>
          <cell r="AY122">
            <v>4650.6756480000004</v>
          </cell>
          <cell r="AZ122">
            <v>-42.559999999999995</v>
          </cell>
          <cell r="BA122">
            <v>-0.9151358473752671</v>
          </cell>
          <cell r="BF122">
            <v>7916</v>
          </cell>
          <cell r="BG122">
            <v>809.61623999999995</v>
          </cell>
          <cell r="BH122">
            <v>74.525000000000006</v>
          </cell>
          <cell r="BL122">
            <v>7916</v>
          </cell>
          <cell r="BM122">
            <v>809.61623999999995</v>
          </cell>
          <cell r="BN122">
            <v>82.944000000000003</v>
          </cell>
          <cell r="BR122">
            <v>7916</v>
          </cell>
          <cell r="BS122">
            <v>809.61623999999995</v>
          </cell>
          <cell r="BT122">
            <v>90.852999999999994</v>
          </cell>
          <cell r="BX122">
            <v>7916</v>
          </cell>
          <cell r="BY122">
            <v>809.61623999999995</v>
          </cell>
          <cell r="BZ122">
            <v>114.075</v>
          </cell>
          <cell r="CD122">
            <v>7916</v>
          </cell>
          <cell r="CE122">
            <v>809.61623999999995</v>
          </cell>
          <cell r="CF122">
            <v>88.602999999999994</v>
          </cell>
          <cell r="CJ122">
            <v>7924</v>
          </cell>
          <cell r="CK122">
            <v>810.42135999999994</v>
          </cell>
          <cell r="CL122">
            <v>110.21299999999999</v>
          </cell>
          <cell r="CP122">
            <v>47504</v>
          </cell>
          <cell r="CQ122">
            <v>4858.5025599999999</v>
          </cell>
          <cell r="CR122">
            <v>561.21299999999997</v>
          </cell>
          <cell r="CS122">
            <v>11.551151678306413</v>
          </cell>
          <cell r="CX122">
            <v>22248</v>
          </cell>
          <cell r="CY122">
            <v>2325.3378240000002</v>
          </cell>
          <cell r="CZ122">
            <v>-74.688000000000002</v>
          </cell>
          <cell r="DA122">
            <v>-3.2119204026674795</v>
          </cell>
          <cell r="DF122">
            <v>22248</v>
          </cell>
          <cell r="DG122">
            <v>2325.3378240000002</v>
          </cell>
          <cell r="DH122">
            <v>32.128</v>
          </cell>
          <cell r="DI122">
            <v>1.3816487079169448</v>
          </cell>
          <cell r="DN122">
            <v>23748</v>
          </cell>
          <cell r="DO122">
            <v>2428.84872</v>
          </cell>
          <cell r="DP122">
            <v>248.322</v>
          </cell>
          <cell r="DQ122">
            <v>10.223856181541024</v>
          </cell>
          <cell r="DV122">
            <v>23756</v>
          </cell>
          <cell r="DW122">
            <v>2429.6538399999999</v>
          </cell>
          <cell r="DX122">
            <v>312.89099999999996</v>
          </cell>
          <cell r="DY122">
            <v>12.878007346099968</v>
          </cell>
        </row>
        <row r="123">
          <cell r="F123">
            <v>61000</v>
          </cell>
          <cell r="G123">
            <v>4814.12</v>
          </cell>
          <cell r="H123">
            <v>443.74199999999996</v>
          </cell>
          <cell r="I123">
            <v>9.2175101576196674</v>
          </cell>
          <cell r="N123">
            <v>3528</v>
          </cell>
          <cell r="O123">
            <v>280.24775999999997</v>
          </cell>
          <cell r="P123">
            <v>-12.401</v>
          </cell>
          <cell r="T123">
            <v>4056</v>
          </cell>
          <cell r="U123">
            <v>326.27352000000002</v>
          </cell>
          <cell r="V123">
            <v>-0.72599999999999998</v>
          </cell>
          <cell r="Z123">
            <v>6056</v>
          </cell>
          <cell r="AA123">
            <v>482.42151999999999</v>
          </cell>
          <cell r="AB123">
            <v>10.284000000000001</v>
          </cell>
          <cell r="AF123">
            <v>5648</v>
          </cell>
          <cell r="AG123">
            <v>446.85615999999999</v>
          </cell>
          <cell r="AH123">
            <v>16.591999999999999</v>
          </cell>
          <cell r="AL123">
            <v>5648</v>
          </cell>
          <cell r="AM123">
            <v>446.85615999999999</v>
          </cell>
          <cell r="AN123">
            <v>23.991</v>
          </cell>
          <cell r="AR123">
            <v>5864</v>
          </cell>
          <cell r="AS123">
            <v>465.68488000000002</v>
          </cell>
          <cell r="AT123">
            <v>33.011000000000003</v>
          </cell>
          <cell r="AX123">
            <v>30800</v>
          </cell>
          <cell r="AY123">
            <v>2448.34</v>
          </cell>
          <cell r="AZ123">
            <v>70.751000000000005</v>
          </cell>
          <cell r="BA123">
            <v>2.8897538740534401</v>
          </cell>
          <cell r="BF123">
            <v>4648</v>
          </cell>
          <cell r="BG123">
            <v>360.02479999999997</v>
          </cell>
          <cell r="BH123">
            <v>46.993000000000002</v>
          </cell>
          <cell r="BL123">
            <v>4296</v>
          </cell>
          <cell r="BM123">
            <v>338.94959999999998</v>
          </cell>
          <cell r="BN123">
            <v>51.709000000000003</v>
          </cell>
          <cell r="BR123">
            <v>5296</v>
          </cell>
          <cell r="BS123">
            <v>415.1696</v>
          </cell>
          <cell r="BT123">
            <v>63.695</v>
          </cell>
          <cell r="BX123">
            <v>6188</v>
          </cell>
          <cell r="BY123">
            <v>482.19880000000001</v>
          </cell>
          <cell r="BZ123">
            <v>76.781000000000006</v>
          </cell>
          <cell r="CD123">
            <v>5188</v>
          </cell>
          <cell r="CE123">
            <v>405.97879999999998</v>
          </cell>
          <cell r="CF123">
            <v>67.503</v>
          </cell>
          <cell r="CJ123">
            <v>4584</v>
          </cell>
          <cell r="CK123">
            <v>363.45839999999998</v>
          </cell>
          <cell r="CL123">
            <v>66.31</v>
          </cell>
          <cell r="CP123">
            <v>30200</v>
          </cell>
          <cell r="CQ123">
            <v>2365.7799999999997</v>
          </cell>
          <cell r="CR123">
            <v>372.99099999999999</v>
          </cell>
          <cell r="CS123">
            <v>15.766089830838034</v>
          </cell>
          <cell r="CX123">
            <v>13640</v>
          </cell>
          <cell r="CY123">
            <v>1088.9427999999998</v>
          </cell>
          <cell r="CZ123">
            <v>-2.8429999999999982</v>
          </cell>
          <cell r="DA123">
            <v>-0.26107891066454536</v>
          </cell>
          <cell r="DF123">
            <v>17160</v>
          </cell>
          <cell r="DG123">
            <v>1359.3971999999999</v>
          </cell>
          <cell r="DH123">
            <v>73.593999999999994</v>
          </cell>
          <cell r="DI123">
            <v>5.4137230825545322</v>
          </cell>
          <cell r="DN123">
            <v>14240</v>
          </cell>
          <cell r="DO123">
            <v>1114.144</v>
          </cell>
          <cell r="DP123">
            <v>162.39699999999999</v>
          </cell>
          <cell r="DQ123">
            <v>14.575943504609818</v>
          </cell>
          <cell r="DV123">
            <v>15960</v>
          </cell>
          <cell r="DW123">
            <v>1251.636</v>
          </cell>
          <cell r="DX123">
            <v>210.59399999999999</v>
          </cell>
          <cell r="DY123">
            <v>16.825498787187328</v>
          </cell>
        </row>
        <row r="124">
          <cell r="F124">
            <v>4000</v>
          </cell>
          <cell r="G124">
            <v>329.16399999999999</v>
          </cell>
          <cell r="H124">
            <v>46.225000000000001</v>
          </cell>
          <cell r="I124">
            <v>14.043151741988796</v>
          </cell>
          <cell r="N124">
            <v>300</v>
          </cell>
          <cell r="O124">
            <v>25.013999999999999</v>
          </cell>
          <cell r="P124">
            <v>2.9710000000000001</v>
          </cell>
          <cell r="T124">
            <v>300</v>
          </cell>
          <cell r="U124">
            <v>25.013999999999999</v>
          </cell>
          <cell r="V124">
            <v>2.9950000000000001</v>
          </cell>
          <cell r="Z124">
            <v>300</v>
          </cell>
          <cell r="AA124">
            <v>25.013999999999999</v>
          </cell>
          <cell r="AB124">
            <v>3.0169999999999999</v>
          </cell>
          <cell r="AF124">
            <v>300</v>
          </cell>
          <cell r="AG124">
            <v>25.013999999999999</v>
          </cell>
          <cell r="AH124">
            <v>2.5910000000000002</v>
          </cell>
          <cell r="AL124">
            <v>300</v>
          </cell>
          <cell r="AM124">
            <v>25.013999999999999</v>
          </cell>
          <cell r="AN124">
            <v>2.5019999999999998</v>
          </cell>
          <cell r="AR124">
            <v>300</v>
          </cell>
          <cell r="AS124">
            <v>25.013999999999999</v>
          </cell>
          <cell r="AT124">
            <v>2.6829999999999998</v>
          </cell>
          <cell r="AX124">
            <v>1800</v>
          </cell>
          <cell r="AY124">
            <v>150.084</v>
          </cell>
          <cell r="AZ124">
            <v>16.759</v>
          </cell>
          <cell r="BA124">
            <v>11.166413475120599</v>
          </cell>
          <cell r="BF124">
            <v>400</v>
          </cell>
          <cell r="BG124">
            <v>32.56</v>
          </cell>
          <cell r="BH124">
            <v>5.266</v>
          </cell>
          <cell r="BL124">
            <v>400</v>
          </cell>
          <cell r="BM124">
            <v>32.56</v>
          </cell>
          <cell r="BN124">
            <v>4.9369999999999994</v>
          </cell>
          <cell r="BR124">
            <v>400</v>
          </cell>
          <cell r="BS124">
            <v>32.56</v>
          </cell>
          <cell r="BT124">
            <v>5.1509999999999998</v>
          </cell>
          <cell r="BX124">
            <v>400</v>
          </cell>
          <cell r="BY124">
            <v>32.56</v>
          </cell>
          <cell r="BZ124">
            <v>5.8580000000000005</v>
          </cell>
          <cell r="CD124">
            <v>300</v>
          </cell>
          <cell r="CE124">
            <v>24.42</v>
          </cell>
          <cell r="CF124">
            <v>3.9260000000000002</v>
          </cell>
          <cell r="CJ124">
            <v>300</v>
          </cell>
          <cell r="CK124">
            <v>24.42</v>
          </cell>
          <cell r="CL124">
            <v>4.3280000000000003</v>
          </cell>
          <cell r="CP124">
            <v>2200</v>
          </cell>
          <cell r="CQ124">
            <v>179.08</v>
          </cell>
          <cell r="CR124">
            <v>29.466000000000001</v>
          </cell>
          <cell r="CS124">
            <v>16.454098726826</v>
          </cell>
          <cell r="CX124">
            <v>900</v>
          </cell>
          <cell r="CY124">
            <v>75.042000000000002</v>
          </cell>
          <cell r="CZ124">
            <v>8.9830000000000005</v>
          </cell>
          <cell r="DA124">
            <v>11.970629780656166</v>
          </cell>
          <cell r="DF124">
            <v>900</v>
          </cell>
          <cell r="DG124">
            <v>75.042000000000002</v>
          </cell>
          <cell r="DH124">
            <v>7.7759999999999998</v>
          </cell>
          <cell r="DI124">
            <v>10.362197169585032</v>
          </cell>
          <cell r="DN124">
            <v>1200</v>
          </cell>
          <cell r="DO124">
            <v>97.68</v>
          </cell>
          <cell r="DP124">
            <v>15.353999999999999</v>
          </cell>
          <cell r="DQ124">
            <v>15.718673218673217</v>
          </cell>
          <cell r="DV124">
            <v>1000</v>
          </cell>
          <cell r="DW124">
            <v>81.400000000000006</v>
          </cell>
          <cell r="DX124">
            <v>14.112000000000002</v>
          </cell>
          <cell r="DY124">
            <v>17.336609336609339</v>
          </cell>
        </row>
        <row r="125">
          <cell r="F125">
            <v>12000</v>
          </cell>
          <cell r="G125">
            <v>1093.9007999999999</v>
          </cell>
          <cell r="H125">
            <v>221.31800000000001</v>
          </cell>
          <cell r="I125">
            <v>20.231999099004227</v>
          </cell>
          <cell r="N125">
            <v>484</v>
          </cell>
          <cell r="O125">
            <v>45.125256</v>
          </cell>
          <cell r="P125">
            <v>3.508</v>
          </cell>
          <cell r="T125">
            <v>968</v>
          </cell>
          <cell r="U125">
            <v>90.250512000000001</v>
          </cell>
          <cell r="V125">
            <v>10.63</v>
          </cell>
          <cell r="Z125">
            <v>1068</v>
          </cell>
          <cell r="AA125">
            <v>98.664311999999995</v>
          </cell>
          <cell r="AB125">
            <v>13.576000000000001</v>
          </cell>
          <cell r="AF125">
            <v>694</v>
          </cell>
          <cell r="AG125">
            <v>63.794795999999998</v>
          </cell>
          <cell r="AH125">
            <v>9.6180000000000003</v>
          </cell>
          <cell r="AL125">
            <v>694</v>
          </cell>
          <cell r="AM125">
            <v>63.794795999999998</v>
          </cell>
          <cell r="AN125">
            <v>10.433</v>
          </cell>
          <cell r="AR125">
            <v>892</v>
          </cell>
          <cell r="AS125">
            <v>82.255127999999999</v>
          </cell>
          <cell r="AT125">
            <v>14.446</v>
          </cell>
          <cell r="AX125">
            <v>4800</v>
          </cell>
          <cell r="AY125">
            <v>443.88479999999998</v>
          </cell>
          <cell r="AZ125">
            <v>62.211000000000006</v>
          </cell>
          <cell r="BA125">
            <v>14.015122842683509</v>
          </cell>
          <cell r="BF125">
            <v>694</v>
          </cell>
          <cell r="BG125">
            <v>62.279879999999999</v>
          </cell>
          <cell r="BH125">
            <v>14.138999999999999</v>
          </cell>
          <cell r="BL125">
            <v>1288</v>
          </cell>
          <cell r="BM125">
            <v>116.34576</v>
          </cell>
          <cell r="BN125">
            <v>27.56</v>
          </cell>
          <cell r="BR125">
            <v>1288</v>
          </cell>
          <cell r="BS125">
            <v>116.34576</v>
          </cell>
          <cell r="BT125">
            <v>28.031999999999996</v>
          </cell>
          <cell r="BX125">
            <v>1189</v>
          </cell>
          <cell r="BY125">
            <v>107.33477999999999</v>
          </cell>
          <cell r="BZ125">
            <v>26.63</v>
          </cell>
          <cell r="CD125">
            <v>1189</v>
          </cell>
          <cell r="CE125">
            <v>107.33477999999999</v>
          </cell>
          <cell r="CF125">
            <v>26.817</v>
          </cell>
          <cell r="CJ125">
            <v>1552</v>
          </cell>
          <cell r="CK125">
            <v>140.37503999999998</v>
          </cell>
          <cell r="CL125">
            <v>35.929000000000002</v>
          </cell>
          <cell r="CP125">
            <v>7200</v>
          </cell>
          <cell r="CQ125">
            <v>650.01599999999996</v>
          </cell>
          <cell r="CR125">
            <v>159.107</v>
          </cell>
          <cell r="CS125">
            <v>24.477397479446662</v>
          </cell>
          <cell r="CX125">
            <v>2520</v>
          </cell>
          <cell r="CY125">
            <v>234.04007999999999</v>
          </cell>
          <cell r="CZ125">
            <v>27.714000000000002</v>
          </cell>
          <cell r="DA125">
            <v>11.841561496646216</v>
          </cell>
          <cell r="DF125">
            <v>2280</v>
          </cell>
          <cell r="DG125">
            <v>209.84472</v>
          </cell>
          <cell r="DH125">
            <v>34.497</v>
          </cell>
          <cell r="DI125">
            <v>16.439298544180669</v>
          </cell>
          <cell r="DN125">
            <v>3270</v>
          </cell>
          <cell r="DO125">
            <v>294.97140000000002</v>
          </cell>
          <cell r="DP125">
            <v>69.730999999999995</v>
          </cell>
          <cell r="DQ125">
            <v>23.639918988756197</v>
          </cell>
          <cell r="DV125">
            <v>3930</v>
          </cell>
          <cell r="DW125">
            <v>355.04459999999995</v>
          </cell>
          <cell r="DX125">
            <v>89.376000000000005</v>
          </cell>
          <cell r="DY125">
            <v>25.17317542641122</v>
          </cell>
        </row>
        <row r="126">
          <cell r="F126">
            <v>4000</v>
          </cell>
          <cell r="G126">
            <v>353.10320000000002</v>
          </cell>
          <cell r="H126">
            <v>54.566000000000003</v>
          </cell>
          <cell r="I126">
            <v>15.453272584332286</v>
          </cell>
          <cell r="N126">
            <v>300</v>
          </cell>
          <cell r="O126">
            <v>26.833200000000001</v>
          </cell>
          <cell r="P126">
            <v>2.7149999999999999</v>
          </cell>
          <cell r="T126">
            <v>300</v>
          </cell>
          <cell r="U126">
            <v>26.833200000000001</v>
          </cell>
          <cell r="V126">
            <v>3.3809999999999998</v>
          </cell>
          <cell r="Z126">
            <v>300</v>
          </cell>
          <cell r="AA126">
            <v>26.833200000000001</v>
          </cell>
          <cell r="AB126">
            <v>3.5840000000000001</v>
          </cell>
          <cell r="AF126">
            <v>300</v>
          </cell>
          <cell r="AG126">
            <v>26.833200000000001</v>
          </cell>
          <cell r="AH126">
            <v>3.323</v>
          </cell>
          <cell r="AL126">
            <v>300</v>
          </cell>
          <cell r="AM126">
            <v>26.833200000000001</v>
          </cell>
          <cell r="AN126">
            <v>3.1989999999999998</v>
          </cell>
          <cell r="AR126">
            <v>300</v>
          </cell>
          <cell r="AS126">
            <v>26.833200000000001</v>
          </cell>
          <cell r="AT126">
            <v>3.3090000000000002</v>
          </cell>
          <cell r="AX126">
            <v>1800</v>
          </cell>
          <cell r="AY126">
            <v>160.9992</v>
          </cell>
          <cell r="AZ126">
            <v>19.510999999999999</v>
          </cell>
          <cell r="BA126">
            <v>12.118693757484508</v>
          </cell>
          <cell r="BF126">
            <v>400</v>
          </cell>
          <cell r="BG126">
            <v>34.927999999999997</v>
          </cell>
          <cell r="BH126">
            <v>6.24</v>
          </cell>
          <cell r="BL126">
            <v>400</v>
          </cell>
          <cell r="BM126">
            <v>34.927999999999997</v>
          </cell>
          <cell r="BN126">
            <v>6</v>
          </cell>
          <cell r="BR126">
            <v>400</v>
          </cell>
          <cell r="BS126">
            <v>34.927999999999997</v>
          </cell>
          <cell r="BT126">
            <v>6.1680000000000001</v>
          </cell>
          <cell r="BX126">
            <v>400</v>
          </cell>
          <cell r="BY126">
            <v>34.927999999999997</v>
          </cell>
          <cell r="BZ126">
            <v>6.7840000000000007</v>
          </cell>
          <cell r="CD126">
            <v>300</v>
          </cell>
          <cell r="CE126">
            <v>26.195999999999998</v>
          </cell>
          <cell r="CF126">
            <v>4.8130000000000006</v>
          </cell>
          <cell r="CJ126">
            <v>300</v>
          </cell>
          <cell r="CK126">
            <v>26.195999999999998</v>
          </cell>
          <cell r="CL126">
            <v>5.05</v>
          </cell>
          <cell r="CP126">
            <v>2200</v>
          </cell>
          <cell r="CQ126">
            <v>192.10399999999998</v>
          </cell>
          <cell r="CR126">
            <v>35.055</v>
          </cell>
          <cell r="CS126">
            <v>18.247928205555326</v>
          </cell>
          <cell r="CX126">
            <v>900</v>
          </cell>
          <cell r="CY126">
            <v>80.499600000000001</v>
          </cell>
          <cell r="CZ126">
            <v>9.68</v>
          </cell>
          <cell r="DA126">
            <v>12.024904471575013</v>
          </cell>
          <cell r="DF126">
            <v>900</v>
          </cell>
          <cell r="DG126">
            <v>80.499600000000001</v>
          </cell>
          <cell r="DH126">
            <v>9.8309999999999995</v>
          </cell>
          <cell r="DI126">
            <v>12.212483043394004</v>
          </cell>
          <cell r="DN126">
            <v>1200</v>
          </cell>
          <cell r="DO126">
            <v>104.78399999999999</v>
          </cell>
          <cell r="DP126">
            <v>18.408000000000001</v>
          </cell>
          <cell r="DQ126">
            <v>17.567567567567572</v>
          </cell>
          <cell r="DV126">
            <v>1000</v>
          </cell>
          <cell r="DW126">
            <v>87.32</v>
          </cell>
          <cell r="DX126">
            <v>16.647000000000002</v>
          </cell>
          <cell r="DY126">
            <v>19.064360971140637</v>
          </cell>
        </row>
        <row r="127">
          <cell r="F127">
            <v>75000</v>
          </cell>
          <cell r="G127">
            <v>8820.2890599999992</v>
          </cell>
          <cell r="H127">
            <v>1308.2</v>
          </cell>
          <cell r="I127">
            <v>14.831713463141311</v>
          </cell>
          <cell r="N127">
            <v>4465</v>
          </cell>
          <cell r="O127">
            <v>529.47588599999995</v>
          </cell>
          <cell r="P127">
            <v>47.396999999999998</v>
          </cell>
          <cell r="T127">
            <v>4905</v>
          </cell>
          <cell r="U127">
            <v>582.83908599999995</v>
          </cell>
          <cell r="V127">
            <v>63.639000000000003</v>
          </cell>
          <cell r="Z127">
            <v>5930</v>
          </cell>
          <cell r="AA127">
            <v>706.48177199999998</v>
          </cell>
          <cell r="AB127">
            <v>79.099000000000004</v>
          </cell>
          <cell r="AF127">
            <v>5590</v>
          </cell>
          <cell r="AG127">
            <v>665.24657200000001</v>
          </cell>
          <cell r="AH127">
            <v>72.128</v>
          </cell>
          <cell r="AL127">
            <v>5590</v>
          </cell>
          <cell r="AM127">
            <v>665.24657200000001</v>
          </cell>
          <cell r="AN127">
            <v>79.597999999999999</v>
          </cell>
          <cell r="AR127">
            <v>5770</v>
          </cell>
          <cell r="AS127">
            <v>687.07697199999996</v>
          </cell>
          <cell r="AT127">
            <v>84.885999999999996</v>
          </cell>
          <cell r="AX127">
            <v>32250</v>
          </cell>
          <cell r="AY127">
            <v>3836.3668600000001</v>
          </cell>
          <cell r="AZ127">
            <v>426.74699999999996</v>
          </cell>
          <cell r="BA127">
            <v>11.123727619730298</v>
          </cell>
          <cell r="BF127">
            <v>6002.5</v>
          </cell>
          <cell r="BG127">
            <v>699.22933</v>
          </cell>
          <cell r="BH127">
            <v>109.28700000000001</v>
          </cell>
          <cell r="BL127">
            <v>7042.5</v>
          </cell>
          <cell r="BM127">
            <v>820.51532999999995</v>
          </cell>
          <cell r="BN127">
            <v>135.12899999999999</v>
          </cell>
          <cell r="BR127">
            <v>7237.5</v>
          </cell>
          <cell r="BS127">
            <v>844.047774</v>
          </cell>
          <cell r="BT127">
            <v>140.84399999999999</v>
          </cell>
          <cell r="BX127">
            <v>8427.5</v>
          </cell>
          <cell r="BY127">
            <v>984.87154999999996</v>
          </cell>
          <cell r="BZ127">
            <v>192.06399999999999</v>
          </cell>
          <cell r="CD127">
            <v>7745</v>
          </cell>
          <cell r="CE127">
            <v>902.50799599999993</v>
          </cell>
          <cell r="CF127">
            <v>161.18</v>
          </cell>
          <cell r="CJ127">
            <v>6295</v>
          </cell>
          <cell r="CK127">
            <v>732.75022000000001</v>
          </cell>
          <cell r="CL127">
            <v>142.94900000000001</v>
          </cell>
          <cell r="CP127">
            <v>42750</v>
          </cell>
          <cell r="CQ127">
            <v>4983.9222</v>
          </cell>
          <cell r="CR127">
            <v>881.45300000000009</v>
          </cell>
          <cell r="CS127">
            <v>17.685930169616213</v>
          </cell>
          <cell r="CX127">
            <v>15300</v>
          </cell>
          <cell r="CY127">
            <v>1818.7967439999998</v>
          </cell>
          <cell r="CZ127">
            <v>190.13499999999999</v>
          </cell>
          <cell r="DA127">
            <v>10.45388939842967</v>
          </cell>
          <cell r="DF127">
            <v>16950</v>
          </cell>
          <cell r="DG127">
            <v>2017.5701159999999</v>
          </cell>
          <cell r="DH127">
            <v>236.61199999999999</v>
          </cell>
          <cell r="DI127">
            <v>11.727572594557602</v>
          </cell>
          <cell r="DN127">
            <v>20282.5</v>
          </cell>
          <cell r="DO127">
            <v>2363.792434</v>
          </cell>
          <cell r="DP127">
            <v>385.26</v>
          </cell>
          <cell r="DQ127">
            <v>16.298385359837393</v>
          </cell>
          <cell r="DV127">
            <v>22467.5</v>
          </cell>
          <cell r="DW127">
            <v>2620.129766</v>
          </cell>
          <cell r="DX127">
            <v>496.19300000000004</v>
          </cell>
          <cell r="DY127">
            <v>18.937726155354095</v>
          </cell>
        </row>
        <row r="128">
          <cell r="F128">
            <v>15000</v>
          </cell>
          <cell r="G128">
            <v>1870.9935</v>
          </cell>
          <cell r="H128">
            <v>254.673</v>
          </cell>
          <cell r="I128">
            <v>13.611645363813397</v>
          </cell>
          <cell r="N128">
            <v>615</v>
          </cell>
          <cell r="O128">
            <v>77.918610000000001</v>
          </cell>
          <cell r="P128">
            <v>7.2249999999999996</v>
          </cell>
          <cell r="T128">
            <v>1055</v>
          </cell>
          <cell r="U128">
            <v>133.94997000000001</v>
          </cell>
          <cell r="V128">
            <v>14.821999999999999</v>
          </cell>
          <cell r="Z128">
            <v>1230</v>
          </cell>
          <cell r="AA128">
            <v>155.83722</v>
          </cell>
          <cell r="AB128">
            <v>17.731999999999999</v>
          </cell>
          <cell r="AF128">
            <v>890</v>
          </cell>
          <cell r="AG128">
            <v>112.54026</v>
          </cell>
          <cell r="AH128">
            <v>12.727</v>
          </cell>
          <cell r="AL128">
            <v>890</v>
          </cell>
          <cell r="AM128">
            <v>112.54026</v>
          </cell>
          <cell r="AN128">
            <v>13.401</v>
          </cell>
          <cell r="AR128">
            <v>1070</v>
          </cell>
          <cell r="AS128">
            <v>135.46217999999999</v>
          </cell>
          <cell r="AT128">
            <v>16.79</v>
          </cell>
          <cell r="AX128">
            <v>5750</v>
          </cell>
          <cell r="AY128">
            <v>728.24849999999992</v>
          </cell>
          <cell r="AZ128">
            <v>82.696999999999989</v>
          </cell>
          <cell r="BA128">
            <v>11.355601830968412</v>
          </cell>
          <cell r="BF128">
            <v>1027.5</v>
          </cell>
          <cell r="BG128">
            <v>126.65655</v>
          </cell>
          <cell r="BH128">
            <v>14.537000000000001</v>
          </cell>
          <cell r="BL128">
            <v>1567.5</v>
          </cell>
          <cell r="BM128">
            <v>193.78934999999998</v>
          </cell>
          <cell r="BN128">
            <v>25.297999999999998</v>
          </cell>
          <cell r="BR128">
            <v>1632.5</v>
          </cell>
          <cell r="BS128">
            <v>201.72585000000001</v>
          </cell>
          <cell r="BT128">
            <v>28.457999999999998</v>
          </cell>
          <cell r="BX128">
            <v>1802.5</v>
          </cell>
          <cell r="BY128">
            <v>222.28305</v>
          </cell>
          <cell r="BZ128">
            <v>34.823</v>
          </cell>
          <cell r="CD128">
            <v>1575</v>
          </cell>
          <cell r="CE128">
            <v>194.50530000000001</v>
          </cell>
          <cell r="CF128">
            <v>32.082000000000001</v>
          </cell>
          <cell r="CJ128">
            <v>1645</v>
          </cell>
          <cell r="CK128">
            <v>203.78489999999999</v>
          </cell>
          <cell r="CL128">
            <v>36.777999999999999</v>
          </cell>
          <cell r="CP128">
            <v>9250</v>
          </cell>
          <cell r="CQ128">
            <v>1142.7450000000001</v>
          </cell>
          <cell r="CR128">
            <v>171.976</v>
          </cell>
          <cell r="CS128">
            <v>15.049376720090656</v>
          </cell>
          <cell r="CX128">
            <v>2900</v>
          </cell>
          <cell r="CY128">
            <v>367.70580000000001</v>
          </cell>
          <cell r="CZ128">
            <v>39.778999999999996</v>
          </cell>
          <cell r="DA128">
            <v>10.81815951774489</v>
          </cell>
          <cell r="DF128">
            <v>2850</v>
          </cell>
          <cell r="DG128">
            <v>360.54269999999997</v>
          </cell>
          <cell r="DH128">
            <v>42.917999999999999</v>
          </cell>
          <cell r="DI128">
            <v>11.903721806044055</v>
          </cell>
          <cell r="DN128">
            <v>4227.5</v>
          </cell>
          <cell r="DO128">
            <v>522.17174999999997</v>
          </cell>
          <cell r="DP128">
            <v>68.293000000000006</v>
          </cell>
          <cell r="DQ128">
            <v>13.078647016044053</v>
          </cell>
          <cell r="DV128">
            <v>5022.5</v>
          </cell>
          <cell r="DW128">
            <v>620.57325000000003</v>
          </cell>
          <cell r="DX128">
            <v>103.68299999999999</v>
          </cell>
          <cell r="DY128">
            <v>16.707616707616705</v>
          </cell>
        </row>
        <row r="129">
          <cell r="F129">
            <v>72000</v>
          </cell>
          <cell r="G129">
            <v>7700.2403999999997</v>
          </cell>
          <cell r="H129">
            <v>357.39299999999992</v>
          </cell>
          <cell r="I129">
            <v>4.6413226267585088</v>
          </cell>
          <cell r="N129">
            <v>0</v>
          </cell>
          <cell r="O129">
            <v>0</v>
          </cell>
          <cell r="P129">
            <v>0</v>
          </cell>
          <cell r="T129">
            <v>0</v>
          </cell>
          <cell r="U129">
            <v>0</v>
          </cell>
          <cell r="V129">
            <v>0</v>
          </cell>
          <cell r="Z129">
            <v>0</v>
          </cell>
          <cell r="AA129">
            <v>0</v>
          </cell>
          <cell r="AB129">
            <v>0</v>
          </cell>
          <cell r="AF129">
            <v>0</v>
          </cell>
          <cell r="AG129">
            <v>0</v>
          </cell>
          <cell r="AH129">
            <v>0</v>
          </cell>
          <cell r="AL129">
            <v>2160</v>
          </cell>
          <cell r="AM129">
            <v>236.0412</v>
          </cell>
          <cell r="AN129">
            <v>-123.059</v>
          </cell>
          <cell r="AR129">
            <v>5160</v>
          </cell>
          <cell r="AS129">
            <v>565.77120000000002</v>
          </cell>
          <cell r="AT129">
            <v>-112.267</v>
          </cell>
          <cell r="AX129">
            <v>7320</v>
          </cell>
          <cell r="AY129">
            <v>801.81240000000003</v>
          </cell>
          <cell r="AZ129">
            <v>-235.32599999999999</v>
          </cell>
          <cell r="BA129">
            <v>-29.349259253161957</v>
          </cell>
          <cell r="BF129">
            <v>9230</v>
          </cell>
          <cell r="BG129">
            <v>983.053</v>
          </cell>
          <cell r="BH129">
            <v>7.0359999999999996</v>
          </cell>
          <cell r="BL129">
            <v>11330</v>
          </cell>
          <cell r="BM129">
            <v>1209.8630000000001</v>
          </cell>
          <cell r="BN129">
            <v>85.575999999999993</v>
          </cell>
          <cell r="BR129">
            <v>11870</v>
          </cell>
          <cell r="BS129">
            <v>1266.473</v>
          </cell>
          <cell r="BT129">
            <v>101.545</v>
          </cell>
          <cell r="BX129">
            <v>14040</v>
          </cell>
          <cell r="BY129">
            <v>1494.134</v>
          </cell>
          <cell r="BZ129">
            <v>170.78899999999999</v>
          </cell>
          <cell r="CD129">
            <v>10150</v>
          </cell>
          <cell r="CE129">
            <v>1081.3989999999999</v>
          </cell>
          <cell r="CF129">
            <v>112.176</v>
          </cell>
          <cell r="CJ129">
            <v>8060</v>
          </cell>
          <cell r="CK129">
            <v>863.50599999999997</v>
          </cell>
          <cell r="CL129">
            <v>115.59699999999999</v>
          </cell>
          <cell r="CP129">
            <v>64680</v>
          </cell>
          <cell r="CQ129">
            <v>6898.4279999999999</v>
          </cell>
          <cell r="CR129">
            <v>592.71899999999994</v>
          </cell>
          <cell r="CS129">
            <v>8.5920879365559788</v>
          </cell>
          <cell r="CX129">
            <v>0</v>
          </cell>
          <cell r="CY129">
            <v>0</v>
          </cell>
          <cell r="CZ129">
            <v>0</v>
          </cell>
          <cell r="DA129">
            <v>0</v>
          </cell>
          <cell r="DF129">
            <v>7320</v>
          </cell>
          <cell r="DG129">
            <v>801.81240000000003</v>
          </cell>
          <cell r="DH129">
            <v>-235.32599999999999</v>
          </cell>
          <cell r="DI129">
            <v>-29.349259253161957</v>
          </cell>
          <cell r="DN129">
            <v>32430</v>
          </cell>
          <cell r="DO129">
            <v>3459.3890000000001</v>
          </cell>
          <cell r="DP129">
            <v>194.15699999999998</v>
          </cell>
          <cell r="DQ129">
            <v>5.6124650913788532</v>
          </cell>
          <cell r="DV129">
            <v>32250</v>
          </cell>
          <cell r="DW129">
            <v>3439.0389999999998</v>
          </cell>
          <cell r="DX129">
            <v>398.56199999999995</v>
          </cell>
          <cell r="DY129">
            <v>11.589342255205597</v>
          </cell>
        </row>
        <row r="130">
          <cell r="F130">
            <v>0</v>
          </cell>
          <cell r="G130">
            <v>0</v>
          </cell>
          <cell r="H130">
            <v>0</v>
          </cell>
          <cell r="I130">
            <v>0</v>
          </cell>
          <cell r="N130">
            <v>0</v>
          </cell>
          <cell r="O130">
            <v>0</v>
          </cell>
          <cell r="P130">
            <v>0</v>
          </cell>
          <cell r="T130">
            <v>0</v>
          </cell>
          <cell r="U130">
            <v>0</v>
          </cell>
          <cell r="V130">
            <v>0</v>
          </cell>
          <cell r="Z130">
            <v>0</v>
          </cell>
          <cell r="AA130">
            <v>0</v>
          </cell>
          <cell r="AB130">
            <v>0</v>
          </cell>
          <cell r="AF130">
            <v>0</v>
          </cell>
          <cell r="AG130">
            <v>0</v>
          </cell>
          <cell r="AH130">
            <v>0</v>
          </cell>
          <cell r="AL130">
            <v>0</v>
          </cell>
          <cell r="AM130">
            <v>0</v>
          </cell>
          <cell r="AN130">
            <v>0</v>
          </cell>
          <cell r="AR130">
            <v>0</v>
          </cell>
          <cell r="AS130">
            <v>0</v>
          </cell>
          <cell r="AT130">
            <v>0</v>
          </cell>
          <cell r="AX130">
            <v>0</v>
          </cell>
          <cell r="AY130">
            <v>0</v>
          </cell>
          <cell r="AZ130">
            <v>0</v>
          </cell>
          <cell r="BA130">
            <v>0</v>
          </cell>
          <cell r="BF130">
            <v>0</v>
          </cell>
          <cell r="BG130">
            <v>0</v>
          </cell>
          <cell r="BH130">
            <v>0</v>
          </cell>
          <cell r="BL130">
            <v>0</v>
          </cell>
          <cell r="BM130">
            <v>0</v>
          </cell>
          <cell r="BN130">
            <v>0</v>
          </cell>
          <cell r="BR130">
            <v>0</v>
          </cell>
          <cell r="BS130">
            <v>0</v>
          </cell>
          <cell r="BT130">
            <v>0</v>
          </cell>
          <cell r="BX130">
            <v>0</v>
          </cell>
          <cell r="BY130">
            <v>0</v>
          </cell>
          <cell r="BZ130">
            <v>0</v>
          </cell>
          <cell r="CD130">
            <v>0</v>
          </cell>
          <cell r="CE130">
            <v>0</v>
          </cell>
          <cell r="CF130">
            <v>0</v>
          </cell>
          <cell r="CJ130">
            <v>0</v>
          </cell>
          <cell r="CK130">
            <v>0</v>
          </cell>
          <cell r="CL130">
            <v>0</v>
          </cell>
          <cell r="CP130">
            <v>0</v>
          </cell>
          <cell r="CQ130">
            <v>0</v>
          </cell>
          <cell r="CR130">
            <v>0</v>
          </cell>
          <cell r="CS130">
            <v>0</v>
          </cell>
          <cell r="CX130">
            <v>0</v>
          </cell>
          <cell r="CY130">
            <v>0</v>
          </cell>
          <cell r="CZ130">
            <v>0</v>
          </cell>
          <cell r="DA130">
            <v>0</v>
          </cell>
          <cell r="DF130">
            <v>0</v>
          </cell>
          <cell r="DG130">
            <v>0</v>
          </cell>
          <cell r="DH130">
            <v>0</v>
          </cell>
          <cell r="DI130">
            <v>0</v>
          </cell>
          <cell r="DN130">
            <v>0</v>
          </cell>
          <cell r="DO130">
            <v>0</v>
          </cell>
          <cell r="DP130">
            <v>0</v>
          </cell>
          <cell r="DQ130">
            <v>0</v>
          </cell>
          <cell r="DV130">
            <v>0</v>
          </cell>
          <cell r="DW130">
            <v>0</v>
          </cell>
          <cell r="DX130">
            <v>0</v>
          </cell>
          <cell r="DY130">
            <v>0</v>
          </cell>
        </row>
        <row r="131">
          <cell r="F131">
            <v>3000</v>
          </cell>
          <cell r="G131">
            <v>385.55471999999997</v>
          </cell>
          <cell r="H131">
            <v>67.569000000000003</v>
          </cell>
          <cell r="I131">
            <v>17.52513884410493</v>
          </cell>
          <cell r="N131">
            <v>0</v>
          </cell>
          <cell r="O131">
            <v>0</v>
          </cell>
          <cell r="P131">
            <v>0</v>
          </cell>
          <cell r="T131">
            <v>0</v>
          </cell>
          <cell r="U131">
            <v>0</v>
          </cell>
          <cell r="V131">
            <v>0</v>
          </cell>
          <cell r="Z131">
            <v>0</v>
          </cell>
          <cell r="AA131">
            <v>0</v>
          </cell>
          <cell r="AB131">
            <v>0</v>
          </cell>
          <cell r="AF131">
            <v>0</v>
          </cell>
          <cell r="AG131">
            <v>0</v>
          </cell>
          <cell r="AH131">
            <v>0</v>
          </cell>
          <cell r="AL131">
            <v>240</v>
          </cell>
          <cell r="AM131">
            <v>31.472159999999999</v>
          </cell>
          <cell r="AN131">
            <v>-8.6509999999999998</v>
          </cell>
          <cell r="AR131">
            <v>240</v>
          </cell>
          <cell r="AS131">
            <v>31.472159999999999</v>
          </cell>
          <cell r="AT131">
            <v>0.223</v>
          </cell>
          <cell r="AX131">
            <v>480</v>
          </cell>
          <cell r="AY131">
            <v>62.944319999999998</v>
          </cell>
          <cell r="AZ131">
            <v>-8.427999999999999</v>
          </cell>
          <cell r="BA131">
            <v>-13.389611644068916</v>
          </cell>
          <cell r="BF131">
            <v>270</v>
          </cell>
          <cell r="BG131">
            <v>34.565399999999997</v>
          </cell>
          <cell r="BH131">
            <v>5.9349999999999996</v>
          </cell>
          <cell r="BL131">
            <v>420</v>
          </cell>
          <cell r="BM131">
            <v>53.7684</v>
          </cell>
          <cell r="BN131">
            <v>12.127000000000001</v>
          </cell>
          <cell r="BR131">
            <v>420</v>
          </cell>
          <cell r="BS131">
            <v>53.7684</v>
          </cell>
          <cell r="BT131">
            <v>12.135999999999999</v>
          </cell>
          <cell r="BX131">
            <v>435</v>
          </cell>
          <cell r="BY131">
            <v>55.688699999999997</v>
          </cell>
          <cell r="BZ131">
            <v>13.916</v>
          </cell>
          <cell r="CD131">
            <v>435</v>
          </cell>
          <cell r="CE131">
            <v>55.688699999999997</v>
          </cell>
          <cell r="CF131">
            <v>13.715</v>
          </cell>
          <cell r="CJ131">
            <v>540</v>
          </cell>
          <cell r="CK131">
            <v>69.130799999999994</v>
          </cell>
          <cell r="CL131">
            <v>18.167999999999999</v>
          </cell>
          <cell r="CP131">
            <v>2520</v>
          </cell>
          <cell r="CQ131">
            <v>322.61039999999997</v>
          </cell>
          <cell r="CR131">
            <v>75.997</v>
          </cell>
          <cell r="CS131">
            <v>23.556897111810411</v>
          </cell>
          <cell r="CX131">
            <v>0</v>
          </cell>
          <cell r="CY131">
            <v>0</v>
          </cell>
          <cell r="CZ131">
            <v>0</v>
          </cell>
          <cell r="DA131">
            <v>0</v>
          </cell>
          <cell r="DF131">
            <v>480</v>
          </cell>
          <cell r="DG131">
            <v>62.944319999999998</v>
          </cell>
          <cell r="DH131">
            <v>-8.427999999999999</v>
          </cell>
          <cell r="DI131">
            <v>-13.389611644068916</v>
          </cell>
          <cell r="DN131">
            <v>1110</v>
          </cell>
          <cell r="DO131">
            <v>142.10219999999998</v>
          </cell>
          <cell r="DP131">
            <v>30.198</v>
          </cell>
          <cell r="DQ131">
            <v>21.250902519454311</v>
          </cell>
          <cell r="DV131">
            <v>1410</v>
          </cell>
          <cell r="DW131">
            <v>180.50819999999999</v>
          </cell>
          <cell r="DX131">
            <v>45.798999999999999</v>
          </cell>
          <cell r="DY131">
            <v>25.372254556856699</v>
          </cell>
        </row>
        <row r="132">
          <cell r="F132">
            <v>25000</v>
          </cell>
          <cell r="G132">
            <v>3154.18</v>
          </cell>
          <cell r="H132">
            <v>461.46800000000002</v>
          </cell>
          <cell r="I132">
            <v>14.630363517617893</v>
          </cell>
          <cell r="N132">
            <v>0</v>
          </cell>
          <cell r="O132">
            <v>0</v>
          </cell>
          <cell r="P132">
            <v>0</v>
          </cell>
          <cell r="T132">
            <v>0</v>
          </cell>
          <cell r="U132">
            <v>0</v>
          </cell>
          <cell r="V132">
            <v>0</v>
          </cell>
          <cell r="Z132">
            <v>0</v>
          </cell>
          <cell r="AA132">
            <v>0</v>
          </cell>
          <cell r="AB132">
            <v>0</v>
          </cell>
          <cell r="AF132">
            <v>0</v>
          </cell>
          <cell r="AG132">
            <v>0</v>
          </cell>
          <cell r="AH132">
            <v>0</v>
          </cell>
          <cell r="AL132">
            <v>0</v>
          </cell>
          <cell r="AM132">
            <v>0</v>
          </cell>
          <cell r="AN132">
            <v>0</v>
          </cell>
          <cell r="AR132">
            <v>3000</v>
          </cell>
          <cell r="AS132">
            <v>386.58</v>
          </cell>
          <cell r="AT132">
            <v>-22.001000000000001</v>
          </cell>
          <cell r="AX132">
            <v>3000</v>
          </cell>
          <cell r="AY132">
            <v>386.58</v>
          </cell>
          <cell r="AZ132">
            <v>-22.001000000000001</v>
          </cell>
          <cell r="BA132">
            <v>-5.6911894045217037</v>
          </cell>
          <cell r="BF132">
            <v>3000</v>
          </cell>
          <cell r="BG132">
            <v>377.4</v>
          </cell>
          <cell r="BH132">
            <v>45.002000000000002</v>
          </cell>
          <cell r="BL132">
            <v>3000</v>
          </cell>
          <cell r="BM132">
            <v>377.4</v>
          </cell>
          <cell r="BN132">
            <v>61.057000000000002</v>
          </cell>
          <cell r="BR132">
            <v>4000</v>
          </cell>
          <cell r="BS132">
            <v>503.2</v>
          </cell>
          <cell r="BT132">
            <v>83.876000000000005</v>
          </cell>
          <cell r="BX132">
            <v>4000</v>
          </cell>
          <cell r="BY132">
            <v>503.2</v>
          </cell>
          <cell r="BZ132">
            <v>96.587000000000003</v>
          </cell>
          <cell r="CD132">
            <v>4000</v>
          </cell>
          <cell r="CE132">
            <v>503.2</v>
          </cell>
          <cell r="CF132">
            <v>93.691999999999993</v>
          </cell>
          <cell r="CJ132">
            <v>4000</v>
          </cell>
          <cell r="CK132">
            <v>503.2</v>
          </cell>
          <cell r="CL132">
            <v>103.255</v>
          </cell>
          <cell r="CP132">
            <v>22000</v>
          </cell>
          <cell r="CQ132">
            <v>2767.6</v>
          </cell>
          <cell r="CR132">
            <v>483.46899999999999</v>
          </cell>
          <cell r="CS132">
            <v>17.468890013007659</v>
          </cell>
          <cell r="CX132">
            <v>0</v>
          </cell>
          <cell r="CY132">
            <v>0</v>
          </cell>
          <cell r="CZ132">
            <v>0</v>
          </cell>
          <cell r="DA132">
            <v>0</v>
          </cell>
          <cell r="DF132">
            <v>3000</v>
          </cell>
          <cell r="DG132">
            <v>386.58</v>
          </cell>
          <cell r="DH132">
            <v>-22.001000000000001</v>
          </cell>
          <cell r="DI132">
            <v>-5.6911894045217037</v>
          </cell>
          <cell r="DN132">
            <v>10000</v>
          </cell>
          <cell r="DO132">
            <v>1258</v>
          </cell>
          <cell r="DP132">
            <v>189.935</v>
          </cell>
          <cell r="DQ132">
            <v>15.098171701112879</v>
          </cell>
          <cell r="DV132">
            <v>12000</v>
          </cell>
          <cell r="DW132">
            <v>1509.6</v>
          </cell>
          <cell r="DX132">
            <v>293.53399999999999</v>
          </cell>
          <cell r="DY132">
            <v>19.444488606253312</v>
          </cell>
        </row>
        <row r="133">
          <cell r="F133">
            <v>1411000</v>
          </cell>
          <cell r="G133">
            <v>124438.20813799999</v>
          </cell>
          <cell r="H133">
            <v>10367.167000000003</v>
          </cell>
          <cell r="I133">
            <v>8.3311766981592825</v>
          </cell>
          <cell r="N133">
            <v>89031</v>
          </cell>
          <cell r="O133">
            <v>7842.5427750000008</v>
          </cell>
          <cell r="P133">
            <v>62.045999999999985</v>
          </cell>
          <cell r="T133">
            <v>97491</v>
          </cell>
          <cell r="U133">
            <v>8605.0392309999988</v>
          </cell>
          <cell r="V133">
            <v>345.76900000000001</v>
          </cell>
          <cell r="Z133">
            <v>107346</v>
          </cell>
          <cell r="AA133">
            <v>9396.5841419999979</v>
          </cell>
          <cell r="AB133">
            <v>613.00300000000004</v>
          </cell>
          <cell r="AF133">
            <v>92986</v>
          </cell>
          <cell r="AG133">
            <v>8070.8027259999999</v>
          </cell>
          <cell r="AH133">
            <v>451.59099999999995</v>
          </cell>
          <cell r="AL133">
            <v>95886</v>
          </cell>
          <cell r="AM133">
            <v>8374.3210859999999</v>
          </cell>
          <cell r="AN133">
            <v>440.77600000000001</v>
          </cell>
          <cell r="AR133">
            <v>104806</v>
          </cell>
          <cell r="AS133">
            <v>9363.3625179999999</v>
          </cell>
          <cell r="AT133">
            <v>549.57099999999991</v>
          </cell>
          <cell r="AX133">
            <v>587546</v>
          </cell>
          <cell r="AY133">
            <v>51652.652478000018</v>
          </cell>
          <cell r="AZ133">
            <v>2462.7560000000003</v>
          </cell>
          <cell r="BA133">
            <v>4.7679177774054127</v>
          </cell>
          <cell r="BF133">
            <v>118793.5</v>
          </cell>
          <cell r="BG133">
            <v>10439.225324999999</v>
          </cell>
          <cell r="BH133">
            <v>731.31799999999998</v>
          </cell>
          <cell r="BL133">
            <v>128803.5</v>
          </cell>
          <cell r="BM133">
            <v>11344.320804999999</v>
          </cell>
          <cell r="BN133">
            <v>1130.9709999999998</v>
          </cell>
          <cell r="BR133">
            <v>143932.5</v>
          </cell>
          <cell r="BS133">
            <v>12738.024299000001</v>
          </cell>
          <cell r="BT133">
            <v>1409.021</v>
          </cell>
          <cell r="BX133">
            <v>158463.5</v>
          </cell>
          <cell r="BY133">
            <v>13985.431494999997</v>
          </cell>
          <cell r="BZ133">
            <v>1915.9580000000001</v>
          </cell>
          <cell r="CD133">
            <v>137812</v>
          </cell>
          <cell r="CE133">
            <v>12252.062266000003</v>
          </cell>
          <cell r="CF133">
            <v>1549.3509999999999</v>
          </cell>
          <cell r="CJ133">
            <v>135649</v>
          </cell>
          <cell r="CK133">
            <v>12026.491470000003</v>
          </cell>
          <cell r="CL133">
            <v>1167.7919999999999</v>
          </cell>
          <cell r="CP133">
            <v>823454</v>
          </cell>
          <cell r="CQ133">
            <v>72785.555660000013</v>
          </cell>
          <cell r="CR133">
            <v>7904.411000000001</v>
          </cell>
          <cell r="CS133">
            <v>10.859862136552932</v>
          </cell>
          <cell r="CX133">
            <v>293868</v>
          </cell>
          <cell r="CY133">
            <v>25844.166148</v>
          </cell>
          <cell r="CZ133">
            <v>1020.8180000000001</v>
          </cell>
          <cell r="DA133">
            <v>3.9498972191795714</v>
          </cell>
          <cell r="DF133">
            <v>293678</v>
          </cell>
          <cell r="DG133">
            <v>25808.486329999992</v>
          </cell>
          <cell r="DH133">
            <v>1441.9379999999999</v>
          </cell>
          <cell r="DI133">
            <v>5.5870692359198131</v>
          </cell>
          <cell r="DN133">
            <v>391529.5</v>
          </cell>
          <cell r="DO133">
            <v>34521.570429000007</v>
          </cell>
          <cell r="DP133">
            <v>3271.309999999999</v>
          </cell>
          <cell r="DQ133">
            <v>9.4761332098956892</v>
          </cell>
          <cell r="DV133">
            <v>431924.5</v>
          </cell>
          <cell r="DW133">
            <v>38263.985230999991</v>
          </cell>
          <cell r="DX133">
            <v>4633.1010000000006</v>
          </cell>
          <cell r="DY133">
            <v>12.108255248453426</v>
          </cell>
        </row>
        <row r="134">
          <cell r="F134">
            <v>0</v>
          </cell>
          <cell r="G134">
            <v>0</v>
          </cell>
          <cell r="H134">
            <v>0</v>
          </cell>
          <cell r="I134">
            <v>0</v>
          </cell>
          <cell r="AX134">
            <v>0</v>
          </cell>
          <cell r="AY134">
            <v>0</v>
          </cell>
          <cell r="AZ134">
            <v>0</v>
          </cell>
          <cell r="BA134">
            <v>0</v>
          </cell>
          <cell r="CP134">
            <v>0</v>
          </cell>
          <cell r="CQ134">
            <v>0</v>
          </cell>
          <cell r="CR134">
            <v>0</v>
          </cell>
          <cell r="CS134">
            <v>0</v>
          </cell>
          <cell r="CX134">
            <v>0</v>
          </cell>
          <cell r="CY134">
            <v>0</v>
          </cell>
          <cell r="CZ134">
            <v>0</v>
          </cell>
          <cell r="DA134">
            <v>0</v>
          </cell>
          <cell r="DF134">
            <v>0</v>
          </cell>
          <cell r="DG134">
            <v>0</v>
          </cell>
          <cell r="DH134">
            <v>0</v>
          </cell>
          <cell r="DI134">
            <v>0</v>
          </cell>
          <cell r="DN134">
            <v>0</v>
          </cell>
          <cell r="DO134">
            <v>0</v>
          </cell>
          <cell r="DP134">
            <v>0</v>
          </cell>
          <cell r="DQ134">
            <v>0</v>
          </cell>
          <cell r="DV134">
            <v>0</v>
          </cell>
          <cell r="DW134">
            <v>0</v>
          </cell>
          <cell r="DX134">
            <v>0</v>
          </cell>
          <cell r="DY134">
            <v>0</v>
          </cell>
        </row>
        <row r="135">
          <cell r="F135">
            <v>0</v>
          </cell>
          <cell r="G135">
            <v>0</v>
          </cell>
          <cell r="H135">
            <v>0</v>
          </cell>
          <cell r="I135">
            <v>0</v>
          </cell>
          <cell r="AX135">
            <v>0</v>
          </cell>
          <cell r="AY135">
            <v>0</v>
          </cell>
          <cell r="AZ135">
            <v>0</v>
          </cell>
          <cell r="BA135">
            <v>0</v>
          </cell>
          <cell r="CP135">
            <v>0</v>
          </cell>
          <cell r="CQ135">
            <v>0</v>
          </cell>
          <cell r="CR135">
            <v>0</v>
          </cell>
          <cell r="CS135">
            <v>0</v>
          </cell>
          <cell r="CX135">
            <v>0</v>
          </cell>
          <cell r="CY135">
            <v>0</v>
          </cell>
          <cell r="CZ135">
            <v>0</v>
          </cell>
          <cell r="DA135">
            <v>0</v>
          </cell>
          <cell r="DF135">
            <v>0</v>
          </cell>
          <cell r="DG135">
            <v>0</v>
          </cell>
          <cell r="DH135">
            <v>0</v>
          </cell>
          <cell r="DI135">
            <v>0</v>
          </cell>
          <cell r="DN135">
            <v>0</v>
          </cell>
          <cell r="DO135">
            <v>0</v>
          </cell>
          <cell r="DP135">
            <v>0</v>
          </cell>
          <cell r="DQ135">
            <v>0</v>
          </cell>
          <cell r="DV135">
            <v>0</v>
          </cell>
          <cell r="DW135">
            <v>0</v>
          </cell>
          <cell r="DX135">
            <v>0</v>
          </cell>
          <cell r="DY135">
            <v>0</v>
          </cell>
        </row>
        <row r="136">
          <cell r="F136">
            <v>0</v>
          </cell>
          <cell r="G136">
            <v>0</v>
          </cell>
          <cell r="H136">
            <v>0</v>
          </cell>
          <cell r="I136">
            <v>0</v>
          </cell>
          <cell r="N136">
            <v>0</v>
          </cell>
          <cell r="O136">
            <v>0</v>
          </cell>
          <cell r="P136">
            <v>0</v>
          </cell>
          <cell r="T136">
            <v>0</v>
          </cell>
          <cell r="U136">
            <v>0</v>
          </cell>
          <cell r="V136">
            <v>0</v>
          </cell>
          <cell r="Z136">
            <v>0</v>
          </cell>
          <cell r="AA136">
            <v>0</v>
          </cell>
          <cell r="AB136">
            <v>0</v>
          </cell>
          <cell r="AF136">
            <v>0</v>
          </cell>
          <cell r="AG136">
            <v>0</v>
          </cell>
          <cell r="AH136">
            <v>0</v>
          </cell>
          <cell r="AL136">
            <v>0</v>
          </cell>
          <cell r="AM136">
            <v>0</v>
          </cell>
          <cell r="AN136">
            <v>0</v>
          </cell>
          <cell r="AR136">
            <v>0</v>
          </cell>
          <cell r="AS136">
            <v>0</v>
          </cell>
          <cell r="AT136">
            <v>0</v>
          </cell>
          <cell r="AX136">
            <v>0</v>
          </cell>
          <cell r="AY136">
            <v>0</v>
          </cell>
          <cell r="AZ136">
            <v>0</v>
          </cell>
          <cell r="BA136">
            <v>0</v>
          </cell>
          <cell r="BF136">
            <v>0</v>
          </cell>
          <cell r="BG136">
            <v>0</v>
          </cell>
          <cell r="BH136">
            <v>0</v>
          </cell>
          <cell r="BL136">
            <v>0</v>
          </cell>
          <cell r="BM136">
            <v>0</v>
          </cell>
          <cell r="BN136">
            <v>0</v>
          </cell>
          <cell r="BR136">
            <v>0</v>
          </cell>
          <cell r="BS136">
            <v>0</v>
          </cell>
          <cell r="BT136">
            <v>0</v>
          </cell>
          <cell r="BX136">
            <v>0</v>
          </cell>
          <cell r="BY136">
            <v>0</v>
          </cell>
          <cell r="BZ136">
            <v>0</v>
          </cell>
          <cell r="CD136">
            <v>0</v>
          </cell>
          <cell r="CE136">
            <v>0</v>
          </cell>
          <cell r="CF136">
            <v>0</v>
          </cell>
          <cell r="CJ136">
            <v>0</v>
          </cell>
          <cell r="CK136">
            <v>0</v>
          </cell>
          <cell r="CL136">
            <v>0</v>
          </cell>
          <cell r="CP136">
            <v>0</v>
          </cell>
          <cell r="CQ136">
            <v>0</v>
          </cell>
          <cell r="CR136">
            <v>0</v>
          </cell>
          <cell r="CS136">
            <v>0</v>
          </cell>
          <cell r="CX136">
            <v>0</v>
          </cell>
          <cell r="CY136">
            <v>0</v>
          </cell>
          <cell r="CZ136">
            <v>0</v>
          </cell>
          <cell r="DA136">
            <v>0</v>
          </cell>
          <cell r="DF136">
            <v>0</v>
          </cell>
          <cell r="DG136">
            <v>0</v>
          </cell>
          <cell r="DH136">
            <v>0</v>
          </cell>
          <cell r="DI136">
            <v>0</v>
          </cell>
          <cell r="DN136">
            <v>0</v>
          </cell>
          <cell r="DO136">
            <v>0</v>
          </cell>
          <cell r="DP136">
            <v>0</v>
          </cell>
          <cell r="DQ136">
            <v>0</v>
          </cell>
          <cell r="DV136">
            <v>0</v>
          </cell>
          <cell r="DW136">
            <v>0</v>
          </cell>
          <cell r="DX136">
            <v>0</v>
          </cell>
          <cell r="DY136">
            <v>0</v>
          </cell>
        </row>
        <row r="137">
          <cell r="F137">
            <v>0</v>
          </cell>
          <cell r="G137">
            <v>0</v>
          </cell>
          <cell r="H137">
            <v>0</v>
          </cell>
          <cell r="I137">
            <v>0</v>
          </cell>
          <cell r="N137">
            <v>0</v>
          </cell>
          <cell r="O137">
            <v>0</v>
          </cell>
          <cell r="T137">
            <v>0</v>
          </cell>
          <cell r="U137">
            <v>0</v>
          </cell>
          <cell r="Z137">
            <v>0</v>
          </cell>
          <cell r="AA137">
            <v>0</v>
          </cell>
          <cell r="AF137">
            <v>0</v>
          </cell>
          <cell r="AG137">
            <v>0</v>
          </cell>
          <cell r="AL137">
            <v>0</v>
          </cell>
          <cell r="AM137">
            <v>0</v>
          </cell>
          <cell r="AR137">
            <v>0</v>
          </cell>
          <cell r="AS137">
            <v>0</v>
          </cell>
          <cell r="AX137">
            <v>0</v>
          </cell>
          <cell r="AY137">
            <v>0</v>
          </cell>
          <cell r="AZ137">
            <v>0</v>
          </cell>
          <cell r="BA137">
            <v>0</v>
          </cell>
          <cell r="BF137">
            <v>0</v>
          </cell>
          <cell r="BG137">
            <v>0</v>
          </cell>
          <cell r="BL137">
            <v>0</v>
          </cell>
          <cell r="BM137">
            <v>0</v>
          </cell>
          <cell r="BR137">
            <v>0</v>
          </cell>
          <cell r="BS137">
            <v>0</v>
          </cell>
          <cell r="BX137">
            <v>0</v>
          </cell>
          <cell r="BY137">
            <v>0</v>
          </cell>
          <cell r="CD137">
            <v>0</v>
          </cell>
          <cell r="CE137">
            <v>0</v>
          </cell>
          <cell r="CJ137">
            <v>0</v>
          </cell>
          <cell r="CK137">
            <v>0</v>
          </cell>
          <cell r="CP137">
            <v>0</v>
          </cell>
          <cell r="CQ137">
            <v>0</v>
          </cell>
          <cell r="CR137">
            <v>0</v>
          </cell>
          <cell r="CS137">
            <v>0</v>
          </cell>
          <cell r="CX137">
            <v>0</v>
          </cell>
          <cell r="CY137">
            <v>0</v>
          </cell>
          <cell r="CZ137">
            <v>0</v>
          </cell>
          <cell r="DA137">
            <v>0</v>
          </cell>
          <cell r="DF137">
            <v>0</v>
          </cell>
          <cell r="DG137">
            <v>0</v>
          </cell>
          <cell r="DH137">
            <v>0</v>
          </cell>
          <cell r="DI137">
            <v>0</v>
          </cell>
          <cell r="DN137">
            <v>0</v>
          </cell>
          <cell r="DO137">
            <v>0</v>
          </cell>
          <cell r="DP137">
            <v>0</v>
          </cell>
          <cell r="DQ137">
            <v>0</v>
          </cell>
          <cell r="DV137">
            <v>0</v>
          </cell>
          <cell r="DW137">
            <v>0</v>
          </cell>
          <cell r="DX137">
            <v>0</v>
          </cell>
          <cell r="DY137">
            <v>0</v>
          </cell>
        </row>
        <row r="138">
          <cell r="F138">
            <v>0</v>
          </cell>
          <cell r="G138">
            <v>0</v>
          </cell>
          <cell r="H138">
            <v>0</v>
          </cell>
          <cell r="I138">
            <v>0</v>
          </cell>
          <cell r="N138">
            <v>0</v>
          </cell>
          <cell r="O138">
            <v>0</v>
          </cell>
          <cell r="T138">
            <v>0</v>
          </cell>
          <cell r="U138">
            <v>0</v>
          </cell>
          <cell r="Z138">
            <v>0</v>
          </cell>
          <cell r="AA138">
            <v>0</v>
          </cell>
          <cell r="AF138">
            <v>0</v>
          </cell>
          <cell r="AG138">
            <v>0</v>
          </cell>
          <cell r="AL138">
            <v>0</v>
          </cell>
          <cell r="AM138">
            <v>0</v>
          </cell>
          <cell r="AR138">
            <v>0</v>
          </cell>
          <cell r="AS138">
            <v>0</v>
          </cell>
          <cell r="AX138">
            <v>0</v>
          </cell>
          <cell r="AY138">
            <v>0</v>
          </cell>
          <cell r="AZ138">
            <v>0</v>
          </cell>
          <cell r="BA138">
            <v>0</v>
          </cell>
          <cell r="BF138">
            <v>0</v>
          </cell>
          <cell r="BG138">
            <v>0</v>
          </cell>
          <cell r="BL138">
            <v>0</v>
          </cell>
          <cell r="BM138">
            <v>0</v>
          </cell>
          <cell r="BR138">
            <v>0</v>
          </cell>
          <cell r="BS138">
            <v>0</v>
          </cell>
          <cell r="BX138">
            <v>0</v>
          </cell>
          <cell r="BY138">
            <v>0</v>
          </cell>
          <cell r="CD138">
            <v>0</v>
          </cell>
          <cell r="CE138">
            <v>0</v>
          </cell>
          <cell r="CJ138">
            <v>0</v>
          </cell>
          <cell r="CK138">
            <v>0</v>
          </cell>
          <cell r="CP138">
            <v>0</v>
          </cell>
          <cell r="CQ138">
            <v>0</v>
          </cell>
          <cell r="CR138">
            <v>0</v>
          </cell>
          <cell r="CS138">
            <v>0</v>
          </cell>
          <cell r="CX138">
            <v>0</v>
          </cell>
          <cell r="CY138">
            <v>0</v>
          </cell>
          <cell r="CZ138">
            <v>0</v>
          </cell>
          <cell r="DA138">
            <v>0</v>
          </cell>
          <cell r="DF138">
            <v>0</v>
          </cell>
          <cell r="DG138">
            <v>0</v>
          </cell>
          <cell r="DH138">
            <v>0</v>
          </cell>
          <cell r="DI138">
            <v>0</v>
          </cell>
          <cell r="DN138">
            <v>0</v>
          </cell>
          <cell r="DO138">
            <v>0</v>
          </cell>
          <cell r="DP138">
            <v>0</v>
          </cell>
          <cell r="DQ138">
            <v>0</v>
          </cell>
          <cell r="DV138">
            <v>0</v>
          </cell>
          <cell r="DW138">
            <v>0</v>
          </cell>
          <cell r="DX138">
            <v>0</v>
          </cell>
          <cell r="DY138">
            <v>0</v>
          </cell>
        </row>
        <row r="139">
          <cell r="F139">
            <v>0</v>
          </cell>
          <cell r="G139">
            <v>0</v>
          </cell>
          <cell r="H139">
            <v>0</v>
          </cell>
          <cell r="I139">
            <v>0</v>
          </cell>
          <cell r="N139">
            <v>0</v>
          </cell>
          <cell r="O139">
            <v>0</v>
          </cell>
          <cell r="P139">
            <v>0</v>
          </cell>
          <cell r="T139">
            <v>0</v>
          </cell>
          <cell r="U139">
            <v>0</v>
          </cell>
          <cell r="V139">
            <v>0</v>
          </cell>
          <cell r="Z139">
            <v>0</v>
          </cell>
          <cell r="AA139">
            <v>0</v>
          </cell>
          <cell r="AB139">
            <v>0</v>
          </cell>
          <cell r="AF139">
            <v>0</v>
          </cell>
          <cell r="AG139">
            <v>0</v>
          </cell>
          <cell r="AH139">
            <v>0</v>
          </cell>
          <cell r="AL139">
            <v>0</v>
          </cell>
          <cell r="AM139">
            <v>0</v>
          </cell>
          <cell r="AN139">
            <v>0</v>
          </cell>
          <cell r="AR139">
            <v>0</v>
          </cell>
          <cell r="AS139">
            <v>0</v>
          </cell>
          <cell r="AT139">
            <v>0</v>
          </cell>
          <cell r="AX139">
            <v>0</v>
          </cell>
          <cell r="AY139">
            <v>0</v>
          </cell>
          <cell r="AZ139">
            <v>0</v>
          </cell>
          <cell r="BA139">
            <v>0</v>
          </cell>
          <cell r="BF139">
            <v>0</v>
          </cell>
          <cell r="BG139">
            <v>0</v>
          </cell>
          <cell r="BH139">
            <v>0</v>
          </cell>
          <cell r="BL139">
            <v>0</v>
          </cell>
          <cell r="BM139">
            <v>0</v>
          </cell>
          <cell r="BN139">
            <v>0</v>
          </cell>
          <cell r="BR139">
            <v>0</v>
          </cell>
          <cell r="BS139">
            <v>0</v>
          </cell>
          <cell r="BT139">
            <v>0</v>
          </cell>
          <cell r="BX139">
            <v>0</v>
          </cell>
          <cell r="BY139">
            <v>0</v>
          </cell>
          <cell r="BZ139">
            <v>0</v>
          </cell>
          <cell r="CD139">
            <v>0</v>
          </cell>
          <cell r="CE139">
            <v>0</v>
          </cell>
          <cell r="CF139">
            <v>0</v>
          </cell>
          <cell r="CJ139">
            <v>0</v>
          </cell>
          <cell r="CK139">
            <v>0</v>
          </cell>
          <cell r="CL139">
            <v>0</v>
          </cell>
          <cell r="CP139">
            <v>0</v>
          </cell>
          <cell r="CQ139">
            <v>0</v>
          </cell>
          <cell r="CR139">
            <v>0</v>
          </cell>
          <cell r="CS139">
            <v>0</v>
          </cell>
          <cell r="CX139">
            <v>0</v>
          </cell>
          <cell r="CY139">
            <v>0</v>
          </cell>
          <cell r="CZ139">
            <v>0</v>
          </cell>
          <cell r="DA139">
            <v>0</v>
          </cell>
          <cell r="DF139">
            <v>0</v>
          </cell>
          <cell r="DG139">
            <v>0</v>
          </cell>
          <cell r="DH139">
            <v>0</v>
          </cell>
          <cell r="DI139">
            <v>0</v>
          </cell>
          <cell r="DN139">
            <v>0</v>
          </cell>
          <cell r="DO139">
            <v>0</v>
          </cell>
          <cell r="DP139">
            <v>0</v>
          </cell>
          <cell r="DQ139">
            <v>0</v>
          </cell>
          <cell r="DV139">
            <v>0</v>
          </cell>
          <cell r="DW139">
            <v>0</v>
          </cell>
          <cell r="DX139">
            <v>0</v>
          </cell>
          <cell r="DY139">
            <v>0</v>
          </cell>
        </row>
        <row r="140">
          <cell r="F140">
            <v>0</v>
          </cell>
          <cell r="G140">
            <v>0</v>
          </cell>
          <cell r="H140">
            <v>0</v>
          </cell>
          <cell r="I140">
            <v>0</v>
          </cell>
          <cell r="AX140">
            <v>0</v>
          </cell>
          <cell r="AY140">
            <v>0</v>
          </cell>
          <cell r="AZ140">
            <v>0</v>
          </cell>
          <cell r="BA140">
            <v>0</v>
          </cell>
          <cell r="CP140">
            <v>0</v>
          </cell>
          <cell r="CQ140">
            <v>0</v>
          </cell>
          <cell r="CR140">
            <v>0</v>
          </cell>
          <cell r="CS140">
            <v>0</v>
          </cell>
          <cell r="CX140">
            <v>0</v>
          </cell>
          <cell r="CY140">
            <v>0</v>
          </cell>
          <cell r="CZ140">
            <v>0</v>
          </cell>
          <cell r="DA140">
            <v>0</v>
          </cell>
          <cell r="DF140">
            <v>0</v>
          </cell>
          <cell r="DG140">
            <v>0</v>
          </cell>
          <cell r="DH140">
            <v>0</v>
          </cell>
          <cell r="DI140">
            <v>0</v>
          </cell>
          <cell r="DN140">
            <v>0</v>
          </cell>
          <cell r="DO140">
            <v>0</v>
          </cell>
          <cell r="DP140">
            <v>0</v>
          </cell>
          <cell r="DQ140">
            <v>0</v>
          </cell>
          <cell r="DV140">
            <v>0</v>
          </cell>
          <cell r="DW140">
            <v>0</v>
          </cell>
          <cell r="DX140">
            <v>0</v>
          </cell>
          <cell r="DY140">
            <v>0</v>
          </cell>
        </row>
        <row r="141">
          <cell r="F141">
            <v>1616000</v>
          </cell>
          <cell r="G141">
            <v>130925.55038099999</v>
          </cell>
          <cell r="H141">
            <v>10098.824000000002</v>
          </cell>
          <cell r="I141">
            <v>7.7134096214313494</v>
          </cell>
          <cell r="N141">
            <v>100706</v>
          </cell>
          <cell r="O141">
            <v>8212.2431383000003</v>
          </cell>
          <cell r="P141">
            <v>12.706999999999987</v>
          </cell>
          <cell r="T141">
            <v>110966</v>
          </cell>
          <cell r="U141">
            <v>9044.2481942999984</v>
          </cell>
          <cell r="V141">
            <v>319.363</v>
          </cell>
          <cell r="Z141">
            <v>122696</v>
          </cell>
          <cell r="AA141">
            <v>9893.4248685999974</v>
          </cell>
          <cell r="AB141">
            <v>584.34100000000001</v>
          </cell>
          <cell r="AF141">
            <v>108186</v>
          </cell>
          <cell r="AG141">
            <v>8554.3784525999999</v>
          </cell>
          <cell r="AH141">
            <v>424.87899999999996</v>
          </cell>
          <cell r="AL141">
            <v>111086</v>
          </cell>
          <cell r="AM141">
            <v>8857.8968126</v>
          </cell>
          <cell r="AN141">
            <v>416.56200000000001</v>
          </cell>
          <cell r="AR141">
            <v>120456</v>
          </cell>
          <cell r="AS141">
            <v>9866.0398445999999</v>
          </cell>
          <cell r="AT141">
            <v>531.43499999999995</v>
          </cell>
          <cell r="AX141">
            <v>674096</v>
          </cell>
          <cell r="AY141">
            <v>54428.231311000018</v>
          </cell>
          <cell r="AZ141">
            <v>2289.2870000000003</v>
          </cell>
          <cell r="BA141">
            <v>4.2060653908063559</v>
          </cell>
          <cell r="BF141">
            <v>136231</v>
          </cell>
          <cell r="BG141">
            <v>10980.1612365</v>
          </cell>
          <cell r="BH141">
            <v>702.93999999999994</v>
          </cell>
          <cell r="BL141">
            <v>148591</v>
          </cell>
          <cell r="BM141">
            <v>11967.100716499999</v>
          </cell>
          <cell r="BN141">
            <v>1111.6999999999998</v>
          </cell>
          <cell r="BR141">
            <v>164305</v>
          </cell>
          <cell r="BS141">
            <v>13377.6065987</v>
          </cell>
          <cell r="BT141">
            <v>1390.7369999999999</v>
          </cell>
          <cell r="BX141">
            <v>180951</v>
          </cell>
          <cell r="BY141">
            <v>14682.899347499997</v>
          </cell>
          <cell r="BZ141">
            <v>1911.095</v>
          </cell>
          <cell r="CD141">
            <v>158252</v>
          </cell>
          <cell r="CE141">
            <v>12890.721759800002</v>
          </cell>
          <cell r="CF141">
            <v>1536.7339999999999</v>
          </cell>
          <cell r="CJ141">
            <v>153574</v>
          </cell>
          <cell r="CK141">
            <v>12598.829411000002</v>
          </cell>
          <cell r="CL141">
            <v>1156.3309999999999</v>
          </cell>
          <cell r="CP141">
            <v>941904</v>
          </cell>
          <cell r="CQ141">
            <v>76497.319070000012</v>
          </cell>
          <cell r="CR141">
            <v>7809.5370000000012</v>
          </cell>
          <cell r="CS141">
            <v>10.208902867372082</v>
          </cell>
          <cell r="CX141">
            <v>334368</v>
          </cell>
          <cell r="CY141">
            <v>27149.916201200002</v>
          </cell>
          <cell r="CZ141">
            <v>916.41100000000006</v>
          </cell>
          <cell r="DA141">
            <v>3.3753732173931925</v>
          </cell>
          <cell r="DF141">
            <v>339728</v>
          </cell>
          <cell r="DG141">
            <v>27278.315109799991</v>
          </cell>
          <cell r="DH141">
            <v>1372.8759999999997</v>
          </cell>
          <cell r="DI141">
            <v>5.0328474998325001</v>
          </cell>
          <cell r="DN141">
            <v>449127</v>
          </cell>
          <cell r="DO141">
            <v>36324.868551700005</v>
          </cell>
          <cell r="DP141">
            <v>3205.376999999999</v>
          </cell>
          <cell r="DQ141">
            <v>8.8241943544486325</v>
          </cell>
          <cell r="DV141">
            <v>492777</v>
          </cell>
          <cell r="DW141">
            <v>40172.450518299993</v>
          </cell>
          <cell r="DX141">
            <v>4604.1600000000008</v>
          </cell>
          <cell r="DY141">
            <v>11.460988664116073</v>
          </cell>
        </row>
        <row r="142">
          <cell r="F142">
            <v>75380</v>
          </cell>
          <cell r="G142">
            <v>1609.9449999999997</v>
          </cell>
          <cell r="H142">
            <v>203.49099999999999</v>
          </cell>
          <cell r="I142">
            <v>12.63962433499281</v>
          </cell>
          <cell r="N142">
            <v>4800</v>
          </cell>
          <cell r="O142">
            <v>101.6478</v>
          </cell>
          <cell r="P142">
            <v>10.705</v>
          </cell>
          <cell r="T142">
            <v>5300</v>
          </cell>
          <cell r="U142">
            <v>113.43469999999999</v>
          </cell>
          <cell r="V142">
            <v>12.343</v>
          </cell>
          <cell r="Z142">
            <v>4800</v>
          </cell>
          <cell r="AA142">
            <v>101.6478</v>
          </cell>
          <cell r="AB142">
            <v>10.696999999999999</v>
          </cell>
          <cell r="AF142">
            <v>8800</v>
          </cell>
          <cell r="AG142">
            <v>204.73580000000001</v>
          </cell>
          <cell r="AH142">
            <v>38.192999999999998</v>
          </cell>
          <cell r="AL142">
            <v>4800</v>
          </cell>
          <cell r="AM142">
            <v>101.6478</v>
          </cell>
          <cell r="AN142">
            <v>10.696999999999999</v>
          </cell>
          <cell r="AR142">
            <v>4620</v>
          </cell>
          <cell r="AS142">
            <v>96.152299999999997</v>
          </cell>
          <cell r="AT142">
            <v>11.074</v>
          </cell>
          <cell r="AX142">
            <v>33120</v>
          </cell>
          <cell r="AY142">
            <v>719.26619999999991</v>
          </cell>
          <cell r="AZ142">
            <v>93.709000000000003</v>
          </cell>
          <cell r="BA142">
            <v>13.028417017232286</v>
          </cell>
          <cell r="BF142">
            <v>5300</v>
          </cell>
          <cell r="BG142">
            <v>106.264</v>
          </cell>
          <cell r="BH142">
            <v>8.8119999999999994</v>
          </cell>
          <cell r="BL142">
            <v>5300</v>
          </cell>
          <cell r="BM142">
            <v>106.264</v>
          </cell>
          <cell r="BN142">
            <v>8.82</v>
          </cell>
          <cell r="BR142">
            <v>14137</v>
          </cell>
          <cell r="BS142">
            <v>324.11629999999997</v>
          </cell>
          <cell r="BT142">
            <v>60.786000000000001</v>
          </cell>
          <cell r="BX142">
            <v>5600</v>
          </cell>
          <cell r="BY142">
            <v>110.482</v>
          </cell>
          <cell r="BZ142">
            <v>9.0890000000000004</v>
          </cell>
          <cell r="CD142">
            <v>5300</v>
          </cell>
          <cell r="CE142">
            <v>106.264</v>
          </cell>
          <cell r="CF142">
            <v>8.8119999999999994</v>
          </cell>
          <cell r="CJ142">
            <v>6623</v>
          </cell>
          <cell r="CK142">
            <v>137.2885</v>
          </cell>
          <cell r="CL142">
            <v>13.462999999999999</v>
          </cell>
          <cell r="CP142">
            <v>42260</v>
          </cell>
          <cell r="CQ142">
            <v>890.67879999999991</v>
          </cell>
          <cell r="CR142">
            <v>109.782</v>
          </cell>
          <cell r="CS142">
            <v>12.325655443915361</v>
          </cell>
          <cell r="CX142">
            <v>14900</v>
          </cell>
          <cell r="CY142">
            <v>316.7303</v>
          </cell>
          <cell r="CZ142">
            <v>33.745000000000005</v>
          </cell>
          <cell r="DA142">
            <v>10.654174861072656</v>
          </cell>
          <cell r="DF142">
            <v>18220</v>
          </cell>
          <cell r="DG142">
            <v>402.53589999999997</v>
          </cell>
          <cell r="DH142">
            <v>59.963999999999999</v>
          </cell>
          <cell r="DI142">
            <v>14.896559536677351</v>
          </cell>
          <cell r="DN142">
            <v>24737</v>
          </cell>
          <cell r="DO142">
            <v>536.64429999999993</v>
          </cell>
          <cell r="DP142">
            <v>78.418000000000006</v>
          </cell>
          <cell r="DQ142">
            <v>14.612658701489984</v>
          </cell>
          <cell r="DV142">
            <v>17523</v>
          </cell>
          <cell r="DW142">
            <v>354.03449999999998</v>
          </cell>
          <cell r="DX142">
            <v>31.363999999999997</v>
          </cell>
          <cell r="DY142">
            <v>8.8590236262285167</v>
          </cell>
        </row>
        <row r="143">
          <cell r="F143">
            <v>0</v>
          </cell>
          <cell r="G143">
            <v>14849.68</v>
          </cell>
          <cell r="H143">
            <v>3160.3109999999997</v>
          </cell>
          <cell r="I143">
            <v>21.282014157880841</v>
          </cell>
          <cell r="O143">
            <v>1262.3610000000001</v>
          </cell>
          <cell r="P143">
            <v>199.696</v>
          </cell>
          <cell r="U143">
            <v>1247.3329999999999</v>
          </cell>
          <cell r="V143">
            <v>204.28899999999999</v>
          </cell>
          <cell r="AA143">
            <v>1247.3329999999999</v>
          </cell>
          <cell r="AB143">
            <v>213.59200000000001</v>
          </cell>
          <cell r="AG143">
            <v>1262.3610000000001</v>
          </cell>
          <cell r="AH143">
            <v>211.678</v>
          </cell>
          <cell r="AM143">
            <v>1247.3329999999999</v>
          </cell>
          <cell r="AN143">
            <v>211.50699999999998</v>
          </cell>
          <cell r="AS143">
            <v>1247.3329999999999</v>
          </cell>
          <cell r="AT143">
            <v>219.84799999999998</v>
          </cell>
          <cell r="AX143">
            <v>0</v>
          </cell>
          <cell r="AY143">
            <v>7514.0539999999992</v>
          </cell>
          <cell r="AZ143">
            <v>1260.6099999999997</v>
          </cell>
          <cell r="BA143">
            <v>16.776696041843721</v>
          </cell>
          <cell r="BG143">
            <v>1232.385</v>
          </cell>
          <cell r="BH143">
            <v>314.98</v>
          </cell>
          <cell r="BM143">
            <v>1217.7139999999999</v>
          </cell>
          <cell r="BN143">
            <v>313.08799999999997</v>
          </cell>
          <cell r="BS143">
            <v>1217.7139999999999</v>
          </cell>
          <cell r="BT143">
            <v>313.86700000000002</v>
          </cell>
          <cell r="BY143">
            <v>1232.385</v>
          </cell>
          <cell r="BZ143">
            <v>321.63499999999999</v>
          </cell>
          <cell r="CE143">
            <v>1217.7139999999999</v>
          </cell>
          <cell r="CF143">
            <v>316.09100000000001</v>
          </cell>
          <cell r="CK143">
            <v>1217.7139999999999</v>
          </cell>
          <cell r="CL143">
            <v>320.04000000000002</v>
          </cell>
          <cell r="CP143">
            <v>0</v>
          </cell>
          <cell r="CQ143">
            <v>7335.6260000000002</v>
          </cell>
          <cell r="CR143">
            <v>1899.701</v>
          </cell>
          <cell r="CS143">
            <v>25.896917318303853</v>
          </cell>
          <cell r="CX143">
            <v>0</v>
          </cell>
          <cell r="CY143">
            <v>3757.027</v>
          </cell>
          <cell r="CZ143">
            <v>617.577</v>
          </cell>
          <cell r="DA143">
            <v>16.437917534263129</v>
          </cell>
          <cell r="DF143">
            <v>0</v>
          </cell>
          <cell r="DG143">
            <v>3757.027</v>
          </cell>
          <cell r="DH143">
            <v>643.0329999999999</v>
          </cell>
          <cell r="DI143">
            <v>17.115474549424317</v>
          </cell>
          <cell r="DN143">
            <v>0</v>
          </cell>
          <cell r="DO143">
            <v>3667.8130000000001</v>
          </cell>
          <cell r="DP143">
            <v>941.93499999999995</v>
          </cell>
          <cell r="DQ143">
            <v>25.681107515568542</v>
          </cell>
          <cell r="DV143">
            <v>0</v>
          </cell>
          <cell r="DW143">
            <v>3667.8130000000001</v>
          </cell>
          <cell r="DX143">
            <v>957.76600000000008</v>
          </cell>
          <cell r="DY143">
            <v>26.112727121039157</v>
          </cell>
        </row>
        <row r="144">
          <cell r="F144">
            <v>0</v>
          </cell>
          <cell r="G144">
            <v>11978.117999999999</v>
          </cell>
          <cell r="H144">
            <v>1399.5530000000003</v>
          </cell>
          <cell r="I144">
            <v>11.684247892699009</v>
          </cell>
          <cell r="O144">
            <v>425.80699999999979</v>
          </cell>
          <cell r="P144">
            <v>34.009000000000015</v>
          </cell>
          <cell r="U144">
            <v>425.80700000000002</v>
          </cell>
          <cell r="V144">
            <v>37.194000000000017</v>
          </cell>
          <cell r="AA144">
            <v>851.61300000000006</v>
          </cell>
          <cell r="AB144">
            <v>90.107999999999976</v>
          </cell>
          <cell r="AG144">
            <v>851.6129999999996</v>
          </cell>
          <cell r="AH144">
            <v>85.373000000000047</v>
          </cell>
          <cell r="AM144">
            <v>851.61300000000006</v>
          </cell>
          <cell r="AN144">
            <v>98.433000000000021</v>
          </cell>
          <cell r="AS144">
            <v>851.61300000000006</v>
          </cell>
          <cell r="AT144">
            <v>103.69200000000004</v>
          </cell>
          <cell r="AX144">
            <v>0</v>
          </cell>
          <cell r="AY144">
            <v>4258.0659999999998</v>
          </cell>
          <cell r="AZ144">
            <v>448.80900000000014</v>
          </cell>
          <cell r="BA144">
            <v>10.540207690533688</v>
          </cell>
          <cell r="BG144">
            <v>1158.008</v>
          </cell>
          <cell r="BH144">
            <v>127.06900000000002</v>
          </cell>
          <cell r="BM144">
            <v>1158.0079999999998</v>
          </cell>
          <cell r="BN144">
            <v>138.79600000000005</v>
          </cell>
          <cell r="BS144">
            <v>1312.4090000000001</v>
          </cell>
          <cell r="BT144">
            <v>148.947</v>
          </cell>
          <cell r="BY144">
            <v>1930.0130000000001</v>
          </cell>
          <cell r="BZ144">
            <v>257.48500000000001</v>
          </cell>
          <cell r="CE144">
            <v>1389.6090000000004</v>
          </cell>
          <cell r="CF144">
            <v>183.34800000000007</v>
          </cell>
          <cell r="CK144">
            <v>772.005</v>
          </cell>
          <cell r="CL144">
            <v>95.09899999999999</v>
          </cell>
          <cell r="CP144">
            <v>0</v>
          </cell>
          <cell r="CQ144">
            <v>7720.0519999999997</v>
          </cell>
          <cell r="CR144">
            <v>950.74400000000014</v>
          </cell>
          <cell r="CS144">
            <v>12.315253835077797</v>
          </cell>
          <cell r="CX144">
            <v>0</v>
          </cell>
          <cell r="CY144">
            <v>1703.2269999999999</v>
          </cell>
          <cell r="CZ144">
            <v>161.31100000000001</v>
          </cell>
          <cell r="DA144">
            <v>9.4709043480405146</v>
          </cell>
          <cell r="DF144">
            <v>0</v>
          </cell>
          <cell r="DG144">
            <v>2554.8389999999999</v>
          </cell>
          <cell r="DH144">
            <v>287.4980000000001</v>
          </cell>
          <cell r="DI144">
            <v>11.253077004069537</v>
          </cell>
          <cell r="DN144">
            <v>0</v>
          </cell>
          <cell r="DO144">
            <v>3628.4249999999997</v>
          </cell>
          <cell r="DP144">
            <v>414.81200000000007</v>
          </cell>
          <cell r="DQ144">
            <v>11.432288113988855</v>
          </cell>
          <cell r="DV144">
            <v>0</v>
          </cell>
          <cell r="DW144">
            <v>4091.6270000000004</v>
          </cell>
          <cell r="DX144">
            <v>535.93200000000002</v>
          </cell>
          <cell r="DY144">
            <v>13.098261400660421</v>
          </cell>
        </row>
        <row r="145">
          <cell r="F145">
            <v>0</v>
          </cell>
          <cell r="G145">
            <v>26827.797999999999</v>
          </cell>
          <cell r="H145">
            <v>4559.8639999999996</v>
          </cell>
          <cell r="I145">
            <v>16.996788182168359</v>
          </cell>
          <cell r="N145">
            <v>0</v>
          </cell>
          <cell r="O145">
            <v>1688.1679999999999</v>
          </cell>
          <cell r="P145">
            <v>233.70500000000001</v>
          </cell>
          <cell r="T145">
            <v>0</v>
          </cell>
          <cell r="U145">
            <v>1673.1399999999999</v>
          </cell>
          <cell r="V145">
            <v>241.483</v>
          </cell>
          <cell r="Z145">
            <v>0</v>
          </cell>
          <cell r="AA145">
            <v>2098.9459999999999</v>
          </cell>
          <cell r="AB145">
            <v>303.7</v>
          </cell>
          <cell r="AF145">
            <v>0</v>
          </cell>
          <cell r="AG145">
            <v>2113.9739999999997</v>
          </cell>
          <cell r="AH145">
            <v>297.05100000000004</v>
          </cell>
          <cell r="AL145">
            <v>0</v>
          </cell>
          <cell r="AM145">
            <v>2098.9459999999999</v>
          </cell>
          <cell r="AN145">
            <v>309.94</v>
          </cell>
          <cell r="AR145">
            <v>0</v>
          </cell>
          <cell r="AS145">
            <v>2098.9459999999999</v>
          </cell>
          <cell r="AT145">
            <v>323.54000000000002</v>
          </cell>
          <cell r="AX145">
            <v>0</v>
          </cell>
          <cell r="AY145">
            <v>11772.119999999999</v>
          </cell>
          <cell r="AZ145">
            <v>1709.4189999999999</v>
          </cell>
          <cell r="BA145">
            <v>14.520910422251898</v>
          </cell>
          <cell r="BF145">
            <v>0</v>
          </cell>
          <cell r="BG145">
            <v>2390.393</v>
          </cell>
          <cell r="BH145">
            <v>442.04900000000004</v>
          </cell>
          <cell r="BL145">
            <v>0</v>
          </cell>
          <cell r="BM145">
            <v>2375.7219999999998</v>
          </cell>
          <cell r="BN145">
            <v>451.88400000000001</v>
          </cell>
          <cell r="BR145">
            <v>0</v>
          </cell>
          <cell r="BS145">
            <v>2530.123</v>
          </cell>
          <cell r="BT145">
            <v>462.81400000000002</v>
          </cell>
          <cell r="BX145">
            <v>0</v>
          </cell>
          <cell r="BY145">
            <v>3162.3980000000001</v>
          </cell>
          <cell r="BZ145">
            <v>579.12</v>
          </cell>
          <cell r="CD145">
            <v>0</v>
          </cell>
          <cell r="CE145">
            <v>2607.3230000000003</v>
          </cell>
          <cell r="CF145">
            <v>499.43900000000008</v>
          </cell>
          <cell r="CJ145">
            <v>0</v>
          </cell>
          <cell r="CK145">
            <v>1989.7190000000001</v>
          </cell>
          <cell r="CL145">
            <v>415.13900000000001</v>
          </cell>
          <cell r="CP145">
            <v>0</v>
          </cell>
          <cell r="CQ145">
            <v>15055.678</v>
          </cell>
          <cell r="CR145">
            <v>2850.4450000000002</v>
          </cell>
          <cell r="CS145">
            <v>18.932691041878023</v>
          </cell>
          <cell r="CX145">
            <v>0</v>
          </cell>
          <cell r="CY145">
            <v>5460.2539999999999</v>
          </cell>
          <cell r="CZ145">
            <v>778.88800000000003</v>
          </cell>
          <cell r="DA145">
            <v>14.264684390140092</v>
          </cell>
          <cell r="DF145">
            <v>0</v>
          </cell>
          <cell r="DG145">
            <v>6311.866</v>
          </cell>
          <cell r="DH145">
            <v>930.53099999999995</v>
          </cell>
          <cell r="DI145">
            <v>14.742565827601537</v>
          </cell>
          <cell r="DN145">
            <v>0</v>
          </cell>
          <cell r="DO145">
            <v>7296.2379999999994</v>
          </cell>
          <cell r="DP145">
            <v>1356.7470000000001</v>
          </cell>
          <cell r="DQ145">
            <v>18.595158217152459</v>
          </cell>
          <cell r="DV145">
            <v>0</v>
          </cell>
          <cell r="DW145">
            <v>7759.4400000000005</v>
          </cell>
          <cell r="DX145">
            <v>1493.6980000000001</v>
          </cell>
          <cell r="DY145">
            <v>19.2500747476622</v>
          </cell>
        </row>
        <row r="146">
          <cell r="F146">
            <v>0</v>
          </cell>
          <cell r="G146">
            <v>758</v>
          </cell>
          <cell r="H146">
            <v>378.24200000000002</v>
          </cell>
          <cell r="I146">
            <v>49.9</v>
          </cell>
          <cell r="O146">
            <v>0</v>
          </cell>
          <cell r="P146">
            <v>0</v>
          </cell>
          <cell r="U146">
            <v>0</v>
          </cell>
          <cell r="V146">
            <v>0</v>
          </cell>
          <cell r="AA146">
            <v>0</v>
          </cell>
          <cell r="AB146">
            <v>0</v>
          </cell>
          <cell r="AG146">
            <v>0</v>
          </cell>
          <cell r="AH146">
            <v>0</v>
          </cell>
          <cell r="AM146">
            <v>0</v>
          </cell>
          <cell r="AN146">
            <v>0</v>
          </cell>
          <cell r="AS146">
            <v>758</v>
          </cell>
          <cell r="AT146">
            <v>378.24200000000002</v>
          </cell>
          <cell r="AX146">
            <v>0</v>
          </cell>
          <cell r="AY146">
            <v>758</v>
          </cell>
          <cell r="AZ146">
            <v>378.24200000000002</v>
          </cell>
          <cell r="BA146">
            <v>49.9</v>
          </cell>
          <cell r="BG146">
            <v>0</v>
          </cell>
          <cell r="BH146">
            <v>0</v>
          </cell>
          <cell r="BM146">
            <v>0</v>
          </cell>
          <cell r="BN146">
            <v>0</v>
          </cell>
          <cell r="BS146">
            <v>0</v>
          </cell>
          <cell r="BT146">
            <v>0</v>
          </cell>
          <cell r="BY146">
            <v>0</v>
          </cell>
          <cell r="BZ146">
            <v>0</v>
          </cell>
          <cell r="CE146">
            <v>0</v>
          </cell>
          <cell r="CF146">
            <v>0</v>
          </cell>
          <cell r="CK146">
            <v>0</v>
          </cell>
          <cell r="CL146">
            <v>0</v>
          </cell>
          <cell r="CP146">
            <v>0</v>
          </cell>
          <cell r="CQ146">
            <v>0</v>
          </cell>
          <cell r="CR146">
            <v>0</v>
          </cell>
          <cell r="CS146">
            <v>0</v>
          </cell>
          <cell r="CX146">
            <v>0</v>
          </cell>
          <cell r="CY146">
            <v>0</v>
          </cell>
          <cell r="CZ146">
            <v>0</v>
          </cell>
          <cell r="DA146">
            <v>0</v>
          </cell>
          <cell r="DF146">
            <v>0</v>
          </cell>
          <cell r="DG146">
            <v>758</v>
          </cell>
          <cell r="DH146">
            <v>378.24200000000002</v>
          </cell>
          <cell r="DI146">
            <v>49.9</v>
          </cell>
          <cell r="DN146">
            <v>0</v>
          </cell>
          <cell r="DO146">
            <v>0</v>
          </cell>
          <cell r="DP146">
            <v>0</v>
          </cell>
          <cell r="DQ146">
            <v>0</v>
          </cell>
          <cell r="DV146">
            <v>0</v>
          </cell>
          <cell r="DW146">
            <v>0</v>
          </cell>
          <cell r="DX146">
            <v>0</v>
          </cell>
          <cell r="DY146">
            <v>0</v>
          </cell>
        </row>
        <row r="147">
          <cell r="F147">
            <v>0</v>
          </cell>
          <cell r="G147">
            <v>0</v>
          </cell>
          <cell r="H147">
            <v>637.91699999999992</v>
          </cell>
          <cell r="I147">
            <v>0</v>
          </cell>
          <cell r="P147">
            <v>19.02</v>
          </cell>
          <cell r="V147">
            <v>19.02</v>
          </cell>
          <cell r="AB147">
            <v>33.218000000000004</v>
          </cell>
          <cell r="AH147">
            <v>33.218000000000004</v>
          </cell>
          <cell r="AN147">
            <v>38.549999999999997</v>
          </cell>
          <cell r="AT147">
            <v>38.549999999999997</v>
          </cell>
          <cell r="AX147">
            <v>0</v>
          </cell>
          <cell r="AY147">
            <v>0</v>
          </cell>
          <cell r="AZ147">
            <v>181.57600000000002</v>
          </cell>
          <cell r="BA147">
            <v>0</v>
          </cell>
          <cell r="BH147">
            <v>69.713999999999999</v>
          </cell>
          <cell r="BN147">
            <v>69.713999999999999</v>
          </cell>
          <cell r="BT147">
            <v>77.382999999999996</v>
          </cell>
          <cell r="BZ147">
            <v>111.032</v>
          </cell>
          <cell r="CF147">
            <v>80.120999999999995</v>
          </cell>
          <cell r="CL147">
            <v>48.377000000000002</v>
          </cell>
          <cell r="CP147">
            <v>0</v>
          </cell>
          <cell r="CQ147">
            <v>0</v>
          </cell>
          <cell r="CR147">
            <v>456.34099999999995</v>
          </cell>
          <cell r="CS147">
            <v>0</v>
          </cell>
          <cell r="CX147">
            <v>0</v>
          </cell>
          <cell r="CY147">
            <v>0</v>
          </cell>
          <cell r="CZ147">
            <v>71.25800000000001</v>
          </cell>
          <cell r="DA147">
            <v>0</v>
          </cell>
          <cell r="DF147">
            <v>0</v>
          </cell>
          <cell r="DG147">
            <v>0</v>
          </cell>
          <cell r="DH147">
            <v>110.318</v>
          </cell>
          <cell r="DI147">
            <v>0</v>
          </cell>
          <cell r="DN147">
            <v>0</v>
          </cell>
          <cell r="DO147">
            <v>0</v>
          </cell>
          <cell r="DP147">
            <v>216.81099999999998</v>
          </cell>
          <cell r="DQ147">
            <v>0</v>
          </cell>
          <cell r="DV147">
            <v>0</v>
          </cell>
          <cell r="DW147">
            <v>0</v>
          </cell>
          <cell r="DX147">
            <v>239.53</v>
          </cell>
          <cell r="DY147">
            <v>0</v>
          </cell>
        </row>
        <row r="148">
          <cell r="F148">
            <v>0</v>
          </cell>
          <cell r="G148">
            <v>0</v>
          </cell>
          <cell r="H148">
            <v>0</v>
          </cell>
          <cell r="I148">
            <v>0</v>
          </cell>
          <cell r="AX148">
            <v>0</v>
          </cell>
          <cell r="AY148">
            <v>0</v>
          </cell>
          <cell r="AZ148">
            <v>0</v>
          </cell>
          <cell r="BA148">
            <v>0</v>
          </cell>
          <cell r="CP148">
            <v>0</v>
          </cell>
          <cell r="CQ148">
            <v>0</v>
          </cell>
          <cell r="CR148">
            <v>0</v>
          </cell>
          <cell r="CS148">
            <v>0</v>
          </cell>
          <cell r="CX148">
            <v>0</v>
          </cell>
          <cell r="CY148">
            <v>0</v>
          </cell>
          <cell r="CZ148">
            <v>0</v>
          </cell>
          <cell r="DA148">
            <v>0</v>
          </cell>
          <cell r="DF148">
            <v>0</v>
          </cell>
          <cell r="DG148">
            <v>0</v>
          </cell>
          <cell r="DH148">
            <v>0</v>
          </cell>
          <cell r="DI148">
            <v>0</v>
          </cell>
          <cell r="DN148">
            <v>0</v>
          </cell>
          <cell r="DO148">
            <v>0</v>
          </cell>
          <cell r="DP148">
            <v>0</v>
          </cell>
          <cell r="DQ148">
            <v>0</v>
          </cell>
          <cell r="DV148">
            <v>0</v>
          </cell>
          <cell r="DW148">
            <v>0</v>
          </cell>
          <cell r="DX148">
            <v>0</v>
          </cell>
          <cell r="DY148">
            <v>0</v>
          </cell>
        </row>
        <row r="149">
          <cell r="F149">
            <v>0</v>
          </cell>
          <cell r="G149">
            <v>0</v>
          </cell>
          <cell r="H149">
            <v>0</v>
          </cell>
          <cell r="I149">
            <v>0</v>
          </cell>
          <cell r="N149">
            <v>0</v>
          </cell>
          <cell r="AR149">
            <v>0</v>
          </cell>
          <cell r="AX149">
            <v>0</v>
          </cell>
          <cell r="AY149">
            <v>0</v>
          </cell>
          <cell r="AZ149">
            <v>0</v>
          </cell>
          <cell r="BA149">
            <v>0</v>
          </cell>
          <cell r="BF149">
            <v>0</v>
          </cell>
          <cell r="BL149">
            <v>0</v>
          </cell>
          <cell r="BR149">
            <v>0</v>
          </cell>
          <cell r="BX149">
            <v>0</v>
          </cell>
          <cell r="CD149">
            <v>0</v>
          </cell>
          <cell r="CJ149">
            <v>0</v>
          </cell>
          <cell r="CP149">
            <v>0</v>
          </cell>
          <cell r="CQ149">
            <v>0</v>
          </cell>
          <cell r="CR149">
            <v>0</v>
          </cell>
          <cell r="CS149">
            <v>0</v>
          </cell>
          <cell r="CX149">
            <v>0</v>
          </cell>
          <cell r="CY149">
            <v>0</v>
          </cell>
          <cell r="CZ149">
            <v>0</v>
          </cell>
          <cell r="DA149">
            <v>0</v>
          </cell>
          <cell r="DF149">
            <v>0</v>
          </cell>
          <cell r="DG149">
            <v>0</v>
          </cell>
          <cell r="DH149">
            <v>0</v>
          </cell>
          <cell r="DI149">
            <v>0</v>
          </cell>
          <cell r="DN149">
            <v>0</v>
          </cell>
          <cell r="DO149">
            <v>0</v>
          </cell>
          <cell r="DP149">
            <v>0</v>
          </cell>
          <cell r="DQ149">
            <v>0</v>
          </cell>
          <cell r="DV149">
            <v>0</v>
          </cell>
          <cell r="DW149">
            <v>0</v>
          </cell>
          <cell r="DX149">
            <v>0</v>
          </cell>
          <cell r="DY149">
            <v>0</v>
          </cell>
        </row>
        <row r="150">
          <cell r="F150">
            <v>0</v>
          </cell>
          <cell r="G150">
            <v>0</v>
          </cell>
          <cell r="H150">
            <v>0</v>
          </cell>
          <cell r="I150">
            <v>0</v>
          </cell>
          <cell r="N150">
            <v>0</v>
          </cell>
          <cell r="AR150">
            <v>0</v>
          </cell>
          <cell r="AX150">
            <v>0</v>
          </cell>
          <cell r="AY150">
            <v>0</v>
          </cell>
          <cell r="AZ150">
            <v>0</v>
          </cell>
          <cell r="BA150">
            <v>0</v>
          </cell>
          <cell r="BF150">
            <v>0</v>
          </cell>
          <cell r="BL150">
            <v>0</v>
          </cell>
          <cell r="BR150">
            <v>0</v>
          </cell>
          <cell r="BX150">
            <v>0</v>
          </cell>
          <cell r="CD150">
            <v>0</v>
          </cell>
          <cell r="CJ150">
            <v>0</v>
          </cell>
          <cell r="CP150">
            <v>0</v>
          </cell>
          <cell r="CQ150">
            <v>0</v>
          </cell>
          <cell r="CR150">
            <v>0</v>
          </cell>
          <cell r="CS150">
            <v>0</v>
          </cell>
          <cell r="CX150">
            <v>0</v>
          </cell>
          <cell r="CY150">
            <v>0</v>
          </cell>
          <cell r="CZ150">
            <v>0</v>
          </cell>
          <cell r="DA150">
            <v>0</v>
          </cell>
          <cell r="DF150">
            <v>0</v>
          </cell>
          <cell r="DG150">
            <v>0</v>
          </cell>
          <cell r="DH150">
            <v>0</v>
          </cell>
          <cell r="DI150">
            <v>0</v>
          </cell>
          <cell r="DN150">
            <v>0</v>
          </cell>
          <cell r="DO150">
            <v>0</v>
          </cell>
          <cell r="DP150">
            <v>0</v>
          </cell>
          <cell r="DQ150">
            <v>0</v>
          </cell>
          <cell r="DV150">
            <v>0</v>
          </cell>
          <cell r="DW150">
            <v>0</v>
          </cell>
          <cell r="DX150">
            <v>0</v>
          </cell>
          <cell r="DY150">
            <v>0</v>
          </cell>
        </row>
        <row r="151">
          <cell r="F151">
            <v>1616000</v>
          </cell>
          <cell r="G151">
            <v>160121.293381</v>
          </cell>
          <cell r="H151">
            <v>15878.338000000002</v>
          </cell>
          <cell r="I151">
            <v>9.9164437563081318</v>
          </cell>
          <cell r="N151">
            <v>100706</v>
          </cell>
          <cell r="O151">
            <v>10002.058938300001</v>
          </cell>
          <cell r="P151">
            <v>276.137</v>
          </cell>
          <cell r="T151">
            <v>110966</v>
          </cell>
          <cell r="U151">
            <v>10830.822894299998</v>
          </cell>
          <cell r="V151">
            <v>592.20900000000006</v>
          </cell>
          <cell r="Z151">
            <v>122696</v>
          </cell>
          <cell r="AA151">
            <v>12094.018668599998</v>
          </cell>
          <cell r="AB151">
            <v>931.95600000000002</v>
          </cell>
          <cell r="AF151">
            <v>108186</v>
          </cell>
          <cell r="AG151">
            <v>10873.0882526</v>
          </cell>
          <cell r="AH151">
            <v>793.34100000000001</v>
          </cell>
          <cell r="AL151">
            <v>111086</v>
          </cell>
          <cell r="AM151">
            <v>11058.490612600001</v>
          </cell>
          <cell r="AN151">
            <v>775.74900000000002</v>
          </cell>
          <cell r="AR151">
            <v>120456</v>
          </cell>
          <cell r="AS151">
            <v>12819.1381446</v>
          </cell>
          <cell r="AT151">
            <v>1282.8409999999999</v>
          </cell>
          <cell r="AX151">
            <v>674096</v>
          </cell>
          <cell r="AY151">
            <v>67677.617511000019</v>
          </cell>
          <cell r="AZ151">
            <v>4652.2330000000002</v>
          </cell>
          <cell r="BA151">
            <v>6.8741087099347826</v>
          </cell>
          <cell r="BF151">
            <v>136231</v>
          </cell>
          <cell r="BG151">
            <v>13476.818236499999</v>
          </cell>
          <cell r="BH151">
            <v>1223.5149999999999</v>
          </cell>
          <cell r="BL151">
            <v>148591</v>
          </cell>
          <cell r="BM151">
            <v>14449.086716499998</v>
          </cell>
          <cell r="BN151">
            <v>1642.1179999999997</v>
          </cell>
          <cell r="BR151">
            <v>164305</v>
          </cell>
          <cell r="BS151">
            <v>16231.845898699999</v>
          </cell>
          <cell r="BT151">
            <v>1991.72</v>
          </cell>
          <cell r="BX151">
            <v>180951</v>
          </cell>
          <cell r="BY151">
            <v>17955.779347499996</v>
          </cell>
          <cell r="BZ151">
            <v>2610.3360000000002</v>
          </cell>
          <cell r="CD151">
            <v>158252</v>
          </cell>
          <cell r="CE151">
            <v>15604.308759800002</v>
          </cell>
          <cell r="CF151">
            <v>2125.1059999999998</v>
          </cell>
          <cell r="CJ151">
            <v>153574</v>
          </cell>
          <cell r="CK151">
            <v>14725.836911000002</v>
          </cell>
          <cell r="CL151">
            <v>1633.31</v>
          </cell>
          <cell r="CP151">
            <v>941904</v>
          </cell>
          <cell r="CQ151">
            <v>92443.675870000006</v>
          </cell>
          <cell r="CR151">
            <v>11226.105000000001</v>
          </cell>
          <cell r="CS151">
            <v>12.143724158899568</v>
          </cell>
          <cell r="CX151">
            <v>334368</v>
          </cell>
          <cell r="CY151">
            <v>32926.900501199998</v>
          </cell>
          <cell r="CZ151">
            <v>1800.3020000000001</v>
          </cell>
          <cell r="DA151">
            <v>5.4675720234717788</v>
          </cell>
          <cell r="DF151">
            <v>339728</v>
          </cell>
          <cell r="DG151">
            <v>34750.717009799992</v>
          </cell>
          <cell r="DH151">
            <v>2851.931</v>
          </cell>
          <cell r="DI151">
            <v>8.2068263489231938</v>
          </cell>
          <cell r="DN151">
            <v>449127</v>
          </cell>
          <cell r="DO151">
            <v>44157.750851700002</v>
          </cell>
          <cell r="DP151">
            <v>4857.3529999999992</v>
          </cell>
          <cell r="DQ151">
            <v>11.000000920139707</v>
          </cell>
          <cell r="DV151">
            <v>492777</v>
          </cell>
          <cell r="DW151">
            <v>48285.925018299997</v>
          </cell>
          <cell r="DX151">
            <v>6368.7520000000004</v>
          </cell>
          <cell r="DY151">
            <v>13.189665513472699</v>
          </cell>
        </row>
        <row r="152">
          <cell r="F152">
            <v>2045978</v>
          </cell>
          <cell r="G152">
            <v>241183.69338099999</v>
          </cell>
          <cell r="H152">
            <v>56196.996000000006</v>
          </cell>
          <cell r="I152">
            <v>23.300495656323299</v>
          </cell>
          <cell r="N152">
            <v>129316</v>
          </cell>
          <cell r="O152">
            <v>15082.258938300001</v>
          </cell>
          <cell r="P152">
            <v>2683.636</v>
          </cell>
          <cell r="T152">
            <v>150826</v>
          </cell>
          <cell r="U152">
            <v>17810.822894299999</v>
          </cell>
          <cell r="V152">
            <v>4038.2289999999994</v>
          </cell>
          <cell r="Z152">
            <v>158566</v>
          </cell>
          <cell r="AA152">
            <v>18574.018668599998</v>
          </cell>
          <cell r="AB152">
            <v>4134.5450000000001</v>
          </cell>
          <cell r="AF152">
            <v>146506</v>
          </cell>
          <cell r="AG152">
            <v>17855.088252599999</v>
          </cell>
          <cell r="AH152">
            <v>4256.8560000000007</v>
          </cell>
          <cell r="AL152">
            <v>152656</v>
          </cell>
          <cell r="AM152">
            <v>18640.490612599999</v>
          </cell>
          <cell r="AN152">
            <v>4578.7240000000002</v>
          </cell>
          <cell r="AR152">
            <v>158226</v>
          </cell>
          <cell r="AS152">
            <v>19731.138144600001</v>
          </cell>
          <cell r="AT152">
            <v>4743.9779999999992</v>
          </cell>
          <cell r="AX152">
            <v>896096</v>
          </cell>
          <cell r="AY152">
            <v>107693.81751100002</v>
          </cell>
          <cell r="AZ152">
            <v>24435.967999999997</v>
          </cell>
          <cell r="BA152">
            <v>22.690223603136801</v>
          </cell>
          <cell r="BF152">
            <v>173731</v>
          </cell>
          <cell r="BG152">
            <v>20687.0182365</v>
          </cell>
          <cell r="BH152">
            <v>4785.7970000000005</v>
          </cell>
          <cell r="BL152">
            <v>183366</v>
          </cell>
          <cell r="BM152">
            <v>21259.086716499998</v>
          </cell>
          <cell r="BN152">
            <v>5031.741</v>
          </cell>
          <cell r="BR152">
            <v>200082</v>
          </cell>
          <cell r="BS152">
            <v>23141.845898699998</v>
          </cell>
          <cell r="BT152">
            <v>5442.835</v>
          </cell>
          <cell r="BX152">
            <v>216677</v>
          </cell>
          <cell r="BY152">
            <v>24965.779347499996</v>
          </cell>
          <cell r="BZ152">
            <v>6169.6940000000004</v>
          </cell>
          <cell r="CD152">
            <v>191178</v>
          </cell>
          <cell r="CE152">
            <v>22220.308759800002</v>
          </cell>
          <cell r="CF152">
            <v>5486.277</v>
          </cell>
          <cell r="CJ152">
            <v>184848</v>
          </cell>
          <cell r="CK152">
            <v>21215.836911000002</v>
          </cell>
          <cell r="CL152">
            <v>4844.6839999999993</v>
          </cell>
          <cell r="CP152">
            <v>1149882</v>
          </cell>
          <cell r="CQ152">
            <v>133489.87586999999</v>
          </cell>
          <cell r="CR152">
            <v>31761.028000000006</v>
          </cell>
          <cell r="CS152">
            <v>23.792836567569136</v>
          </cell>
          <cell r="CX152">
            <v>438708</v>
          </cell>
          <cell r="CY152">
            <v>51467.100501199995</v>
          </cell>
          <cell r="CZ152">
            <v>10856.41</v>
          </cell>
          <cell r="DA152">
            <v>21.09388307147179</v>
          </cell>
          <cell r="DF152">
            <v>457388</v>
          </cell>
          <cell r="DG152">
            <v>56226.717009799992</v>
          </cell>
          <cell r="DH152">
            <v>13579.557999999999</v>
          </cell>
          <cell r="DI152">
            <v>24.15143320146748</v>
          </cell>
          <cell r="DN152">
            <v>557179</v>
          </cell>
          <cell r="DO152">
            <v>65087.950851700007</v>
          </cell>
          <cell r="DP152">
            <v>15260.372999999998</v>
          </cell>
          <cell r="DQ152">
            <v>23.445772681905559</v>
          </cell>
          <cell r="DV152">
            <v>592703</v>
          </cell>
          <cell r="DW152">
            <v>68401.925018299997</v>
          </cell>
          <cell r="DX152">
            <v>16500.655000000002</v>
          </cell>
          <cell r="DY152">
            <v>24.123085710797582</v>
          </cell>
        </row>
        <row r="153">
          <cell r="F153">
            <v>124</v>
          </cell>
          <cell r="G153">
            <v>3224</v>
          </cell>
          <cell r="H153">
            <v>788.22900000000004</v>
          </cell>
          <cell r="I153">
            <v>24.448790322580646</v>
          </cell>
          <cell r="N153">
            <v>7</v>
          </cell>
          <cell r="O153">
            <v>182</v>
          </cell>
          <cell r="P153">
            <v>44.768999999999998</v>
          </cell>
          <cell r="T153">
            <v>6</v>
          </cell>
          <cell r="U153">
            <v>156</v>
          </cell>
          <cell r="V153">
            <v>35.017000000000003</v>
          </cell>
          <cell r="Z153">
            <v>11</v>
          </cell>
          <cell r="AA153">
            <v>286</v>
          </cell>
          <cell r="AB153">
            <v>58.518000000000001</v>
          </cell>
          <cell r="AF153">
            <v>12</v>
          </cell>
          <cell r="AG153">
            <v>312</v>
          </cell>
          <cell r="AH153">
            <v>65.576999999999998</v>
          </cell>
          <cell r="AL153">
            <v>11</v>
          </cell>
          <cell r="AM153">
            <v>286</v>
          </cell>
          <cell r="AN153">
            <v>62.517000000000003</v>
          </cell>
          <cell r="AR153">
            <v>11</v>
          </cell>
          <cell r="AS153">
            <v>286</v>
          </cell>
          <cell r="AT153">
            <v>67.072999999999993</v>
          </cell>
          <cell r="AX153">
            <v>58</v>
          </cell>
          <cell r="AY153">
            <v>1508</v>
          </cell>
          <cell r="AZ153">
            <v>333.471</v>
          </cell>
          <cell r="BA153">
            <v>22.113461538461536</v>
          </cell>
          <cell r="BF153">
            <v>11</v>
          </cell>
          <cell r="BG153">
            <v>286</v>
          </cell>
          <cell r="BH153">
            <v>72.480999999999995</v>
          </cell>
          <cell r="BL153">
            <v>12</v>
          </cell>
          <cell r="BM153">
            <v>312</v>
          </cell>
          <cell r="BN153">
            <v>83.338999999999999</v>
          </cell>
          <cell r="BR153">
            <v>12</v>
          </cell>
          <cell r="BS153">
            <v>312</v>
          </cell>
          <cell r="BT153">
            <v>83.873000000000005</v>
          </cell>
          <cell r="BX153">
            <v>12</v>
          </cell>
          <cell r="BY153">
            <v>312</v>
          </cell>
          <cell r="BZ153">
            <v>84.143000000000001</v>
          </cell>
          <cell r="CD153">
            <v>9</v>
          </cell>
          <cell r="CE153">
            <v>234</v>
          </cell>
          <cell r="CF153">
            <v>62.097000000000001</v>
          </cell>
          <cell r="CJ153">
            <v>10</v>
          </cell>
          <cell r="CK153">
            <v>260</v>
          </cell>
          <cell r="CL153">
            <v>68.825000000000003</v>
          </cell>
          <cell r="CP153">
            <v>66</v>
          </cell>
          <cell r="CQ153">
            <v>1716</v>
          </cell>
          <cell r="CR153">
            <v>454.75799999999998</v>
          </cell>
          <cell r="CS153">
            <v>26.501048951048951</v>
          </cell>
          <cell r="CX153">
            <v>24</v>
          </cell>
          <cell r="CY153">
            <v>624</v>
          </cell>
          <cell r="CZ153">
            <v>138.304</v>
          </cell>
          <cell r="DA153">
            <v>22.164102564102564</v>
          </cell>
          <cell r="DF153">
            <v>34</v>
          </cell>
          <cell r="DG153">
            <v>884</v>
          </cell>
          <cell r="DH153">
            <v>195.16699999999997</v>
          </cell>
          <cell r="DI153">
            <v>22.077714932126693</v>
          </cell>
          <cell r="DN153">
            <v>35</v>
          </cell>
          <cell r="DO153">
            <v>910</v>
          </cell>
          <cell r="DP153">
            <v>239.69299999999998</v>
          </cell>
          <cell r="DQ153">
            <v>26.339890109890106</v>
          </cell>
          <cell r="DV153">
            <v>31</v>
          </cell>
          <cell r="DW153">
            <v>806</v>
          </cell>
          <cell r="DX153">
            <v>215.065</v>
          </cell>
          <cell r="DY153">
            <v>26.683002481389579</v>
          </cell>
        </row>
        <row r="154">
          <cell r="F154">
            <v>30</v>
          </cell>
          <cell r="G154">
            <v>360</v>
          </cell>
          <cell r="H154">
            <v>90</v>
          </cell>
          <cell r="I154">
            <v>25</v>
          </cell>
          <cell r="N154">
            <v>2</v>
          </cell>
          <cell r="O154">
            <v>24</v>
          </cell>
          <cell r="P154">
            <v>6</v>
          </cell>
          <cell r="T154">
            <v>2</v>
          </cell>
          <cell r="U154">
            <v>24</v>
          </cell>
          <cell r="V154">
            <v>6</v>
          </cell>
          <cell r="Z154">
            <v>2</v>
          </cell>
          <cell r="AA154">
            <v>24</v>
          </cell>
          <cell r="AB154">
            <v>6</v>
          </cell>
          <cell r="AF154">
            <v>3</v>
          </cell>
          <cell r="AG154">
            <v>36</v>
          </cell>
          <cell r="AH154">
            <v>9</v>
          </cell>
          <cell r="AL154">
            <v>3</v>
          </cell>
          <cell r="AM154">
            <v>36</v>
          </cell>
          <cell r="AN154">
            <v>9</v>
          </cell>
          <cell r="AR154">
            <v>3</v>
          </cell>
          <cell r="AS154">
            <v>36</v>
          </cell>
          <cell r="AT154">
            <v>9</v>
          </cell>
          <cell r="AX154">
            <v>15</v>
          </cell>
          <cell r="AY154">
            <v>180</v>
          </cell>
          <cell r="AZ154">
            <v>45</v>
          </cell>
          <cell r="BA154">
            <v>25</v>
          </cell>
          <cell r="BF154">
            <v>3</v>
          </cell>
          <cell r="BG154">
            <v>36</v>
          </cell>
          <cell r="BH154">
            <v>9</v>
          </cell>
          <cell r="BL154">
            <v>3</v>
          </cell>
          <cell r="BM154">
            <v>36</v>
          </cell>
          <cell r="BN154">
            <v>9</v>
          </cell>
          <cell r="BR154">
            <v>3</v>
          </cell>
          <cell r="BS154">
            <v>36</v>
          </cell>
          <cell r="BT154">
            <v>9</v>
          </cell>
          <cell r="BX154">
            <v>2</v>
          </cell>
          <cell r="BY154">
            <v>24</v>
          </cell>
          <cell r="BZ154">
            <v>6</v>
          </cell>
          <cell r="CD154">
            <v>2</v>
          </cell>
          <cell r="CE154">
            <v>24</v>
          </cell>
          <cell r="CF154">
            <v>6</v>
          </cell>
          <cell r="CJ154">
            <v>2</v>
          </cell>
          <cell r="CK154">
            <v>24</v>
          </cell>
          <cell r="CL154">
            <v>6</v>
          </cell>
          <cell r="CP154">
            <v>15</v>
          </cell>
          <cell r="CQ154">
            <v>180</v>
          </cell>
          <cell r="CR154">
            <v>45</v>
          </cell>
          <cell r="CS154">
            <v>25</v>
          </cell>
          <cell r="CX154">
            <v>6</v>
          </cell>
          <cell r="CY154">
            <v>72</v>
          </cell>
          <cell r="CZ154">
            <v>18</v>
          </cell>
          <cell r="DA154">
            <v>25</v>
          </cell>
          <cell r="DF154">
            <v>9</v>
          </cell>
          <cell r="DG154">
            <v>108</v>
          </cell>
          <cell r="DH154">
            <v>27</v>
          </cell>
          <cell r="DI154">
            <v>25</v>
          </cell>
          <cell r="DN154">
            <v>9</v>
          </cell>
          <cell r="DO154">
            <v>108</v>
          </cell>
          <cell r="DP154">
            <v>27</v>
          </cell>
          <cell r="DQ154">
            <v>25</v>
          </cell>
          <cell r="DV154">
            <v>6</v>
          </cell>
          <cell r="DW154">
            <v>72</v>
          </cell>
          <cell r="DX154">
            <v>18</v>
          </cell>
          <cell r="DY154">
            <v>25</v>
          </cell>
        </row>
        <row r="155">
          <cell r="F155">
            <v>80</v>
          </cell>
          <cell r="G155">
            <v>3040</v>
          </cell>
          <cell r="H155">
            <v>620.55799999999999</v>
          </cell>
          <cell r="I155">
            <v>20.413092105263157</v>
          </cell>
          <cell r="N155">
            <v>7</v>
          </cell>
          <cell r="O155">
            <v>266</v>
          </cell>
          <cell r="P155">
            <v>49.918999999999997</v>
          </cell>
          <cell r="T155">
            <v>7</v>
          </cell>
          <cell r="U155">
            <v>266</v>
          </cell>
          <cell r="V155">
            <v>48.822000000000003</v>
          </cell>
          <cell r="Z155">
            <v>7</v>
          </cell>
          <cell r="AA155">
            <v>266</v>
          </cell>
          <cell r="AB155">
            <v>46.414000000000001</v>
          </cell>
          <cell r="AF155">
            <v>7</v>
          </cell>
          <cell r="AG155">
            <v>266</v>
          </cell>
          <cell r="AH155">
            <v>47.085999999999999</v>
          </cell>
          <cell r="AL155">
            <v>7</v>
          </cell>
          <cell r="AM155">
            <v>266</v>
          </cell>
          <cell r="AN155">
            <v>48.427999999999997</v>
          </cell>
          <cell r="AR155">
            <v>7</v>
          </cell>
          <cell r="AS155">
            <v>266</v>
          </cell>
          <cell r="AT155">
            <v>54.02</v>
          </cell>
          <cell r="AX155">
            <v>42</v>
          </cell>
          <cell r="AY155">
            <v>1596</v>
          </cell>
          <cell r="AZ155">
            <v>294.68899999999996</v>
          </cell>
          <cell r="BA155">
            <v>18.464223057644109</v>
          </cell>
          <cell r="BF155">
            <v>8</v>
          </cell>
          <cell r="BG155">
            <v>304</v>
          </cell>
          <cell r="BH155">
            <v>65.738</v>
          </cell>
          <cell r="BL155">
            <v>8</v>
          </cell>
          <cell r="BM155">
            <v>304</v>
          </cell>
          <cell r="BN155">
            <v>69.733000000000004</v>
          </cell>
          <cell r="BR155">
            <v>7</v>
          </cell>
          <cell r="BS155">
            <v>266</v>
          </cell>
          <cell r="BT155">
            <v>61.655999999999999</v>
          </cell>
          <cell r="BX155">
            <v>6</v>
          </cell>
          <cell r="BY155">
            <v>228</v>
          </cell>
          <cell r="BZ155">
            <v>52.491</v>
          </cell>
          <cell r="CD155">
            <v>5</v>
          </cell>
          <cell r="CE155">
            <v>190</v>
          </cell>
          <cell r="CF155">
            <v>42.570999999999998</v>
          </cell>
          <cell r="CJ155">
            <v>4</v>
          </cell>
          <cell r="CK155">
            <v>152</v>
          </cell>
          <cell r="CL155">
            <v>33.68</v>
          </cell>
          <cell r="CP155">
            <v>38</v>
          </cell>
          <cell r="CQ155">
            <v>1444</v>
          </cell>
          <cell r="CR155">
            <v>325.86900000000003</v>
          </cell>
          <cell r="CS155">
            <v>22.567105263157895</v>
          </cell>
          <cell r="CX155">
            <v>21</v>
          </cell>
          <cell r="CY155">
            <v>798</v>
          </cell>
          <cell r="CZ155">
            <v>145.155</v>
          </cell>
          <cell r="DA155">
            <v>18.189849624060152</v>
          </cell>
          <cell r="DF155">
            <v>21</v>
          </cell>
          <cell r="DG155">
            <v>798</v>
          </cell>
          <cell r="DH155">
            <v>149.53399999999999</v>
          </cell>
          <cell r="DI155">
            <v>18.738596491228069</v>
          </cell>
          <cell r="DN155">
            <v>23</v>
          </cell>
          <cell r="DO155">
            <v>874</v>
          </cell>
          <cell r="DP155">
            <v>197.12700000000001</v>
          </cell>
          <cell r="DQ155">
            <v>22.554576659038901</v>
          </cell>
          <cell r="DV155">
            <v>15</v>
          </cell>
          <cell r="DW155">
            <v>570</v>
          </cell>
          <cell r="DX155">
            <v>128.74199999999999</v>
          </cell>
          <cell r="DY155">
            <v>22.586315789473684</v>
          </cell>
        </row>
        <row r="156">
          <cell r="F156">
            <v>174</v>
          </cell>
          <cell r="G156">
            <v>2088</v>
          </cell>
          <cell r="H156">
            <v>1105.77</v>
          </cell>
          <cell r="I156">
            <v>52.958333333333329</v>
          </cell>
          <cell r="N156">
            <v>12</v>
          </cell>
          <cell r="O156">
            <v>144</v>
          </cell>
          <cell r="P156">
            <v>76.260000000000005</v>
          </cell>
          <cell r="T156">
            <v>11</v>
          </cell>
          <cell r="U156">
            <v>132</v>
          </cell>
          <cell r="V156">
            <v>69.905000000000001</v>
          </cell>
          <cell r="Z156">
            <v>16</v>
          </cell>
          <cell r="AA156">
            <v>192</v>
          </cell>
          <cell r="AB156">
            <v>101.68</v>
          </cell>
          <cell r="AF156">
            <v>16</v>
          </cell>
          <cell r="AG156">
            <v>192</v>
          </cell>
          <cell r="AH156">
            <v>101.68</v>
          </cell>
          <cell r="AL156">
            <v>15</v>
          </cell>
          <cell r="AM156">
            <v>180</v>
          </cell>
          <cell r="AN156">
            <v>95.325000000000003</v>
          </cell>
          <cell r="AR156">
            <v>15</v>
          </cell>
          <cell r="AS156">
            <v>180</v>
          </cell>
          <cell r="AT156">
            <v>95.325000000000003</v>
          </cell>
          <cell r="AX156">
            <v>85</v>
          </cell>
          <cell r="AY156">
            <v>1020</v>
          </cell>
          <cell r="AZ156">
            <v>540.17500000000007</v>
          </cell>
          <cell r="BA156">
            <v>52.958333333333343</v>
          </cell>
          <cell r="BF156">
            <v>16</v>
          </cell>
          <cell r="BG156">
            <v>192</v>
          </cell>
          <cell r="BH156">
            <v>101.68</v>
          </cell>
          <cell r="BL156">
            <v>17</v>
          </cell>
          <cell r="BM156">
            <v>204</v>
          </cell>
          <cell r="BN156">
            <v>108.035</v>
          </cell>
          <cell r="BR156">
            <v>16</v>
          </cell>
          <cell r="BS156">
            <v>192</v>
          </cell>
          <cell r="BT156">
            <v>101.68</v>
          </cell>
          <cell r="BX156">
            <v>16</v>
          </cell>
          <cell r="BY156">
            <v>192</v>
          </cell>
          <cell r="BZ156">
            <v>101.68</v>
          </cell>
          <cell r="CD156">
            <v>12</v>
          </cell>
          <cell r="CE156">
            <v>144</v>
          </cell>
          <cell r="CF156">
            <v>76.260000000000005</v>
          </cell>
          <cell r="CJ156">
            <v>12</v>
          </cell>
          <cell r="CK156">
            <v>144</v>
          </cell>
          <cell r="CL156">
            <v>76.260000000000005</v>
          </cell>
          <cell r="CP156">
            <v>89</v>
          </cell>
          <cell r="CQ156">
            <v>1068</v>
          </cell>
          <cell r="CR156">
            <v>565.59500000000003</v>
          </cell>
          <cell r="CS156">
            <v>52.958333333333343</v>
          </cell>
          <cell r="CX156">
            <v>39</v>
          </cell>
          <cell r="CY156">
            <v>468</v>
          </cell>
          <cell r="CZ156">
            <v>247.84500000000003</v>
          </cell>
          <cell r="DA156">
            <v>52.958333333333343</v>
          </cell>
          <cell r="DF156">
            <v>46</v>
          </cell>
          <cell r="DG156">
            <v>552</v>
          </cell>
          <cell r="DH156">
            <v>292.33</v>
          </cell>
          <cell r="DI156">
            <v>52.958333333333329</v>
          </cell>
          <cell r="DN156">
            <v>49</v>
          </cell>
          <cell r="DO156">
            <v>588</v>
          </cell>
          <cell r="DP156">
            <v>311.39499999999998</v>
          </cell>
          <cell r="DQ156">
            <v>52.958333333333329</v>
          </cell>
          <cell r="DV156">
            <v>40</v>
          </cell>
          <cell r="DW156">
            <v>480</v>
          </cell>
          <cell r="DX156">
            <v>254.2</v>
          </cell>
          <cell r="DY156">
            <v>52.958333333333329</v>
          </cell>
        </row>
        <row r="157">
          <cell r="F157">
            <v>24</v>
          </cell>
          <cell r="G157">
            <v>384</v>
          </cell>
          <cell r="H157">
            <v>168</v>
          </cell>
          <cell r="I157">
            <v>43.75</v>
          </cell>
          <cell r="N157">
            <v>2</v>
          </cell>
          <cell r="O157">
            <v>32</v>
          </cell>
          <cell r="P157">
            <v>14</v>
          </cell>
          <cell r="T157">
            <v>2</v>
          </cell>
          <cell r="U157">
            <v>32</v>
          </cell>
          <cell r="V157">
            <v>14</v>
          </cell>
          <cell r="Z157">
            <v>2</v>
          </cell>
          <cell r="AA157">
            <v>32</v>
          </cell>
          <cell r="AB157">
            <v>14</v>
          </cell>
          <cell r="AF157">
            <v>2</v>
          </cell>
          <cell r="AG157">
            <v>32</v>
          </cell>
          <cell r="AH157">
            <v>14</v>
          </cell>
          <cell r="AL157">
            <v>2</v>
          </cell>
          <cell r="AM157">
            <v>32</v>
          </cell>
          <cell r="AN157">
            <v>14</v>
          </cell>
          <cell r="AR157">
            <v>2</v>
          </cell>
          <cell r="AS157">
            <v>32</v>
          </cell>
          <cell r="AT157">
            <v>14</v>
          </cell>
          <cell r="AX157">
            <v>12</v>
          </cell>
          <cell r="AY157">
            <v>192</v>
          </cell>
          <cell r="AZ157">
            <v>84</v>
          </cell>
          <cell r="BA157">
            <v>43.75</v>
          </cell>
          <cell r="BF157">
            <v>2</v>
          </cell>
          <cell r="BG157">
            <v>32</v>
          </cell>
          <cell r="BH157">
            <v>14</v>
          </cell>
          <cell r="BL157">
            <v>2</v>
          </cell>
          <cell r="BM157">
            <v>32</v>
          </cell>
          <cell r="BN157">
            <v>14</v>
          </cell>
          <cell r="BR157">
            <v>2</v>
          </cell>
          <cell r="BS157">
            <v>32</v>
          </cell>
          <cell r="BT157">
            <v>14</v>
          </cell>
          <cell r="BX157">
            <v>2</v>
          </cell>
          <cell r="BY157">
            <v>32</v>
          </cell>
          <cell r="BZ157">
            <v>14</v>
          </cell>
          <cell r="CD157">
            <v>2</v>
          </cell>
          <cell r="CE157">
            <v>32</v>
          </cell>
          <cell r="CF157">
            <v>14</v>
          </cell>
          <cell r="CJ157">
            <v>2</v>
          </cell>
          <cell r="CK157">
            <v>32</v>
          </cell>
          <cell r="CL157">
            <v>14</v>
          </cell>
          <cell r="CP157">
            <v>12</v>
          </cell>
          <cell r="CQ157">
            <v>192</v>
          </cell>
          <cell r="CR157">
            <v>84</v>
          </cell>
          <cell r="CS157">
            <v>43.75</v>
          </cell>
          <cell r="CX157">
            <v>6</v>
          </cell>
          <cell r="CY157">
            <v>96</v>
          </cell>
          <cell r="CZ157">
            <v>42</v>
          </cell>
          <cell r="DA157">
            <v>43.75</v>
          </cell>
          <cell r="DF157">
            <v>6</v>
          </cell>
          <cell r="DG157">
            <v>96</v>
          </cell>
          <cell r="DH157">
            <v>42</v>
          </cell>
          <cell r="DI157">
            <v>43.75</v>
          </cell>
          <cell r="DN157">
            <v>6</v>
          </cell>
          <cell r="DO157">
            <v>96</v>
          </cell>
          <cell r="DP157">
            <v>42</v>
          </cell>
          <cell r="DQ157">
            <v>43.75</v>
          </cell>
          <cell r="DV157">
            <v>6</v>
          </cell>
          <cell r="DW157">
            <v>96</v>
          </cell>
          <cell r="DX157">
            <v>42</v>
          </cell>
          <cell r="DY157">
            <v>43.75</v>
          </cell>
        </row>
        <row r="158">
          <cell r="F158">
            <v>24</v>
          </cell>
          <cell r="G158">
            <v>192</v>
          </cell>
          <cell r="H158">
            <v>72</v>
          </cell>
          <cell r="I158">
            <v>37.5</v>
          </cell>
          <cell r="N158">
            <v>2</v>
          </cell>
          <cell r="O158">
            <v>16</v>
          </cell>
          <cell r="P158">
            <v>6</v>
          </cell>
          <cell r="T158">
            <v>2</v>
          </cell>
          <cell r="U158">
            <v>16</v>
          </cell>
          <cell r="V158">
            <v>6</v>
          </cell>
          <cell r="Z158">
            <v>2</v>
          </cell>
          <cell r="AA158">
            <v>16</v>
          </cell>
          <cell r="AB158">
            <v>6</v>
          </cell>
          <cell r="AF158">
            <v>2</v>
          </cell>
          <cell r="AG158">
            <v>16</v>
          </cell>
          <cell r="AH158">
            <v>6</v>
          </cell>
          <cell r="AL158">
            <v>2</v>
          </cell>
          <cell r="AM158">
            <v>16</v>
          </cell>
          <cell r="AN158">
            <v>6</v>
          </cell>
          <cell r="AR158">
            <v>2</v>
          </cell>
          <cell r="AS158">
            <v>16</v>
          </cell>
          <cell r="AT158">
            <v>6</v>
          </cell>
          <cell r="AX158">
            <v>12</v>
          </cell>
          <cell r="AY158">
            <v>96</v>
          </cell>
          <cell r="AZ158">
            <v>36</v>
          </cell>
          <cell r="BA158">
            <v>37.5</v>
          </cell>
          <cell r="BF158">
            <v>2</v>
          </cell>
          <cell r="BG158">
            <v>16</v>
          </cell>
          <cell r="BH158">
            <v>6</v>
          </cell>
          <cell r="BL158">
            <v>2</v>
          </cell>
          <cell r="BM158">
            <v>16</v>
          </cell>
          <cell r="BN158">
            <v>6</v>
          </cell>
          <cell r="BR158">
            <v>2</v>
          </cell>
          <cell r="BS158">
            <v>16</v>
          </cell>
          <cell r="BT158">
            <v>6</v>
          </cell>
          <cell r="BX158">
            <v>2</v>
          </cell>
          <cell r="BY158">
            <v>16</v>
          </cell>
          <cell r="BZ158">
            <v>6</v>
          </cell>
          <cell r="CD158">
            <v>2</v>
          </cell>
          <cell r="CE158">
            <v>16</v>
          </cell>
          <cell r="CF158">
            <v>6</v>
          </cell>
          <cell r="CJ158">
            <v>2</v>
          </cell>
          <cell r="CK158">
            <v>16</v>
          </cell>
          <cell r="CL158">
            <v>6</v>
          </cell>
          <cell r="CP158">
            <v>12</v>
          </cell>
          <cell r="CQ158">
            <v>96</v>
          </cell>
          <cell r="CR158">
            <v>36</v>
          </cell>
          <cell r="CS158">
            <v>37.5</v>
          </cell>
          <cell r="CX158">
            <v>6</v>
          </cell>
          <cell r="CY158">
            <v>48</v>
          </cell>
          <cell r="CZ158">
            <v>18</v>
          </cell>
          <cell r="DA158">
            <v>37.5</v>
          </cell>
          <cell r="DF158">
            <v>6</v>
          </cell>
          <cell r="DG158">
            <v>48</v>
          </cell>
          <cell r="DH158">
            <v>18</v>
          </cell>
          <cell r="DI158">
            <v>37.5</v>
          </cell>
          <cell r="DN158">
            <v>6</v>
          </cell>
          <cell r="DO158">
            <v>48</v>
          </cell>
          <cell r="DP158">
            <v>18</v>
          </cell>
          <cell r="DQ158">
            <v>37.5</v>
          </cell>
          <cell r="DV158">
            <v>6</v>
          </cell>
          <cell r="DW158">
            <v>48</v>
          </cell>
          <cell r="DX158">
            <v>18</v>
          </cell>
          <cell r="DY158">
            <v>37.5</v>
          </cell>
        </row>
        <row r="159">
          <cell r="F159">
            <v>0</v>
          </cell>
          <cell r="G159">
            <v>100</v>
          </cell>
          <cell r="H159">
            <v>42.36</v>
          </cell>
          <cell r="I159">
            <v>42.36</v>
          </cell>
          <cell r="N159">
            <v>0</v>
          </cell>
          <cell r="O159">
            <v>5</v>
          </cell>
          <cell r="P159">
            <v>2.09</v>
          </cell>
          <cell r="T159">
            <v>0</v>
          </cell>
          <cell r="U159">
            <v>5</v>
          </cell>
          <cell r="V159">
            <v>2.0569999999999999</v>
          </cell>
          <cell r="Z159">
            <v>0</v>
          </cell>
          <cell r="AA159">
            <v>10</v>
          </cell>
          <cell r="AB159">
            <v>4.1079999999999997</v>
          </cell>
          <cell r="AF159">
            <v>0</v>
          </cell>
          <cell r="AG159">
            <v>10</v>
          </cell>
          <cell r="AH159">
            <v>4.1890000000000001</v>
          </cell>
          <cell r="AL159">
            <v>0</v>
          </cell>
          <cell r="AM159">
            <v>10</v>
          </cell>
          <cell r="AN159">
            <v>4.093</v>
          </cell>
          <cell r="AR159">
            <v>0</v>
          </cell>
          <cell r="AS159">
            <v>10</v>
          </cell>
          <cell r="AT159">
            <v>4.2770000000000001</v>
          </cell>
          <cell r="AX159">
            <v>0</v>
          </cell>
          <cell r="AY159">
            <v>50</v>
          </cell>
          <cell r="AZ159">
            <v>20.814</v>
          </cell>
          <cell r="BA159">
            <v>41.628</v>
          </cell>
          <cell r="BF159">
            <v>0</v>
          </cell>
          <cell r="BG159">
            <v>10</v>
          </cell>
          <cell r="BH159">
            <v>4.34</v>
          </cell>
          <cell r="BL159">
            <v>0</v>
          </cell>
          <cell r="BM159">
            <v>10</v>
          </cell>
          <cell r="BN159">
            <v>4.3079999999999998</v>
          </cell>
          <cell r="BR159">
            <v>0</v>
          </cell>
          <cell r="BS159">
            <v>10</v>
          </cell>
          <cell r="BT159">
            <v>4.3</v>
          </cell>
          <cell r="BX159">
            <v>0</v>
          </cell>
          <cell r="BY159">
            <v>10</v>
          </cell>
          <cell r="BZ159">
            <v>4.306</v>
          </cell>
          <cell r="CD159">
            <v>0</v>
          </cell>
          <cell r="CE159">
            <v>5</v>
          </cell>
          <cell r="CF159">
            <v>2.1389999999999998</v>
          </cell>
          <cell r="CJ159">
            <v>0</v>
          </cell>
          <cell r="CK159">
            <v>5</v>
          </cell>
          <cell r="CL159">
            <v>2.153</v>
          </cell>
          <cell r="CP159">
            <v>0</v>
          </cell>
          <cell r="CQ159">
            <v>50</v>
          </cell>
          <cell r="CR159">
            <v>21.545999999999999</v>
          </cell>
          <cell r="CS159">
            <v>43.091999999999999</v>
          </cell>
          <cell r="CX159">
            <v>0</v>
          </cell>
          <cell r="CY159">
            <v>20</v>
          </cell>
          <cell r="CZ159">
            <v>8.254999999999999</v>
          </cell>
          <cell r="DA159">
            <v>41.274999999999991</v>
          </cell>
          <cell r="DF159">
            <v>0</v>
          </cell>
          <cell r="DG159">
            <v>30</v>
          </cell>
          <cell r="DH159">
            <v>12.559000000000001</v>
          </cell>
          <cell r="DI159">
            <v>41.863333333333337</v>
          </cell>
          <cell r="DN159">
            <v>0</v>
          </cell>
          <cell r="DO159">
            <v>30</v>
          </cell>
          <cell r="DP159">
            <v>12.948</v>
          </cell>
          <cell r="DQ159">
            <v>43.160000000000004</v>
          </cell>
          <cell r="DV159">
            <v>0</v>
          </cell>
          <cell r="DW159">
            <v>20</v>
          </cell>
          <cell r="DX159">
            <v>8.5980000000000008</v>
          </cell>
          <cell r="DY159">
            <v>42.990000000000009</v>
          </cell>
        </row>
        <row r="160">
          <cell r="F160">
            <v>456</v>
          </cell>
          <cell r="G160">
            <v>9388</v>
          </cell>
          <cell r="H160">
            <v>2886.9169999999999</v>
          </cell>
          <cell r="I160">
            <v>30.751139752876011</v>
          </cell>
          <cell r="N160">
            <v>32</v>
          </cell>
          <cell r="O160">
            <v>669</v>
          </cell>
          <cell r="P160">
            <v>199.03799999999998</v>
          </cell>
          <cell r="T160">
            <v>30</v>
          </cell>
          <cell r="U160">
            <v>631</v>
          </cell>
          <cell r="V160">
            <v>181.80099999999999</v>
          </cell>
          <cell r="Z160">
            <v>40</v>
          </cell>
          <cell r="AA160">
            <v>826</v>
          </cell>
          <cell r="AB160">
            <v>236.72000000000003</v>
          </cell>
          <cell r="AF160">
            <v>42</v>
          </cell>
          <cell r="AG160">
            <v>864</v>
          </cell>
          <cell r="AH160">
            <v>247.53200000000001</v>
          </cell>
          <cell r="AL160">
            <v>40</v>
          </cell>
          <cell r="AM160">
            <v>826</v>
          </cell>
          <cell r="AN160">
            <v>239.36299999999997</v>
          </cell>
          <cell r="AR160">
            <v>40</v>
          </cell>
          <cell r="AS160">
            <v>826</v>
          </cell>
          <cell r="AT160">
            <v>249.69499999999999</v>
          </cell>
          <cell r="AX160">
            <v>224</v>
          </cell>
          <cell r="AY160">
            <v>4642</v>
          </cell>
          <cell r="AZ160">
            <v>1354.1490000000001</v>
          </cell>
          <cell r="BA160">
            <v>29.17167169323568</v>
          </cell>
          <cell r="BF160">
            <v>42</v>
          </cell>
          <cell r="BG160">
            <v>876</v>
          </cell>
          <cell r="BH160">
            <v>273.23899999999998</v>
          </cell>
          <cell r="BL160">
            <v>44</v>
          </cell>
          <cell r="BM160">
            <v>914</v>
          </cell>
          <cell r="BN160">
            <v>294.41499999999996</v>
          </cell>
          <cell r="BR160">
            <v>42</v>
          </cell>
          <cell r="BS160">
            <v>864</v>
          </cell>
          <cell r="BT160">
            <v>280.50900000000001</v>
          </cell>
          <cell r="BX160">
            <v>40</v>
          </cell>
          <cell r="BY160">
            <v>814</v>
          </cell>
          <cell r="BZ160">
            <v>268.62</v>
          </cell>
          <cell r="CD160">
            <v>32</v>
          </cell>
          <cell r="CE160">
            <v>645</v>
          </cell>
          <cell r="CF160">
            <v>209.06700000000001</v>
          </cell>
          <cell r="CJ160">
            <v>32</v>
          </cell>
          <cell r="CK160">
            <v>633</v>
          </cell>
          <cell r="CL160">
            <v>206.91799999999998</v>
          </cell>
          <cell r="CP160">
            <v>232</v>
          </cell>
          <cell r="CQ160">
            <v>4746</v>
          </cell>
          <cell r="CR160">
            <v>1532.768</v>
          </cell>
          <cell r="CS160">
            <v>32.295996628739992</v>
          </cell>
          <cell r="CX160">
            <v>102</v>
          </cell>
          <cell r="CY160">
            <v>2126</v>
          </cell>
          <cell r="CZ160">
            <v>617.55900000000008</v>
          </cell>
          <cell r="DA160">
            <v>29.047930385700848</v>
          </cell>
          <cell r="DF160">
            <v>122</v>
          </cell>
          <cell r="DG160">
            <v>2516</v>
          </cell>
          <cell r="DH160">
            <v>736.58999999999992</v>
          </cell>
          <cell r="DI160">
            <v>29.276232114467405</v>
          </cell>
          <cell r="DN160">
            <v>128</v>
          </cell>
          <cell r="DO160">
            <v>2654</v>
          </cell>
          <cell r="DP160">
            <v>848.1629999999999</v>
          </cell>
          <cell r="DQ160">
            <v>31.957912584777691</v>
          </cell>
          <cell r="DV160">
            <v>104</v>
          </cell>
          <cell r="DW160">
            <v>2092</v>
          </cell>
          <cell r="DX160">
            <v>684.60500000000002</v>
          </cell>
          <cell r="DY160">
            <v>32.724904397705544</v>
          </cell>
        </row>
        <row r="161">
          <cell r="F161">
            <v>2500</v>
          </cell>
          <cell r="G161">
            <v>400</v>
          </cell>
          <cell r="H161">
            <v>156.57300000000001</v>
          </cell>
          <cell r="I161">
            <v>39.143250000000002</v>
          </cell>
          <cell r="N161">
            <v>150</v>
          </cell>
          <cell r="O161">
            <v>24</v>
          </cell>
          <cell r="P161">
            <v>2.0089999999999999</v>
          </cell>
          <cell r="T161">
            <v>150</v>
          </cell>
          <cell r="U161">
            <v>24</v>
          </cell>
          <cell r="V161">
            <v>3.3639999999999999</v>
          </cell>
          <cell r="Z161">
            <v>200</v>
          </cell>
          <cell r="AA161">
            <v>32</v>
          </cell>
          <cell r="AB161">
            <v>7.68</v>
          </cell>
          <cell r="AF161">
            <v>200</v>
          </cell>
          <cell r="AG161">
            <v>32</v>
          </cell>
          <cell r="AH161">
            <v>9.7089999999999996</v>
          </cell>
          <cell r="AL161">
            <v>200</v>
          </cell>
          <cell r="AM161">
            <v>32</v>
          </cell>
          <cell r="AN161">
            <v>11.867000000000001</v>
          </cell>
          <cell r="AR161">
            <v>200</v>
          </cell>
          <cell r="AS161">
            <v>32</v>
          </cell>
          <cell r="AT161">
            <v>13.491</v>
          </cell>
          <cell r="AX161">
            <v>1100</v>
          </cell>
          <cell r="AY161">
            <v>176</v>
          </cell>
          <cell r="AZ161">
            <v>48.12</v>
          </cell>
          <cell r="BA161">
            <v>27.340909090909086</v>
          </cell>
          <cell r="BF161">
            <v>300</v>
          </cell>
          <cell r="BG161">
            <v>48</v>
          </cell>
          <cell r="BH161">
            <v>21.582999999999998</v>
          </cell>
          <cell r="BL161">
            <v>200</v>
          </cell>
          <cell r="BM161">
            <v>32</v>
          </cell>
          <cell r="BN161">
            <v>14.843999999999999</v>
          </cell>
          <cell r="BR161">
            <v>200</v>
          </cell>
          <cell r="BS161">
            <v>32</v>
          </cell>
          <cell r="BT161">
            <v>15.617000000000001</v>
          </cell>
          <cell r="BX161">
            <v>300</v>
          </cell>
          <cell r="BY161">
            <v>48</v>
          </cell>
          <cell r="BZ161">
            <v>23.943000000000001</v>
          </cell>
          <cell r="CD161">
            <v>250</v>
          </cell>
          <cell r="CE161">
            <v>40</v>
          </cell>
          <cell r="CF161">
            <v>20.173999999999999</v>
          </cell>
          <cell r="CJ161">
            <v>150</v>
          </cell>
          <cell r="CK161">
            <v>24</v>
          </cell>
          <cell r="CL161">
            <v>12.292</v>
          </cell>
          <cell r="CP161">
            <v>1400</v>
          </cell>
          <cell r="CQ161">
            <v>224</v>
          </cell>
          <cell r="CR161">
            <v>108.453</v>
          </cell>
          <cell r="CS161">
            <v>48.416517857142857</v>
          </cell>
          <cell r="CX161">
            <v>500</v>
          </cell>
          <cell r="CY161">
            <v>80</v>
          </cell>
          <cell r="CZ161">
            <v>13.052999999999999</v>
          </cell>
          <cell r="DA161">
            <v>16.31625</v>
          </cell>
          <cell r="DF161">
            <v>600</v>
          </cell>
          <cell r="DG161">
            <v>96</v>
          </cell>
          <cell r="DH161">
            <v>35.067</v>
          </cell>
          <cell r="DI161">
            <v>36.528125000000003</v>
          </cell>
          <cell r="DN161">
            <v>700</v>
          </cell>
          <cell r="DO161">
            <v>112</v>
          </cell>
          <cell r="DP161">
            <v>52.043999999999997</v>
          </cell>
          <cell r="DQ161">
            <v>46.467857142857142</v>
          </cell>
          <cell r="DV161">
            <v>700</v>
          </cell>
          <cell r="DW161">
            <v>112</v>
          </cell>
          <cell r="DX161">
            <v>56.409000000000006</v>
          </cell>
          <cell r="DY161">
            <v>50.365178571428579</v>
          </cell>
        </row>
        <row r="162">
          <cell r="F162">
            <v>0</v>
          </cell>
          <cell r="G162">
            <v>0</v>
          </cell>
          <cell r="H162">
            <v>0</v>
          </cell>
          <cell r="I162">
            <v>0</v>
          </cell>
          <cell r="N162">
            <v>0</v>
          </cell>
          <cell r="O162">
            <v>0</v>
          </cell>
          <cell r="T162">
            <v>0</v>
          </cell>
          <cell r="U162">
            <v>0</v>
          </cell>
          <cell r="Z162">
            <v>0</v>
          </cell>
          <cell r="AA162">
            <v>0</v>
          </cell>
          <cell r="AF162">
            <v>0</v>
          </cell>
          <cell r="AG162">
            <v>0</v>
          </cell>
          <cell r="AL162">
            <v>0</v>
          </cell>
          <cell r="AM162">
            <v>0</v>
          </cell>
          <cell r="AR162">
            <v>0</v>
          </cell>
          <cell r="AS162">
            <v>0</v>
          </cell>
          <cell r="AX162">
            <v>0</v>
          </cell>
          <cell r="AY162">
            <v>0</v>
          </cell>
          <cell r="AZ162">
            <v>0</v>
          </cell>
          <cell r="BA162">
            <v>0</v>
          </cell>
          <cell r="BF162">
            <v>0</v>
          </cell>
          <cell r="BG162">
            <v>0</v>
          </cell>
          <cell r="BL162">
            <v>0</v>
          </cell>
          <cell r="BM162">
            <v>0</v>
          </cell>
          <cell r="BR162">
            <v>0</v>
          </cell>
          <cell r="BS162">
            <v>0</v>
          </cell>
          <cell r="BX162">
            <v>0</v>
          </cell>
          <cell r="BY162">
            <v>0</v>
          </cell>
          <cell r="CD162">
            <v>0</v>
          </cell>
          <cell r="CE162">
            <v>0</v>
          </cell>
          <cell r="CJ162">
            <v>0</v>
          </cell>
          <cell r="CK162">
            <v>0</v>
          </cell>
          <cell r="CP162">
            <v>0</v>
          </cell>
          <cell r="CQ162">
            <v>0</v>
          </cell>
          <cell r="CR162">
            <v>0</v>
          </cell>
          <cell r="CS162">
            <v>0</v>
          </cell>
          <cell r="CX162">
            <v>0</v>
          </cell>
          <cell r="CY162">
            <v>0</v>
          </cell>
          <cell r="CZ162">
            <v>0</v>
          </cell>
          <cell r="DA162">
            <v>0</v>
          </cell>
          <cell r="DF162">
            <v>0</v>
          </cell>
          <cell r="DG162">
            <v>0</v>
          </cell>
          <cell r="DH162">
            <v>0</v>
          </cell>
          <cell r="DI162">
            <v>0</v>
          </cell>
          <cell r="DN162">
            <v>0</v>
          </cell>
          <cell r="DO162">
            <v>0</v>
          </cell>
          <cell r="DP162">
            <v>0</v>
          </cell>
          <cell r="DQ162">
            <v>0</v>
          </cell>
          <cell r="DV162">
            <v>0</v>
          </cell>
          <cell r="DW162">
            <v>0</v>
          </cell>
          <cell r="DX162">
            <v>0</v>
          </cell>
          <cell r="DY162">
            <v>0</v>
          </cell>
        </row>
        <row r="163">
          <cell r="F163">
            <v>0</v>
          </cell>
          <cell r="G163">
            <v>0</v>
          </cell>
          <cell r="H163">
            <v>0</v>
          </cell>
          <cell r="I163">
            <v>0</v>
          </cell>
          <cell r="N163">
            <v>0</v>
          </cell>
          <cell r="O163">
            <v>0</v>
          </cell>
          <cell r="T163">
            <v>0</v>
          </cell>
          <cell r="U163">
            <v>0</v>
          </cell>
          <cell r="Z163">
            <v>0</v>
          </cell>
          <cell r="AA163">
            <v>0</v>
          </cell>
          <cell r="AF163">
            <v>0</v>
          </cell>
          <cell r="AG163">
            <v>0</v>
          </cell>
          <cell r="AL163">
            <v>0</v>
          </cell>
          <cell r="AM163">
            <v>0</v>
          </cell>
          <cell r="AR163">
            <v>0</v>
          </cell>
          <cell r="AS163">
            <v>0</v>
          </cell>
          <cell r="AX163">
            <v>0</v>
          </cell>
          <cell r="AY163">
            <v>0</v>
          </cell>
          <cell r="AZ163">
            <v>0</v>
          </cell>
          <cell r="BA163">
            <v>0</v>
          </cell>
          <cell r="BF163">
            <v>0</v>
          </cell>
          <cell r="BG163">
            <v>0</v>
          </cell>
          <cell r="BL163">
            <v>0</v>
          </cell>
          <cell r="BM163">
            <v>0</v>
          </cell>
          <cell r="BR163">
            <v>0</v>
          </cell>
          <cell r="BS163">
            <v>0</v>
          </cell>
          <cell r="BX163">
            <v>0</v>
          </cell>
          <cell r="BY163">
            <v>0</v>
          </cell>
          <cell r="CD163">
            <v>0</v>
          </cell>
          <cell r="CE163">
            <v>0</v>
          </cell>
          <cell r="CJ163">
            <v>0</v>
          </cell>
          <cell r="CK163">
            <v>0</v>
          </cell>
          <cell r="CP163">
            <v>0</v>
          </cell>
          <cell r="CQ163">
            <v>0</v>
          </cell>
          <cell r="CR163">
            <v>0</v>
          </cell>
          <cell r="CS163">
            <v>0</v>
          </cell>
          <cell r="CX163">
            <v>0</v>
          </cell>
          <cell r="CY163">
            <v>0</v>
          </cell>
          <cell r="CZ163">
            <v>0</v>
          </cell>
          <cell r="DA163">
            <v>0</v>
          </cell>
          <cell r="DF163">
            <v>0</v>
          </cell>
          <cell r="DG163">
            <v>0</v>
          </cell>
          <cell r="DH163">
            <v>0</v>
          </cell>
          <cell r="DI163">
            <v>0</v>
          </cell>
          <cell r="DN163">
            <v>0</v>
          </cell>
          <cell r="DO163">
            <v>0</v>
          </cell>
          <cell r="DP163">
            <v>0</v>
          </cell>
          <cell r="DQ163">
            <v>0</v>
          </cell>
          <cell r="DV163">
            <v>0</v>
          </cell>
          <cell r="DW163">
            <v>0</v>
          </cell>
          <cell r="DX163">
            <v>0</v>
          </cell>
          <cell r="DY163">
            <v>0</v>
          </cell>
        </row>
        <row r="164">
          <cell r="F164">
            <v>0</v>
          </cell>
          <cell r="G164">
            <v>0</v>
          </cell>
          <cell r="H164">
            <v>0</v>
          </cell>
          <cell r="I164">
            <v>0</v>
          </cell>
          <cell r="N164">
            <v>0</v>
          </cell>
          <cell r="O164">
            <v>0</v>
          </cell>
          <cell r="T164">
            <v>0</v>
          </cell>
          <cell r="U164">
            <v>0</v>
          </cell>
          <cell r="Z164">
            <v>0</v>
          </cell>
          <cell r="AA164">
            <v>0</v>
          </cell>
          <cell r="AF164">
            <v>0</v>
          </cell>
          <cell r="AG164">
            <v>0</v>
          </cell>
          <cell r="AL164">
            <v>0</v>
          </cell>
          <cell r="AM164">
            <v>0</v>
          </cell>
          <cell r="AR164">
            <v>0</v>
          </cell>
          <cell r="AS164">
            <v>0</v>
          </cell>
          <cell r="AX164">
            <v>0</v>
          </cell>
          <cell r="AY164">
            <v>0</v>
          </cell>
          <cell r="AZ164">
            <v>0</v>
          </cell>
          <cell r="BA164">
            <v>0</v>
          </cell>
          <cell r="BF164">
            <v>0</v>
          </cell>
          <cell r="BG164">
            <v>0</v>
          </cell>
          <cell r="BL164">
            <v>0</v>
          </cell>
          <cell r="BM164">
            <v>0</v>
          </cell>
          <cell r="BR164">
            <v>0</v>
          </cell>
          <cell r="BS164">
            <v>0</v>
          </cell>
          <cell r="BX164">
            <v>0</v>
          </cell>
          <cell r="BY164">
            <v>0</v>
          </cell>
          <cell r="CD164">
            <v>0</v>
          </cell>
          <cell r="CE164">
            <v>0</v>
          </cell>
          <cell r="CJ164">
            <v>0</v>
          </cell>
          <cell r="CK164">
            <v>0</v>
          </cell>
          <cell r="CP164">
            <v>0</v>
          </cell>
          <cell r="CQ164">
            <v>0</v>
          </cell>
          <cell r="CR164">
            <v>0</v>
          </cell>
          <cell r="CS164">
            <v>0</v>
          </cell>
          <cell r="CX164">
            <v>0</v>
          </cell>
          <cell r="CY164">
            <v>0</v>
          </cell>
          <cell r="CZ164">
            <v>0</v>
          </cell>
          <cell r="DA164">
            <v>0</v>
          </cell>
          <cell r="DF164">
            <v>0</v>
          </cell>
          <cell r="DG164">
            <v>0</v>
          </cell>
          <cell r="DH164">
            <v>0</v>
          </cell>
          <cell r="DI164">
            <v>0</v>
          </cell>
          <cell r="DN164">
            <v>0</v>
          </cell>
          <cell r="DO164">
            <v>0</v>
          </cell>
          <cell r="DP164">
            <v>0</v>
          </cell>
          <cell r="DQ164">
            <v>0</v>
          </cell>
          <cell r="DV164">
            <v>0</v>
          </cell>
          <cell r="DW164">
            <v>0</v>
          </cell>
          <cell r="DX164">
            <v>0</v>
          </cell>
          <cell r="DY164">
            <v>0</v>
          </cell>
        </row>
        <row r="165">
          <cell r="F165">
            <v>0</v>
          </cell>
          <cell r="G165">
            <v>0</v>
          </cell>
          <cell r="H165">
            <v>0</v>
          </cell>
          <cell r="I165">
            <v>0</v>
          </cell>
          <cell r="N165">
            <v>0</v>
          </cell>
          <cell r="O165">
            <v>0</v>
          </cell>
          <cell r="T165">
            <v>0</v>
          </cell>
          <cell r="U165">
            <v>0</v>
          </cell>
          <cell r="Z165">
            <v>0</v>
          </cell>
          <cell r="AA165">
            <v>0</v>
          </cell>
          <cell r="AF165">
            <v>0</v>
          </cell>
          <cell r="AG165">
            <v>0</v>
          </cell>
          <cell r="AL165">
            <v>0</v>
          </cell>
          <cell r="AM165">
            <v>0</v>
          </cell>
          <cell r="AR165">
            <v>0</v>
          </cell>
          <cell r="AS165">
            <v>0</v>
          </cell>
          <cell r="AX165">
            <v>0</v>
          </cell>
          <cell r="AY165">
            <v>0</v>
          </cell>
          <cell r="AZ165">
            <v>0</v>
          </cell>
          <cell r="BA165">
            <v>0</v>
          </cell>
          <cell r="BF165">
            <v>0</v>
          </cell>
          <cell r="BG165">
            <v>0</v>
          </cell>
          <cell r="BL165">
            <v>0</v>
          </cell>
          <cell r="BM165">
            <v>0</v>
          </cell>
          <cell r="BR165">
            <v>0</v>
          </cell>
          <cell r="BS165">
            <v>0</v>
          </cell>
          <cell r="BX165">
            <v>0</v>
          </cell>
          <cell r="BY165">
            <v>0</v>
          </cell>
          <cell r="CD165">
            <v>0</v>
          </cell>
          <cell r="CE165">
            <v>0</v>
          </cell>
          <cell r="CJ165">
            <v>0</v>
          </cell>
          <cell r="CK165">
            <v>0</v>
          </cell>
          <cell r="CP165">
            <v>0</v>
          </cell>
          <cell r="CQ165">
            <v>0</v>
          </cell>
          <cell r="CR165">
            <v>0</v>
          </cell>
          <cell r="CS165">
            <v>0</v>
          </cell>
          <cell r="CX165">
            <v>0</v>
          </cell>
          <cell r="CY165">
            <v>0</v>
          </cell>
          <cell r="CZ165">
            <v>0</v>
          </cell>
          <cell r="DA165">
            <v>0</v>
          </cell>
          <cell r="DF165">
            <v>0</v>
          </cell>
          <cell r="DG165">
            <v>0</v>
          </cell>
          <cell r="DH165">
            <v>0</v>
          </cell>
          <cell r="DI165">
            <v>0</v>
          </cell>
          <cell r="DN165">
            <v>0</v>
          </cell>
          <cell r="DO165">
            <v>0</v>
          </cell>
          <cell r="DP165">
            <v>0</v>
          </cell>
          <cell r="DQ165">
            <v>0</v>
          </cell>
          <cell r="DV165">
            <v>0</v>
          </cell>
          <cell r="DW165">
            <v>0</v>
          </cell>
          <cell r="DX165">
            <v>0</v>
          </cell>
          <cell r="DY165">
            <v>0</v>
          </cell>
        </row>
        <row r="166">
          <cell r="F166">
            <v>0</v>
          </cell>
          <cell r="G166">
            <v>0</v>
          </cell>
          <cell r="H166">
            <v>0</v>
          </cell>
          <cell r="I166">
            <v>0</v>
          </cell>
          <cell r="N166">
            <v>0</v>
          </cell>
          <cell r="O166">
            <v>0</v>
          </cell>
          <cell r="T166">
            <v>0</v>
          </cell>
          <cell r="U166">
            <v>0</v>
          </cell>
          <cell r="Z166">
            <v>0</v>
          </cell>
          <cell r="AA166">
            <v>0</v>
          </cell>
          <cell r="AF166">
            <v>0</v>
          </cell>
          <cell r="AG166">
            <v>0</v>
          </cell>
          <cell r="AL166">
            <v>0</v>
          </cell>
          <cell r="AM166">
            <v>0</v>
          </cell>
          <cell r="AR166">
            <v>0</v>
          </cell>
          <cell r="AS166">
            <v>0</v>
          </cell>
          <cell r="AX166">
            <v>0</v>
          </cell>
          <cell r="AY166">
            <v>0</v>
          </cell>
          <cell r="AZ166">
            <v>0</v>
          </cell>
          <cell r="BA166">
            <v>0</v>
          </cell>
          <cell r="BF166">
            <v>0</v>
          </cell>
          <cell r="BG166">
            <v>0</v>
          </cell>
          <cell r="BL166">
            <v>0</v>
          </cell>
          <cell r="BM166">
            <v>0</v>
          </cell>
          <cell r="BR166">
            <v>0</v>
          </cell>
          <cell r="BS166">
            <v>0</v>
          </cell>
          <cell r="BX166">
            <v>0</v>
          </cell>
          <cell r="BY166">
            <v>0</v>
          </cell>
          <cell r="CD166">
            <v>0</v>
          </cell>
          <cell r="CE166">
            <v>0</v>
          </cell>
          <cell r="CJ166">
            <v>0</v>
          </cell>
          <cell r="CK166">
            <v>0</v>
          </cell>
          <cell r="CP166">
            <v>0</v>
          </cell>
          <cell r="CQ166">
            <v>0</v>
          </cell>
          <cell r="CR166">
            <v>0</v>
          </cell>
          <cell r="CS166">
            <v>0</v>
          </cell>
          <cell r="CX166">
            <v>0</v>
          </cell>
          <cell r="CY166">
            <v>0</v>
          </cell>
          <cell r="CZ166">
            <v>0</v>
          </cell>
          <cell r="DA166">
            <v>0</v>
          </cell>
          <cell r="DF166">
            <v>0</v>
          </cell>
          <cell r="DG166">
            <v>0</v>
          </cell>
          <cell r="DH166">
            <v>0</v>
          </cell>
          <cell r="DI166">
            <v>0</v>
          </cell>
          <cell r="DN166">
            <v>0</v>
          </cell>
          <cell r="DO166">
            <v>0</v>
          </cell>
          <cell r="DP166">
            <v>0</v>
          </cell>
          <cell r="DQ166">
            <v>0</v>
          </cell>
          <cell r="DV166">
            <v>0</v>
          </cell>
          <cell r="DW166">
            <v>0</v>
          </cell>
          <cell r="DX166">
            <v>0</v>
          </cell>
          <cell r="DY166">
            <v>0</v>
          </cell>
        </row>
        <row r="167">
          <cell r="F167">
            <v>0</v>
          </cell>
          <cell r="G167">
            <v>0</v>
          </cell>
          <cell r="H167">
            <v>0</v>
          </cell>
          <cell r="I167">
            <v>0</v>
          </cell>
          <cell r="N167">
            <v>0</v>
          </cell>
          <cell r="O167">
            <v>0</v>
          </cell>
          <cell r="T167">
            <v>0</v>
          </cell>
          <cell r="U167">
            <v>0</v>
          </cell>
          <cell r="Z167">
            <v>0</v>
          </cell>
          <cell r="AA167">
            <v>0</v>
          </cell>
          <cell r="AF167">
            <v>0</v>
          </cell>
          <cell r="AG167">
            <v>0</v>
          </cell>
          <cell r="AL167">
            <v>0</v>
          </cell>
          <cell r="AM167">
            <v>0</v>
          </cell>
          <cell r="AR167">
            <v>0</v>
          </cell>
          <cell r="AS167">
            <v>0</v>
          </cell>
          <cell r="AX167">
            <v>0</v>
          </cell>
          <cell r="AY167">
            <v>0</v>
          </cell>
          <cell r="AZ167">
            <v>0</v>
          </cell>
          <cell r="BA167">
            <v>0</v>
          </cell>
          <cell r="BF167">
            <v>0</v>
          </cell>
          <cell r="BG167">
            <v>0</v>
          </cell>
          <cell r="BL167">
            <v>0</v>
          </cell>
          <cell r="BM167">
            <v>0</v>
          </cell>
          <cell r="BR167">
            <v>0</v>
          </cell>
          <cell r="BS167">
            <v>0</v>
          </cell>
          <cell r="BX167">
            <v>0</v>
          </cell>
          <cell r="BY167">
            <v>0</v>
          </cell>
          <cell r="CD167">
            <v>0</v>
          </cell>
          <cell r="CE167">
            <v>0</v>
          </cell>
          <cell r="CJ167">
            <v>0</v>
          </cell>
          <cell r="CK167">
            <v>0</v>
          </cell>
          <cell r="CP167">
            <v>0</v>
          </cell>
          <cell r="CQ167">
            <v>0</v>
          </cell>
          <cell r="CR167">
            <v>0</v>
          </cell>
          <cell r="CS167">
            <v>0</v>
          </cell>
          <cell r="CX167">
            <v>0</v>
          </cell>
          <cell r="CY167">
            <v>0</v>
          </cell>
          <cell r="CZ167">
            <v>0</v>
          </cell>
          <cell r="DA167">
            <v>0</v>
          </cell>
          <cell r="DF167">
            <v>0</v>
          </cell>
          <cell r="DG167">
            <v>0</v>
          </cell>
          <cell r="DH167">
            <v>0</v>
          </cell>
          <cell r="DI167">
            <v>0</v>
          </cell>
          <cell r="DN167">
            <v>0</v>
          </cell>
          <cell r="DO167">
            <v>0</v>
          </cell>
          <cell r="DP167">
            <v>0</v>
          </cell>
          <cell r="DQ167">
            <v>0</v>
          </cell>
          <cell r="DV167">
            <v>0</v>
          </cell>
          <cell r="DW167">
            <v>0</v>
          </cell>
          <cell r="DX167">
            <v>0</v>
          </cell>
          <cell r="DY167">
            <v>0</v>
          </cell>
        </row>
        <row r="168">
          <cell r="F168">
            <v>4500</v>
          </cell>
          <cell r="G168">
            <v>362</v>
          </cell>
          <cell r="H168">
            <v>108.08</v>
          </cell>
          <cell r="I168">
            <v>29.856353591160222</v>
          </cell>
          <cell r="N168">
            <v>300</v>
          </cell>
          <cell r="O168">
            <v>24</v>
          </cell>
          <cell r="P168">
            <v>-2.8580000000000001</v>
          </cell>
          <cell r="T168">
            <v>300</v>
          </cell>
          <cell r="U168">
            <v>24</v>
          </cell>
          <cell r="V168">
            <v>1.5820000000000001</v>
          </cell>
          <cell r="Z168">
            <v>350</v>
          </cell>
          <cell r="AA168">
            <v>28</v>
          </cell>
          <cell r="AB168">
            <v>4.8719999999999999</v>
          </cell>
          <cell r="AF168">
            <v>350</v>
          </cell>
          <cell r="AG168">
            <v>28</v>
          </cell>
          <cell r="AH168">
            <v>6.657</v>
          </cell>
          <cell r="AL168">
            <v>400</v>
          </cell>
          <cell r="AM168">
            <v>32</v>
          </cell>
          <cell r="AN168">
            <v>9.5220000000000002</v>
          </cell>
          <cell r="AR168">
            <v>400</v>
          </cell>
          <cell r="AS168">
            <v>32</v>
          </cell>
          <cell r="AT168">
            <v>10.752000000000001</v>
          </cell>
          <cell r="AX168">
            <v>2100</v>
          </cell>
          <cell r="AY168">
            <v>168</v>
          </cell>
          <cell r="AZ168">
            <v>30.526999999999997</v>
          </cell>
          <cell r="BA168">
            <v>18.170833333333331</v>
          </cell>
          <cell r="BF168">
            <v>420</v>
          </cell>
          <cell r="BG168">
            <v>34</v>
          </cell>
          <cell r="BH168">
            <v>12.677</v>
          </cell>
          <cell r="BL168">
            <v>370</v>
          </cell>
          <cell r="BM168">
            <v>30</v>
          </cell>
          <cell r="BN168">
            <v>11.519</v>
          </cell>
          <cell r="BR168">
            <v>370</v>
          </cell>
          <cell r="BS168">
            <v>30</v>
          </cell>
          <cell r="BT168">
            <v>12.096</v>
          </cell>
          <cell r="BX168">
            <v>470</v>
          </cell>
          <cell r="BY168">
            <v>38</v>
          </cell>
          <cell r="BZ168">
            <v>15.557</v>
          </cell>
          <cell r="CD168">
            <v>420</v>
          </cell>
          <cell r="CE168">
            <v>34</v>
          </cell>
          <cell r="CF168">
            <v>14.108000000000001</v>
          </cell>
          <cell r="CJ168">
            <v>350</v>
          </cell>
          <cell r="CK168">
            <v>28</v>
          </cell>
          <cell r="CL168">
            <v>11.596</v>
          </cell>
          <cell r="CP168">
            <v>2400</v>
          </cell>
          <cell r="CQ168">
            <v>194</v>
          </cell>
          <cell r="CR168">
            <v>77.552999999999997</v>
          </cell>
          <cell r="CS168">
            <v>39.975773195876286</v>
          </cell>
          <cell r="CX168">
            <v>950</v>
          </cell>
          <cell r="CY168">
            <v>76</v>
          </cell>
          <cell r="CZ168">
            <v>3.5960000000000001</v>
          </cell>
          <cell r="DA168">
            <v>4.7315789473684218</v>
          </cell>
          <cell r="DF168">
            <v>1150</v>
          </cell>
          <cell r="DG168">
            <v>92</v>
          </cell>
          <cell r="DH168">
            <v>26.931000000000004</v>
          </cell>
          <cell r="DI168">
            <v>29.272826086956528</v>
          </cell>
          <cell r="DN168">
            <v>1160</v>
          </cell>
          <cell r="DO168">
            <v>94</v>
          </cell>
          <cell r="DP168">
            <v>36.292000000000002</v>
          </cell>
          <cell r="DQ168">
            <v>38.608510638297872</v>
          </cell>
          <cell r="DV168">
            <v>1240</v>
          </cell>
          <cell r="DW168">
            <v>100</v>
          </cell>
          <cell r="DX168">
            <v>41.260999999999996</v>
          </cell>
          <cell r="DY168">
            <v>41.260999999999996</v>
          </cell>
        </row>
        <row r="169">
          <cell r="F169">
            <v>1000</v>
          </cell>
          <cell r="G169">
            <v>152</v>
          </cell>
          <cell r="H169">
            <v>67.215000000000003</v>
          </cell>
          <cell r="I169">
            <v>44.220394736842103</v>
          </cell>
          <cell r="N169">
            <v>50</v>
          </cell>
          <cell r="O169">
            <v>8</v>
          </cell>
          <cell r="P169">
            <v>1.2769999999999999</v>
          </cell>
          <cell r="T169">
            <v>80</v>
          </cell>
          <cell r="U169">
            <v>12</v>
          </cell>
          <cell r="V169">
            <v>2.4830000000000001</v>
          </cell>
          <cell r="Z169">
            <v>90</v>
          </cell>
          <cell r="AA169">
            <v>14</v>
          </cell>
          <cell r="AB169">
            <v>5.0149999999999997</v>
          </cell>
          <cell r="AF169">
            <v>100</v>
          </cell>
          <cell r="AG169">
            <v>15</v>
          </cell>
          <cell r="AH169">
            <v>5.9349999999999996</v>
          </cell>
          <cell r="AL169">
            <v>100</v>
          </cell>
          <cell r="AM169">
            <v>15</v>
          </cell>
          <cell r="AN169">
            <v>6.7350000000000003</v>
          </cell>
          <cell r="AR169">
            <v>100</v>
          </cell>
          <cell r="AS169">
            <v>15</v>
          </cell>
          <cell r="AT169">
            <v>7.2590000000000003</v>
          </cell>
          <cell r="AX169">
            <v>520</v>
          </cell>
          <cell r="AY169">
            <v>79</v>
          </cell>
          <cell r="AZ169">
            <v>28.704000000000001</v>
          </cell>
          <cell r="BA169">
            <v>36.334177215189875</v>
          </cell>
          <cell r="BF169">
            <v>120</v>
          </cell>
          <cell r="BG169">
            <v>18</v>
          </cell>
          <cell r="BH169">
            <v>8.9749999999999996</v>
          </cell>
          <cell r="BL169">
            <v>60</v>
          </cell>
          <cell r="BM169">
            <v>9</v>
          </cell>
          <cell r="BN169">
            <v>4.5810000000000004</v>
          </cell>
          <cell r="BR169">
            <v>60</v>
          </cell>
          <cell r="BS169">
            <v>9</v>
          </cell>
          <cell r="BT169">
            <v>4.734</v>
          </cell>
          <cell r="BX169">
            <v>100</v>
          </cell>
          <cell r="BY169">
            <v>15</v>
          </cell>
          <cell r="BZ169">
            <v>7.9740000000000002</v>
          </cell>
          <cell r="CD169">
            <v>90</v>
          </cell>
          <cell r="CE169">
            <v>14</v>
          </cell>
          <cell r="CF169">
            <v>7.71</v>
          </cell>
          <cell r="CJ169">
            <v>50</v>
          </cell>
          <cell r="CK169">
            <v>8</v>
          </cell>
          <cell r="CL169">
            <v>4.5369999999999999</v>
          </cell>
          <cell r="CP169">
            <v>480</v>
          </cell>
          <cell r="CQ169">
            <v>73</v>
          </cell>
          <cell r="CR169">
            <v>38.510999999999996</v>
          </cell>
          <cell r="CS169">
            <v>52.754794520547946</v>
          </cell>
          <cell r="CX169">
            <v>220</v>
          </cell>
          <cell r="CY169">
            <v>34</v>
          </cell>
          <cell r="CZ169">
            <v>8.7749999999999986</v>
          </cell>
          <cell r="DA169">
            <v>25.808823529411761</v>
          </cell>
          <cell r="DF169">
            <v>300</v>
          </cell>
          <cell r="DG169">
            <v>45</v>
          </cell>
          <cell r="DH169">
            <v>19.929000000000002</v>
          </cell>
          <cell r="DI169">
            <v>44.286666666666669</v>
          </cell>
          <cell r="DN169">
            <v>240</v>
          </cell>
          <cell r="DO169">
            <v>36</v>
          </cell>
          <cell r="DP169">
            <v>18.29</v>
          </cell>
          <cell r="DQ169">
            <v>50.80555555555555</v>
          </cell>
          <cell r="DV169">
            <v>240</v>
          </cell>
          <cell r="DW169">
            <v>37</v>
          </cell>
          <cell r="DX169">
            <v>20.221</v>
          </cell>
          <cell r="DY169">
            <v>54.651351351351352</v>
          </cell>
        </row>
        <row r="170">
          <cell r="F170">
            <v>1000</v>
          </cell>
          <cell r="G170">
            <v>453</v>
          </cell>
          <cell r="H170">
            <v>278.44</v>
          </cell>
          <cell r="I170">
            <v>61.46578366445916</v>
          </cell>
          <cell r="N170">
            <v>50</v>
          </cell>
          <cell r="O170">
            <v>23</v>
          </cell>
          <cell r="P170">
            <v>0.23200000000000001</v>
          </cell>
          <cell r="T170">
            <v>70</v>
          </cell>
          <cell r="U170">
            <v>32</v>
          </cell>
          <cell r="V170">
            <v>11.78</v>
          </cell>
          <cell r="Z170">
            <v>90</v>
          </cell>
          <cell r="AA170">
            <v>41</v>
          </cell>
          <cell r="AB170">
            <v>21.295000000000002</v>
          </cell>
          <cell r="AF170">
            <v>100</v>
          </cell>
          <cell r="AG170">
            <v>45</v>
          </cell>
          <cell r="AH170">
            <v>27.097000000000001</v>
          </cell>
          <cell r="AL170">
            <v>100</v>
          </cell>
          <cell r="AM170">
            <v>45</v>
          </cell>
          <cell r="AN170">
            <v>29.405999999999999</v>
          </cell>
          <cell r="AR170">
            <v>100</v>
          </cell>
          <cell r="AS170">
            <v>45</v>
          </cell>
          <cell r="AT170">
            <v>30.568000000000001</v>
          </cell>
          <cell r="AX170">
            <v>510</v>
          </cell>
          <cell r="AY170">
            <v>231</v>
          </cell>
          <cell r="AZ170">
            <v>120.378</v>
          </cell>
          <cell r="BA170">
            <v>52.111688311688312</v>
          </cell>
          <cell r="BF170">
            <v>110</v>
          </cell>
          <cell r="BG170">
            <v>50</v>
          </cell>
          <cell r="BH170">
            <v>34.86</v>
          </cell>
          <cell r="BL170">
            <v>60</v>
          </cell>
          <cell r="BM170">
            <v>27</v>
          </cell>
          <cell r="BN170">
            <v>18.933</v>
          </cell>
          <cell r="BR170">
            <v>60</v>
          </cell>
          <cell r="BS170">
            <v>27</v>
          </cell>
          <cell r="BT170">
            <v>19.254999999999999</v>
          </cell>
          <cell r="BX170">
            <v>110</v>
          </cell>
          <cell r="BY170">
            <v>50</v>
          </cell>
          <cell r="BZ170">
            <v>35.96</v>
          </cell>
          <cell r="CD170">
            <v>90</v>
          </cell>
          <cell r="CE170">
            <v>41</v>
          </cell>
          <cell r="CF170">
            <v>29.591999999999999</v>
          </cell>
          <cell r="CJ170">
            <v>60</v>
          </cell>
          <cell r="CK170">
            <v>27</v>
          </cell>
          <cell r="CL170">
            <v>19.462</v>
          </cell>
          <cell r="CP170">
            <v>490</v>
          </cell>
          <cell r="CQ170">
            <v>222</v>
          </cell>
          <cell r="CR170">
            <v>158.06200000000001</v>
          </cell>
          <cell r="CS170">
            <v>71.199099099099101</v>
          </cell>
          <cell r="CX170">
            <v>210</v>
          </cell>
          <cell r="CY170">
            <v>96</v>
          </cell>
          <cell r="CZ170">
            <v>33.307000000000002</v>
          </cell>
          <cell r="DA170">
            <v>34.694791666666667</v>
          </cell>
          <cell r="DF170">
            <v>300</v>
          </cell>
          <cell r="DG170">
            <v>135</v>
          </cell>
          <cell r="DH170">
            <v>87.070999999999998</v>
          </cell>
          <cell r="DI170">
            <v>64.497037037037032</v>
          </cell>
          <cell r="DN170">
            <v>230</v>
          </cell>
          <cell r="DO170">
            <v>104</v>
          </cell>
          <cell r="DP170">
            <v>73.048000000000002</v>
          </cell>
          <cell r="DQ170">
            <v>70.238461538461536</v>
          </cell>
          <cell r="DV170">
            <v>260</v>
          </cell>
          <cell r="DW170">
            <v>118</v>
          </cell>
          <cell r="DX170">
            <v>85.013999999999996</v>
          </cell>
          <cell r="DY170">
            <v>72.045762711864398</v>
          </cell>
        </row>
        <row r="171">
          <cell r="F171">
            <v>500</v>
          </cell>
          <cell r="G171">
            <v>300</v>
          </cell>
          <cell r="H171">
            <v>140.85399999999998</v>
          </cell>
          <cell r="I171">
            <v>46.951333333333331</v>
          </cell>
          <cell r="N171">
            <v>0</v>
          </cell>
          <cell r="O171">
            <v>0</v>
          </cell>
          <cell r="P171">
            <v>0</v>
          </cell>
          <cell r="T171">
            <v>0</v>
          </cell>
          <cell r="U171">
            <v>0</v>
          </cell>
          <cell r="V171">
            <v>0</v>
          </cell>
          <cell r="Z171">
            <v>0</v>
          </cell>
          <cell r="AA171">
            <v>0</v>
          </cell>
          <cell r="AB171">
            <v>0</v>
          </cell>
          <cell r="AF171">
            <v>20</v>
          </cell>
          <cell r="AG171">
            <v>12</v>
          </cell>
          <cell r="AH171">
            <v>5.3150000000000004</v>
          </cell>
          <cell r="AL171">
            <v>30</v>
          </cell>
          <cell r="AM171">
            <v>18</v>
          </cell>
          <cell r="AN171">
            <v>8.2309999999999999</v>
          </cell>
          <cell r="AR171">
            <v>50</v>
          </cell>
          <cell r="AS171">
            <v>30</v>
          </cell>
          <cell r="AT171">
            <v>13.891</v>
          </cell>
          <cell r="AX171">
            <v>100</v>
          </cell>
          <cell r="AY171">
            <v>60</v>
          </cell>
          <cell r="AZ171">
            <v>27.437000000000001</v>
          </cell>
          <cell r="BA171">
            <v>45.728333333333339</v>
          </cell>
          <cell r="BF171">
            <v>80</v>
          </cell>
          <cell r="BG171">
            <v>48</v>
          </cell>
          <cell r="BH171">
            <v>22.431000000000001</v>
          </cell>
          <cell r="BL171">
            <v>50</v>
          </cell>
          <cell r="BM171">
            <v>30</v>
          </cell>
          <cell r="BN171">
            <v>14.045999999999999</v>
          </cell>
          <cell r="BR171">
            <v>60</v>
          </cell>
          <cell r="BS171">
            <v>36</v>
          </cell>
          <cell r="BT171">
            <v>17.015000000000001</v>
          </cell>
          <cell r="BX171">
            <v>90</v>
          </cell>
          <cell r="BY171">
            <v>54</v>
          </cell>
          <cell r="BZ171">
            <v>25.631</v>
          </cell>
          <cell r="CD171">
            <v>80</v>
          </cell>
          <cell r="CE171">
            <v>48</v>
          </cell>
          <cell r="CF171">
            <v>22.834</v>
          </cell>
          <cell r="CJ171">
            <v>40</v>
          </cell>
          <cell r="CK171">
            <v>24</v>
          </cell>
          <cell r="CL171">
            <v>11.46</v>
          </cell>
          <cell r="CP171">
            <v>400</v>
          </cell>
          <cell r="CQ171">
            <v>240</v>
          </cell>
          <cell r="CR171">
            <v>113.41699999999999</v>
          </cell>
          <cell r="CS171">
            <v>47.257083333333327</v>
          </cell>
          <cell r="CX171">
            <v>0</v>
          </cell>
          <cell r="CY171">
            <v>0</v>
          </cell>
          <cell r="CZ171">
            <v>0</v>
          </cell>
          <cell r="DA171">
            <v>0</v>
          </cell>
          <cell r="DF171">
            <v>100</v>
          </cell>
          <cell r="DG171">
            <v>60</v>
          </cell>
          <cell r="DH171">
            <v>27.436999999999998</v>
          </cell>
          <cell r="DI171">
            <v>45.728333333333332</v>
          </cell>
          <cell r="DN171">
            <v>190</v>
          </cell>
          <cell r="DO171">
            <v>114</v>
          </cell>
          <cell r="DP171">
            <v>53.492000000000004</v>
          </cell>
          <cell r="DQ171">
            <v>46.922807017543867</v>
          </cell>
          <cell r="DV171">
            <v>210</v>
          </cell>
          <cell r="DW171">
            <v>126</v>
          </cell>
          <cell r="DX171">
            <v>59.925000000000004</v>
          </cell>
          <cell r="DY171">
            <v>47.55952380952381</v>
          </cell>
        </row>
        <row r="172">
          <cell r="F172">
            <v>0</v>
          </cell>
          <cell r="G172">
            <v>0</v>
          </cell>
          <cell r="H172">
            <v>0</v>
          </cell>
          <cell r="I172">
            <v>0</v>
          </cell>
          <cell r="N172">
            <v>0</v>
          </cell>
          <cell r="O172">
            <v>0</v>
          </cell>
          <cell r="T172">
            <v>0</v>
          </cell>
          <cell r="U172">
            <v>0</v>
          </cell>
          <cell r="Z172">
            <v>0</v>
          </cell>
          <cell r="AA172">
            <v>0</v>
          </cell>
          <cell r="AF172">
            <v>0</v>
          </cell>
          <cell r="AG172">
            <v>0</v>
          </cell>
          <cell r="AL172">
            <v>0</v>
          </cell>
          <cell r="AM172">
            <v>0</v>
          </cell>
          <cell r="AR172">
            <v>0</v>
          </cell>
          <cell r="AS172">
            <v>0</v>
          </cell>
          <cell r="AX172">
            <v>0</v>
          </cell>
          <cell r="AY172">
            <v>0</v>
          </cell>
          <cell r="AZ172">
            <v>0</v>
          </cell>
          <cell r="BA172">
            <v>0</v>
          </cell>
          <cell r="BF172">
            <v>0</v>
          </cell>
          <cell r="BG172">
            <v>0</v>
          </cell>
          <cell r="BL172">
            <v>0</v>
          </cell>
          <cell r="BM172">
            <v>0</v>
          </cell>
          <cell r="BR172">
            <v>0</v>
          </cell>
          <cell r="BS172">
            <v>0</v>
          </cell>
          <cell r="BX172">
            <v>0</v>
          </cell>
          <cell r="BY172">
            <v>0</v>
          </cell>
          <cell r="CD172">
            <v>0</v>
          </cell>
          <cell r="CE172">
            <v>0</v>
          </cell>
          <cell r="CJ172">
            <v>0</v>
          </cell>
          <cell r="CK172">
            <v>0</v>
          </cell>
          <cell r="CP172">
            <v>0</v>
          </cell>
          <cell r="CQ172">
            <v>0</v>
          </cell>
          <cell r="CR172">
            <v>0</v>
          </cell>
          <cell r="CS172">
            <v>0</v>
          </cell>
          <cell r="CX172">
            <v>0</v>
          </cell>
          <cell r="CY172">
            <v>0</v>
          </cell>
          <cell r="CZ172">
            <v>0</v>
          </cell>
          <cell r="DA172">
            <v>0</v>
          </cell>
          <cell r="DF172">
            <v>0</v>
          </cell>
          <cell r="DG172">
            <v>0</v>
          </cell>
          <cell r="DH172">
            <v>0</v>
          </cell>
          <cell r="DI172">
            <v>0</v>
          </cell>
          <cell r="DN172">
            <v>0</v>
          </cell>
          <cell r="DO172">
            <v>0</v>
          </cell>
          <cell r="DP172">
            <v>0</v>
          </cell>
          <cell r="DQ172">
            <v>0</v>
          </cell>
          <cell r="DV172">
            <v>0</v>
          </cell>
          <cell r="DW172">
            <v>0</v>
          </cell>
          <cell r="DX172">
            <v>0</v>
          </cell>
          <cell r="DY172">
            <v>0</v>
          </cell>
        </row>
        <row r="173">
          <cell r="F173">
            <v>0</v>
          </cell>
          <cell r="G173">
            <v>0</v>
          </cell>
          <cell r="H173">
            <v>0</v>
          </cell>
          <cell r="I173">
            <v>0</v>
          </cell>
          <cell r="N173">
            <v>0</v>
          </cell>
          <cell r="O173">
            <v>0</v>
          </cell>
          <cell r="T173">
            <v>0</v>
          </cell>
          <cell r="U173">
            <v>0</v>
          </cell>
          <cell r="Z173">
            <v>0</v>
          </cell>
          <cell r="AA173">
            <v>0</v>
          </cell>
          <cell r="AF173">
            <v>0</v>
          </cell>
          <cell r="AG173">
            <v>0</v>
          </cell>
          <cell r="AL173">
            <v>0</v>
          </cell>
          <cell r="AM173">
            <v>0</v>
          </cell>
          <cell r="AR173">
            <v>0</v>
          </cell>
          <cell r="AS173">
            <v>0</v>
          </cell>
          <cell r="AX173">
            <v>0</v>
          </cell>
          <cell r="AY173">
            <v>0</v>
          </cell>
          <cell r="AZ173">
            <v>0</v>
          </cell>
          <cell r="BA173">
            <v>0</v>
          </cell>
          <cell r="BF173">
            <v>0</v>
          </cell>
          <cell r="BG173">
            <v>0</v>
          </cell>
          <cell r="BL173">
            <v>0</v>
          </cell>
          <cell r="BM173">
            <v>0</v>
          </cell>
          <cell r="BR173">
            <v>0</v>
          </cell>
          <cell r="BS173">
            <v>0</v>
          </cell>
          <cell r="BX173">
            <v>0</v>
          </cell>
          <cell r="BY173">
            <v>0</v>
          </cell>
          <cell r="CD173">
            <v>0</v>
          </cell>
          <cell r="CE173">
            <v>0</v>
          </cell>
          <cell r="CJ173">
            <v>0</v>
          </cell>
          <cell r="CK173">
            <v>0</v>
          </cell>
          <cell r="CP173">
            <v>0</v>
          </cell>
          <cell r="CQ173">
            <v>0</v>
          </cell>
          <cell r="CR173">
            <v>0</v>
          </cell>
          <cell r="CS173">
            <v>0</v>
          </cell>
          <cell r="CX173">
            <v>0</v>
          </cell>
          <cell r="CY173">
            <v>0</v>
          </cell>
          <cell r="CZ173">
            <v>0</v>
          </cell>
          <cell r="DA173">
            <v>0</v>
          </cell>
          <cell r="DF173">
            <v>0</v>
          </cell>
          <cell r="DG173">
            <v>0</v>
          </cell>
          <cell r="DH173">
            <v>0</v>
          </cell>
          <cell r="DI173">
            <v>0</v>
          </cell>
          <cell r="DN173">
            <v>0</v>
          </cell>
          <cell r="DO173">
            <v>0</v>
          </cell>
          <cell r="DP173">
            <v>0</v>
          </cell>
          <cell r="DQ173">
            <v>0</v>
          </cell>
          <cell r="DV173">
            <v>0</v>
          </cell>
          <cell r="DW173">
            <v>0</v>
          </cell>
          <cell r="DX173">
            <v>0</v>
          </cell>
          <cell r="DY173">
            <v>0</v>
          </cell>
        </row>
        <row r="174">
          <cell r="F174">
            <v>9500</v>
          </cell>
          <cell r="G174">
            <v>1667</v>
          </cell>
          <cell r="H174">
            <v>751.16200000000003</v>
          </cell>
          <cell r="I174">
            <v>45.060707858428316</v>
          </cell>
          <cell r="N174">
            <v>550</v>
          </cell>
          <cell r="O174">
            <v>79</v>
          </cell>
          <cell r="P174">
            <v>0.6599999999999997</v>
          </cell>
          <cell r="T174">
            <v>600</v>
          </cell>
          <cell r="U174">
            <v>92</v>
          </cell>
          <cell r="V174">
            <v>19.209</v>
          </cell>
          <cell r="Z174">
            <v>730</v>
          </cell>
          <cell r="AA174">
            <v>115</v>
          </cell>
          <cell r="AB174">
            <v>38.862000000000002</v>
          </cell>
          <cell r="AF174">
            <v>770</v>
          </cell>
          <cell r="AG174">
            <v>132</v>
          </cell>
          <cell r="AH174">
            <v>54.712999999999994</v>
          </cell>
          <cell r="AL174">
            <v>830</v>
          </cell>
          <cell r="AM174">
            <v>142</v>
          </cell>
          <cell r="AN174">
            <v>65.760999999999996</v>
          </cell>
          <cell r="AR174">
            <v>850</v>
          </cell>
          <cell r="AS174">
            <v>154</v>
          </cell>
          <cell r="AT174">
            <v>75.961000000000013</v>
          </cell>
          <cell r="AX174">
            <v>4330</v>
          </cell>
          <cell r="AY174">
            <v>714</v>
          </cell>
          <cell r="AZ174">
            <v>255.166</v>
          </cell>
          <cell r="BA174">
            <v>35.737535014005601</v>
          </cell>
          <cell r="BF174">
            <v>1030</v>
          </cell>
          <cell r="BG174">
            <v>198</v>
          </cell>
          <cell r="BH174">
            <v>100.526</v>
          </cell>
          <cell r="BL174">
            <v>740</v>
          </cell>
          <cell r="BM174">
            <v>128</v>
          </cell>
          <cell r="BN174">
            <v>63.922999999999995</v>
          </cell>
          <cell r="BR174">
            <v>750</v>
          </cell>
          <cell r="BS174">
            <v>134</v>
          </cell>
          <cell r="BT174">
            <v>68.716999999999999</v>
          </cell>
          <cell r="BX174">
            <v>1070</v>
          </cell>
          <cell r="BY174">
            <v>205</v>
          </cell>
          <cell r="BZ174">
            <v>109.065</v>
          </cell>
          <cell r="CD174">
            <v>930</v>
          </cell>
          <cell r="CE174">
            <v>177</v>
          </cell>
          <cell r="CF174">
            <v>94.418000000000006</v>
          </cell>
          <cell r="CJ174">
            <v>650</v>
          </cell>
          <cell r="CK174">
            <v>111</v>
          </cell>
          <cell r="CL174">
            <v>59.347000000000001</v>
          </cell>
          <cell r="CP174">
            <v>5170</v>
          </cell>
          <cell r="CQ174">
            <v>953</v>
          </cell>
          <cell r="CR174">
            <v>495.99599999999998</v>
          </cell>
          <cell r="CS174">
            <v>52.045750262329484</v>
          </cell>
          <cell r="CX174">
            <v>1880</v>
          </cell>
          <cell r="CY174">
            <v>286</v>
          </cell>
          <cell r="CZ174">
            <v>58.731000000000002</v>
          </cell>
          <cell r="DA174">
            <v>20.535314685314685</v>
          </cell>
          <cell r="DF174">
            <v>2450</v>
          </cell>
          <cell r="DG174">
            <v>428</v>
          </cell>
          <cell r="DH174">
            <v>196.435</v>
          </cell>
          <cell r="DI174">
            <v>45.896028037383182</v>
          </cell>
          <cell r="DN174">
            <v>2520</v>
          </cell>
          <cell r="DO174">
            <v>460</v>
          </cell>
          <cell r="DP174">
            <v>233.166</v>
          </cell>
          <cell r="DQ174">
            <v>50.688260869565212</v>
          </cell>
          <cell r="DV174">
            <v>2650</v>
          </cell>
          <cell r="DW174">
            <v>493</v>
          </cell>
          <cell r="DX174">
            <v>262.83</v>
          </cell>
          <cell r="DY174">
            <v>53.312373225152129</v>
          </cell>
        </row>
        <row r="175">
          <cell r="F175">
            <v>6000</v>
          </cell>
          <cell r="G175">
            <v>1920</v>
          </cell>
          <cell r="H175">
            <v>594.56900000000007</v>
          </cell>
          <cell r="I175">
            <v>30.967135416666668</v>
          </cell>
          <cell r="N175">
            <v>400</v>
          </cell>
          <cell r="O175">
            <v>128</v>
          </cell>
          <cell r="P175">
            <v>22.385999999999999</v>
          </cell>
          <cell r="T175">
            <v>400</v>
          </cell>
          <cell r="U175">
            <v>128</v>
          </cell>
          <cell r="V175">
            <v>20.143999999999998</v>
          </cell>
          <cell r="Z175">
            <v>500</v>
          </cell>
          <cell r="AA175">
            <v>160</v>
          </cell>
          <cell r="AB175">
            <v>32.790999999999997</v>
          </cell>
          <cell r="AF175">
            <v>500</v>
          </cell>
          <cell r="AG175">
            <v>160</v>
          </cell>
          <cell r="AH175">
            <v>39.252000000000002</v>
          </cell>
          <cell r="AL175">
            <v>500</v>
          </cell>
          <cell r="AM175">
            <v>160</v>
          </cell>
          <cell r="AN175">
            <v>47.521999999999998</v>
          </cell>
          <cell r="AR175">
            <v>500</v>
          </cell>
          <cell r="AS175">
            <v>160</v>
          </cell>
          <cell r="AT175">
            <v>52.423000000000002</v>
          </cell>
          <cell r="AX175">
            <v>2800</v>
          </cell>
          <cell r="AY175">
            <v>896</v>
          </cell>
          <cell r="AZ175">
            <v>214.518</v>
          </cell>
          <cell r="BA175">
            <v>23.94174107142857</v>
          </cell>
          <cell r="BF175">
            <v>550</v>
          </cell>
          <cell r="BG175">
            <v>176</v>
          </cell>
          <cell r="BH175">
            <v>62.182000000000002</v>
          </cell>
          <cell r="BL175">
            <v>550</v>
          </cell>
          <cell r="BM175">
            <v>176</v>
          </cell>
          <cell r="BN175">
            <v>62.744999999999997</v>
          </cell>
          <cell r="BR175">
            <v>550</v>
          </cell>
          <cell r="BS175">
            <v>176</v>
          </cell>
          <cell r="BT175">
            <v>65.385000000000005</v>
          </cell>
          <cell r="BX175">
            <v>550</v>
          </cell>
          <cell r="BY175">
            <v>176</v>
          </cell>
          <cell r="BZ175">
            <v>66.635999999999996</v>
          </cell>
          <cell r="CD175">
            <v>550</v>
          </cell>
          <cell r="CE175">
            <v>176</v>
          </cell>
          <cell r="CF175">
            <v>67.266000000000005</v>
          </cell>
          <cell r="CJ175">
            <v>450</v>
          </cell>
          <cell r="CK175">
            <v>144</v>
          </cell>
          <cell r="CL175">
            <v>55.837000000000003</v>
          </cell>
          <cell r="CP175">
            <v>3200</v>
          </cell>
          <cell r="CQ175">
            <v>1024</v>
          </cell>
          <cell r="CR175">
            <v>380.05100000000004</v>
          </cell>
          <cell r="CS175">
            <v>37.114355468750006</v>
          </cell>
          <cell r="CX175">
            <v>1300</v>
          </cell>
          <cell r="CY175">
            <v>416</v>
          </cell>
          <cell r="CZ175">
            <v>75.320999999999998</v>
          </cell>
          <cell r="DA175">
            <v>18.106009615384615</v>
          </cell>
          <cell r="DF175">
            <v>1500</v>
          </cell>
          <cell r="DG175">
            <v>480</v>
          </cell>
          <cell r="DH175">
            <v>139.197</v>
          </cell>
          <cell r="DI175">
            <v>28.999375000000001</v>
          </cell>
          <cell r="DN175">
            <v>1650</v>
          </cell>
          <cell r="DO175">
            <v>528</v>
          </cell>
          <cell r="DP175">
            <v>190.31200000000001</v>
          </cell>
          <cell r="DQ175">
            <v>36.043939393939397</v>
          </cell>
          <cell r="DV175">
            <v>1550</v>
          </cell>
          <cell r="DW175">
            <v>496</v>
          </cell>
          <cell r="DX175">
            <v>189.73899999999998</v>
          </cell>
          <cell r="DY175">
            <v>38.253830645161287</v>
          </cell>
        </row>
        <row r="176">
          <cell r="F176">
            <v>1000</v>
          </cell>
          <cell r="G176">
            <v>352</v>
          </cell>
          <cell r="H176">
            <v>172.124</v>
          </cell>
          <cell r="I176">
            <v>48.898863636363636</v>
          </cell>
          <cell r="N176">
            <v>50</v>
          </cell>
          <cell r="O176">
            <v>18</v>
          </cell>
          <cell r="P176">
            <v>9.9830000000000005</v>
          </cell>
          <cell r="T176">
            <v>70</v>
          </cell>
          <cell r="U176">
            <v>25</v>
          </cell>
          <cell r="V176">
            <v>13.775</v>
          </cell>
          <cell r="Z176">
            <v>100</v>
          </cell>
          <cell r="AA176">
            <v>35</v>
          </cell>
          <cell r="AB176">
            <v>18.963999999999999</v>
          </cell>
          <cell r="AF176">
            <v>100</v>
          </cell>
          <cell r="AG176">
            <v>35</v>
          </cell>
          <cell r="AH176">
            <v>18.963999999999999</v>
          </cell>
          <cell r="AL176">
            <v>100</v>
          </cell>
          <cell r="AM176">
            <v>35</v>
          </cell>
          <cell r="AN176">
            <v>18.963999999999999</v>
          </cell>
          <cell r="AR176">
            <v>100</v>
          </cell>
          <cell r="AS176">
            <v>35</v>
          </cell>
          <cell r="AT176">
            <v>18.963999999999999</v>
          </cell>
          <cell r="AX176">
            <v>520</v>
          </cell>
          <cell r="AY176">
            <v>183</v>
          </cell>
          <cell r="AZ176">
            <v>99.614000000000004</v>
          </cell>
          <cell r="BA176">
            <v>54.433879781420771</v>
          </cell>
          <cell r="BF176">
            <v>100</v>
          </cell>
          <cell r="BG176">
            <v>35</v>
          </cell>
          <cell r="BH176">
            <v>18.963999999999999</v>
          </cell>
          <cell r="BL176">
            <v>60</v>
          </cell>
          <cell r="BM176">
            <v>21</v>
          </cell>
          <cell r="BN176">
            <v>11.378</v>
          </cell>
          <cell r="BR176">
            <v>60</v>
          </cell>
          <cell r="BS176">
            <v>21</v>
          </cell>
          <cell r="BT176">
            <v>8.4120000000000008</v>
          </cell>
          <cell r="BX176">
            <v>110</v>
          </cell>
          <cell r="BY176">
            <v>39</v>
          </cell>
          <cell r="BZ176">
            <v>14.680999999999999</v>
          </cell>
          <cell r="CD176">
            <v>90</v>
          </cell>
          <cell r="CE176">
            <v>32</v>
          </cell>
          <cell r="CF176">
            <v>11.647</v>
          </cell>
          <cell r="CJ176">
            <v>60</v>
          </cell>
          <cell r="CK176">
            <v>21</v>
          </cell>
          <cell r="CL176">
            <v>7.4279999999999999</v>
          </cell>
          <cell r="CP176">
            <v>480</v>
          </cell>
          <cell r="CQ176">
            <v>169</v>
          </cell>
          <cell r="CR176">
            <v>72.509999999999991</v>
          </cell>
          <cell r="CS176">
            <v>42.905325443786978</v>
          </cell>
          <cell r="CX176">
            <v>220</v>
          </cell>
          <cell r="CY176">
            <v>78</v>
          </cell>
          <cell r="CZ176">
            <v>42.722000000000001</v>
          </cell>
          <cell r="DA176">
            <v>54.771794871794874</v>
          </cell>
          <cell r="DF176">
            <v>300</v>
          </cell>
          <cell r="DG176">
            <v>105</v>
          </cell>
          <cell r="DH176">
            <v>56.891999999999996</v>
          </cell>
          <cell r="DI176">
            <v>54.182857142857145</v>
          </cell>
          <cell r="DN176">
            <v>220</v>
          </cell>
          <cell r="DO176">
            <v>77</v>
          </cell>
          <cell r="DP176">
            <v>38.753999999999998</v>
          </cell>
          <cell r="DQ176">
            <v>50.329870129870123</v>
          </cell>
          <cell r="DV176">
            <v>260</v>
          </cell>
          <cell r="DW176">
            <v>92</v>
          </cell>
          <cell r="DX176">
            <v>33.756</v>
          </cell>
          <cell r="DY176">
            <v>36.69130434782609</v>
          </cell>
        </row>
        <row r="177">
          <cell r="F177">
            <v>0</v>
          </cell>
          <cell r="G177">
            <v>0</v>
          </cell>
          <cell r="H177">
            <v>0</v>
          </cell>
          <cell r="I177">
            <v>0</v>
          </cell>
          <cell r="AX177">
            <v>0</v>
          </cell>
          <cell r="AY177">
            <v>0</v>
          </cell>
          <cell r="AZ177">
            <v>0</v>
          </cell>
          <cell r="BA177">
            <v>0</v>
          </cell>
          <cell r="CP177">
            <v>0</v>
          </cell>
          <cell r="CQ177">
            <v>0</v>
          </cell>
          <cell r="CR177">
            <v>0</v>
          </cell>
          <cell r="CS177">
            <v>0</v>
          </cell>
          <cell r="CX177">
            <v>0</v>
          </cell>
          <cell r="CY177">
            <v>0</v>
          </cell>
          <cell r="CZ177">
            <v>0</v>
          </cell>
          <cell r="DA177">
            <v>0</v>
          </cell>
          <cell r="DF177">
            <v>0</v>
          </cell>
          <cell r="DG177">
            <v>0</v>
          </cell>
          <cell r="DH177">
            <v>0</v>
          </cell>
          <cell r="DI177">
            <v>0</v>
          </cell>
          <cell r="DN177">
            <v>0</v>
          </cell>
          <cell r="DO177">
            <v>0</v>
          </cell>
          <cell r="DP177">
            <v>0</v>
          </cell>
          <cell r="DQ177">
            <v>0</v>
          </cell>
          <cell r="DV177">
            <v>0</v>
          </cell>
          <cell r="DW177">
            <v>0</v>
          </cell>
          <cell r="DX177">
            <v>0</v>
          </cell>
          <cell r="DY177">
            <v>0</v>
          </cell>
        </row>
        <row r="178">
          <cell r="F178">
            <v>0</v>
          </cell>
          <cell r="G178">
            <v>0</v>
          </cell>
          <cell r="H178">
            <v>0</v>
          </cell>
          <cell r="I178">
            <v>0</v>
          </cell>
          <cell r="N178">
            <v>0</v>
          </cell>
          <cell r="O178">
            <v>0</v>
          </cell>
          <cell r="T178">
            <v>0</v>
          </cell>
          <cell r="U178">
            <v>0</v>
          </cell>
          <cell r="Z178">
            <v>0</v>
          </cell>
          <cell r="AA178">
            <v>0</v>
          </cell>
          <cell r="AF178">
            <v>0</v>
          </cell>
          <cell r="AG178">
            <v>0</v>
          </cell>
          <cell r="AL178">
            <v>0</v>
          </cell>
          <cell r="AM178">
            <v>0</v>
          </cell>
          <cell r="AR178">
            <v>0</v>
          </cell>
          <cell r="AS178">
            <v>0</v>
          </cell>
          <cell r="AX178">
            <v>0</v>
          </cell>
          <cell r="AY178">
            <v>0</v>
          </cell>
          <cell r="AZ178">
            <v>0</v>
          </cell>
          <cell r="BA178">
            <v>0</v>
          </cell>
          <cell r="BF178">
            <v>0</v>
          </cell>
          <cell r="BG178">
            <v>0</v>
          </cell>
          <cell r="BL178">
            <v>0</v>
          </cell>
          <cell r="BM178">
            <v>0</v>
          </cell>
          <cell r="BR178">
            <v>0</v>
          </cell>
          <cell r="BS178">
            <v>0</v>
          </cell>
          <cell r="BX178">
            <v>0</v>
          </cell>
          <cell r="BY178">
            <v>0</v>
          </cell>
          <cell r="CD178">
            <v>0</v>
          </cell>
          <cell r="CE178">
            <v>0</v>
          </cell>
          <cell r="CJ178">
            <v>0</v>
          </cell>
          <cell r="CK178">
            <v>0</v>
          </cell>
          <cell r="CP178">
            <v>0</v>
          </cell>
          <cell r="CQ178">
            <v>0</v>
          </cell>
          <cell r="CR178">
            <v>0</v>
          </cell>
          <cell r="CS178">
            <v>0</v>
          </cell>
          <cell r="CX178">
            <v>0</v>
          </cell>
          <cell r="CY178">
            <v>0</v>
          </cell>
          <cell r="CZ178">
            <v>0</v>
          </cell>
          <cell r="DA178">
            <v>0</v>
          </cell>
          <cell r="DF178">
            <v>0</v>
          </cell>
          <cell r="DG178">
            <v>0</v>
          </cell>
          <cell r="DH178">
            <v>0</v>
          </cell>
          <cell r="DI178">
            <v>0</v>
          </cell>
          <cell r="DN178">
            <v>0</v>
          </cell>
          <cell r="DO178">
            <v>0</v>
          </cell>
          <cell r="DP178">
            <v>0</v>
          </cell>
          <cell r="DQ178">
            <v>0</v>
          </cell>
          <cell r="DV178">
            <v>0</v>
          </cell>
          <cell r="DW178">
            <v>0</v>
          </cell>
          <cell r="DX178">
            <v>0</v>
          </cell>
          <cell r="DY178">
            <v>0</v>
          </cell>
        </row>
        <row r="179">
          <cell r="F179">
            <v>0</v>
          </cell>
          <cell r="G179">
            <v>0</v>
          </cell>
          <cell r="H179">
            <v>0</v>
          </cell>
          <cell r="I179">
            <v>0</v>
          </cell>
          <cell r="N179">
            <v>0</v>
          </cell>
          <cell r="O179">
            <v>0</v>
          </cell>
          <cell r="T179">
            <v>0</v>
          </cell>
          <cell r="U179">
            <v>0</v>
          </cell>
          <cell r="Z179">
            <v>0</v>
          </cell>
          <cell r="AA179">
            <v>0</v>
          </cell>
          <cell r="AF179">
            <v>0</v>
          </cell>
          <cell r="AG179">
            <v>0</v>
          </cell>
          <cell r="AL179">
            <v>0</v>
          </cell>
          <cell r="AM179">
            <v>0</v>
          </cell>
          <cell r="AR179">
            <v>0</v>
          </cell>
          <cell r="AS179">
            <v>0</v>
          </cell>
          <cell r="AX179">
            <v>0</v>
          </cell>
          <cell r="AY179">
            <v>0</v>
          </cell>
          <cell r="AZ179">
            <v>0</v>
          </cell>
          <cell r="BA179">
            <v>0</v>
          </cell>
          <cell r="BF179">
            <v>0</v>
          </cell>
          <cell r="BG179">
            <v>0</v>
          </cell>
          <cell r="BL179">
            <v>0</v>
          </cell>
          <cell r="BM179">
            <v>0</v>
          </cell>
          <cell r="BR179">
            <v>0</v>
          </cell>
          <cell r="BS179">
            <v>0</v>
          </cell>
          <cell r="BX179">
            <v>0</v>
          </cell>
          <cell r="BY179">
            <v>0</v>
          </cell>
          <cell r="CD179">
            <v>0</v>
          </cell>
          <cell r="CE179">
            <v>0</v>
          </cell>
          <cell r="CJ179">
            <v>0</v>
          </cell>
          <cell r="CK179">
            <v>0</v>
          </cell>
          <cell r="CP179">
            <v>0</v>
          </cell>
          <cell r="CQ179">
            <v>0</v>
          </cell>
          <cell r="CR179">
            <v>0</v>
          </cell>
          <cell r="CS179">
            <v>0</v>
          </cell>
          <cell r="CX179">
            <v>0</v>
          </cell>
          <cell r="CY179">
            <v>0</v>
          </cell>
          <cell r="CZ179">
            <v>0</v>
          </cell>
          <cell r="DA179">
            <v>0</v>
          </cell>
          <cell r="DF179">
            <v>0</v>
          </cell>
          <cell r="DG179">
            <v>0</v>
          </cell>
          <cell r="DH179">
            <v>0</v>
          </cell>
          <cell r="DI179">
            <v>0</v>
          </cell>
          <cell r="DN179">
            <v>0</v>
          </cell>
          <cell r="DO179">
            <v>0</v>
          </cell>
          <cell r="DP179">
            <v>0</v>
          </cell>
          <cell r="DQ179">
            <v>0</v>
          </cell>
          <cell r="DV179">
            <v>0</v>
          </cell>
          <cell r="DW179">
            <v>0</v>
          </cell>
          <cell r="DX179">
            <v>0</v>
          </cell>
          <cell r="DY179">
            <v>0</v>
          </cell>
        </row>
        <row r="180">
          <cell r="F180">
            <v>2500</v>
          </cell>
          <cell r="G180">
            <v>627</v>
          </cell>
          <cell r="H180">
            <v>220.452</v>
          </cell>
          <cell r="I180">
            <v>35.159808612440187</v>
          </cell>
          <cell r="N180">
            <v>100</v>
          </cell>
          <cell r="O180">
            <v>25</v>
          </cell>
          <cell r="P180">
            <v>12</v>
          </cell>
          <cell r="T180">
            <v>100</v>
          </cell>
          <cell r="U180">
            <v>25</v>
          </cell>
          <cell r="V180">
            <v>11.08</v>
          </cell>
          <cell r="Z180">
            <v>150</v>
          </cell>
          <cell r="AA180">
            <v>38</v>
          </cell>
          <cell r="AB180">
            <v>13.06</v>
          </cell>
          <cell r="AF180">
            <v>200</v>
          </cell>
          <cell r="AG180">
            <v>50</v>
          </cell>
          <cell r="AH180">
            <v>14.366</v>
          </cell>
          <cell r="AL180">
            <v>200</v>
          </cell>
          <cell r="AM180">
            <v>50</v>
          </cell>
          <cell r="AN180">
            <v>15.138999999999999</v>
          </cell>
          <cell r="AR180">
            <v>200</v>
          </cell>
          <cell r="AS180">
            <v>50</v>
          </cell>
          <cell r="AT180">
            <v>15.875999999999999</v>
          </cell>
          <cell r="AX180">
            <v>950</v>
          </cell>
          <cell r="AY180">
            <v>238</v>
          </cell>
          <cell r="AZ180">
            <v>81.521000000000001</v>
          </cell>
          <cell r="BA180">
            <v>34.252521008403363</v>
          </cell>
          <cell r="BF180">
            <v>250</v>
          </cell>
          <cell r="BG180">
            <v>63</v>
          </cell>
          <cell r="BH180">
            <v>21.492999999999999</v>
          </cell>
          <cell r="BL180">
            <v>200</v>
          </cell>
          <cell r="BM180">
            <v>50</v>
          </cell>
          <cell r="BN180">
            <v>16.885999999999999</v>
          </cell>
          <cell r="BR180">
            <v>200</v>
          </cell>
          <cell r="BS180">
            <v>50</v>
          </cell>
          <cell r="BT180">
            <v>17.684999999999999</v>
          </cell>
          <cell r="BX180">
            <v>350</v>
          </cell>
          <cell r="BY180">
            <v>88</v>
          </cell>
          <cell r="BZ180">
            <v>31.975000000000001</v>
          </cell>
          <cell r="CD180">
            <v>300</v>
          </cell>
          <cell r="CE180">
            <v>75</v>
          </cell>
          <cell r="CF180">
            <v>27.294</v>
          </cell>
          <cell r="CJ180">
            <v>250</v>
          </cell>
          <cell r="CK180">
            <v>63</v>
          </cell>
          <cell r="CL180">
            <v>23.597999999999999</v>
          </cell>
          <cell r="CP180">
            <v>1550</v>
          </cell>
          <cell r="CQ180">
            <v>389</v>
          </cell>
          <cell r="CR180">
            <v>138.93099999999998</v>
          </cell>
          <cell r="CS180">
            <v>35.714910025706935</v>
          </cell>
          <cell r="CX180">
            <v>350</v>
          </cell>
          <cell r="CY180">
            <v>88</v>
          </cell>
          <cell r="CZ180">
            <v>36.14</v>
          </cell>
          <cell r="DA180">
            <v>41.06818181818182</v>
          </cell>
          <cell r="DF180">
            <v>600</v>
          </cell>
          <cell r="DG180">
            <v>150</v>
          </cell>
          <cell r="DH180">
            <v>45.381</v>
          </cell>
          <cell r="DI180">
            <v>30.253999999999998</v>
          </cell>
          <cell r="DN180">
            <v>650</v>
          </cell>
          <cell r="DO180">
            <v>163</v>
          </cell>
          <cell r="DP180">
            <v>56.063999999999993</v>
          </cell>
          <cell r="DQ180">
            <v>34.395092024539878</v>
          </cell>
          <cell r="DV180">
            <v>900</v>
          </cell>
          <cell r="DW180">
            <v>226</v>
          </cell>
          <cell r="DX180">
            <v>82.867000000000004</v>
          </cell>
          <cell r="DY180">
            <v>36.666814159292038</v>
          </cell>
        </row>
        <row r="181">
          <cell r="F181">
            <v>0</v>
          </cell>
          <cell r="G181">
            <v>0</v>
          </cell>
          <cell r="H181">
            <v>0</v>
          </cell>
          <cell r="I181">
            <v>0</v>
          </cell>
          <cell r="AX181">
            <v>0</v>
          </cell>
          <cell r="AY181">
            <v>0</v>
          </cell>
          <cell r="AZ181">
            <v>0</v>
          </cell>
          <cell r="BA181">
            <v>0</v>
          </cell>
          <cell r="CP181">
            <v>0</v>
          </cell>
          <cell r="CQ181">
            <v>0</v>
          </cell>
          <cell r="CR181">
            <v>0</v>
          </cell>
          <cell r="CS181">
            <v>0</v>
          </cell>
          <cell r="CX181">
            <v>0</v>
          </cell>
          <cell r="CY181">
            <v>0</v>
          </cell>
          <cell r="CZ181">
            <v>0</v>
          </cell>
          <cell r="DA181">
            <v>0</v>
          </cell>
          <cell r="DF181">
            <v>0</v>
          </cell>
          <cell r="DG181">
            <v>0</v>
          </cell>
          <cell r="DH181">
            <v>0</v>
          </cell>
          <cell r="DI181">
            <v>0</v>
          </cell>
          <cell r="DN181">
            <v>0</v>
          </cell>
          <cell r="DO181">
            <v>0</v>
          </cell>
          <cell r="DP181">
            <v>0</v>
          </cell>
          <cell r="DQ181">
            <v>0</v>
          </cell>
          <cell r="DV181">
            <v>0</v>
          </cell>
          <cell r="DW181">
            <v>0</v>
          </cell>
          <cell r="DX181">
            <v>0</v>
          </cell>
          <cell r="DY181">
            <v>0</v>
          </cell>
        </row>
        <row r="182">
          <cell r="F182">
            <v>1000</v>
          </cell>
          <cell r="G182">
            <v>450</v>
          </cell>
          <cell r="H182">
            <v>195.19400000000002</v>
          </cell>
          <cell r="I182">
            <v>43.376444444444452</v>
          </cell>
          <cell r="N182">
            <v>0</v>
          </cell>
          <cell r="O182">
            <v>0</v>
          </cell>
          <cell r="P182">
            <v>0</v>
          </cell>
          <cell r="T182">
            <v>0</v>
          </cell>
          <cell r="U182">
            <v>0</v>
          </cell>
          <cell r="V182">
            <v>0</v>
          </cell>
          <cell r="Z182">
            <v>0</v>
          </cell>
          <cell r="AA182">
            <v>0</v>
          </cell>
          <cell r="AB182">
            <v>0</v>
          </cell>
          <cell r="AF182">
            <v>0</v>
          </cell>
          <cell r="AG182">
            <v>0</v>
          </cell>
          <cell r="AH182">
            <v>0</v>
          </cell>
          <cell r="AL182">
            <v>0</v>
          </cell>
          <cell r="AM182">
            <v>0</v>
          </cell>
          <cell r="AN182">
            <v>0</v>
          </cell>
          <cell r="AR182">
            <v>0</v>
          </cell>
          <cell r="AS182">
            <v>0</v>
          </cell>
          <cell r="AT182">
            <v>0</v>
          </cell>
          <cell r="AX182">
            <v>0</v>
          </cell>
          <cell r="AY182">
            <v>0</v>
          </cell>
          <cell r="AZ182">
            <v>0</v>
          </cell>
          <cell r="BA182">
            <v>0</v>
          </cell>
          <cell r="BF182">
            <v>100</v>
          </cell>
          <cell r="BG182">
            <v>45</v>
          </cell>
          <cell r="BH182">
            <v>18.850000000000001</v>
          </cell>
          <cell r="BL182">
            <v>100</v>
          </cell>
          <cell r="BM182">
            <v>45</v>
          </cell>
          <cell r="BN182">
            <v>19.542000000000002</v>
          </cell>
          <cell r="BR182">
            <v>200</v>
          </cell>
          <cell r="BS182">
            <v>90</v>
          </cell>
          <cell r="BT182">
            <v>38.820999999999998</v>
          </cell>
          <cell r="BX182">
            <v>200</v>
          </cell>
          <cell r="BY182">
            <v>90</v>
          </cell>
          <cell r="BZ182">
            <v>38.950000000000003</v>
          </cell>
          <cell r="CD182">
            <v>200</v>
          </cell>
          <cell r="CE182">
            <v>90</v>
          </cell>
          <cell r="CF182">
            <v>39.301000000000002</v>
          </cell>
          <cell r="CJ182">
            <v>200</v>
          </cell>
          <cell r="CK182">
            <v>90</v>
          </cell>
          <cell r="CL182">
            <v>39.729999999999997</v>
          </cell>
          <cell r="CP182">
            <v>1000</v>
          </cell>
          <cell r="CQ182">
            <v>450</v>
          </cell>
          <cell r="CR182">
            <v>195.19400000000002</v>
          </cell>
          <cell r="CS182">
            <v>43.376444444444452</v>
          </cell>
          <cell r="CX182">
            <v>0</v>
          </cell>
          <cell r="CY182">
            <v>0</v>
          </cell>
          <cell r="CZ182">
            <v>0</v>
          </cell>
          <cell r="DA182">
            <v>0</v>
          </cell>
          <cell r="DF182">
            <v>0</v>
          </cell>
          <cell r="DG182">
            <v>0</v>
          </cell>
          <cell r="DH182">
            <v>0</v>
          </cell>
          <cell r="DI182">
            <v>0</v>
          </cell>
          <cell r="DN182">
            <v>400</v>
          </cell>
          <cell r="DO182">
            <v>180</v>
          </cell>
          <cell r="DP182">
            <v>77.212999999999994</v>
          </cell>
          <cell r="DQ182">
            <v>42.896111111111104</v>
          </cell>
          <cell r="DV182">
            <v>600</v>
          </cell>
          <cell r="DW182">
            <v>270</v>
          </cell>
          <cell r="DX182">
            <v>117.98099999999999</v>
          </cell>
          <cell r="DY182">
            <v>43.696666666666665</v>
          </cell>
        </row>
        <row r="183">
          <cell r="F183">
            <v>1500</v>
          </cell>
          <cell r="G183">
            <v>600</v>
          </cell>
          <cell r="H183">
            <v>239.99699999999996</v>
          </cell>
          <cell r="I183">
            <v>39.999499999999991</v>
          </cell>
          <cell r="N183">
            <v>50</v>
          </cell>
          <cell r="O183">
            <v>20</v>
          </cell>
          <cell r="P183">
            <v>1.1439999999999999</v>
          </cell>
          <cell r="T183">
            <v>100</v>
          </cell>
          <cell r="U183">
            <v>40</v>
          </cell>
          <cell r="V183">
            <v>2.2879999999999998</v>
          </cell>
          <cell r="Z183">
            <v>100</v>
          </cell>
          <cell r="AA183">
            <v>40</v>
          </cell>
          <cell r="AB183">
            <v>2.2879999999999998</v>
          </cell>
          <cell r="AF183">
            <v>100</v>
          </cell>
          <cell r="AG183">
            <v>40</v>
          </cell>
          <cell r="AH183">
            <v>4.3730000000000002</v>
          </cell>
          <cell r="AL183">
            <v>150</v>
          </cell>
          <cell r="AM183">
            <v>60</v>
          </cell>
          <cell r="AN183">
            <v>18.783999999999999</v>
          </cell>
          <cell r="AR183">
            <v>150</v>
          </cell>
          <cell r="AS183">
            <v>60</v>
          </cell>
          <cell r="AT183">
            <v>26.434999999999999</v>
          </cell>
          <cell r="AX183">
            <v>650</v>
          </cell>
          <cell r="AY183">
            <v>260</v>
          </cell>
          <cell r="AZ183">
            <v>55.311999999999983</v>
          </cell>
          <cell r="BA183">
            <v>21.273846153846147</v>
          </cell>
          <cell r="BF183">
            <v>150</v>
          </cell>
          <cell r="BG183">
            <v>60</v>
          </cell>
          <cell r="BH183">
            <v>30.285</v>
          </cell>
          <cell r="BL183">
            <v>150</v>
          </cell>
          <cell r="BM183">
            <v>60</v>
          </cell>
          <cell r="BN183">
            <v>31.635999999999999</v>
          </cell>
          <cell r="BR183">
            <v>150</v>
          </cell>
          <cell r="BS183">
            <v>60</v>
          </cell>
          <cell r="BT183">
            <v>32.854999999999997</v>
          </cell>
          <cell r="BX183">
            <v>150</v>
          </cell>
          <cell r="BY183">
            <v>60</v>
          </cell>
          <cell r="BZ183">
            <v>33.441000000000003</v>
          </cell>
          <cell r="CD183">
            <v>150</v>
          </cell>
          <cell r="CE183">
            <v>60</v>
          </cell>
          <cell r="CF183">
            <v>33.750999999999998</v>
          </cell>
          <cell r="CJ183">
            <v>100</v>
          </cell>
          <cell r="CK183">
            <v>40</v>
          </cell>
          <cell r="CL183">
            <v>22.716999999999999</v>
          </cell>
          <cell r="CP183">
            <v>850</v>
          </cell>
          <cell r="CQ183">
            <v>340</v>
          </cell>
          <cell r="CR183">
            <v>184.68499999999997</v>
          </cell>
          <cell r="CS183">
            <v>54.31911764705881</v>
          </cell>
          <cell r="CX183">
            <v>250</v>
          </cell>
          <cell r="CY183">
            <v>100</v>
          </cell>
          <cell r="CZ183">
            <v>5.7199999999999989</v>
          </cell>
          <cell r="DA183">
            <v>5.7199999999999989</v>
          </cell>
          <cell r="DF183">
            <v>400</v>
          </cell>
          <cell r="DG183">
            <v>160</v>
          </cell>
          <cell r="DH183">
            <v>49.591999999999999</v>
          </cell>
          <cell r="DI183">
            <v>30.995000000000001</v>
          </cell>
          <cell r="DN183">
            <v>450</v>
          </cell>
          <cell r="DO183">
            <v>180</v>
          </cell>
          <cell r="DP183">
            <v>94.775999999999996</v>
          </cell>
          <cell r="DQ183">
            <v>52.653333333333329</v>
          </cell>
          <cell r="DV183">
            <v>400</v>
          </cell>
          <cell r="DW183">
            <v>160</v>
          </cell>
          <cell r="DX183">
            <v>89.909000000000006</v>
          </cell>
          <cell r="DY183">
            <v>56.193125000000002</v>
          </cell>
        </row>
        <row r="184">
          <cell r="F184">
            <v>0</v>
          </cell>
          <cell r="G184">
            <v>0</v>
          </cell>
          <cell r="H184">
            <v>0</v>
          </cell>
          <cell r="I184">
            <v>0</v>
          </cell>
          <cell r="N184">
            <v>0</v>
          </cell>
          <cell r="O184">
            <v>0</v>
          </cell>
          <cell r="T184">
            <v>0</v>
          </cell>
          <cell r="U184">
            <v>0</v>
          </cell>
          <cell r="Z184">
            <v>0</v>
          </cell>
          <cell r="AA184">
            <v>0</v>
          </cell>
          <cell r="AF184">
            <v>0</v>
          </cell>
          <cell r="AG184">
            <v>0</v>
          </cell>
          <cell r="AL184">
            <v>0</v>
          </cell>
          <cell r="AM184">
            <v>0</v>
          </cell>
          <cell r="AR184">
            <v>0</v>
          </cell>
          <cell r="AS184">
            <v>0</v>
          </cell>
          <cell r="AX184">
            <v>0</v>
          </cell>
          <cell r="AY184">
            <v>0</v>
          </cell>
          <cell r="AZ184">
            <v>0</v>
          </cell>
          <cell r="BA184">
            <v>0</v>
          </cell>
          <cell r="BF184">
            <v>0</v>
          </cell>
          <cell r="BG184">
            <v>0</v>
          </cell>
          <cell r="BL184">
            <v>0</v>
          </cell>
          <cell r="BM184">
            <v>0</v>
          </cell>
          <cell r="BR184">
            <v>0</v>
          </cell>
          <cell r="BS184">
            <v>0</v>
          </cell>
          <cell r="BX184">
            <v>0</v>
          </cell>
          <cell r="BY184">
            <v>0</v>
          </cell>
          <cell r="CD184">
            <v>0</v>
          </cell>
          <cell r="CE184">
            <v>0</v>
          </cell>
          <cell r="CJ184">
            <v>0</v>
          </cell>
          <cell r="CK184">
            <v>0</v>
          </cell>
          <cell r="CP184">
            <v>0</v>
          </cell>
          <cell r="CQ184">
            <v>0</v>
          </cell>
          <cell r="CR184">
            <v>0</v>
          </cell>
          <cell r="CS184">
            <v>0</v>
          </cell>
          <cell r="CX184">
            <v>0</v>
          </cell>
          <cell r="CY184">
            <v>0</v>
          </cell>
          <cell r="CZ184">
            <v>0</v>
          </cell>
          <cell r="DA184">
            <v>0</v>
          </cell>
          <cell r="DF184">
            <v>0</v>
          </cell>
          <cell r="DG184">
            <v>0</v>
          </cell>
          <cell r="DH184">
            <v>0</v>
          </cell>
          <cell r="DI184">
            <v>0</v>
          </cell>
          <cell r="DN184">
            <v>0</v>
          </cell>
          <cell r="DO184">
            <v>0</v>
          </cell>
          <cell r="DP184">
            <v>0</v>
          </cell>
          <cell r="DQ184">
            <v>0</v>
          </cell>
          <cell r="DV184">
            <v>0</v>
          </cell>
          <cell r="DW184">
            <v>0</v>
          </cell>
          <cell r="DX184">
            <v>0</v>
          </cell>
          <cell r="DY184">
            <v>0</v>
          </cell>
        </row>
        <row r="185">
          <cell r="F185">
            <v>12000</v>
          </cell>
          <cell r="G185">
            <v>3949</v>
          </cell>
          <cell r="H185">
            <v>1422.3360000000002</v>
          </cell>
          <cell r="I185">
            <v>36.017624715117755</v>
          </cell>
          <cell r="N185">
            <v>600</v>
          </cell>
          <cell r="O185">
            <v>191</v>
          </cell>
          <cell r="P185">
            <v>45.512999999999998</v>
          </cell>
          <cell r="T185">
            <v>670</v>
          </cell>
          <cell r="U185">
            <v>218</v>
          </cell>
          <cell r="V185">
            <v>47.286999999999992</v>
          </cell>
          <cell r="Z185">
            <v>850</v>
          </cell>
          <cell r="AA185">
            <v>273</v>
          </cell>
          <cell r="AB185">
            <v>67.102999999999994</v>
          </cell>
          <cell r="AF185">
            <v>900</v>
          </cell>
          <cell r="AG185">
            <v>285</v>
          </cell>
          <cell r="AH185">
            <v>76.954999999999998</v>
          </cell>
          <cell r="AL185">
            <v>950</v>
          </cell>
          <cell r="AM185">
            <v>305</v>
          </cell>
          <cell r="AN185">
            <v>100.40899999999999</v>
          </cell>
          <cell r="AR185">
            <v>950</v>
          </cell>
          <cell r="AS185">
            <v>305</v>
          </cell>
          <cell r="AT185">
            <v>113.69800000000001</v>
          </cell>
          <cell r="AX185">
            <v>4920</v>
          </cell>
          <cell r="AY185">
            <v>1577</v>
          </cell>
          <cell r="AZ185">
            <v>450.96500000000003</v>
          </cell>
          <cell r="BA185">
            <v>28.596385542168679</v>
          </cell>
          <cell r="BF185">
            <v>1150</v>
          </cell>
          <cell r="BG185">
            <v>379</v>
          </cell>
          <cell r="BH185">
            <v>151.774</v>
          </cell>
          <cell r="BL185">
            <v>1060</v>
          </cell>
          <cell r="BM185">
            <v>352</v>
          </cell>
          <cell r="BN185">
            <v>142.18699999999998</v>
          </cell>
          <cell r="BR185">
            <v>1160</v>
          </cell>
          <cell r="BS185">
            <v>397</v>
          </cell>
          <cell r="BT185">
            <v>163.15799999999999</v>
          </cell>
          <cell r="BX185">
            <v>1360</v>
          </cell>
          <cell r="BY185">
            <v>453</v>
          </cell>
          <cell r="BZ185">
            <v>185.68300000000002</v>
          </cell>
          <cell r="CD185">
            <v>1290</v>
          </cell>
          <cell r="CE185">
            <v>433</v>
          </cell>
          <cell r="CF185">
            <v>179.25900000000001</v>
          </cell>
          <cell r="CJ185">
            <v>1060</v>
          </cell>
          <cell r="CK185">
            <v>358</v>
          </cell>
          <cell r="CL185">
            <v>149.31</v>
          </cell>
          <cell r="CP185">
            <v>7080</v>
          </cell>
          <cell r="CQ185">
            <v>2372</v>
          </cell>
          <cell r="CR185">
            <v>971.37099999999987</v>
          </cell>
          <cell r="CS185">
            <v>40.95155986509274</v>
          </cell>
          <cell r="CX185">
            <v>2120</v>
          </cell>
          <cell r="CY185">
            <v>682</v>
          </cell>
          <cell r="CZ185">
            <v>159.90299999999999</v>
          </cell>
          <cell r="DA185">
            <v>23.446187683284457</v>
          </cell>
          <cell r="DF185">
            <v>2800</v>
          </cell>
          <cell r="DG185">
            <v>895</v>
          </cell>
          <cell r="DH185">
            <v>291.06200000000001</v>
          </cell>
          <cell r="DI185">
            <v>32.520893854748607</v>
          </cell>
          <cell r="DN185">
            <v>3370</v>
          </cell>
          <cell r="DO185">
            <v>1128</v>
          </cell>
          <cell r="DP185">
            <v>457.11899999999997</v>
          </cell>
          <cell r="DQ185">
            <v>40.524734042553192</v>
          </cell>
          <cell r="DV185">
            <v>3710</v>
          </cell>
          <cell r="DW185">
            <v>1244</v>
          </cell>
          <cell r="DX185">
            <v>514.25199999999995</v>
          </cell>
          <cell r="DY185">
            <v>41.338585209003206</v>
          </cell>
        </row>
        <row r="186">
          <cell r="F186">
            <v>0</v>
          </cell>
          <cell r="G186">
            <v>0</v>
          </cell>
          <cell r="H186">
            <v>0</v>
          </cell>
          <cell r="I186">
            <v>0</v>
          </cell>
          <cell r="N186">
            <v>0</v>
          </cell>
          <cell r="O186">
            <v>0</v>
          </cell>
          <cell r="T186">
            <v>0</v>
          </cell>
          <cell r="U186">
            <v>0</v>
          </cell>
          <cell r="Z186">
            <v>0</v>
          </cell>
          <cell r="AA186">
            <v>0</v>
          </cell>
          <cell r="AF186">
            <v>0</v>
          </cell>
          <cell r="AG186">
            <v>0</v>
          </cell>
          <cell r="AL186">
            <v>0</v>
          </cell>
          <cell r="AM186">
            <v>0</v>
          </cell>
          <cell r="AR186">
            <v>0</v>
          </cell>
          <cell r="AS186">
            <v>0</v>
          </cell>
          <cell r="AX186">
            <v>0</v>
          </cell>
          <cell r="AY186">
            <v>0</v>
          </cell>
          <cell r="AZ186">
            <v>0</v>
          </cell>
          <cell r="BA186">
            <v>0</v>
          </cell>
          <cell r="BF186">
            <v>0</v>
          </cell>
          <cell r="BG186">
            <v>0</v>
          </cell>
          <cell r="BL186">
            <v>0</v>
          </cell>
          <cell r="BM186">
            <v>0</v>
          </cell>
          <cell r="BR186">
            <v>0</v>
          </cell>
          <cell r="BS186">
            <v>0</v>
          </cell>
          <cell r="BX186">
            <v>0</v>
          </cell>
          <cell r="BY186">
            <v>0</v>
          </cell>
          <cell r="CD186">
            <v>0</v>
          </cell>
          <cell r="CE186">
            <v>0</v>
          </cell>
          <cell r="CJ186">
            <v>0</v>
          </cell>
          <cell r="CK186">
            <v>0</v>
          </cell>
          <cell r="CP186">
            <v>0</v>
          </cell>
          <cell r="CQ186">
            <v>0</v>
          </cell>
          <cell r="CR186">
            <v>0</v>
          </cell>
          <cell r="CS186">
            <v>0</v>
          </cell>
          <cell r="CX186">
            <v>0</v>
          </cell>
          <cell r="CY186">
            <v>0</v>
          </cell>
          <cell r="CZ186">
            <v>0</v>
          </cell>
          <cell r="DA186">
            <v>0</v>
          </cell>
          <cell r="DF186">
            <v>0</v>
          </cell>
          <cell r="DG186">
            <v>0</v>
          </cell>
          <cell r="DH186">
            <v>0</v>
          </cell>
          <cell r="DI186">
            <v>0</v>
          </cell>
          <cell r="DN186">
            <v>0</v>
          </cell>
          <cell r="DO186">
            <v>0</v>
          </cell>
          <cell r="DP186">
            <v>0</v>
          </cell>
          <cell r="DQ186">
            <v>0</v>
          </cell>
          <cell r="DV186">
            <v>0</v>
          </cell>
          <cell r="DW186">
            <v>0</v>
          </cell>
          <cell r="DX186">
            <v>0</v>
          </cell>
          <cell r="DY186">
            <v>0</v>
          </cell>
        </row>
        <row r="187">
          <cell r="F187">
            <v>3000</v>
          </cell>
          <cell r="G187">
            <v>693</v>
          </cell>
          <cell r="H187">
            <v>332.01499999999999</v>
          </cell>
          <cell r="I187">
            <v>47.90981240981241</v>
          </cell>
          <cell r="N187">
            <v>200</v>
          </cell>
          <cell r="O187">
            <v>46</v>
          </cell>
          <cell r="P187">
            <v>18.652999999999999</v>
          </cell>
          <cell r="T187">
            <v>200</v>
          </cell>
          <cell r="U187">
            <v>46</v>
          </cell>
          <cell r="V187">
            <v>19.805</v>
          </cell>
          <cell r="Z187">
            <v>200</v>
          </cell>
          <cell r="AA187">
            <v>46</v>
          </cell>
          <cell r="AB187">
            <v>19.300999999999998</v>
          </cell>
          <cell r="AF187">
            <v>250</v>
          </cell>
          <cell r="AG187">
            <v>58</v>
          </cell>
          <cell r="AH187">
            <v>24.558</v>
          </cell>
          <cell r="AL187">
            <v>250</v>
          </cell>
          <cell r="AM187">
            <v>58</v>
          </cell>
          <cell r="AN187">
            <v>24.904</v>
          </cell>
          <cell r="AR187">
            <v>250</v>
          </cell>
          <cell r="AS187">
            <v>58</v>
          </cell>
          <cell r="AT187">
            <v>25.378</v>
          </cell>
          <cell r="AX187">
            <v>1350</v>
          </cell>
          <cell r="AY187">
            <v>312</v>
          </cell>
          <cell r="AZ187">
            <v>132.59899999999999</v>
          </cell>
          <cell r="BA187">
            <v>42.499679487179485</v>
          </cell>
          <cell r="BF187">
            <v>300</v>
          </cell>
          <cell r="BG187">
            <v>69</v>
          </cell>
          <cell r="BH187">
            <v>32.442</v>
          </cell>
          <cell r="BL187">
            <v>250</v>
          </cell>
          <cell r="BM187">
            <v>58</v>
          </cell>
          <cell r="BN187">
            <v>29.581</v>
          </cell>
          <cell r="BR187">
            <v>250</v>
          </cell>
          <cell r="BS187">
            <v>58</v>
          </cell>
          <cell r="BT187">
            <v>30.57</v>
          </cell>
          <cell r="BX187">
            <v>300</v>
          </cell>
          <cell r="BY187">
            <v>69</v>
          </cell>
          <cell r="BZ187">
            <v>36.872999999999998</v>
          </cell>
          <cell r="CD187">
            <v>300</v>
          </cell>
          <cell r="CE187">
            <v>69</v>
          </cell>
          <cell r="CF187">
            <v>37.593000000000004</v>
          </cell>
          <cell r="CJ187">
            <v>250</v>
          </cell>
          <cell r="CK187">
            <v>58</v>
          </cell>
          <cell r="CL187">
            <v>32.356999999999999</v>
          </cell>
          <cell r="CP187">
            <v>1650</v>
          </cell>
          <cell r="CQ187">
            <v>381</v>
          </cell>
          <cell r="CR187">
            <v>199.416</v>
          </cell>
          <cell r="CS187">
            <v>52.340157480314964</v>
          </cell>
          <cell r="CX187">
            <v>600</v>
          </cell>
          <cell r="CY187">
            <v>138</v>
          </cell>
          <cell r="CZ187">
            <v>57.759</v>
          </cell>
          <cell r="DA187">
            <v>41.854347826086958</v>
          </cell>
          <cell r="DF187">
            <v>750</v>
          </cell>
          <cell r="DG187">
            <v>174</v>
          </cell>
          <cell r="DH187">
            <v>74.84</v>
          </cell>
          <cell r="DI187">
            <v>43.011494252873568</v>
          </cell>
          <cell r="DN187">
            <v>800</v>
          </cell>
          <cell r="DO187">
            <v>185</v>
          </cell>
          <cell r="DP187">
            <v>92.592999999999989</v>
          </cell>
          <cell r="DQ187">
            <v>50.050270270270268</v>
          </cell>
          <cell r="DV187">
            <v>850</v>
          </cell>
          <cell r="DW187">
            <v>196</v>
          </cell>
          <cell r="DX187">
            <v>106.82300000000001</v>
          </cell>
          <cell r="DY187">
            <v>54.501530612244899</v>
          </cell>
        </row>
        <row r="188">
          <cell r="F188">
            <v>2000</v>
          </cell>
          <cell r="G188">
            <v>131</v>
          </cell>
          <cell r="H188">
            <v>15.664999999999999</v>
          </cell>
          <cell r="I188">
            <v>11.958015267175572</v>
          </cell>
          <cell r="N188">
            <v>50</v>
          </cell>
          <cell r="O188">
            <v>3</v>
          </cell>
          <cell r="P188">
            <v>0.17299999999999999</v>
          </cell>
          <cell r="T188">
            <v>100</v>
          </cell>
          <cell r="U188">
            <v>7</v>
          </cell>
          <cell r="V188">
            <v>0.84499999999999997</v>
          </cell>
          <cell r="Z188">
            <v>150</v>
          </cell>
          <cell r="AA188">
            <v>10</v>
          </cell>
          <cell r="AB188">
            <v>0.377</v>
          </cell>
          <cell r="AF188">
            <v>150</v>
          </cell>
          <cell r="AG188">
            <v>10</v>
          </cell>
          <cell r="AH188">
            <v>0.23499999999999999</v>
          </cell>
          <cell r="AL188">
            <v>200</v>
          </cell>
          <cell r="AM188">
            <v>13</v>
          </cell>
          <cell r="AN188">
            <v>0.63400000000000001</v>
          </cell>
          <cell r="AR188">
            <v>200</v>
          </cell>
          <cell r="AS188">
            <v>13</v>
          </cell>
          <cell r="AT188">
            <v>1.123</v>
          </cell>
          <cell r="AX188">
            <v>850</v>
          </cell>
          <cell r="AY188">
            <v>56</v>
          </cell>
          <cell r="AZ188">
            <v>3.3869999999999996</v>
          </cell>
          <cell r="BA188">
            <v>6.0482142857142849</v>
          </cell>
          <cell r="BF188">
            <v>200</v>
          </cell>
          <cell r="BG188">
            <v>13</v>
          </cell>
          <cell r="BH188">
            <v>1.5289999999999999</v>
          </cell>
          <cell r="BL188">
            <v>150</v>
          </cell>
          <cell r="BM188">
            <v>10</v>
          </cell>
          <cell r="BN188">
            <v>1.5169999999999999</v>
          </cell>
          <cell r="BR188">
            <v>150</v>
          </cell>
          <cell r="BS188">
            <v>10</v>
          </cell>
          <cell r="BT188">
            <v>1.847</v>
          </cell>
          <cell r="BX188">
            <v>250</v>
          </cell>
          <cell r="BY188">
            <v>16</v>
          </cell>
          <cell r="BZ188">
            <v>2.593</v>
          </cell>
          <cell r="CD188">
            <v>250</v>
          </cell>
          <cell r="CE188">
            <v>16</v>
          </cell>
          <cell r="CF188">
            <v>2.6819999999999999</v>
          </cell>
          <cell r="CJ188">
            <v>150</v>
          </cell>
          <cell r="CK188">
            <v>10</v>
          </cell>
          <cell r="CL188">
            <v>2.11</v>
          </cell>
          <cell r="CP188">
            <v>1150</v>
          </cell>
          <cell r="CQ188">
            <v>75</v>
          </cell>
          <cell r="CR188">
            <v>12.277999999999999</v>
          </cell>
          <cell r="CS188">
            <v>16.370666666666665</v>
          </cell>
          <cell r="CX188">
            <v>300</v>
          </cell>
          <cell r="CY188">
            <v>20</v>
          </cell>
          <cell r="CZ188">
            <v>1.395</v>
          </cell>
          <cell r="DA188">
            <v>6.9750000000000005</v>
          </cell>
          <cell r="DF188">
            <v>550</v>
          </cell>
          <cell r="DG188">
            <v>36</v>
          </cell>
          <cell r="DH188">
            <v>1.992</v>
          </cell>
          <cell r="DI188">
            <v>5.5333333333333332</v>
          </cell>
          <cell r="DN188">
            <v>500</v>
          </cell>
          <cell r="DO188">
            <v>33</v>
          </cell>
          <cell r="DP188">
            <v>4.8929999999999998</v>
          </cell>
          <cell r="DQ188">
            <v>14.827272727272728</v>
          </cell>
          <cell r="DV188">
            <v>650</v>
          </cell>
          <cell r="DW188">
            <v>42</v>
          </cell>
          <cell r="DX188">
            <v>7.3849999999999998</v>
          </cell>
          <cell r="DY188">
            <v>17.583333333333336</v>
          </cell>
        </row>
        <row r="189">
          <cell r="F189">
            <v>3000</v>
          </cell>
          <cell r="G189">
            <v>196</v>
          </cell>
          <cell r="H189">
            <v>28.7</v>
          </cell>
          <cell r="I189">
            <v>14.642857142857144</v>
          </cell>
          <cell r="N189">
            <v>150</v>
          </cell>
          <cell r="O189">
            <v>10</v>
          </cell>
          <cell r="P189">
            <v>-0.78300000000000003</v>
          </cell>
          <cell r="T189">
            <v>150</v>
          </cell>
          <cell r="U189">
            <v>10</v>
          </cell>
          <cell r="V189">
            <v>-1.2190000000000001</v>
          </cell>
          <cell r="Z189">
            <v>200</v>
          </cell>
          <cell r="AA189">
            <v>13</v>
          </cell>
          <cell r="AB189">
            <v>-0.52300000000000002</v>
          </cell>
          <cell r="AF189">
            <v>250</v>
          </cell>
          <cell r="AG189">
            <v>16</v>
          </cell>
          <cell r="AH189">
            <v>-5.6000000000000001E-2</v>
          </cell>
          <cell r="AL189">
            <v>250</v>
          </cell>
          <cell r="AM189">
            <v>16</v>
          </cell>
          <cell r="AN189">
            <v>1.405</v>
          </cell>
          <cell r="AR189">
            <v>300</v>
          </cell>
          <cell r="AS189">
            <v>20</v>
          </cell>
          <cell r="AT189">
            <v>3.4580000000000002</v>
          </cell>
          <cell r="AX189">
            <v>1300</v>
          </cell>
          <cell r="AY189">
            <v>85</v>
          </cell>
          <cell r="AZ189">
            <v>2.2820000000000005</v>
          </cell>
          <cell r="BA189">
            <v>2.6847058823529419</v>
          </cell>
          <cell r="BF189">
            <v>300</v>
          </cell>
          <cell r="BG189">
            <v>20</v>
          </cell>
          <cell r="BH189">
            <v>4.2130000000000001</v>
          </cell>
          <cell r="BL189">
            <v>250</v>
          </cell>
          <cell r="BM189">
            <v>16</v>
          </cell>
          <cell r="BN189">
            <v>3.0739999999999998</v>
          </cell>
          <cell r="BR189">
            <v>250</v>
          </cell>
          <cell r="BS189">
            <v>16</v>
          </cell>
          <cell r="BT189">
            <v>3.61</v>
          </cell>
          <cell r="BX189">
            <v>350</v>
          </cell>
          <cell r="BY189">
            <v>23</v>
          </cell>
          <cell r="BZ189">
            <v>5.9189999999999996</v>
          </cell>
          <cell r="CD189">
            <v>300</v>
          </cell>
          <cell r="CE189">
            <v>20</v>
          </cell>
          <cell r="CF189">
            <v>5.51</v>
          </cell>
          <cell r="CJ189">
            <v>250</v>
          </cell>
          <cell r="CK189">
            <v>16</v>
          </cell>
          <cell r="CL189">
            <v>4.0919999999999996</v>
          </cell>
          <cell r="CP189">
            <v>1700</v>
          </cell>
          <cell r="CQ189">
            <v>111</v>
          </cell>
          <cell r="CR189">
            <v>26.417999999999999</v>
          </cell>
          <cell r="CS189">
            <v>23.799999999999997</v>
          </cell>
          <cell r="CX189">
            <v>500</v>
          </cell>
          <cell r="CY189">
            <v>33</v>
          </cell>
          <cell r="CZ189">
            <v>-2.5250000000000004</v>
          </cell>
          <cell r="DA189">
            <v>-7.6515151515151523</v>
          </cell>
          <cell r="DF189">
            <v>800</v>
          </cell>
          <cell r="DG189">
            <v>52</v>
          </cell>
          <cell r="DH189">
            <v>4.8070000000000004</v>
          </cell>
          <cell r="DI189">
            <v>9.2442307692307697</v>
          </cell>
          <cell r="DN189">
            <v>800</v>
          </cell>
          <cell r="DO189">
            <v>52</v>
          </cell>
          <cell r="DP189">
            <v>10.897</v>
          </cell>
          <cell r="DQ189">
            <v>20.955769230769231</v>
          </cell>
          <cell r="DV189">
            <v>900</v>
          </cell>
          <cell r="DW189">
            <v>59</v>
          </cell>
          <cell r="DX189">
            <v>15.520999999999997</v>
          </cell>
          <cell r="DY189">
            <v>26.306779661016943</v>
          </cell>
        </row>
        <row r="190">
          <cell r="F190">
            <v>3000</v>
          </cell>
          <cell r="G190">
            <v>196</v>
          </cell>
          <cell r="H190">
            <v>47.907000000000011</v>
          </cell>
          <cell r="I190">
            <v>24.442346938775515</v>
          </cell>
          <cell r="N190">
            <v>150</v>
          </cell>
          <cell r="O190">
            <v>10</v>
          </cell>
          <cell r="P190">
            <v>-0.45600000000000002</v>
          </cell>
          <cell r="T190">
            <v>150</v>
          </cell>
          <cell r="U190">
            <v>10</v>
          </cell>
          <cell r="V190">
            <v>-0.32900000000000001</v>
          </cell>
          <cell r="Z190">
            <v>200</v>
          </cell>
          <cell r="AA190">
            <v>13</v>
          </cell>
          <cell r="AB190">
            <v>0.81</v>
          </cell>
          <cell r="AF190">
            <v>250</v>
          </cell>
          <cell r="AG190">
            <v>16</v>
          </cell>
          <cell r="AH190">
            <v>1.734</v>
          </cell>
          <cell r="AL190">
            <v>250</v>
          </cell>
          <cell r="AM190">
            <v>16</v>
          </cell>
          <cell r="AN190">
            <v>3.133</v>
          </cell>
          <cell r="AR190">
            <v>300</v>
          </cell>
          <cell r="AS190">
            <v>20</v>
          </cell>
          <cell r="AT190">
            <v>5.4960000000000004</v>
          </cell>
          <cell r="AX190">
            <v>1300</v>
          </cell>
          <cell r="AY190">
            <v>85</v>
          </cell>
          <cell r="AZ190">
            <v>10.388000000000002</v>
          </cell>
          <cell r="BA190">
            <v>12.221176470588237</v>
          </cell>
          <cell r="BF190">
            <v>300</v>
          </cell>
          <cell r="BG190">
            <v>20</v>
          </cell>
          <cell r="BH190">
            <v>6.2149999999999999</v>
          </cell>
          <cell r="BL190">
            <v>250</v>
          </cell>
          <cell r="BM190">
            <v>16</v>
          </cell>
          <cell r="BN190">
            <v>4.74</v>
          </cell>
          <cell r="BR190">
            <v>250</v>
          </cell>
          <cell r="BS190">
            <v>16</v>
          </cell>
          <cell r="BT190">
            <v>5.2380000000000004</v>
          </cell>
          <cell r="BX190">
            <v>350</v>
          </cell>
          <cell r="BY190">
            <v>23</v>
          </cell>
          <cell r="BZ190">
            <v>8.1869999999999994</v>
          </cell>
          <cell r="CD190">
            <v>300</v>
          </cell>
          <cell r="CE190">
            <v>20</v>
          </cell>
          <cell r="CF190">
            <v>7.4450000000000003</v>
          </cell>
          <cell r="CJ190">
            <v>250</v>
          </cell>
          <cell r="CK190">
            <v>16</v>
          </cell>
          <cell r="CL190">
            <v>5.694</v>
          </cell>
          <cell r="CP190">
            <v>1700</v>
          </cell>
          <cell r="CQ190">
            <v>111</v>
          </cell>
          <cell r="CR190">
            <v>37.519000000000005</v>
          </cell>
          <cell r="CS190">
            <v>33.800900900900906</v>
          </cell>
          <cell r="CX190">
            <v>500</v>
          </cell>
          <cell r="CY190">
            <v>33</v>
          </cell>
          <cell r="CZ190">
            <v>2.5000000000000022E-2</v>
          </cell>
          <cell r="DA190">
            <v>7.5757575757575829E-2</v>
          </cell>
          <cell r="DF190">
            <v>800</v>
          </cell>
          <cell r="DG190">
            <v>52</v>
          </cell>
          <cell r="DH190">
            <v>10.363</v>
          </cell>
          <cell r="DI190">
            <v>19.928846153846152</v>
          </cell>
          <cell r="DN190">
            <v>800</v>
          </cell>
          <cell r="DO190">
            <v>52</v>
          </cell>
          <cell r="DP190">
            <v>16.193000000000001</v>
          </cell>
          <cell r="DQ190">
            <v>31.140384615384619</v>
          </cell>
          <cell r="DV190">
            <v>900</v>
          </cell>
          <cell r="DW190">
            <v>59</v>
          </cell>
          <cell r="DX190">
            <v>21.326000000000001</v>
          </cell>
          <cell r="DY190">
            <v>36.145762711864407</v>
          </cell>
        </row>
        <row r="191">
          <cell r="F191">
            <v>11000</v>
          </cell>
          <cell r="G191">
            <v>1216</v>
          </cell>
          <cell r="H191">
            <v>424.28700000000003</v>
          </cell>
          <cell r="I191">
            <v>34.89202302631579</v>
          </cell>
          <cell r="N191">
            <v>550</v>
          </cell>
          <cell r="O191">
            <v>69</v>
          </cell>
          <cell r="P191">
            <v>17.586999999999996</v>
          </cell>
          <cell r="T191">
            <v>600</v>
          </cell>
          <cell r="U191">
            <v>73</v>
          </cell>
          <cell r="V191">
            <v>19.101999999999997</v>
          </cell>
          <cell r="Z191">
            <v>750</v>
          </cell>
          <cell r="AA191">
            <v>82</v>
          </cell>
          <cell r="AB191">
            <v>19.964999999999996</v>
          </cell>
          <cell r="AF191">
            <v>900</v>
          </cell>
          <cell r="AG191">
            <v>100</v>
          </cell>
          <cell r="AH191">
            <v>26.470999999999997</v>
          </cell>
          <cell r="AL191">
            <v>950</v>
          </cell>
          <cell r="AM191">
            <v>103</v>
          </cell>
          <cell r="AN191">
            <v>30.076000000000001</v>
          </cell>
          <cell r="AR191">
            <v>1050</v>
          </cell>
          <cell r="AS191">
            <v>111</v>
          </cell>
          <cell r="AT191">
            <v>35.455000000000005</v>
          </cell>
          <cell r="AX191">
            <v>4800</v>
          </cell>
          <cell r="AY191">
            <v>538</v>
          </cell>
          <cell r="AZ191">
            <v>148.65600000000001</v>
          </cell>
          <cell r="BA191">
            <v>27.631226765799255</v>
          </cell>
          <cell r="BF191">
            <v>1100</v>
          </cell>
          <cell r="BG191">
            <v>122</v>
          </cell>
          <cell r="BH191">
            <v>44.399000000000001</v>
          </cell>
          <cell r="BL191">
            <v>900</v>
          </cell>
          <cell r="BM191">
            <v>100</v>
          </cell>
          <cell r="BN191">
            <v>38.911999999999999</v>
          </cell>
          <cell r="BR191">
            <v>900</v>
          </cell>
          <cell r="BS191">
            <v>100</v>
          </cell>
          <cell r="BT191">
            <v>41.265000000000001</v>
          </cell>
          <cell r="BX191">
            <v>1250</v>
          </cell>
          <cell r="BY191">
            <v>131</v>
          </cell>
          <cell r="BZ191">
            <v>53.571999999999989</v>
          </cell>
          <cell r="CD191">
            <v>1150</v>
          </cell>
          <cell r="CE191">
            <v>125</v>
          </cell>
          <cell r="CF191">
            <v>53.230000000000004</v>
          </cell>
          <cell r="CJ191">
            <v>900</v>
          </cell>
          <cell r="CK191">
            <v>100</v>
          </cell>
          <cell r="CL191">
            <v>44.253</v>
          </cell>
          <cell r="CP191">
            <v>6200</v>
          </cell>
          <cell r="CQ191">
            <v>678</v>
          </cell>
          <cell r="CR191">
            <v>275.63099999999997</v>
          </cell>
          <cell r="CS191">
            <v>40.653539823008842</v>
          </cell>
          <cell r="CX191">
            <v>1900</v>
          </cell>
          <cell r="CY191">
            <v>224</v>
          </cell>
          <cell r="CZ191">
            <v>56.654000000000003</v>
          </cell>
          <cell r="DA191">
            <v>25.291964285714286</v>
          </cell>
          <cell r="DF191">
            <v>2900</v>
          </cell>
          <cell r="DG191">
            <v>314</v>
          </cell>
          <cell r="DH191">
            <v>92.00200000000001</v>
          </cell>
          <cell r="DI191">
            <v>29.300000000000004</v>
          </cell>
          <cell r="DN191">
            <v>2900</v>
          </cell>
          <cell r="DO191">
            <v>322</v>
          </cell>
          <cell r="DP191">
            <v>124.57599999999999</v>
          </cell>
          <cell r="DQ191">
            <v>38.688198757763978</v>
          </cell>
          <cell r="DV191">
            <v>3300</v>
          </cell>
          <cell r="DW191">
            <v>356</v>
          </cell>
          <cell r="DX191">
            <v>151.05500000000001</v>
          </cell>
          <cell r="DY191">
            <v>42.431179775280903</v>
          </cell>
        </row>
        <row r="192">
          <cell r="F192">
            <v>0</v>
          </cell>
          <cell r="G192">
            <v>2668</v>
          </cell>
          <cell r="H192">
            <v>320.15999999999997</v>
          </cell>
          <cell r="I192">
            <v>11.999999999999998</v>
          </cell>
          <cell r="N192">
            <v>0</v>
          </cell>
          <cell r="O192">
            <v>150</v>
          </cell>
          <cell r="P192">
            <v>18</v>
          </cell>
          <cell r="T192">
            <v>0</v>
          </cell>
          <cell r="U192">
            <v>200</v>
          </cell>
          <cell r="V192">
            <v>24</v>
          </cell>
          <cell r="Z192">
            <v>0</v>
          </cell>
          <cell r="AA192">
            <v>200</v>
          </cell>
          <cell r="AB192">
            <v>24</v>
          </cell>
          <cell r="AF192">
            <v>0</v>
          </cell>
          <cell r="AG192">
            <v>200</v>
          </cell>
          <cell r="AH192">
            <v>24</v>
          </cell>
          <cell r="AL192">
            <v>0</v>
          </cell>
          <cell r="AM192">
            <v>200</v>
          </cell>
          <cell r="AN192">
            <v>24</v>
          </cell>
          <cell r="AR192">
            <v>0</v>
          </cell>
          <cell r="AS192">
            <v>200</v>
          </cell>
          <cell r="AT192">
            <v>24</v>
          </cell>
          <cell r="AX192">
            <v>0</v>
          </cell>
          <cell r="AY192">
            <v>1150</v>
          </cell>
          <cell r="AZ192">
            <v>138</v>
          </cell>
          <cell r="BA192">
            <v>12</v>
          </cell>
          <cell r="BF192">
            <v>0</v>
          </cell>
          <cell r="BG192">
            <v>250</v>
          </cell>
          <cell r="BH192">
            <v>30</v>
          </cell>
          <cell r="BL192">
            <v>0</v>
          </cell>
          <cell r="BM192">
            <v>200</v>
          </cell>
          <cell r="BN192">
            <v>24</v>
          </cell>
          <cell r="BR192">
            <v>0</v>
          </cell>
          <cell r="BS192">
            <v>270</v>
          </cell>
          <cell r="BT192">
            <v>32.4</v>
          </cell>
          <cell r="BX192">
            <v>0</v>
          </cell>
          <cell r="BY192">
            <v>300</v>
          </cell>
          <cell r="BZ192">
            <v>36</v>
          </cell>
          <cell r="CD192">
            <v>0</v>
          </cell>
          <cell r="CE192">
            <v>330</v>
          </cell>
          <cell r="CF192">
            <v>39.6</v>
          </cell>
          <cell r="CJ192">
            <v>0</v>
          </cell>
          <cell r="CK192">
            <v>168</v>
          </cell>
          <cell r="CL192">
            <v>20.16</v>
          </cell>
          <cell r="CP192">
            <v>0</v>
          </cell>
          <cell r="CQ192">
            <v>1518</v>
          </cell>
          <cell r="CR192">
            <v>182.16</v>
          </cell>
          <cell r="CS192">
            <v>12</v>
          </cell>
          <cell r="CX192">
            <v>0</v>
          </cell>
          <cell r="CY192">
            <v>550</v>
          </cell>
          <cell r="CZ192">
            <v>66</v>
          </cell>
          <cell r="DA192">
            <v>12</v>
          </cell>
          <cell r="DF192">
            <v>0</v>
          </cell>
          <cell r="DG192">
            <v>600</v>
          </cell>
          <cell r="DH192">
            <v>72</v>
          </cell>
          <cell r="DI192">
            <v>12</v>
          </cell>
          <cell r="DN192">
            <v>0</v>
          </cell>
          <cell r="DO192">
            <v>720</v>
          </cell>
          <cell r="DP192">
            <v>86.4</v>
          </cell>
          <cell r="DQ192">
            <v>12.000000000000002</v>
          </cell>
          <cell r="DV192">
            <v>0</v>
          </cell>
          <cell r="DW192">
            <v>798</v>
          </cell>
          <cell r="DX192">
            <v>95.759999999999991</v>
          </cell>
          <cell r="DY192">
            <v>11.999999999999998</v>
          </cell>
        </row>
        <row r="193">
          <cell r="F193">
            <v>0</v>
          </cell>
          <cell r="G193">
            <v>2500</v>
          </cell>
          <cell r="H193">
            <v>635</v>
          </cell>
          <cell r="I193">
            <v>25.4</v>
          </cell>
          <cell r="N193">
            <v>0</v>
          </cell>
          <cell r="O193">
            <v>130</v>
          </cell>
          <cell r="P193">
            <v>33</v>
          </cell>
          <cell r="T193">
            <v>0</v>
          </cell>
          <cell r="U193">
            <v>150</v>
          </cell>
          <cell r="V193">
            <v>38</v>
          </cell>
          <cell r="Z193">
            <v>0</v>
          </cell>
          <cell r="AA193">
            <v>170</v>
          </cell>
          <cell r="AB193">
            <v>43</v>
          </cell>
          <cell r="AF193">
            <v>0</v>
          </cell>
          <cell r="AG193">
            <v>260</v>
          </cell>
          <cell r="AH193">
            <v>66</v>
          </cell>
          <cell r="AL193">
            <v>0</v>
          </cell>
          <cell r="AM193">
            <v>220</v>
          </cell>
          <cell r="AN193">
            <v>56</v>
          </cell>
          <cell r="AR193">
            <v>0</v>
          </cell>
          <cell r="AS193">
            <v>210</v>
          </cell>
          <cell r="AT193">
            <v>53</v>
          </cell>
          <cell r="AX193">
            <v>0</v>
          </cell>
          <cell r="AY193">
            <v>1140</v>
          </cell>
          <cell r="AZ193">
            <v>289</v>
          </cell>
          <cell r="BA193">
            <v>25.350877192982459</v>
          </cell>
          <cell r="BF193">
            <v>0</v>
          </cell>
          <cell r="BG193">
            <v>170</v>
          </cell>
          <cell r="BH193">
            <v>43</v>
          </cell>
          <cell r="BL193">
            <v>0</v>
          </cell>
          <cell r="BM193">
            <v>170</v>
          </cell>
          <cell r="BN193">
            <v>43</v>
          </cell>
          <cell r="BR193">
            <v>0</v>
          </cell>
          <cell r="BS193">
            <v>230</v>
          </cell>
          <cell r="BT193">
            <v>59</v>
          </cell>
          <cell r="BX193">
            <v>0</v>
          </cell>
          <cell r="BY193">
            <v>270</v>
          </cell>
          <cell r="BZ193">
            <v>69</v>
          </cell>
          <cell r="CD193">
            <v>0</v>
          </cell>
          <cell r="CE193">
            <v>260</v>
          </cell>
          <cell r="CF193">
            <v>66</v>
          </cell>
          <cell r="CJ193">
            <v>0</v>
          </cell>
          <cell r="CK193">
            <v>260</v>
          </cell>
          <cell r="CL193">
            <v>66</v>
          </cell>
          <cell r="CP193">
            <v>0</v>
          </cell>
          <cell r="CQ193">
            <v>1360</v>
          </cell>
          <cell r="CR193">
            <v>346</v>
          </cell>
          <cell r="CS193">
            <v>25.441176470588232</v>
          </cell>
          <cell r="CX193">
            <v>0</v>
          </cell>
          <cell r="CY193">
            <v>450</v>
          </cell>
          <cell r="CZ193">
            <v>114</v>
          </cell>
          <cell r="DA193">
            <v>25.333333333333336</v>
          </cell>
          <cell r="DF193">
            <v>0</v>
          </cell>
          <cell r="DG193">
            <v>690</v>
          </cell>
          <cell r="DH193">
            <v>175</v>
          </cell>
          <cell r="DI193">
            <v>25.362318840579711</v>
          </cell>
          <cell r="DN193">
            <v>0</v>
          </cell>
          <cell r="DO193">
            <v>570</v>
          </cell>
          <cell r="DP193">
            <v>145</v>
          </cell>
          <cell r="DQ193">
            <v>25.438596491228072</v>
          </cell>
          <cell r="DV193">
            <v>0</v>
          </cell>
          <cell r="DW193">
            <v>790</v>
          </cell>
          <cell r="DX193">
            <v>201</v>
          </cell>
          <cell r="DY193">
            <v>25.443037974683548</v>
          </cell>
        </row>
        <row r="194">
          <cell r="F194">
            <v>0</v>
          </cell>
          <cell r="G194">
            <v>0</v>
          </cell>
          <cell r="H194">
            <v>0</v>
          </cell>
          <cell r="I194">
            <v>0</v>
          </cell>
          <cell r="N194">
            <v>0</v>
          </cell>
          <cell r="T194">
            <v>0</v>
          </cell>
          <cell r="U194">
            <v>0</v>
          </cell>
          <cell r="Z194">
            <v>0</v>
          </cell>
          <cell r="AA194">
            <v>0</v>
          </cell>
          <cell r="AF194">
            <v>0</v>
          </cell>
          <cell r="AG194">
            <v>0</v>
          </cell>
          <cell r="AL194">
            <v>0</v>
          </cell>
          <cell r="AM194">
            <v>0</v>
          </cell>
          <cell r="AR194">
            <v>0</v>
          </cell>
          <cell r="AS194">
            <v>0</v>
          </cell>
          <cell r="AX194">
            <v>0</v>
          </cell>
          <cell r="AY194">
            <v>0</v>
          </cell>
          <cell r="AZ194">
            <v>0</v>
          </cell>
          <cell r="BA194">
            <v>0</v>
          </cell>
          <cell r="BF194">
            <v>0</v>
          </cell>
          <cell r="BG194">
            <v>0</v>
          </cell>
          <cell r="BL194">
            <v>0</v>
          </cell>
          <cell r="BM194">
            <v>0</v>
          </cell>
          <cell r="BR194">
            <v>0</v>
          </cell>
          <cell r="BS194">
            <v>0</v>
          </cell>
          <cell r="BX194">
            <v>0</v>
          </cell>
          <cell r="BY194">
            <v>0</v>
          </cell>
          <cell r="CD194">
            <v>0</v>
          </cell>
          <cell r="CE194">
            <v>0</v>
          </cell>
          <cell r="CJ194">
            <v>0</v>
          </cell>
          <cell r="CK194">
            <v>0</v>
          </cell>
          <cell r="CP194">
            <v>0</v>
          </cell>
          <cell r="CQ194">
            <v>0</v>
          </cell>
          <cell r="CR194">
            <v>0</v>
          </cell>
          <cell r="CS194">
            <v>0</v>
          </cell>
          <cell r="CX194">
            <v>0</v>
          </cell>
          <cell r="CY194">
            <v>0</v>
          </cell>
          <cell r="CZ194">
            <v>0</v>
          </cell>
          <cell r="DA194">
            <v>0</v>
          </cell>
          <cell r="DF194">
            <v>0</v>
          </cell>
          <cell r="DG194">
            <v>0</v>
          </cell>
          <cell r="DH194">
            <v>0</v>
          </cell>
          <cell r="DI194">
            <v>0</v>
          </cell>
          <cell r="DN194">
            <v>0</v>
          </cell>
          <cell r="DO194">
            <v>0</v>
          </cell>
          <cell r="DP194">
            <v>0</v>
          </cell>
          <cell r="DQ194">
            <v>0</v>
          </cell>
          <cell r="DV194">
            <v>0</v>
          </cell>
          <cell r="DW194">
            <v>0</v>
          </cell>
          <cell r="DX194">
            <v>0</v>
          </cell>
          <cell r="DY194">
            <v>0</v>
          </cell>
        </row>
        <row r="195">
          <cell r="F195">
            <v>32500</v>
          </cell>
          <cell r="G195">
            <v>12000</v>
          </cell>
          <cell r="H195">
            <v>3552.9450000000006</v>
          </cell>
          <cell r="I195">
            <v>29.607875000000007</v>
          </cell>
          <cell r="N195">
            <v>1700</v>
          </cell>
          <cell r="O195">
            <v>619</v>
          </cell>
          <cell r="P195">
            <v>114.75999999999999</v>
          </cell>
          <cell r="T195">
            <v>1870</v>
          </cell>
          <cell r="U195">
            <v>733</v>
          </cell>
          <cell r="V195">
            <v>147.59799999999998</v>
          </cell>
          <cell r="Z195">
            <v>2330</v>
          </cell>
          <cell r="AA195">
            <v>840</v>
          </cell>
          <cell r="AB195">
            <v>192.93</v>
          </cell>
          <cell r="AF195">
            <v>2570</v>
          </cell>
          <cell r="AG195">
            <v>977</v>
          </cell>
          <cell r="AH195">
            <v>248.13900000000001</v>
          </cell>
          <cell r="AL195">
            <v>2730</v>
          </cell>
          <cell r="AM195">
            <v>970</v>
          </cell>
          <cell r="AN195">
            <v>276.24599999999998</v>
          </cell>
          <cell r="AR195">
            <v>2850</v>
          </cell>
          <cell r="AS195">
            <v>980</v>
          </cell>
          <cell r="AT195">
            <v>302.11400000000003</v>
          </cell>
          <cell r="AX195">
            <v>14050</v>
          </cell>
          <cell r="AY195">
            <v>5119</v>
          </cell>
          <cell r="AZ195">
            <v>1281.787</v>
          </cell>
          <cell r="BA195">
            <v>25.039792928306309</v>
          </cell>
          <cell r="BF195">
            <v>3280</v>
          </cell>
          <cell r="BG195">
            <v>1119</v>
          </cell>
          <cell r="BH195">
            <v>369.69900000000001</v>
          </cell>
          <cell r="BL195">
            <v>2700</v>
          </cell>
          <cell r="BM195">
            <v>950</v>
          </cell>
          <cell r="BN195">
            <v>312.02199999999999</v>
          </cell>
          <cell r="BR195">
            <v>2810</v>
          </cell>
          <cell r="BS195">
            <v>1131</v>
          </cell>
          <cell r="BT195">
            <v>364.53999999999996</v>
          </cell>
          <cell r="BX195">
            <v>3680</v>
          </cell>
          <cell r="BY195">
            <v>1359</v>
          </cell>
          <cell r="BZ195">
            <v>453.32000000000005</v>
          </cell>
          <cell r="CD195">
            <v>3370</v>
          </cell>
          <cell r="CE195">
            <v>1325</v>
          </cell>
          <cell r="CF195">
            <v>432.50700000000006</v>
          </cell>
          <cell r="CJ195">
            <v>2610</v>
          </cell>
          <cell r="CK195">
            <v>997</v>
          </cell>
          <cell r="CL195">
            <v>339.07000000000005</v>
          </cell>
          <cell r="CP195">
            <v>18450</v>
          </cell>
          <cell r="CQ195">
            <v>6881</v>
          </cell>
          <cell r="CR195">
            <v>2271.1579999999994</v>
          </cell>
          <cell r="CS195">
            <v>33.006220026158978</v>
          </cell>
          <cell r="CX195">
            <v>5900</v>
          </cell>
          <cell r="CY195">
            <v>2192</v>
          </cell>
          <cell r="CZ195">
            <v>455.28800000000001</v>
          </cell>
          <cell r="DA195">
            <v>20.770437956204379</v>
          </cell>
          <cell r="DF195">
            <v>8150</v>
          </cell>
          <cell r="DG195">
            <v>2927</v>
          </cell>
          <cell r="DH195">
            <v>826.49900000000002</v>
          </cell>
          <cell r="DI195">
            <v>28.237068670994191</v>
          </cell>
          <cell r="DN195">
            <v>8790</v>
          </cell>
          <cell r="DO195">
            <v>3200</v>
          </cell>
          <cell r="DP195">
            <v>1046.261</v>
          </cell>
          <cell r="DQ195">
            <v>32.695656249999999</v>
          </cell>
          <cell r="DV195">
            <v>9660</v>
          </cell>
          <cell r="DW195">
            <v>3681</v>
          </cell>
          <cell r="DX195">
            <v>1224.8969999999999</v>
          </cell>
          <cell r="DY195">
            <v>33.276202118989403</v>
          </cell>
        </row>
        <row r="196">
          <cell r="F196">
            <v>400</v>
          </cell>
          <cell r="G196">
            <v>400</v>
          </cell>
          <cell r="H196">
            <v>127.55799999999999</v>
          </cell>
          <cell r="I196">
            <v>31.889499999999998</v>
          </cell>
          <cell r="N196">
            <v>200</v>
          </cell>
          <cell r="O196">
            <v>200</v>
          </cell>
          <cell r="P196">
            <v>62.912999999999997</v>
          </cell>
          <cell r="T196">
            <v>200</v>
          </cell>
          <cell r="U196">
            <v>200</v>
          </cell>
          <cell r="V196">
            <v>64.644999999999996</v>
          </cell>
          <cell r="Z196">
            <v>0</v>
          </cell>
          <cell r="AA196">
            <v>0</v>
          </cell>
          <cell r="AB196">
            <v>0</v>
          </cell>
          <cell r="AF196">
            <v>0</v>
          </cell>
          <cell r="AG196">
            <v>0</v>
          </cell>
          <cell r="AH196">
            <v>0</v>
          </cell>
          <cell r="AL196">
            <v>0</v>
          </cell>
          <cell r="AM196">
            <v>0</v>
          </cell>
          <cell r="AN196">
            <v>0</v>
          </cell>
          <cell r="AR196">
            <v>0</v>
          </cell>
          <cell r="AS196">
            <v>0</v>
          </cell>
          <cell r="AT196">
            <v>0</v>
          </cell>
          <cell r="AX196">
            <v>400</v>
          </cell>
          <cell r="AY196">
            <v>400</v>
          </cell>
          <cell r="AZ196">
            <v>127.55799999999999</v>
          </cell>
          <cell r="BA196">
            <v>31.889499999999998</v>
          </cell>
          <cell r="BF196">
            <v>0</v>
          </cell>
          <cell r="BG196">
            <v>0</v>
          </cell>
          <cell r="BH196">
            <v>0</v>
          </cell>
          <cell r="BL196">
            <v>0</v>
          </cell>
          <cell r="BM196">
            <v>0</v>
          </cell>
          <cell r="BN196">
            <v>0</v>
          </cell>
          <cell r="BR196">
            <v>0</v>
          </cell>
          <cell r="BS196">
            <v>0</v>
          </cell>
          <cell r="BT196">
            <v>0</v>
          </cell>
          <cell r="BX196">
            <v>0</v>
          </cell>
          <cell r="BY196">
            <v>0</v>
          </cell>
          <cell r="BZ196">
            <v>0</v>
          </cell>
          <cell r="CD196">
            <v>0</v>
          </cell>
          <cell r="CE196">
            <v>0</v>
          </cell>
          <cell r="CF196">
            <v>0</v>
          </cell>
          <cell r="CJ196">
            <v>0</v>
          </cell>
          <cell r="CK196">
            <v>0</v>
          </cell>
          <cell r="CL196">
            <v>0</v>
          </cell>
          <cell r="CP196">
            <v>0</v>
          </cell>
          <cell r="CQ196">
            <v>0</v>
          </cell>
          <cell r="CR196">
            <v>0</v>
          </cell>
          <cell r="CS196">
            <v>0</v>
          </cell>
          <cell r="CX196">
            <v>400</v>
          </cell>
          <cell r="CY196">
            <v>400</v>
          </cell>
          <cell r="CZ196">
            <v>127.55799999999999</v>
          </cell>
          <cell r="DA196">
            <v>31.889499999999998</v>
          </cell>
          <cell r="DF196">
            <v>0</v>
          </cell>
          <cell r="DG196">
            <v>0</v>
          </cell>
          <cell r="DH196">
            <v>0</v>
          </cell>
          <cell r="DI196">
            <v>0</v>
          </cell>
          <cell r="DN196">
            <v>0</v>
          </cell>
          <cell r="DO196">
            <v>0</v>
          </cell>
          <cell r="DP196">
            <v>0</v>
          </cell>
          <cell r="DQ196">
            <v>0</v>
          </cell>
          <cell r="DV196">
            <v>0</v>
          </cell>
          <cell r="DW196">
            <v>0</v>
          </cell>
          <cell r="DX196">
            <v>0</v>
          </cell>
          <cell r="DY196">
            <v>0</v>
          </cell>
        </row>
        <row r="197">
          <cell r="F197">
            <v>0</v>
          </cell>
          <cell r="G197">
            <v>0</v>
          </cell>
          <cell r="H197">
            <v>0</v>
          </cell>
          <cell r="I197">
            <v>0</v>
          </cell>
          <cell r="N197">
            <v>0</v>
          </cell>
          <cell r="O197">
            <v>0</v>
          </cell>
          <cell r="T197">
            <v>0</v>
          </cell>
          <cell r="U197">
            <v>0</v>
          </cell>
          <cell r="Z197">
            <v>0</v>
          </cell>
          <cell r="AA197">
            <v>0</v>
          </cell>
          <cell r="AF197">
            <v>0</v>
          </cell>
          <cell r="AG197">
            <v>0</v>
          </cell>
          <cell r="AL197">
            <v>0</v>
          </cell>
          <cell r="AM197">
            <v>0</v>
          </cell>
          <cell r="AR197">
            <v>0</v>
          </cell>
          <cell r="AS197">
            <v>0</v>
          </cell>
          <cell r="AX197">
            <v>0</v>
          </cell>
          <cell r="AY197">
            <v>0</v>
          </cell>
          <cell r="AZ197">
            <v>0</v>
          </cell>
          <cell r="BA197">
            <v>0</v>
          </cell>
          <cell r="BF197">
            <v>0</v>
          </cell>
          <cell r="BG197">
            <v>0</v>
          </cell>
          <cell r="BL197">
            <v>0</v>
          </cell>
          <cell r="BM197">
            <v>0</v>
          </cell>
          <cell r="BR197">
            <v>0</v>
          </cell>
          <cell r="BS197">
            <v>0</v>
          </cell>
          <cell r="BX197">
            <v>0</v>
          </cell>
          <cell r="BY197">
            <v>0</v>
          </cell>
          <cell r="CD197">
            <v>0</v>
          </cell>
          <cell r="CE197">
            <v>0</v>
          </cell>
          <cell r="CJ197">
            <v>0</v>
          </cell>
          <cell r="CK197">
            <v>0</v>
          </cell>
          <cell r="CP197">
            <v>0</v>
          </cell>
          <cell r="CQ197">
            <v>0</v>
          </cell>
          <cell r="CR197">
            <v>0</v>
          </cell>
          <cell r="CS197">
            <v>0</v>
          </cell>
          <cell r="CX197">
            <v>0</v>
          </cell>
          <cell r="CY197">
            <v>0</v>
          </cell>
          <cell r="CZ197">
            <v>0</v>
          </cell>
          <cell r="DA197">
            <v>0</v>
          </cell>
          <cell r="DF197">
            <v>0</v>
          </cell>
          <cell r="DG197">
            <v>0</v>
          </cell>
          <cell r="DH197">
            <v>0</v>
          </cell>
          <cell r="DI197">
            <v>0</v>
          </cell>
          <cell r="DN197">
            <v>0</v>
          </cell>
          <cell r="DO197">
            <v>0</v>
          </cell>
          <cell r="DP197">
            <v>0</v>
          </cell>
          <cell r="DQ197">
            <v>0</v>
          </cell>
          <cell r="DV197">
            <v>0</v>
          </cell>
          <cell r="DW197">
            <v>0</v>
          </cell>
          <cell r="DX197">
            <v>0</v>
          </cell>
          <cell r="DY197">
            <v>0</v>
          </cell>
        </row>
        <row r="198">
          <cell r="F198">
            <v>0</v>
          </cell>
          <cell r="G198">
            <v>0</v>
          </cell>
          <cell r="H198">
            <v>0</v>
          </cell>
          <cell r="I198">
            <v>0</v>
          </cell>
          <cell r="N198">
            <v>0</v>
          </cell>
          <cell r="O198">
            <v>0</v>
          </cell>
          <cell r="T198">
            <v>0</v>
          </cell>
          <cell r="U198">
            <v>0</v>
          </cell>
          <cell r="Z198">
            <v>0</v>
          </cell>
          <cell r="AA198">
            <v>0</v>
          </cell>
          <cell r="AF198">
            <v>0</v>
          </cell>
          <cell r="AG198">
            <v>0</v>
          </cell>
          <cell r="AL198">
            <v>0</v>
          </cell>
          <cell r="AM198">
            <v>0</v>
          </cell>
          <cell r="AR198">
            <v>0</v>
          </cell>
          <cell r="AS198">
            <v>0</v>
          </cell>
          <cell r="AX198">
            <v>0</v>
          </cell>
          <cell r="AY198">
            <v>0</v>
          </cell>
          <cell r="AZ198">
            <v>0</v>
          </cell>
          <cell r="BA198">
            <v>0</v>
          </cell>
          <cell r="BF198">
            <v>0</v>
          </cell>
          <cell r="BG198">
            <v>0</v>
          </cell>
          <cell r="BL198">
            <v>0</v>
          </cell>
          <cell r="BM198">
            <v>0</v>
          </cell>
          <cell r="BR198">
            <v>0</v>
          </cell>
          <cell r="BS198">
            <v>0</v>
          </cell>
          <cell r="BX198">
            <v>0</v>
          </cell>
          <cell r="BY198">
            <v>0</v>
          </cell>
          <cell r="CD198">
            <v>0</v>
          </cell>
          <cell r="CE198">
            <v>0</v>
          </cell>
          <cell r="CJ198">
            <v>0</v>
          </cell>
          <cell r="CK198">
            <v>0</v>
          </cell>
          <cell r="CP198">
            <v>0</v>
          </cell>
          <cell r="CQ198">
            <v>0</v>
          </cell>
          <cell r="CR198">
            <v>0</v>
          </cell>
          <cell r="CS198">
            <v>0</v>
          </cell>
          <cell r="CX198">
            <v>0</v>
          </cell>
          <cell r="CY198">
            <v>0</v>
          </cell>
          <cell r="CZ198">
            <v>0</v>
          </cell>
          <cell r="DA198">
            <v>0</v>
          </cell>
          <cell r="DF198">
            <v>0</v>
          </cell>
          <cell r="DG198">
            <v>0</v>
          </cell>
          <cell r="DH198">
            <v>0</v>
          </cell>
          <cell r="DI198">
            <v>0</v>
          </cell>
          <cell r="DN198">
            <v>0</v>
          </cell>
          <cell r="DO198">
            <v>0</v>
          </cell>
          <cell r="DP198">
            <v>0</v>
          </cell>
          <cell r="DQ198">
            <v>0</v>
          </cell>
          <cell r="DV198">
            <v>0</v>
          </cell>
          <cell r="DW198">
            <v>0</v>
          </cell>
          <cell r="DX198">
            <v>0</v>
          </cell>
          <cell r="DY198">
            <v>0</v>
          </cell>
        </row>
        <row r="199">
          <cell r="F199">
            <v>0</v>
          </cell>
          <cell r="G199">
            <v>0</v>
          </cell>
          <cell r="H199">
            <v>0</v>
          </cell>
          <cell r="I199">
            <v>0</v>
          </cell>
          <cell r="N199">
            <v>0</v>
          </cell>
          <cell r="O199">
            <v>0</v>
          </cell>
          <cell r="T199">
            <v>0</v>
          </cell>
          <cell r="U199">
            <v>0</v>
          </cell>
          <cell r="Z199">
            <v>0</v>
          </cell>
          <cell r="AA199">
            <v>0</v>
          </cell>
          <cell r="AF199">
            <v>0</v>
          </cell>
          <cell r="AG199">
            <v>0</v>
          </cell>
          <cell r="AL199">
            <v>0</v>
          </cell>
          <cell r="AM199">
            <v>0</v>
          </cell>
          <cell r="AR199">
            <v>0</v>
          </cell>
          <cell r="AS199">
            <v>0</v>
          </cell>
          <cell r="AX199">
            <v>0</v>
          </cell>
          <cell r="AY199">
            <v>0</v>
          </cell>
          <cell r="AZ199">
            <v>0</v>
          </cell>
          <cell r="BA199">
            <v>0</v>
          </cell>
          <cell r="BF199">
            <v>0</v>
          </cell>
          <cell r="BG199">
            <v>0</v>
          </cell>
          <cell r="BL199">
            <v>0</v>
          </cell>
          <cell r="BM199">
            <v>0</v>
          </cell>
          <cell r="BR199">
            <v>0</v>
          </cell>
          <cell r="BS199">
            <v>0</v>
          </cell>
          <cell r="BX199">
            <v>0</v>
          </cell>
          <cell r="BY199">
            <v>0</v>
          </cell>
          <cell r="CD199">
            <v>0</v>
          </cell>
          <cell r="CE199">
            <v>0</v>
          </cell>
          <cell r="CJ199">
            <v>0</v>
          </cell>
          <cell r="CK199">
            <v>0</v>
          </cell>
          <cell r="CP199">
            <v>0</v>
          </cell>
          <cell r="CQ199">
            <v>0</v>
          </cell>
          <cell r="CR199">
            <v>0</v>
          </cell>
          <cell r="CS199">
            <v>0</v>
          </cell>
          <cell r="CX199">
            <v>0</v>
          </cell>
          <cell r="CY199">
            <v>0</v>
          </cell>
          <cell r="CZ199">
            <v>0</v>
          </cell>
          <cell r="DA199">
            <v>0</v>
          </cell>
          <cell r="DF199">
            <v>0</v>
          </cell>
          <cell r="DG199">
            <v>0</v>
          </cell>
          <cell r="DH199">
            <v>0</v>
          </cell>
          <cell r="DI199">
            <v>0</v>
          </cell>
          <cell r="DN199">
            <v>0</v>
          </cell>
          <cell r="DO199">
            <v>0</v>
          </cell>
          <cell r="DP199">
            <v>0</v>
          </cell>
          <cell r="DQ199">
            <v>0</v>
          </cell>
          <cell r="DV199">
            <v>0</v>
          </cell>
          <cell r="DW199">
            <v>0</v>
          </cell>
          <cell r="DX199">
            <v>0</v>
          </cell>
          <cell r="DY199">
            <v>0</v>
          </cell>
        </row>
        <row r="200">
          <cell r="F200">
            <v>0</v>
          </cell>
          <cell r="G200">
            <v>0</v>
          </cell>
          <cell r="H200">
            <v>0</v>
          </cell>
          <cell r="I200">
            <v>0</v>
          </cell>
          <cell r="AX200">
            <v>0</v>
          </cell>
          <cell r="AY200">
            <v>0</v>
          </cell>
          <cell r="AZ200">
            <v>0</v>
          </cell>
          <cell r="BA200">
            <v>0</v>
          </cell>
          <cell r="CP200">
            <v>0</v>
          </cell>
          <cell r="CQ200">
            <v>0</v>
          </cell>
          <cell r="CR200">
            <v>0</v>
          </cell>
          <cell r="CS200">
            <v>0</v>
          </cell>
          <cell r="CX200">
            <v>0</v>
          </cell>
          <cell r="CY200">
            <v>0</v>
          </cell>
          <cell r="CZ200">
            <v>0</v>
          </cell>
          <cell r="DA200">
            <v>0</v>
          </cell>
          <cell r="DF200">
            <v>0</v>
          </cell>
          <cell r="DG200">
            <v>0</v>
          </cell>
          <cell r="DH200">
            <v>0</v>
          </cell>
          <cell r="DI200">
            <v>0</v>
          </cell>
          <cell r="DN200">
            <v>0</v>
          </cell>
          <cell r="DO200">
            <v>0</v>
          </cell>
          <cell r="DP200">
            <v>0</v>
          </cell>
          <cell r="DQ200">
            <v>0</v>
          </cell>
          <cell r="DV200">
            <v>0</v>
          </cell>
          <cell r="DW200">
            <v>0</v>
          </cell>
          <cell r="DX200">
            <v>0</v>
          </cell>
          <cell r="DY200">
            <v>0</v>
          </cell>
        </row>
        <row r="201">
          <cell r="F201">
            <v>0</v>
          </cell>
          <cell r="G201">
            <v>0</v>
          </cell>
          <cell r="H201">
            <v>0</v>
          </cell>
          <cell r="I201">
            <v>0</v>
          </cell>
          <cell r="N201">
            <v>0</v>
          </cell>
          <cell r="O201">
            <v>0</v>
          </cell>
          <cell r="T201">
            <v>0</v>
          </cell>
          <cell r="U201">
            <v>0</v>
          </cell>
          <cell r="Z201">
            <v>0</v>
          </cell>
          <cell r="AA201">
            <v>0</v>
          </cell>
          <cell r="AF201">
            <v>0</v>
          </cell>
          <cell r="AG201">
            <v>0</v>
          </cell>
          <cell r="AL201">
            <v>0</v>
          </cell>
          <cell r="AM201">
            <v>0</v>
          </cell>
          <cell r="AR201">
            <v>0</v>
          </cell>
          <cell r="AS201">
            <v>0</v>
          </cell>
          <cell r="AX201">
            <v>0</v>
          </cell>
          <cell r="AY201">
            <v>0</v>
          </cell>
          <cell r="AZ201">
            <v>0</v>
          </cell>
          <cell r="BA201">
            <v>0</v>
          </cell>
          <cell r="BF201">
            <v>0</v>
          </cell>
          <cell r="BG201">
            <v>0</v>
          </cell>
          <cell r="BL201">
            <v>0</v>
          </cell>
          <cell r="BM201">
            <v>0</v>
          </cell>
          <cell r="BR201">
            <v>0</v>
          </cell>
          <cell r="BS201">
            <v>0</v>
          </cell>
          <cell r="BX201">
            <v>0</v>
          </cell>
          <cell r="BY201">
            <v>0</v>
          </cell>
          <cell r="CD201">
            <v>0</v>
          </cell>
          <cell r="CE201">
            <v>0</v>
          </cell>
          <cell r="CJ201">
            <v>0</v>
          </cell>
          <cell r="CK201">
            <v>0</v>
          </cell>
          <cell r="CP201">
            <v>0</v>
          </cell>
          <cell r="CQ201">
            <v>0</v>
          </cell>
          <cell r="CR201">
            <v>0</v>
          </cell>
          <cell r="CS201">
            <v>0</v>
          </cell>
          <cell r="CX201">
            <v>0</v>
          </cell>
          <cell r="CY201">
            <v>0</v>
          </cell>
          <cell r="CZ201">
            <v>0</v>
          </cell>
          <cell r="DA201">
            <v>0</v>
          </cell>
          <cell r="DF201">
            <v>0</v>
          </cell>
          <cell r="DG201">
            <v>0</v>
          </cell>
          <cell r="DH201">
            <v>0</v>
          </cell>
          <cell r="DI201">
            <v>0</v>
          </cell>
          <cell r="DN201">
            <v>0</v>
          </cell>
          <cell r="DO201">
            <v>0</v>
          </cell>
          <cell r="DP201">
            <v>0</v>
          </cell>
          <cell r="DQ201">
            <v>0</v>
          </cell>
          <cell r="DV201">
            <v>0</v>
          </cell>
          <cell r="DW201">
            <v>0</v>
          </cell>
          <cell r="DX201">
            <v>0</v>
          </cell>
          <cell r="DY201">
            <v>0</v>
          </cell>
        </row>
        <row r="202">
          <cell r="F202">
            <v>3500</v>
          </cell>
          <cell r="G202">
            <v>4200</v>
          </cell>
          <cell r="H202">
            <v>2459.192</v>
          </cell>
          <cell r="I202">
            <v>58.552190476190482</v>
          </cell>
          <cell r="N202">
            <v>0</v>
          </cell>
          <cell r="O202">
            <v>0</v>
          </cell>
          <cell r="P202">
            <v>0</v>
          </cell>
          <cell r="T202">
            <v>0</v>
          </cell>
          <cell r="U202">
            <v>0</v>
          </cell>
          <cell r="V202">
            <v>0</v>
          </cell>
          <cell r="Z202">
            <v>200</v>
          </cell>
          <cell r="AA202">
            <v>240</v>
          </cell>
          <cell r="AB202">
            <v>125.881</v>
          </cell>
          <cell r="AF202">
            <v>300</v>
          </cell>
          <cell r="AG202">
            <v>360</v>
          </cell>
          <cell r="AH202">
            <v>189.15700000000001</v>
          </cell>
          <cell r="AL202">
            <v>340</v>
          </cell>
          <cell r="AM202">
            <v>408</v>
          </cell>
          <cell r="AN202">
            <v>216.41900000000001</v>
          </cell>
          <cell r="AR202">
            <v>340</v>
          </cell>
          <cell r="AS202">
            <v>408</v>
          </cell>
          <cell r="AT202">
            <v>219.392</v>
          </cell>
          <cell r="AX202">
            <v>1180</v>
          </cell>
          <cell r="AY202">
            <v>1416</v>
          </cell>
          <cell r="AZ202">
            <v>750.84900000000005</v>
          </cell>
          <cell r="BA202">
            <v>53.026059322033902</v>
          </cell>
          <cell r="BF202">
            <v>300</v>
          </cell>
          <cell r="BG202">
            <v>360</v>
          </cell>
          <cell r="BH202">
            <v>205.19</v>
          </cell>
          <cell r="BL202">
            <v>230</v>
          </cell>
          <cell r="BM202">
            <v>276</v>
          </cell>
          <cell r="BN202">
            <v>166.614</v>
          </cell>
          <cell r="BR202">
            <v>420</v>
          </cell>
          <cell r="BS202">
            <v>504</v>
          </cell>
          <cell r="BT202">
            <v>307.58800000000002</v>
          </cell>
          <cell r="BX202">
            <v>420</v>
          </cell>
          <cell r="BY202">
            <v>504</v>
          </cell>
          <cell r="BZ202">
            <v>312.209</v>
          </cell>
          <cell r="CD202">
            <v>460</v>
          </cell>
          <cell r="CE202">
            <v>552</v>
          </cell>
          <cell r="CF202">
            <v>345.66500000000002</v>
          </cell>
          <cell r="CJ202">
            <v>490</v>
          </cell>
          <cell r="CK202">
            <v>588</v>
          </cell>
          <cell r="CL202">
            <v>371.077</v>
          </cell>
          <cell r="CP202">
            <v>2320</v>
          </cell>
          <cell r="CQ202">
            <v>2784</v>
          </cell>
          <cell r="CR202">
            <v>1708.3430000000001</v>
          </cell>
          <cell r="CS202">
            <v>61.362895114942532</v>
          </cell>
          <cell r="CX202">
            <v>200</v>
          </cell>
          <cell r="CY202">
            <v>240</v>
          </cell>
          <cell r="CZ202">
            <v>125.881</v>
          </cell>
          <cell r="DA202">
            <v>52.450416666666669</v>
          </cell>
          <cell r="DF202">
            <v>980</v>
          </cell>
          <cell r="DG202">
            <v>1176</v>
          </cell>
          <cell r="DH202">
            <v>624.96800000000007</v>
          </cell>
          <cell r="DI202">
            <v>53.143537414965991</v>
          </cell>
          <cell r="DN202">
            <v>950</v>
          </cell>
          <cell r="DO202">
            <v>1140</v>
          </cell>
          <cell r="DP202">
            <v>679.39200000000005</v>
          </cell>
          <cell r="DQ202">
            <v>59.595789473684214</v>
          </cell>
          <cell r="DV202">
            <v>1370</v>
          </cell>
          <cell r="DW202">
            <v>1644</v>
          </cell>
          <cell r="DX202">
            <v>1028.951</v>
          </cell>
          <cell r="DY202">
            <v>62.588260340632608</v>
          </cell>
        </row>
        <row r="203">
          <cell r="F203">
            <v>0</v>
          </cell>
          <cell r="G203">
            <v>0</v>
          </cell>
          <cell r="H203">
            <v>0</v>
          </cell>
          <cell r="I203">
            <v>0</v>
          </cell>
          <cell r="AX203">
            <v>0</v>
          </cell>
          <cell r="AY203">
            <v>0</v>
          </cell>
          <cell r="AZ203">
            <v>0</v>
          </cell>
          <cell r="BA203">
            <v>0</v>
          </cell>
          <cell r="CP203">
            <v>0</v>
          </cell>
          <cell r="CQ203">
            <v>0</v>
          </cell>
          <cell r="CR203">
            <v>0</v>
          </cell>
          <cell r="CS203">
            <v>0</v>
          </cell>
          <cell r="CX203">
            <v>0</v>
          </cell>
          <cell r="CY203">
            <v>0</v>
          </cell>
          <cell r="CZ203">
            <v>0</v>
          </cell>
          <cell r="DA203">
            <v>0</v>
          </cell>
          <cell r="DF203">
            <v>0</v>
          </cell>
          <cell r="DG203">
            <v>0</v>
          </cell>
          <cell r="DH203">
            <v>0</v>
          </cell>
          <cell r="DI203">
            <v>0</v>
          </cell>
          <cell r="DN203">
            <v>0</v>
          </cell>
          <cell r="DO203">
            <v>0</v>
          </cell>
          <cell r="DP203">
            <v>0</v>
          </cell>
          <cell r="DQ203">
            <v>0</v>
          </cell>
          <cell r="DV203">
            <v>0</v>
          </cell>
          <cell r="DW203">
            <v>0</v>
          </cell>
          <cell r="DX203">
            <v>0</v>
          </cell>
          <cell r="DY203">
            <v>0</v>
          </cell>
        </row>
        <row r="204">
          <cell r="F204">
            <v>0</v>
          </cell>
          <cell r="G204">
            <v>0</v>
          </cell>
          <cell r="H204">
            <v>0</v>
          </cell>
          <cell r="I204">
            <v>0</v>
          </cell>
          <cell r="N204">
            <v>0</v>
          </cell>
          <cell r="O204">
            <v>0</v>
          </cell>
          <cell r="T204">
            <v>0</v>
          </cell>
          <cell r="U204">
            <v>0</v>
          </cell>
          <cell r="Z204">
            <v>0</v>
          </cell>
          <cell r="AA204">
            <v>0</v>
          </cell>
          <cell r="AF204">
            <v>0</v>
          </cell>
          <cell r="AG204">
            <v>0</v>
          </cell>
          <cell r="AL204">
            <v>0</v>
          </cell>
          <cell r="AM204">
            <v>0</v>
          </cell>
          <cell r="AR204">
            <v>0</v>
          </cell>
          <cell r="AS204">
            <v>0</v>
          </cell>
          <cell r="AX204">
            <v>0</v>
          </cell>
          <cell r="AY204">
            <v>0</v>
          </cell>
          <cell r="AZ204">
            <v>0</v>
          </cell>
          <cell r="BA204">
            <v>0</v>
          </cell>
          <cell r="BF204">
            <v>0</v>
          </cell>
          <cell r="BG204">
            <v>0</v>
          </cell>
          <cell r="BL204">
            <v>0</v>
          </cell>
          <cell r="BM204">
            <v>0</v>
          </cell>
          <cell r="BR204">
            <v>0</v>
          </cell>
          <cell r="BS204">
            <v>0</v>
          </cell>
          <cell r="BX204">
            <v>0</v>
          </cell>
          <cell r="BY204">
            <v>0</v>
          </cell>
          <cell r="CD204">
            <v>0</v>
          </cell>
          <cell r="CE204">
            <v>0</v>
          </cell>
          <cell r="CJ204">
            <v>0</v>
          </cell>
          <cell r="CK204">
            <v>0</v>
          </cell>
          <cell r="CP204">
            <v>0</v>
          </cell>
          <cell r="CQ204">
            <v>0</v>
          </cell>
          <cell r="CR204">
            <v>0</v>
          </cell>
          <cell r="CS204">
            <v>0</v>
          </cell>
          <cell r="CX204">
            <v>0</v>
          </cell>
          <cell r="CY204">
            <v>0</v>
          </cell>
          <cell r="CZ204">
            <v>0</v>
          </cell>
          <cell r="DA204">
            <v>0</v>
          </cell>
          <cell r="DF204">
            <v>0</v>
          </cell>
          <cell r="DG204">
            <v>0</v>
          </cell>
          <cell r="DH204">
            <v>0</v>
          </cell>
          <cell r="DI204">
            <v>0</v>
          </cell>
          <cell r="DN204">
            <v>0</v>
          </cell>
          <cell r="DO204">
            <v>0</v>
          </cell>
          <cell r="DP204">
            <v>0</v>
          </cell>
          <cell r="DQ204">
            <v>0</v>
          </cell>
          <cell r="DV204">
            <v>0</v>
          </cell>
          <cell r="DW204">
            <v>0</v>
          </cell>
          <cell r="DX204">
            <v>0</v>
          </cell>
          <cell r="DY204">
            <v>0</v>
          </cell>
        </row>
        <row r="205">
          <cell r="F205">
            <v>0</v>
          </cell>
          <cell r="G205">
            <v>0</v>
          </cell>
          <cell r="H205">
            <v>0</v>
          </cell>
          <cell r="I205">
            <v>0</v>
          </cell>
          <cell r="N205">
            <v>0</v>
          </cell>
          <cell r="O205">
            <v>0</v>
          </cell>
          <cell r="T205">
            <v>0</v>
          </cell>
          <cell r="U205">
            <v>0</v>
          </cell>
          <cell r="Z205">
            <v>0</v>
          </cell>
          <cell r="AA205">
            <v>0</v>
          </cell>
          <cell r="AF205">
            <v>0</v>
          </cell>
          <cell r="AG205">
            <v>0</v>
          </cell>
          <cell r="AL205">
            <v>0</v>
          </cell>
          <cell r="AM205">
            <v>0</v>
          </cell>
          <cell r="AR205">
            <v>0</v>
          </cell>
          <cell r="AS205">
            <v>0</v>
          </cell>
          <cell r="AX205">
            <v>0</v>
          </cell>
          <cell r="AY205">
            <v>0</v>
          </cell>
          <cell r="AZ205">
            <v>0</v>
          </cell>
          <cell r="BA205">
            <v>0</v>
          </cell>
          <cell r="BF205">
            <v>0</v>
          </cell>
          <cell r="BG205">
            <v>0</v>
          </cell>
          <cell r="BL205">
            <v>0</v>
          </cell>
          <cell r="BM205">
            <v>0</v>
          </cell>
          <cell r="BR205">
            <v>0</v>
          </cell>
          <cell r="BS205">
            <v>0</v>
          </cell>
          <cell r="BX205">
            <v>0</v>
          </cell>
          <cell r="BY205">
            <v>0</v>
          </cell>
          <cell r="CD205">
            <v>0</v>
          </cell>
          <cell r="CE205">
            <v>0</v>
          </cell>
          <cell r="CJ205">
            <v>0</v>
          </cell>
          <cell r="CK205">
            <v>0</v>
          </cell>
          <cell r="CP205">
            <v>0</v>
          </cell>
          <cell r="CQ205">
            <v>0</v>
          </cell>
          <cell r="CR205">
            <v>0</v>
          </cell>
          <cell r="CS205">
            <v>0</v>
          </cell>
          <cell r="CX205">
            <v>0</v>
          </cell>
          <cell r="CY205">
            <v>0</v>
          </cell>
          <cell r="CZ205">
            <v>0</v>
          </cell>
          <cell r="DA205">
            <v>0</v>
          </cell>
          <cell r="DF205">
            <v>0</v>
          </cell>
          <cell r="DG205">
            <v>0</v>
          </cell>
          <cell r="DH205">
            <v>0</v>
          </cell>
          <cell r="DI205">
            <v>0</v>
          </cell>
          <cell r="DN205">
            <v>0</v>
          </cell>
          <cell r="DO205">
            <v>0</v>
          </cell>
          <cell r="DP205">
            <v>0</v>
          </cell>
          <cell r="DQ205">
            <v>0</v>
          </cell>
          <cell r="DV205">
            <v>0</v>
          </cell>
          <cell r="DW205">
            <v>0</v>
          </cell>
          <cell r="DX205">
            <v>0</v>
          </cell>
          <cell r="DY205">
            <v>0</v>
          </cell>
        </row>
        <row r="206">
          <cell r="F206">
            <v>2500</v>
          </cell>
          <cell r="G206">
            <v>250</v>
          </cell>
          <cell r="H206">
            <v>162.5</v>
          </cell>
          <cell r="I206">
            <v>65</v>
          </cell>
          <cell r="N206">
            <v>200</v>
          </cell>
          <cell r="O206">
            <v>20</v>
          </cell>
          <cell r="P206">
            <v>13</v>
          </cell>
          <cell r="T206">
            <v>200</v>
          </cell>
          <cell r="U206">
            <v>20</v>
          </cell>
          <cell r="V206">
            <v>13</v>
          </cell>
          <cell r="Z206">
            <v>300</v>
          </cell>
          <cell r="AA206">
            <v>30</v>
          </cell>
          <cell r="AB206">
            <v>19.5</v>
          </cell>
          <cell r="AF206">
            <v>250</v>
          </cell>
          <cell r="AG206">
            <v>25</v>
          </cell>
          <cell r="AH206">
            <v>16.25</v>
          </cell>
          <cell r="AL206">
            <v>300</v>
          </cell>
          <cell r="AM206">
            <v>30</v>
          </cell>
          <cell r="AN206">
            <v>19.5</v>
          </cell>
          <cell r="AR206">
            <v>250</v>
          </cell>
          <cell r="AS206">
            <v>25</v>
          </cell>
          <cell r="AT206">
            <v>16.25</v>
          </cell>
          <cell r="AX206">
            <v>1500</v>
          </cell>
          <cell r="AY206">
            <v>150</v>
          </cell>
          <cell r="AZ206">
            <v>97.5</v>
          </cell>
          <cell r="BA206">
            <v>65</v>
          </cell>
          <cell r="BF206">
            <v>200</v>
          </cell>
          <cell r="BG206">
            <v>20</v>
          </cell>
          <cell r="BH206">
            <v>13</v>
          </cell>
          <cell r="BL206">
            <v>200</v>
          </cell>
          <cell r="BM206">
            <v>20</v>
          </cell>
          <cell r="BN206">
            <v>13</v>
          </cell>
          <cell r="BR206">
            <v>200</v>
          </cell>
          <cell r="BS206">
            <v>20</v>
          </cell>
          <cell r="BT206">
            <v>13</v>
          </cell>
          <cell r="BX206">
            <v>200</v>
          </cell>
          <cell r="BY206">
            <v>20</v>
          </cell>
          <cell r="BZ206">
            <v>13</v>
          </cell>
          <cell r="CD206">
            <v>100</v>
          </cell>
          <cell r="CE206">
            <v>10</v>
          </cell>
          <cell r="CF206">
            <v>6.5</v>
          </cell>
          <cell r="CJ206">
            <v>100</v>
          </cell>
          <cell r="CK206">
            <v>10</v>
          </cell>
          <cell r="CL206">
            <v>6.5</v>
          </cell>
          <cell r="CP206">
            <v>1000</v>
          </cell>
          <cell r="CQ206">
            <v>100</v>
          </cell>
          <cell r="CR206">
            <v>65</v>
          </cell>
          <cell r="CS206">
            <v>65</v>
          </cell>
          <cell r="CX206">
            <v>700</v>
          </cell>
          <cell r="CY206">
            <v>70</v>
          </cell>
          <cell r="CZ206">
            <v>45.5</v>
          </cell>
          <cell r="DA206">
            <v>65</v>
          </cell>
          <cell r="DF206">
            <v>800</v>
          </cell>
          <cell r="DG206">
            <v>80</v>
          </cell>
          <cell r="DH206">
            <v>52</v>
          </cell>
          <cell r="DI206">
            <v>65</v>
          </cell>
          <cell r="DN206">
            <v>600</v>
          </cell>
          <cell r="DO206">
            <v>60</v>
          </cell>
          <cell r="DP206">
            <v>39</v>
          </cell>
          <cell r="DQ206">
            <v>65</v>
          </cell>
          <cell r="DV206">
            <v>400</v>
          </cell>
          <cell r="DW206">
            <v>40</v>
          </cell>
          <cell r="DX206">
            <v>26</v>
          </cell>
          <cell r="DY206">
            <v>65</v>
          </cell>
        </row>
        <row r="207">
          <cell r="F207">
            <v>2204</v>
          </cell>
          <cell r="G207">
            <v>551</v>
          </cell>
          <cell r="H207">
            <v>321.60199999999998</v>
          </cell>
          <cell r="I207">
            <v>58.366969147005442</v>
          </cell>
          <cell r="N207">
            <v>0</v>
          </cell>
          <cell r="O207">
            <v>0</v>
          </cell>
          <cell r="P207">
            <v>0</v>
          </cell>
          <cell r="T207">
            <v>0</v>
          </cell>
          <cell r="U207">
            <v>0</v>
          </cell>
          <cell r="V207">
            <v>0</v>
          </cell>
          <cell r="Z207">
            <v>200</v>
          </cell>
          <cell r="AA207">
            <v>50</v>
          </cell>
          <cell r="AB207">
            <v>28.776</v>
          </cell>
          <cell r="AF207">
            <v>150</v>
          </cell>
          <cell r="AG207">
            <v>37.5</v>
          </cell>
          <cell r="AH207">
            <v>22.082000000000001</v>
          </cell>
          <cell r="AL207">
            <v>210</v>
          </cell>
          <cell r="AM207">
            <v>52.5</v>
          </cell>
          <cell r="AN207">
            <v>30.716999999999999</v>
          </cell>
          <cell r="AR207">
            <v>260</v>
          </cell>
          <cell r="AS207">
            <v>65</v>
          </cell>
          <cell r="AT207">
            <v>37.408999999999999</v>
          </cell>
          <cell r="AX207">
            <v>820</v>
          </cell>
          <cell r="AY207">
            <v>205</v>
          </cell>
          <cell r="AZ207">
            <v>118.98399999999999</v>
          </cell>
          <cell r="BA207">
            <v>58.040975609756096</v>
          </cell>
          <cell r="BF207">
            <v>200</v>
          </cell>
          <cell r="BG207">
            <v>50</v>
          </cell>
          <cell r="BH207">
            <v>29.277999999999999</v>
          </cell>
          <cell r="BL207">
            <v>116</v>
          </cell>
          <cell r="BM207">
            <v>29</v>
          </cell>
          <cell r="BN207">
            <v>16.981999999999999</v>
          </cell>
          <cell r="BR207">
            <v>224</v>
          </cell>
          <cell r="BS207">
            <v>56</v>
          </cell>
          <cell r="BT207">
            <v>32.795999999999999</v>
          </cell>
          <cell r="BX207">
            <v>284</v>
          </cell>
          <cell r="BY207">
            <v>71</v>
          </cell>
          <cell r="BZ207">
            <v>41.578000000000003</v>
          </cell>
          <cell r="CD207">
            <v>292</v>
          </cell>
          <cell r="CE207">
            <v>73</v>
          </cell>
          <cell r="CF207">
            <v>42.749000000000002</v>
          </cell>
          <cell r="CJ207">
            <v>268</v>
          </cell>
          <cell r="CK207">
            <v>67</v>
          </cell>
          <cell r="CL207">
            <v>39.234999999999999</v>
          </cell>
          <cell r="CP207">
            <v>1384</v>
          </cell>
          <cell r="CQ207">
            <v>346</v>
          </cell>
          <cell r="CR207">
            <v>202.61799999999999</v>
          </cell>
          <cell r="CS207">
            <v>58.560115606936414</v>
          </cell>
          <cell r="CX207">
            <v>200</v>
          </cell>
          <cell r="CY207">
            <v>50</v>
          </cell>
          <cell r="CZ207">
            <v>28.776</v>
          </cell>
          <cell r="DA207">
            <v>57.552000000000007</v>
          </cell>
          <cell r="DF207">
            <v>620</v>
          </cell>
          <cell r="DG207">
            <v>155</v>
          </cell>
          <cell r="DH207">
            <v>90.207999999999998</v>
          </cell>
          <cell r="DI207">
            <v>58.198709677419359</v>
          </cell>
          <cell r="DN207">
            <v>540</v>
          </cell>
          <cell r="DO207">
            <v>135</v>
          </cell>
          <cell r="DP207">
            <v>79.055999999999997</v>
          </cell>
          <cell r="DQ207">
            <v>58.56</v>
          </cell>
          <cell r="DV207">
            <v>844</v>
          </cell>
          <cell r="DW207">
            <v>211</v>
          </cell>
          <cell r="DX207">
            <v>123.562</v>
          </cell>
          <cell r="DY207">
            <v>58.560189573459724</v>
          </cell>
        </row>
        <row r="208">
          <cell r="F208">
            <v>8604</v>
          </cell>
          <cell r="G208">
            <v>5401</v>
          </cell>
          <cell r="H208">
            <v>3070.8519999999999</v>
          </cell>
          <cell r="I208">
            <v>56.857100536937601</v>
          </cell>
          <cell r="N208">
            <v>400</v>
          </cell>
          <cell r="O208">
            <v>220</v>
          </cell>
          <cell r="P208">
            <v>75.912999999999997</v>
          </cell>
          <cell r="T208">
            <v>400</v>
          </cell>
          <cell r="U208">
            <v>220</v>
          </cell>
          <cell r="V208">
            <v>77.644999999999996</v>
          </cell>
          <cell r="Z208">
            <v>700</v>
          </cell>
          <cell r="AA208">
            <v>320</v>
          </cell>
          <cell r="AB208">
            <v>174.15700000000001</v>
          </cell>
          <cell r="AF208">
            <v>700</v>
          </cell>
          <cell r="AG208">
            <v>422.5</v>
          </cell>
          <cell r="AH208">
            <v>227.489</v>
          </cell>
          <cell r="AL208">
            <v>850</v>
          </cell>
          <cell r="AM208">
            <v>490.5</v>
          </cell>
          <cell r="AN208">
            <v>266.63600000000002</v>
          </cell>
          <cell r="AR208">
            <v>850</v>
          </cell>
          <cell r="AS208">
            <v>498</v>
          </cell>
          <cell r="AT208">
            <v>273.05099999999999</v>
          </cell>
          <cell r="AX208">
            <v>3900</v>
          </cell>
          <cell r="AY208">
            <v>2171</v>
          </cell>
          <cell r="AZ208">
            <v>1094.8910000000001</v>
          </cell>
          <cell r="BA208">
            <v>50.432565637954866</v>
          </cell>
          <cell r="BF208">
            <v>700</v>
          </cell>
          <cell r="BG208">
            <v>430</v>
          </cell>
          <cell r="BH208">
            <v>247.46799999999999</v>
          </cell>
          <cell r="BL208">
            <v>546</v>
          </cell>
          <cell r="BM208">
            <v>325</v>
          </cell>
          <cell r="BN208">
            <v>196.596</v>
          </cell>
          <cell r="BR208">
            <v>844</v>
          </cell>
          <cell r="BS208">
            <v>580</v>
          </cell>
          <cell r="BT208">
            <v>353.38400000000001</v>
          </cell>
          <cell r="BX208">
            <v>904</v>
          </cell>
          <cell r="BY208">
            <v>595</v>
          </cell>
          <cell r="BZ208">
            <v>366.78700000000003</v>
          </cell>
          <cell r="CD208">
            <v>852</v>
          </cell>
          <cell r="CE208">
            <v>635</v>
          </cell>
          <cell r="CF208">
            <v>394.91400000000004</v>
          </cell>
          <cell r="CJ208">
            <v>858</v>
          </cell>
          <cell r="CK208">
            <v>665</v>
          </cell>
          <cell r="CL208">
            <v>416.81200000000001</v>
          </cell>
          <cell r="CP208">
            <v>4704</v>
          </cell>
          <cell r="CQ208">
            <v>3230</v>
          </cell>
          <cell r="CR208">
            <v>1975.961</v>
          </cell>
          <cell r="CS208">
            <v>61.175263157894733</v>
          </cell>
          <cell r="CX208">
            <v>1500</v>
          </cell>
          <cell r="CY208">
            <v>760</v>
          </cell>
          <cell r="CZ208">
            <v>327.71499999999997</v>
          </cell>
          <cell r="DA208">
            <v>43.120394736842101</v>
          </cell>
          <cell r="DF208">
            <v>2400</v>
          </cell>
          <cell r="DG208">
            <v>1411</v>
          </cell>
          <cell r="DH208">
            <v>767.17600000000004</v>
          </cell>
          <cell r="DI208">
            <v>54.371084337349394</v>
          </cell>
          <cell r="DN208">
            <v>2090</v>
          </cell>
          <cell r="DO208">
            <v>1335</v>
          </cell>
          <cell r="DP208">
            <v>797.44800000000009</v>
          </cell>
          <cell r="DQ208">
            <v>59.733932584269667</v>
          </cell>
          <cell r="DV208">
            <v>2614</v>
          </cell>
          <cell r="DW208">
            <v>1895</v>
          </cell>
          <cell r="DX208">
            <v>1178.5129999999999</v>
          </cell>
          <cell r="DY208">
            <v>62.190659630606859</v>
          </cell>
        </row>
        <row r="209">
          <cell r="F209">
            <v>400</v>
          </cell>
          <cell r="G209">
            <v>600</v>
          </cell>
          <cell r="H209">
            <v>250.976</v>
          </cell>
          <cell r="I209">
            <v>41.829333333333338</v>
          </cell>
          <cell r="N209">
            <v>20</v>
          </cell>
          <cell r="O209">
            <v>30</v>
          </cell>
          <cell r="P209">
            <v>12.34</v>
          </cell>
          <cell r="T209">
            <v>20</v>
          </cell>
          <cell r="U209">
            <v>30</v>
          </cell>
          <cell r="V209">
            <v>11.798</v>
          </cell>
          <cell r="Z209">
            <v>30</v>
          </cell>
          <cell r="AA209">
            <v>45</v>
          </cell>
          <cell r="AB209">
            <v>17.048999999999999</v>
          </cell>
          <cell r="AF209">
            <v>30</v>
          </cell>
          <cell r="AG209">
            <v>45</v>
          </cell>
          <cell r="AH209">
            <v>16.794</v>
          </cell>
          <cell r="AL209">
            <v>30</v>
          </cell>
          <cell r="AM209">
            <v>45</v>
          </cell>
          <cell r="AN209">
            <v>16.850999999999999</v>
          </cell>
          <cell r="AR209">
            <v>30</v>
          </cell>
          <cell r="AS209">
            <v>45</v>
          </cell>
          <cell r="AT209">
            <v>17.085000000000001</v>
          </cell>
          <cell r="AX209">
            <v>160</v>
          </cell>
          <cell r="AY209">
            <v>240</v>
          </cell>
          <cell r="AZ209">
            <v>91.917000000000002</v>
          </cell>
          <cell r="BA209">
            <v>38.298749999999998</v>
          </cell>
          <cell r="BF209">
            <v>30</v>
          </cell>
          <cell r="BG209">
            <v>45</v>
          </cell>
          <cell r="BH209">
            <v>18.407</v>
          </cell>
          <cell r="BL209">
            <v>30</v>
          </cell>
          <cell r="BM209">
            <v>45</v>
          </cell>
          <cell r="BN209">
            <v>19.53</v>
          </cell>
          <cell r="BR209">
            <v>40</v>
          </cell>
          <cell r="BS209">
            <v>60</v>
          </cell>
          <cell r="BT209">
            <v>26.373000000000001</v>
          </cell>
          <cell r="BX209">
            <v>40</v>
          </cell>
          <cell r="BY209">
            <v>60</v>
          </cell>
          <cell r="BZ209">
            <v>26.782</v>
          </cell>
          <cell r="CD209">
            <v>50</v>
          </cell>
          <cell r="CE209">
            <v>75</v>
          </cell>
          <cell r="CF209">
            <v>33.832999999999998</v>
          </cell>
          <cell r="CJ209">
            <v>50</v>
          </cell>
          <cell r="CK209">
            <v>75</v>
          </cell>
          <cell r="CL209">
            <v>34.134</v>
          </cell>
          <cell r="CP209">
            <v>240</v>
          </cell>
          <cell r="CQ209">
            <v>360</v>
          </cell>
          <cell r="CR209">
            <v>159.059</v>
          </cell>
          <cell r="CS209">
            <v>44.183055555555555</v>
          </cell>
          <cell r="CX209">
            <v>70</v>
          </cell>
          <cell r="CY209">
            <v>105</v>
          </cell>
          <cell r="CZ209">
            <v>41.186999999999998</v>
          </cell>
          <cell r="DA209">
            <v>39.22571428571429</v>
          </cell>
          <cell r="DF209">
            <v>90</v>
          </cell>
          <cell r="DG209">
            <v>135</v>
          </cell>
          <cell r="DH209">
            <v>50.73</v>
          </cell>
          <cell r="DI209">
            <v>37.577777777777776</v>
          </cell>
          <cell r="DN209">
            <v>100</v>
          </cell>
          <cell r="DO209">
            <v>150</v>
          </cell>
          <cell r="DP209">
            <v>64.31</v>
          </cell>
          <cell r="DQ209">
            <v>42.873333333333335</v>
          </cell>
          <cell r="DV209">
            <v>140</v>
          </cell>
          <cell r="DW209">
            <v>210</v>
          </cell>
          <cell r="DX209">
            <v>94.748999999999995</v>
          </cell>
          <cell r="DY209">
            <v>45.118571428571421</v>
          </cell>
        </row>
        <row r="210">
          <cell r="F210">
            <v>0</v>
          </cell>
          <cell r="G210">
            <v>0</v>
          </cell>
          <cell r="H210">
            <v>0</v>
          </cell>
          <cell r="I210">
            <v>0</v>
          </cell>
          <cell r="N210">
            <v>0</v>
          </cell>
          <cell r="O210">
            <v>0</v>
          </cell>
          <cell r="T210">
            <v>0</v>
          </cell>
          <cell r="U210">
            <v>0</v>
          </cell>
          <cell r="Z210">
            <v>0</v>
          </cell>
          <cell r="AA210">
            <v>0</v>
          </cell>
          <cell r="AF210">
            <v>0</v>
          </cell>
          <cell r="AG210">
            <v>0</v>
          </cell>
          <cell r="AL210">
            <v>0</v>
          </cell>
          <cell r="AM210">
            <v>0</v>
          </cell>
          <cell r="AR210">
            <v>0</v>
          </cell>
          <cell r="AS210">
            <v>0</v>
          </cell>
          <cell r="AX210">
            <v>0</v>
          </cell>
          <cell r="AY210">
            <v>0</v>
          </cell>
          <cell r="AZ210">
            <v>0</v>
          </cell>
          <cell r="BA210">
            <v>0</v>
          </cell>
          <cell r="BF210">
            <v>0</v>
          </cell>
          <cell r="BG210">
            <v>0</v>
          </cell>
          <cell r="BL210">
            <v>0</v>
          </cell>
          <cell r="BM210">
            <v>0</v>
          </cell>
          <cell r="BR210">
            <v>0</v>
          </cell>
          <cell r="BS210">
            <v>0</v>
          </cell>
          <cell r="BX210">
            <v>0</v>
          </cell>
          <cell r="BY210">
            <v>0</v>
          </cell>
          <cell r="CD210">
            <v>0</v>
          </cell>
          <cell r="CE210">
            <v>0</v>
          </cell>
          <cell r="CJ210">
            <v>0</v>
          </cell>
          <cell r="CK210">
            <v>0</v>
          </cell>
          <cell r="CP210">
            <v>0</v>
          </cell>
          <cell r="CQ210">
            <v>0</v>
          </cell>
          <cell r="CR210">
            <v>0</v>
          </cell>
          <cell r="CS210">
            <v>0</v>
          </cell>
          <cell r="CX210">
            <v>0</v>
          </cell>
          <cell r="CY210">
            <v>0</v>
          </cell>
          <cell r="CZ210">
            <v>0</v>
          </cell>
          <cell r="DA210">
            <v>0</v>
          </cell>
          <cell r="DF210">
            <v>0</v>
          </cell>
          <cell r="DG210">
            <v>0</v>
          </cell>
          <cell r="DH210">
            <v>0</v>
          </cell>
          <cell r="DI210">
            <v>0</v>
          </cell>
          <cell r="DN210">
            <v>0</v>
          </cell>
          <cell r="DO210">
            <v>0</v>
          </cell>
          <cell r="DP210">
            <v>0</v>
          </cell>
          <cell r="DQ210">
            <v>0</v>
          </cell>
          <cell r="DV210">
            <v>0</v>
          </cell>
          <cell r="DW210">
            <v>0</v>
          </cell>
          <cell r="DX210">
            <v>0</v>
          </cell>
          <cell r="DY210">
            <v>0</v>
          </cell>
        </row>
        <row r="211">
          <cell r="F211">
            <v>400</v>
          </cell>
          <cell r="G211">
            <v>600</v>
          </cell>
          <cell r="H211">
            <v>250.976</v>
          </cell>
          <cell r="I211">
            <v>41.829333333333338</v>
          </cell>
          <cell r="N211">
            <v>20</v>
          </cell>
          <cell r="O211">
            <v>30</v>
          </cell>
          <cell r="P211">
            <v>12.34</v>
          </cell>
          <cell r="T211">
            <v>20</v>
          </cell>
          <cell r="U211">
            <v>30</v>
          </cell>
          <cell r="V211">
            <v>11.798</v>
          </cell>
          <cell r="Z211">
            <v>30</v>
          </cell>
          <cell r="AA211">
            <v>45</v>
          </cell>
          <cell r="AB211">
            <v>17.048999999999999</v>
          </cell>
          <cell r="AF211">
            <v>30</v>
          </cell>
          <cell r="AG211">
            <v>45</v>
          </cell>
          <cell r="AH211">
            <v>16.794</v>
          </cell>
          <cell r="AL211">
            <v>30</v>
          </cell>
          <cell r="AM211">
            <v>45</v>
          </cell>
          <cell r="AN211">
            <v>16.850999999999999</v>
          </cell>
          <cell r="AR211">
            <v>30</v>
          </cell>
          <cell r="AS211">
            <v>45</v>
          </cell>
          <cell r="AT211">
            <v>17.085000000000001</v>
          </cell>
          <cell r="AX211">
            <v>160</v>
          </cell>
          <cell r="AY211">
            <v>240</v>
          </cell>
          <cell r="AZ211">
            <v>91.917000000000002</v>
          </cell>
          <cell r="BA211">
            <v>38.298749999999998</v>
          </cell>
          <cell r="BF211">
            <v>30</v>
          </cell>
          <cell r="BG211">
            <v>45</v>
          </cell>
          <cell r="BH211">
            <v>18.407</v>
          </cell>
          <cell r="BL211">
            <v>30</v>
          </cell>
          <cell r="BM211">
            <v>45</v>
          </cell>
          <cell r="BN211">
            <v>19.53</v>
          </cell>
          <cell r="BR211">
            <v>40</v>
          </cell>
          <cell r="BS211">
            <v>60</v>
          </cell>
          <cell r="BT211">
            <v>26.373000000000001</v>
          </cell>
          <cell r="BX211">
            <v>40</v>
          </cell>
          <cell r="BY211">
            <v>60</v>
          </cell>
          <cell r="BZ211">
            <v>26.782</v>
          </cell>
          <cell r="CD211">
            <v>50</v>
          </cell>
          <cell r="CE211">
            <v>75</v>
          </cell>
          <cell r="CF211">
            <v>33.832999999999998</v>
          </cell>
          <cell r="CJ211">
            <v>50</v>
          </cell>
          <cell r="CK211">
            <v>75</v>
          </cell>
          <cell r="CL211">
            <v>34.134</v>
          </cell>
          <cell r="CP211">
            <v>240</v>
          </cell>
          <cell r="CQ211">
            <v>360</v>
          </cell>
          <cell r="CR211">
            <v>159.059</v>
          </cell>
          <cell r="CS211">
            <v>44.183055555555555</v>
          </cell>
          <cell r="CX211">
            <v>70</v>
          </cell>
          <cell r="CY211">
            <v>105</v>
          </cell>
          <cell r="CZ211">
            <v>41.186999999999998</v>
          </cell>
          <cell r="DA211">
            <v>39.22571428571429</v>
          </cell>
          <cell r="DF211">
            <v>90</v>
          </cell>
          <cell r="DG211">
            <v>135</v>
          </cell>
          <cell r="DH211">
            <v>50.73</v>
          </cell>
          <cell r="DI211">
            <v>37.577777777777776</v>
          </cell>
          <cell r="DN211">
            <v>100</v>
          </cell>
          <cell r="DO211">
            <v>150</v>
          </cell>
          <cell r="DP211">
            <v>64.31</v>
          </cell>
          <cell r="DQ211">
            <v>42.873333333333335</v>
          </cell>
          <cell r="DV211">
            <v>140</v>
          </cell>
          <cell r="DW211">
            <v>210</v>
          </cell>
          <cell r="DX211">
            <v>94.748999999999995</v>
          </cell>
          <cell r="DY211">
            <v>45.118571428571421</v>
          </cell>
        </row>
        <row r="212">
          <cell r="F212">
            <v>2500</v>
          </cell>
          <cell r="G212">
            <v>378</v>
          </cell>
          <cell r="H212">
            <v>110.10000000000001</v>
          </cell>
          <cell r="I212">
            <v>29.12698412698413</v>
          </cell>
          <cell r="N212">
            <v>150</v>
          </cell>
          <cell r="O212">
            <v>23</v>
          </cell>
          <cell r="P212">
            <v>6.9260000000000002</v>
          </cell>
          <cell r="T212">
            <v>150</v>
          </cell>
          <cell r="U212">
            <v>23</v>
          </cell>
          <cell r="V212">
            <v>6.9260000000000002</v>
          </cell>
          <cell r="Z212">
            <v>150</v>
          </cell>
          <cell r="AA212">
            <v>23</v>
          </cell>
          <cell r="AB212">
            <v>6.9260000000000002</v>
          </cell>
          <cell r="AF212">
            <v>200</v>
          </cell>
          <cell r="AG212">
            <v>30</v>
          </cell>
          <cell r="AH212">
            <v>8.5679999999999996</v>
          </cell>
          <cell r="AL212">
            <v>150</v>
          </cell>
          <cell r="AM212">
            <v>23</v>
          </cell>
          <cell r="AN212">
            <v>6.9260000000000002</v>
          </cell>
          <cell r="AR212">
            <v>200</v>
          </cell>
          <cell r="AS212">
            <v>30</v>
          </cell>
          <cell r="AT212">
            <v>8.5679999999999996</v>
          </cell>
          <cell r="AX212">
            <v>1000</v>
          </cell>
          <cell r="AY212">
            <v>152</v>
          </cell>
          <cell r="AZ212">
            <v>44.84</v>
          </cell>
          <cell r="BA212">
            <v>29.500000000000004</v>
          </cell>
          <cell r="BF212">
            <v>200</v>
          </cell>
          <cell r="BG212">
            <v>30</v>
          </cell>
          <cell r="BH212">
            <v>8.5679999999999996</v>
          </cell>
          <cell r="BL212">
            <v>200</v>
          </cell>
          <cell r="BM212">
            <v>30</v>
          </cell>
          <cell r="BN212">
            <v>8.5679999999999996</v>
          </cell>
          <cell r="BR212">
            <v>250</v>
          </cell>
          <cell r="BS212">
            <v>38</v>
          </cell>
          <cell r="BT212">
            <v>11.21</v>
          </cell>
          <cell r="BX212">
            <v>250</v>
          </cell>
          <cell r="BY212">
            <v>38</v>
          </cell>
          <cell r="BZ212">
            <v>11.21</v>
          </cell>
          <cell r="CD212">
            <v>300</v>
          </cell>
          <cell r="CE212">
            <v>45</v>
          </cell>
          <cell r="CF212">
            <v>12.852</v>
          </cell>
          <cell r="CJ212">
            <v>300</v>
          </cell>
          <cell r="CK212">
            <v>45</v>
          </cell>
          <cell r="CL212">
            <v>12.852</v>
          </cell>
          <cell r="CP212">
            <v>1500</v>
          </cell>
          <cell r="CQ212">
            <v>226</v>
          </cell>
          <cell r="CR212">
            <v>65.260000000000005</v>
          </cell>
          <cell r="CS212">
            <v>28.876106194690266</v>
          </cell>
          <cell r="CX212">
            <v>450</v>
          </cell>
          <cell r="CY212">
            <v>69</v>
          </cell>
          <cell r="CZ212">
            <v>20.777999999999999</v>
          </cell>
          <cell r="DA212">
            <v>30.11304347826087</v>
          </cell>
          <cell r="DF212">
            <v>550</v>
          </cell>
          <cell r="DG212">
            <v>83</v>
          </cell>
          <cell r="DH212">
            <v>24.061999999999998</v>
          </cell>
          <cell r="DI212">
            <v>28.99036144578313</v>
          </cell>
          <cell r="DN212">
            <v>650</v>
          </cell>
          <cell r="DO212">
            <v>98</v>
          </cell>
          <cell r="DP212">
            <v>28.346</v>
          </cell>
          <cell r="DQ212">
            <v>28.924489795918369</v>
          </cell>
          <cell r="DV212">
            <v>850</v>
          </cell>
          <cell r="DW212">
            <v>128</v>
          </cell>
          <cell r="DX212">
            <v>36.914000000000001</v>
          </cell>
          <cell r="DY212">
            <v>28.839062500000001</v>
          </cell>
        </row>
        <row r="213">
          <cell r="F213">
            <v>0</v>
          </cell>
          <cell r="G213">
            <v>0</v>
          </cell>
          <cell r="H213">
            <v>0</v>
          </cell>
          <cell r="I213">
            <v>0</v>
          </cell>
          <cell r="N213">
            <v>0</v>
          </cell>
          <cell r="T213">
            <v>0</v>
          </cell>
          <cell r="U213">
            <v>0</v>
          </cell>
          <cell r="Z213">
            <v>0</v>
          </cell>
          <cell r="AA213">
            <v>0</v>
          </cell>
          <cell r="AF213">
            <v>0</v>
          </cell>
          <cell r="AG213">
            <v>0</v>
          </cell>
          <cell r="AL213">
            <v>0</v>
          </cell>
          <cell r="AM213">
            <v>0</v>
          </cell>
          <cell r="AR213">
            <v>0</v>
          </cell>
          <cell r="AS213">
            <v>0</v>
          </cell>
          <cell r="AX213">
            <v>0</v>
          </cell>
          <cell r="AY213">
            <v>0</v>
          </cell>
          <cell r="AZ213">
            <v>0</v>
          </cell>
          <cell r="BA213">
            <v>0</v>
          </cell>
          <cell r="BF213">
            <v>0</v>
          </cell>
          <cell r="BG213">
            <v>0</v>
          </cell>
          <cell r="BL213">
            <v>0</v>
          </cell>
          <cell r="BM213">
            <v>0</v>
          </cell>
          <cell r="BR213">
            <v>0</v>
          </cell>
          <cell r="BS213">
            <v>0</v>
          </cell>
          <cell r="BX213">
            <v>0</v>
          </cell>
          <cell r="BY213">
            <v>0</v>
          </cell>
          <cell r="CD213">
            <v>0</v>
          </cell>
          <cell r="CE213">
            <v>0</v>
          </cell>
          <cell r="CJ213">
            <v>0</v>
          </cell>
          <cell r="CK213">
            <v>0</v>
          </cell>
          <cell r="CP213">
            <v>0</v>
          </cell>
          <cell r="CQ213">
            <v>0</v>
          </cell>
          <cell r="CR213">
            <v>0</v>
          </cell>
          <cell r="CS213">
            <v>0</v>
          </cell>
          <cell r="CX213">
            <v>0</v>
          </cell>
          <cell r="CY213">
            <v>0</v>
          </cell>
          <cell r="CZ213">
            <v>0</v>
          </cell>
          <cell r="DA213">
            <v>0</v>
          </cell>
          <cell r="DF213">
            <v>0</v>
          </cell>
          <cell r="DG213">
            <v>0</v>
          </cell>
          <cell r="DH213">
            <v>0</v>
          </cell>
          <cell r="DI213">
            <v>0</v>
          </cell>
          <cell r="DN213">
            <v>0</v>
          </cell>
          <cell r="DO213">
            <v>0</v>
          </cell>
          <cell r="DP213">
            <v>0</v>
          </cell>
          <cell r="DQ213">
            <v>0</v>
          </cell>
          <cell r="DV213">
            <v>0</v>
          </cell>
          <cell r="DW213">
            <v>0</v>
          </cell>
          <cell r="DX213">
            <v>0</v>
          </cell>
          <cell r="DY213">
            <v>0</v>
          </cell>
        </row>
        <row r="214">
          <cell r="F214">
            <v>11504</v>
          </cell>
          <cell r="G214">
            <v>6379</v>
          </cell>
          <cell r="H214">
            <v>3431.9279999999999</v>
          </cell>
          <cell r="I214">
            <v>53.800407587396137</v>
          </cell>
          <cell r="N214">
            <v>570</v>
          </cell>
          <cell r="O214">
            <v>273</v>
          </cell>
          <cell r="P214">
            <v>95.179000000000002</v>
          </cell>
          <cell r="T214">
            <v>570</v>
          </cell>
          <cell r="U214">
            <v>273</v>
          </cell>
          <cell r="V214">
            <v>96.369</v>
          </cell>
          <cell r="Z214">
            <v>880</v>
          </cell>
          <cell r="AA214">
            <v>388</v>
          </cell>
          <cell r="AB214">
            <v>198.13200000000001</v>
          </cell>
          <cell r="AF214">
            <v>930</v>
          </cell>
          <cell r="AG214">
            <v>497.5</v>
          </cell>
          <cell r="AH214">
            <v>252.85100000000003</v>
          </cell>
          <cell r="AL214">
            <v>1030</v>
          </cell>
          <cell r="AM214">
            <v>558.5</v>
          </cell>
          <cell r="AN214">
            <v>290.41300000000001</v>
          </cell>
          <cell r="AR214">
            <v>1080</v>
          </cell>
          <cell r="AS214">
            <v>573</v>
          </cell>
          <cell r="AT214">
            <v>298.70399999999995</v>
          </cell>
          <cell r="AX214">
            <v>5060</v>
          </cell>
          <cell r="AY214">
            <v>2563</v>
          </cell>
          <cell r="AZ214">
            <v>1231.6479999999999</v>
          </cell>
          <cell r="BA214">
            <v>48.054935622317593</v>
          </cell>
          <cell r="BF214">
            <v>930</v>
          </cell>
          <cell r="BG214">
            <v>505</v>
          </cell>
          <cell r="BH214">
            <v>274.44299999999998</v>
          </cell>
          <cell r="BL214">
            <v>776</v>
          </cell>
          <cell r="BM214">
            <v>400</v>
          </cell>
          <cell r="BN214">
            <v>224.69400000000002</v>
          </cell>
          <cell r="BR214">
            <v>1134</v>
          </cell>
          <cell r="BS214">
            <v>678</v>
          </cell>
          <cell r="BT214">
            <v>390.96699999999998</v>
          </cell>
          <cell r="BX214">
            <v>1194</v>
          </cell>
          <cell r="BY214">
            <v>693</v>
          </cell>
          <cell r="BZ214">
            <v>404.779</v>
          </cell>
          <cell r="CD214">
            <v>1202</v>
          </cell>
          <cell r="CE214">
            <v>755</v>
          </cell>
          <cell r="CF214">
            <v>441.59900000000005</v>
          </cell>
          <cell r="CJ214">
            <v>1208</v>
          </cell>
          <cell r="CK214">
            <v>785</v>
          </cell>
          <cell r="CL214">
            <v>463.798</v>
          </cell>
          <cell r="CP214">
            <v>6444</v>
          </cell>
          <cell r="CQ214">
            <v>3816</v>
          </cell>
          <cell r="CR214">
            <v>2200.2800000000002</v>
          </cell>
          <cell r="CS214">
            <v>57.659329140461224</v>
          </cell>
          <cell r="CX214">
            <v>2020</v>
          </cell>
          <cell r="CY214">
            <v>934</v>
          </cell>
          <cell r="CZ214">
            <v>389.68</v>
          </cell>
          <cell r="DA214">
            <v>41.721627408993577</v>
          </cell>
          <cell r="DF214">
            <v>3040</v>
          </cell>
          <cell r="DG214">
            <v>1629</v>
          </cell>
          <cell r="DH214">
            <v>841.96800000000007</v>
          </cell>
          <cell r="DI214">
            <v>51.686187845303877</v>
          </cell>
          <cell r="DN214">
            <v>2840</v>
          </cell>
          <cell r="DO214">
            <v>1583</v>
          </cell>
          <cell r="DP214">
            <v>890.10400000000004</v>
          </cell>
          <cell r="DQ214">
            <v>56.228932406822494</v>
          </cell>
          <cell r="DV214">
            <v>3604</v>
          </cell>
          <cell r="DW214">
            <v>2233</v>
          </cell>
          <cell r="DX214">
            <v>1310.1759999999999</v>
          </cell>
          <cell r="DY214">
            <v>58.673354231974919</v>
          </cell>
        </row>
        <row r="215">
          <cell r="F215">
            <v>0</v>
          </cell>
          <cell r="G215">
            <v>3500</v>
          </cell>
          <cell r="H215">
            <v>980</v>
          </cell>
          <cell r="I215">
            <v>28.000000000000004</v>
          </cell>
          <cell r="O215">
            <v>200</v>
          </cell>
          <cell r="P215">
            <v>56</v>
          </cell>
          <cell r="U215">
            <v>250</v>
          </cell>
          <cell r="V215">
            <v>70</v>
          </cell>
          <cell r="AA215">
            <v>300</v>
          </cell>
          <cell r="AB215">
            <v>84</v>
          </cell>
          <cell r="AG215">
            <v>300</v>
          </cell>
          <cell r="AH215">
            <v>84</v>
          </cell>
          <cell r="AM215">
            <v>320</v>
          </cell>
          <cell r="AN215">
            <v>90</v>
          </cell>
          <cell r="AS215">
            <v>330</v>
          </cell>
          <cell r="AT215">
            <v>92</v>
          </cell>
          <cell r="AX215">
            <v>0</v>
          </cell>
          <cell r="AY215">
            <v>1700</v>
          </cell>
          <cell r="AZ215">
            <v>476</v>
          </cell>
          <cell r="BA215">
            <v>28.000000000000004</v>
          </cell>
          <cell r="BG215">
            <v>280</v>
          </cell>
          <cell r="BH215">
            <v>78</v>
          </cell>
          <cell r="BM215">
            <v>250</v>
          </cell>
          <cell r="BN215">
            <v>70</v>
          </cell>
          <cell r="BS215">
            <v>320</v>
          </cell>
          <cell r="BT215">
            <v>90</v>
          </cell>
          <cell r="BY215">
            <v>350</v>
          </cell>
          <cell r="BZ215">
            <v>98</v>
          </cell>
          <cell r="CE215">
            <v>300</v>
          </cell>
          <cell r="CF215">
            <v>84</v>
          </cell>
          <cell r="CK215">
            <v>300</v>
          </cell>
          <cell r="CL215">
            <v>84</v>
          </cell>
          <cell r="CP215">
            <v>0</v>
          </cell>
          <cell r="CQ215">
            <v>1800</v>
          </cell>
          <cell r="CR215">
            <v>504</v>
          </cell>
          <cell r="CS215">
            <v>28.000000000000004</v>
          </cell>
          <cell r="CX215">
            <v>0</v>
          </cell>
          <cell r="CY215">
            <v>750</v>
          </cell>
          <cell r="CZ215">
            <v>210</v>
          </cell>
          <cell r="DA215">
            <v>28.000000000000004</v>
          </cell>
          <cell r="DF215">
            <v>0</v>
          </cell>
          <cell r="DG215">
            <v>950</v>
          </cell>
          <cell r="DH215">
            <v>266</v>
          </cell>
          <cell r="DI215">
            <v>28.000000000000004</v>
          </cell>
          <cell r="DN215">
            <v>0</v>
          </cell>
          <cell r="DO215">
            <v>850</v>
          </cell>
          <cell r="DP215">
            <v>238</v>
          </cell>
          <cell r="DQ215">
            <v>28.000000000000004</v>
          </cell>
          <cell r="DV215">
            <v>0</v>
          </cell>
          <cell r="DW215">
            <v>950</v>
          </cell>
          <cell r="DX215">
            <v>266</v>
          </cell>
          <cell r="DY215">
            <v>28.000000000000004</v>
          </cell>
        </row>
        <row r="216">
          <cell r="F216">
            <v>0</v>
          </cell>
          <cell r="G216">
            <v>1000</v>
          </cell>
          <cell r="H216">
            <v>349</v>
          </cell>
          <cell r="I216">
            <v>34.9</v>
          </cell>
          <cell r="O216">
            <v>30</v>
          </cell>
          <cell r="P216">
            <v>10</v>
          </cell>
          <cell r="U216">
            <v>50</v>
          </cell>
          <cell r="V216">
            <v>17</v>
          </cell>
          <cell r="AA216">
            <v>80</v>
          </cell>
          <cell r="AB216">
            <v>28</v>
          </cell>
          <cell r="AG216">
            <v>100</v>
          </cell>
          <cell r="AH216">
            <v>35</v>
          </cell>
          <cell r="AM216">
            <v>100</v>
          </cell>
          <cell r="AN216">
            <v>35</v>
          </cell>
          <cell r="AS216">
            <v>100</v>
          </cell>
          <cell r="AT216">
            <v>35</v>
          </cell>
          <cell r="AX216">
            <v>0</v>
          </cell>
          <cell r="AY216">
            <v>460</v>
          </cell>
          <cell r="AZ216">
            <v>160</v>
          </cell>
          <cell r="BA216">
            <v>34.782608695652172</v>
          </cell>
          <cell r="BG216">
            <v>100</v>
          </cell>
          <cell r="BH216">
            <v>35</v>
          </cell>
          <cell r="BM216">
            <v>80</v>
          </cell>
          <cell r="BN216">
            <v>28</v>
          </cell>
          <cell r="BS216">
            <v>100</v>
          </cell>
          <cell r="BT216">
            <v>35</v>
          </cell>
          <cell r="BY216">
            <v>100</v>
          </cell>
          <cell r="BZ216">
            <v>35</v>
          </cell>
          <cell r="CE216">
            <v>80</v>
          </cell>
          <cell r="CF216">
            <v>28</v>
          </cell>
          <cell r="CK216">
            <v>80</v>
          </cell>
          <cell r="CL216">
            <v>28</v>
          </cell>
          <cell r="CP216">
            <v>0</v>
          </cell>
          <cell r="CQ216">
            <v>540</v>
          </cell>
          <cell r="CR216">
            <v>189</v>
          </cell>
          <cell r="CS216">
            <v>35</v>
          </cell>
          <cell r="CX216">
            <v>0</v>
          </cell>
          <cell r="CY216">
            <v>160</v>
          </cell>
          <cell r="CZ216">
            <v>55</v>
          </cell>
          <cell r="DA216">
            <v>34.375</v>
          </cell>
          <cell r="DF216">
            <v>0</v>
          </cell>
          <cell r="DG216">
            <v>300</v>
          </cell>
          <cell r="DH216">
            <v>105</v>
          </cell>
          <cell r="DI216">
            <v>35</v>
          </cell>
          <cell r="DN216">
            <v>0</v>
          </cell>
          <cell r="DO216">
            <v>280</v>
          </cell>
          <cell r="DP216">
            <v>98</v>
          </cell>
          <cell r="DQ216">
            <v>35</v>
          </cell>
          <cell r="DV216">
            <v>0</v>
          </cell>
          <cell r="DW216">
            <v>260</v>
          </cell>
          <cell r="DX216">
            <v>91</v>
          </cell>
          <cell r="DY216">
            <v>35</v>
          </cell>
        </row>
        <row r="217">
          <cell r="F217">
            <v>0</v>
          </cell>
          <cell r="G217">
            <v>0</v>
          </cell>
          <cell r="H217">
            <v>0</v>
          </cell>
          <cell r="I217">
            <v>0</v>
          </cell>
          <cell r="N217">
            <v>0</v>
          </cell>
          <cell r="O217">
            <v>0</v>
          </cell>
          <cell r="T217">
            <v>0</v>
          </cell>
          <cell r="U217">
            <v>0</v>
          </cell>
          <cell r="Z217">
            <v>0</v>
          </cell>
          <cell r="AA217">
            <v>0</v>
          </cell>
          <cell r="AF217">
            <v>0</v>
          </cell>
          <cell r="AG217">
            <v>0</v>
          </cell>
          <cell r="AL217">
            <v>0</v>
          </cell>
          <cell r="AM217">
            <v>0</v>
          </cell>
          <cell r="AR217">
            <v>0</v>
          </cell>
          <cell r="AS217">
            <v>0</v>
          </cell>
          <cell r="AX217">
            <v>0</v>
          </cell>
          <cell r="AY217">
            <v>0</v>
          </cell>
          <cell r="AZ217">
            <v>0</v>
          </cell>
          <cell r="BA217">
            <v>0</v>
          </cell>
          <cell r="BF217">
            <v>0</v>
          </cell>
          <cell r="BG217">
            <v>0</v>
          </cell>
          <cell r="BL217">
            <v>0</v>
          </cell>
          <cell r="BM217">
            <v>0</v>
          </cell>
          <cell r="BR217">
            <v>0</v>
          </cell>
          <cell r="BS217">
            <v>0</v>
          </cell>
          <cell r="BX217">
            <v>0</v>
          </cell>
          <cell r="BY217">
            <v>0</v>
          </cell>
          <cell r="CD217">
            <v>0</v>
          </cell>
          <cell r="CE217">
            <v>0</v>
          </cell>
          <cell r="CJ217">
            <v>0</v>
          </cell>
          <cell r="CK217">
            <v>0</v>
          </cell>
          <cell r="CP217">
            <v>0</v>
          </cell>
          <cell r="CQ217">
            <v>0</v>
          </cell>
          <cell r="CR217">
            <v>0</v>
          </cell>
          <cell r="CS217">
            <v>0</v>
          </cell>
          <cell r="CX217">
            <v>0</v>
          </cell>
          <cell r="CY217">
            <v>0</v>
          </cell>
          <cell r="CZ217">
            <v>0</v>
          </cell>
          <cell r="DA217">
            <v>0</v>
          </cell>
          <cell r="DF217">
            <v>0</v>
          </cell>
          <cell r="DG217">
            <v>0</v>
          </cell>
          <cell r="DH217">
            <v>0</v>
          </cell>
          <cell r="DI217">
            <v>0</v>
          </cell>
          <cell r="DN217">
            <v>0</v>
          </cell>
          <cell r="DO217">
            <v>0</v>
          </cell>
          <cell r="DP217">
            <v>0</v>
          </cell>
          <cell r="DQ217">
            <v>0</v>
          </cell>
          <cell r="DV217">
            <v>0</v>
          </cell>
          <cell r="DW217">
            <v>0</v>
          </cell>
          <cell r="DX217">
            <v>0</v>
          </cell>
          <cell r="DY217">
            <v>0</v>
          </cell>
        </row>
        <row r="218">
          <cell r="F218">
            <v>0</v>
          </cell>
          <cell r="G218">
            <v>0</v>
          </cell>
          <cell r="H218">
            <v>0</v>
          </cell>
          <cell r="I218">
            <v>0</v>
          </cell>
          <cell r="N218">
            <v>0</v>
          </cell>
          <cell r="O218">
            <v>0</v>
          </cell>
          <cell r="T218">
            <v>0</v>
          </cell>
          <cell r="U218">
            <v>0</v>
          </cell>
          <cell r="Z218">
            <v>0</v>
          </cell>
          <cell r="AA218">
            <v>0</v>
          </cell>
          <cell r="AF218">
            <v>0</v>
          </cell>
          <cell r="AG218">
            <v>0</v>
          </cell>
          <cell r="AL218">
            <v>0</v>
          </cell>
          <cell r="AM218">
            <v>0</v>
          </cell>
          <cell r="AR218">
            <v>0</v>
          </cell>
          <cell r="AS218">
            <v>0</v>
          </cell>
          <cell r="AX218">
            <v>0</v>
          </cell>
          <cell r="AY218">
            <v>0</v>
          </cell>
          <cell r="AZ218">
            <v>0</v>
          </cell>
          <cell r="BA218">
            <v>0</v>
          </cell>
          <cell r="BF218">
            <v>0</v>
          </cell>
          <cell r="BG218">
            <v>0</v>
          </cell>
          <cell r="BL218">
            <v>0</v>
          </cell>
          <cell r="BM218">
            <v>0</v>
          </cell>
          <cell r="BR218">
            <v>0</v>
          </cell>
          <cell r="BS218">
            <v>0</v>
          </cell>
          <cell r="BX218">
            <v>0</v>
          </cell>
          <cell r="BY218">
            <v>0</v>
          </cell>
          <cell r="CD218">
            <v>0</v>
          </cell>
          <cell r="CE218">
            <v>0</v>
          </cell>
          <cell r="CJ218">
            <v>0</v>
          </cell>
          <cell r="CK218">
            <v>0</v>
          </cell>
          <cell r="CP218">
            <v>0</v>
          </cell>
          <cell r="CQ218">
            <v>0</v>
          </cell>
          <cell r="CR218">
            <v>0</v>
          </cell>
          <cell r="CS218">
            <v>0</v>
          </cell>
          <cell r="CX218">
            <v>0</v>
          </cell>
          <cell r="CY218">
            <v>0</v>
          </cell>
          <cell r="CZ218">
            <v>0</v>
          </cell>
          <cell r="DA218">
            <v>0</v>
          </cell>
          <cell r="DF218">
            <v>0</v>
          </cell>
          <cell r="DG218">
            <v>0</v>
          </cell>
          <cell r="DH218">
            <v>0</v>
          </cell>
          <cell r="DI218">
            <v>0</v>
          </cell>
          <cell r="DN218">
            <v>0</v>
          </cell>
          <cell r="DO218">
            <v>0</v>
          </cell>
          <cell r="DP218">
            <v>0</v>
          </cell>
          <cell r="DQ218">
            <v>0</v>
          </cell>
          <cell r="DV218">
            <v>0</v>
          </cell>
          <cell r="DW218">
            <v>0</v>
          </cell>
          <cell r="DX218">
            <v>0</v>
          </cell>
          <cell r="DY218">
            <v>0</v>
          </cell>
        </row>
        <row r="219">
          <cell r="F219">
            <v>0</v>
          </cell>
          <cell r="G219">
            <v>0</v>
          </cell>
          <cell r="H219">
            <v>0</v>
          </cell>
          <cell r="I219">
            <v>0</v>
          </cell>
          <cell r="N219">
            <v>0</v>
          </cell>
          <cell r="O219">
            <v>0</v>
          </cell>
          <cell r="T219">
            <v>0</v>
          </cell>
          <cell r="U219">
            <v>0</v>
          </cell>
          <cell r="Z219">
            <v>0</v>
          </cell>
          <cell r="AA219">
            <v>0</v>
          </cell>
          <cell r="AF219">
            <v>0</v>
          </cell>
          <cell r="AG219">
            <v>0</v>
          </cell>
          <cell r="AL219">
            <v>0</v>
          </cell>
          <cell r="AM219">
            <v>0</v>
          </cell>
          <cell r="AR219">
            <v>0</v>
          </cell>
          <cell r="AS219">
            <v>0</v>
          </cell>
          <cell r="AX219">
            <v>0</v>
          </cell>
          <cell r="AY219">
            <v>0</v>
          </cell>
          <cell r="AZ219">
            <v>0</v>
          </cell>
          <cell r="BA219">
            <v>0</v>
          </cell>
          <cell r="BF219">
            <v>0</v>
          </cell>
          <cell r="BG219">
            <v>0</v>
          </cell>
          <cell r="BL219">
            <v>0</v>
          </cell>
          <cell r="BM219">
            <v>0</v>
          </cell>
          <cell r="BR219">
            <v>0</v>
          </cell>
          <cell r="BS219">
            <v>0</v>
          </cell>
          <cell r="BX219">
            <v>0</v>
          </cell>
          <cell r="BY219">
            <v>0</v>
          </cell>
          <cell r="CD219">
            <v>0</v>
          </cell>
          <cell r="CE219">
            <v>0</v>
          </cell>
          <cell r="CJ219">
            <v>0</v>
          </cell>
          <cell r="CK219">
            <v>0</v>
          </cell>
          <cell r="CP219">
            <v>0</v>
          </cell>
          <cell r="CQ219">
            <v>0</v>
          </cell>
          <cell r="CR219">
            <v>0</v>
          </cell>
          <cell r="CS219">
            <v>0</v>
          </cell>
          <cell r="CX219">
            <v>0</v>
          </cell>
          <cell r="CY219">
            <v>0</v>
          </cell>
          <cell r="CZ219">
            <v>0</v>
          </cell>
          <cell r="DA219">
            <v>0</v>
          </cell>
          <cell r="DF219">
            <v>0</v>
          </cell>
          <cell r="DG219">
            <v>0</v>
          </cell>
          <cell r="DH219">
            <v>0</v>
          </cell>
          <cell r="DI219">
            <v>0</v>
          </cell>
          <cell r="DN219">
            <v>0</v>
          </cell>
          <cell r="DO219">
            <v>0</v>
          </cell>
          <cell r="DP219">
            <v>0</v>
          </cell>
          <cell r="DQ219">
            <v>0</v>
          </cell>
          <cell r="DV219">
            <v>0</v>
          </cell>
          <cell r="DW219">
            <v>0</v>
          </cell>
          <cell r="DX219">
            <v>0</v>
          </cell>
          <cell r="DY219">
            <v>0</v>
          </cell>
        </row>
        <row r="220">
          <cell r="F220">
            <v>0</v>
          </cell>
          <cell r="G220">
            <v>4500</v>
          </cell>
          <cell r="H220">
            <v>1329</v>
          </cell>
          <cell r="I220">
            <v>29.533333333333335</v>
          </cell>
          <cell r="N220">
            <v>0</v>
          </cell>
          <cell r="O220">
            <v>230</v>
          </cell>
          <cell r="P220">
            <v>66</v>
          </cell>
          <cell r="T220">
            <v>0</v>
          </cell>
          <cell r="U220">
            <v>300</v>
          </cell>
          <cell r="V220">
            <v>87</v>
          </cell>
          <cell r="Z220">
            <v>0</v>
          </cell>
          <cell r="AA220">
            <v>380</v>
          </cell>
          <cell r="AB220">
            <v>112</v>
          </cell>
          <cell r="AF220">
            <v>0</v>
          </cell>
          <cell r="AG220">
            <v>400</v>
          </cell>
          <cell r="AH220">
            <v>119</v>
          </cell>
          <cell r="AL220">
            <v>0</v>
          </cell>
          <cell r="AM220">
            <v>420</v>
          </cell>
          <cell r="AN220">
            <v>125</v>
          </cell>
          <cell r="AR220">
            <v>0</v>
          </cell>
          <cell r="AS220">
            <v>430</v>
          </cell>
          <cell r="AT220">
            <v>127</v>
          </cell>
          <cell r="AX220">
            <v>0</v>
          </cell>
          <cell r="AY220">
            <v>2160</v>
          </cell>
          <cell r="AZ220">
            <v>636</v>
          </cell>
          <cell r="BA220">
            <v>29.444444444444446</v>
          </cell>
          <cell r="BF220">
            <v>0</v>
          </cell>
          <cell r="BG220">
            <v>380</v>
          </cell>
          <cell r="BH220">
            <v>113</v>
          </cell>
          <cell r="BL220">
            <v>0</v>
          </cell>
          <cell r="BM220">
            <v>330</v>
          </cell>
          <cell r="BN220">
            <v>98</v>
          </cell>
          <cell r="BR220">
            <v>0</v>
          </cell>
          <cell r="BS220">
            <v>420</v>
          </cell>
          <cell r="BT220">
            <v>125</v>
          </cell>
          <cell r="BX220">
            <v>0</v>
          </cell>
          <cell r="BY220">
            <v>450</v>
          </cell>
          <cell r="BZ220">
            <v>133</v>
          </cell>
          <cell r="CD220">
            <v>0</v>
          </cell>
          <cell r="CE220">
            <v>380</v>
          </cell>
          <cell r="CF220">
            <v>112</v>
          </cell>
          <cell r="CJ220">
            <v>0</v>
          </cell>
          <cell r="CK220">
            <v>380</v>
          </cell>
          <cell r="CL220">
            <v>112</v>
          </cell>
          <cell r="CP220">
            <v>0</v>
          </cell>
          <cell r="CQ220">
            <v>2340</v>
          </cell>
          <cell r="CR220">
            <v>693</v>
          </cell>
          <cell r="CS220">
            <v>29.615384615384617</v>
          </cell>
          <cell r="CX220">
            <v>0</v>
          </cell>
          <cell r="CY220">
            <v>910</v>
          </cell>
          <cell r="CZ220">
            <v>265</v>
          </cell>
          <cell r="DA220">
            <v>29.120879120879124</v>
          </cell>
          <cell r="DF220">
            <v>0</v>
          </cell>
          <cell r="DG220">
            <v>1250</v>
          </cell>
          <cell r="DH220">
            <v>371</v>
          </cell>
          <cell r="DI220">
            <v>29.68</v>
          </cell>
          <cell r="DN220">
            <v>0</v>
          </cell>
          <cell r="DO220">
            <v>1130</v>
          </cell>
          <cell r="DP220">
            <v>336</v>
          </cell>
          <cell r="DQ220">
            <v>29.734513274336283</v>
          </cell>
          <cell r="DV220">
            <v>0</v>
          </cell>
          <cell r="DW220">
            <v>1210</v>
          </cell>
          <cell r="DX220">
            <v>357</v>
          </cell>
          <cell r="DY220">
            <v>29.504132231404963</v>
          </cell>
        </row>
        <row r="221">
          <cell r="F221">
            <v>0</v>
          </cell>
          <cell r="G221">
            <v>202</v>
          </cell>
          <cell r="H221">
            <v>116.84699999999999</v>
          </cell>
          <cell r="I221">
            <v>57.845049504950495</v>
          </cell>
          <cell r="O221">
            <v>0</v>
          </cell>
          <cell r="P221">
            <v>0</v>
          </cell>
          <cell r="U221">
            <v>0</v>
          </cell>
          <cell r="V221">
            <v>0</v>
          </cell>
          <cell r="AA221">
            <v>0</v>
          </cell>
          <cell r="AB221">
            <v>0</v>
          </cell>
          <cell r="AG221">
            <v>0</v>
          </cell>
          <cell r="AH221">
            <v>0</v>
          </cell>
          <cell r="AM221">
            <v>0</v>
          </cell>
          <cell r="AN221">
            <v>0</v>
          </cell>
          <cell r="AS221">
            <v>26</v>
          </cell>
          <cell r="AT221">
            <v>12.222</v>
          </cell>
          <cell r="AX221">
            <v>0</v>
          </cell>
          <cell r="AY221">
            <v>26</v>
          </cell>
          <cell r="AZ221">
            <v>12.222</v>
          </cell>
          <cell r="BA221">
            <v>47.007692307692309</v>
          </cell>
          <cell r="BG221">
            <v>26</v>
          </cell>
          <cell r="BH221">
            <v>14.478999999999999</v>
          </cell>
          <cell r="BM221">
            <v>26</v>
          </cell>
          <cell r="BN221">
            <v>15.4</v>
          </cell>
          <cell r="BS221">
            <v>39</v>
          </cell>
          <cell r="BT221">
            <v>23.24</v>
          </cell>
          <cell r="BY221">
            <v>39</v>
          </cell>
          <cell r="BZ221">
            <v>23.352</v>
          </cell>
          <cell r="CE221">
            <v>26</v>
          </cell>
          <cell r="CF221">
            <v>15.717000000000001</v>
          </cell>
          <cell r="CK221">
            <v>20</v>
          </cell>
          <cell r="CL221">
            <v>12.436999999999999</v>
          </cell>
          <cell r="CP221">
            <v>0</v>
          </cell>
          <cell r="CQ221">
            <v>176</v>
          </cell>
          <cell r="CR221">
            <v>104.625</v>
          </cell>
          <cell r="CS221">
            <v>59.446022727272727</v>
          </cell>
          <cell r="CX221">
            <v>0</v>
          </cell>
          <cell r="CY221">
            <v>0</v>
          </cell>
          <cell r="CZ221">
            <v>0</v>
          </cell>
          <cell r="DA221">
            <v>0</v>
          </cell>
          <cell r="DF221">
            <v>0</v>
          </cell>
          <cell r="DG221">
            <v>26</v>
          </cell>
          <cell r="DH221">
            <v>12.222</v>
          </cell>
          <cell r="DI221">
            <v>47.007692307692309</v>
          </cell>
          <cell r="DN221">
            <v>0</v>
          </cell>
          <cell r="DO221">
            <v>91</v>
          </cell>
          <cell r="DP221">
            <v>53.119</v>
          </cell>
          <cell r="DQ221">
            <v>58.372527472527466</v>
          </cell>
          <cell r="DV221">
            <v>0</v>
          </cell>
          <cell r="DW221">
            <v>85</v>
          </cell>
          <cell r="DX221">
            <v>51.506</v>
          </cell>
          <cell r="DY221">
            <v>60.595294117647057</v>
          </cell>
        </row>
        <row r="222">
          <cell r="F222">
            <v>0</v>
          </cell>
          <cell r="G222">
            <v>1048.0999999999999</v>
          </cell>
          <cell r="H222">
            <v>298.20799999999997</v>
          </cell>
          <cell r="I222">
            <v>28.452246923003532</v>
          </cell>
          <cell r="O222">
            <v>54.2</v>
          </cell>
          <cell r="P222">
            <v>15.48</v>
          </cell>
          <cell r="U222">
            <v>93</v>
          </cell>
          <cell r="V222">
            <v>25.9</v>
          </cell>
          <cell r="AA222">
            <v>118.2</v>
          </cell>
          <cell r="AB222">
            <v>33.78</v>
          </cell>
          <cell r="AG222">
            <v>111.5</v>
          </cell>
          <cell r="AH222">
            <v>31.423999999999999</v>
          </cell>
          <cell r="AM222">
            <v>104.2</v>
          </cell>
          <cell r="AN222">
            <v>29.98</v>
          </cell>
          <cell r="AS222">
            <v>79.2</v>
          </cell>
          <cell r="AT222">
            <v>22.32</v>
          </cell>
          <cell r="AX222">
            <v>0</v>
          </cell>
          <cell r="AY222">
            <v>560.29999999999995</v>
          </cell>
          <cell r="AZ222">
            <v>158.88399999999999</v>
          </cell>
          <cell r="BA222">
            <v>28.356951633053722</v>
          </cell>
          <cell r="BG222">
            <v>58.4</v>
          </cell>
          <cell r="BH222">
            <v>16.635999999999999</v>
          </cell>
          <cell r="BM222">
            <v>54.4</v>
          </cell>
          <cell r="BN222">
            <v>15.635999999999999</v>
          </cell>
          <cell r="BS222">
            <v>110.9</v>
          </cell>
          <cell r="BT222">
            <v>31.736000000000001</v>
          </cell>
          <cell r="BY222">
            <v>110.5</v>
          </cell>
          <cell r="BZ222">
            <v>31.744</v>
          </cell>
          <cell r="CE222">
            <v>86.1</v>
          </cell>
          <cell r="CF222">
            <v>24.408000000000001</v>
          </cell>
          <cell r="CK222">
            <v>67.5</v>
          </cell>
          <cell r="CL222">
            <v>19.164000000000001</v>
          </cell>
          <cell r="CP222">
            <v>0</v>
          </cell>
          <cell r="CQ222">
            <v>487.79999999999995</v>
          </cell>
          <cell r="CR222">
            <v>139.32400000000001</v>
          </cell>
          <cell r="CS222">
            <v>28.561705617056177</v>
          </cell>
          <cell r="CX222">
            <v>0</v>
          </cell>
          <cell r="CY222">
            <v>265.39999999999998</v>
          </cell>
          <cell r="CZ222">
            <v>75.16</v>
          </cell>
          <cell r="DA222">
            <v>28.319517709118315</v>
          </cell>
          <cell r="DF222">
            <v>0</v>
          </cell>
          <cell r="DG222">
            <v>294.89999999999998</v>
          </cell>
          <cell r="DH222">
            <v>83.72399999999999</v>
          </cell>
          <cell r="DI222">
            <v>28.390640895218716</v>
          </cell>
          <cell r="DN222">
            <v>0</v>
          </cell>
          <cell r="DO222">
            <v>223.7</v>
          </cell>
          <cell r="DP222">
            <v>64.007999999999996</v>
          </cell>
          <cell r="DQ222">
            <v>28.613321412606169</v>
          </cell>
          <cell r="DV222">
            <v>0</v>
          </cell>
          <cell r="DW222">
            <v>264.10000000000002</v>
          </cell>
          <cell r="DX222">
            <v>75.316000000000003</v>
          </cell>
          <cell r="DY222">
            <v>28.517985611510788</v>
          </cell>
        </row>
        <row r="223">
          <cell r="F223">
            <v>0</v>
          </cell>
          <cell r="G223">
            <v>0</v>
          </cell>
          <cell r="H223">
            <v>0</v>
          </cell>
          <cell r="I223">
            <v>0</v>
          </cell>
          <cell r="N223">
            <v>0</v>
          </cell>
          <cell r="O223">
            <v>0</v>
          </cell>
          <cell r="T223">
            <v>0</v>
          </cell>
          <cell r="U223">
            <v>0</v>
          </cell>
          <cell r="Z223">
            <v>0</v>
          </cell>
          <cell r="AA223">
            <v>0</v>
          </cell>
          <cell r="AF223">
            <v>0</v>
          </cell>
          <cell r="AG223">
            <v>0</v>
          </cell>
          <cell r="AL223">
            <v>0</v>
          </cell>
          <cell r="AM223">
            <v>0</v>
          </cell>
          <cell r="AR223">
            <v>0</v>
          </cell>
          <cell r="AS223">
            <v>0</v>
          </cell>
          <cell r="AX223">
            <v>0</v>
          </cell>
          <cell r="AY223">
            <v>0</v>
          </cell>
          <cell r="AZ223">
            <v>0</v>
          </cell>
          <cell r="BA223">
            <v>0</v>
          </cell>
          <cell r="BF223">
            <v>0</v>
          </cell>
          <cell r="BG223">
            <v>0</v>
          </cell>
          <cell r="BL223">
            <v>0</v>
          </cell>
          <cell r="BM223">
            <v>0</v>
          </cell>
          <cell r="BR223">
            <v>0</v>
          </cell>
          <cell r="BS223">
            <v>0</v>
          </cell>
          <cell r="BX223">
            <v>0</v>
          </cell>
          <cell r="BY223">
            <v>0</v>
          </cell>
          <cell r="CD223">
            <v>0</v>
          </cell>
          <cell r="CE223">
            <v>0</v>
          </cell>
          <cell r="CJ223">
            <v>0</v>
          </cell>
          <cell r="CK223">
            <v>0</v>
          </cell>
          <cell r="CP223">
            <v>0</v>
          </cell>
          <cell r="CQ223">
            <v>0</v>
          </cell>
          <cell r="CR223">
            <v>0</v>
          </cell>
          <cell r="CS223">
            <v>0</v>
          </cell>
          <cell r="CX223">
            <v>0</v>
          </cell>
          <cell r="CY223">
            <v>0</v>
          </cell>
          <cell r="CZ223">
            <v>0</v>
          </cell>
          <cell r="DA223">
            <v>0</v>
          </cell>
          <cell r="DF223">
            <v>0</v>
          </cell>
          <cell r="DG223">
            <v>0</v>
          </cell>
          <cell r="DH223">
            <v>0</v>
          </cell>
          <cell r="DI223">
            <v>0</v>
          </cell>
          <cell r="DN223">
            <v>0</v>
          </cell>
          <cell r="DO223">
            <v>0</v>
          </cell>
          <cell r="DP223">
            <v>0</v>
          </cell>
          <cell r="DQ223">
            <v>0</v>
          </cell>
          <cell r="DV223">
            <v>0</v>
          </cell>
          <cell r="DW223">
            <v>0</v>
          </cell>
          <cell r="DX223">
            <v>0</v>
          </cell>
          <cell r="DY223">
            <v>0</v>
          </cell>
        </row>
        <row r="224">
          <cell r="F224">
            <v>0</v>
          </cell>
          <cell r="G224">
            <v>1250.0999999999999</v>
          </cell>
          <cell r="H224">
            <v>415.05499999999995</v>
          </cell>
          <cell r="I224">
            <v>33.201743860491163</v>
          </cell>
          <cell r="N224">
            <v>0</v>
          </cell>
          <cell r="O224">
            <v>54.2</v>
          </cell>
          <cell r="P224">
            <v>15.48</v>
          </cell>
          <cell r="T224">
            <v>0</v>
          </cell>
          <cell r="U224">
            <v>93</v>
          </cell>
          <cell r="V224">
            <v>25.9</v>
          </cell>
          <cell r="Z224">
            <v>0</v>
          </cell>
          <cell r="AA224">
            <v>118.2</v>
          </cell>
          <cell r="AB224">
            <v>33.78</v>
          </cell>
          <cell r="AF224">
            <v>0</v>
          </cell>
          <cell r="AG224">
            <v>111.5</v>
          </cell>
          <cell r="AH224">
            <v>31.423999999999999</v>
          </cell>
          <cell r="AL224">
            <v>0</v>
          </cell>
          <cell r="AM224">
            <v>104.2</v>
          </cell>
          <cell r="AN224">
            <v>29.98</v>
          </cell>
          <cell r="AR224">
            <v>0</v>
          </cell>
          <cell r="AS224">
            <v>105.2</v>
          </cell>
          <cell r="AT224">
            <v>34.542000000000002</v>
          </cell>
          <cell r="AX224">
            <v>0</v>
          </cell>
          <cell r="AY224">
            <v>586.29999999999995</v>
          </cell>
          <cell r="AZ224">
            <v>171.10599999999999</v>
          </cell>
          <cell r="BA224">
            <v>29.184035476718407</v>
          </cell>
          <cell r="BF224">
            <v>0</v>
          </cell>
          <cell r="BG224">
            <v>84.4</v>
          </cell>
          <cell r="BH224">
            <v>31.114999999999998</v>
          </cell>
          <cell r="BL224">
            <v>0</v>
          </cell>
          <cell r="BM224">
            <v>80.400000000000006</v>
          </cell>
          <cell r="BN224">
            <v>31.036000000000001</v>
          </cell>
          <cell r="BR224">
            <v>0</v>
          </cell>
          <cell r="BS224">
            <v>149.9</v>
          </cell>
          <cell r="BT224">
            <v>54.975999999999999</v>
          </cell>
          <cell r="BX224">
            <v>0</v>
          </cell>
          <cell r="BY224">
            <v>149.5</v>
          </cell>
          <cell r="BZ224">
            <v>55.096000000000004</v>
          </cell>
          <cell r="CD224">
            <v>0</v>
          </cell>
          <cell r="CE224">
            <v>112.1</v>
          </cell>
          <cell r="CF224">
            <v>40.125</v>
          </cell>
          <cell r="CJ224">
            <v>0</v>
          </cell>
          <cell r="CK224">
            <v>87.5</v>
          </cell>
          <cell r="CL224">
            <v>31.600999999999999</v>
          </cell>
          <cell r="CP224">
            <v>0</v>
          </cell>
          <cell r="CQ224">
            <v>663.8</v>
          </cell>
          <cell r="CR224">
            <v>243.94900000000001</v>
          </cell>
          <cell r="CS224">
            <v>36.750376619463701</v>
          </cell>
          <cell r="CX224">
            <v>0</v>
          </cell>
          <cell r="CY224">
            <v>265.39999999999998</v>
          </cell>
          <cell r="CZ224">
            <v>75.16</v>
          </cell>
          <cell r="DA224">
            <v>28.319517709118315</v>
          </cell>
          <cell r="DF224">
            <v>0</v>
          </cell>
          <cell r="DG224">
            <v>320.89999999999998</v>
          </cell>
          <cell r="DH224">
            <v>95.945999999999984</v>
          </cell>
          <cell r="DI224">
            <v>29.899033966967899</v>
          </cell>
          <cell r="DN224">
            <v>0</v>
          </cell>
          <cell r="DO224">
            <v>314.7</v>
          </cell>
          <cell r="DP224">
            <v>117.127</v>
          </cell>
          <cell r="DQ224">
            <v>37.218620908802038</v>
          </cell>
          <cell r="DV224">
            <v>0</v>
          </cell>
          <cell r="DW224">
            <v>349.1</v>
          </cell>
          <cell r="DX224">
            <v>126.822</v>
          </cell>
          <cell r="DY224">
            <v>36.328272701231739</v>
          </cell>
        </row>
        <row r="225">
          <cell r="F225">
            <v>0</v>
          </cell>
          <cell r="G225">
            <v>1111</v>
          </cell>
          <cell r="H225">
            <v>333.45</v>
          </cell>
          <cell r="I225">
            <v>30.013501350135012</v>
          </cell>
          <cell r="N225">
            <v>0</v>
          </cell>
          <cell r="O225">
            <v>44</v>
          </cell>
          <cell r="P225">
            <v>13.122</v>
          </cell>
          <cell r="T225">
            <v>0</v>
          </cell>
          <cell r="U225">
            <v>60</v>
          </cell>
          <cell r="V225">
            <v>17.922000000000001</v>
          </cell>
          <cell r="Z225">
            <v>0</v>
          </cell>
          <cell r="AA225">
            <v>68</v>
          </cell>
          <cell r="AB225">
            <v>20.622</v>
          </cell>
          <cell r="AF225">
            <v>0</v>
          </cell>
          <cell r="AG225">
            <v>64</v>
          </cell>
          <cell r="AH225">
            <v>19.295999999999999</v>
          </cell>
          <cell r="AL225">
            <v>0</v>
          </cell>
          <cell r="AM225">
            <v>73</v>
          </cell>
          <cell r="AN225">
            <v>21.995999999999999</v>
          </cell>
          <cell r="AR225">
            <v>0</v>
          </cell>
          <cell r="AS225">
            <v>64</v>
          </cell>
          <cell r="AT225">
            <v>19.295999999999999</v>
          </cell>
          <cell r="AX225">
            <v>0</v>
          </cell>
          <cell r="AY225">
            <v>373</v>
          </cell>
          <cell r="AZ225">
            <v>112.254</v>
          </cell>
          <cell r="BA225">
            <v>30.094906166219843</v>
          </cell>
          <cell r="BF225">
            <v>0</v>
          </cell>
          <cell r="BG225">
            <v>76</v>
          </cell>
          <cell r="BH225">
            <v>22.745999999999999</v>
          </cell>
          <cell r="BL225">
            <v>0</v>
          </cell>
          <cell r="BM225">
            <v>93</v>
          </cell>
          <cell r="BN225">
            <v>27.795000000000002</v>
          </cell>
          <cell r="BR225">
            <v>0</v>
          </cell>
          <cell r="BS225">
            <v>112</v>
          </cell>
          <cell r="BT225">
            <v>33.494999999999997</v>
          </cell>
          <cell r="BX225">
            <v>0</v>
          </cell>
          <cell r="BY225">
            <v>147</v>
          </cell>
          <cell r="BZ225">
            <v>43.994999999999997</v>
          </cell>
          <cell r="CD225">
            <v>0</v>
          </cell>
          <cell r="CE225">
            <v>162</v>
          </cell>
          <cell r="CF225">
            <v>48.795000000000002</v>
          </cell>
          <cell r="CJ225">
            <v>0</v>
          </cell>
          <cell r="CK225">
            <v>148</v>
          </cell>
          <cell r="CL225">
            <v>44.37</v>
          </cell>
          <cell r="CP225">
            <v>0</v>
          </cell>
          <cell r="CQ225">
            <v>738</v>
          </cell>
          <cell r="CR225">
            <v>221.196</v>
          </cell>
          <cell r="CS225">
            <v>29.972357723577236</v>
          </cell>
          <cell r="CX225">
            <v>0</v>
          </cell>
          <cell r="CY225">
            <v>172</v>
          </cell>
          <cell r="CZ225">
            <v>51.665999999999997</v>
          </cell>
          <cell r="DA225">
            <v>30.038372093023252</v>
          </cell>
          <cell r="DF225">
            <v>0</v>
          </cell>
          <cell r="DG225">
            <v>201</v>
          </cell>
          <cell r="DH225">
            <v>60.588000000000001</v>
          </cell>
          <cell r="DI225">
            <v>30.143283582089552</v>
          </cell>
          <cell r="DN225">
            <v>0</v>
          </cell>
          <cell r="DO225">
            <v>281</v>
          </cell>
          <cell r="DP225">
            <v>84.036000000000001</v>
          </cell>
          <cell r="DQ225">
            <v>29.906049822064055</v>
          </cell>
          <cell r="DV225">
            <v>0</v>
          </cell>
          <cell r="DW225">
            <v>457</v>
          </cell>
          <cell r="DX225">
            <v>137.16</v>
          </cell>
          <cell r="DY225">
            <v>30.013129102844637</v>
          </cell>
        </row>
        <row r="226">
          <cell r="F226">
            <v>0</v>
          </cell>
          <cell r="G226">
            <v>0</v>
          </cell>
          <cell r="H226">
            <v>0</v>
          </cell>
          <cell r="I226">
            <v>0</v>
          </cell>
          <cell r="N226">
            <v>0</v>
          </cell>
          <cell r="O226">
            <v>0</v>
          </cell>
          <cell r="T226">
            <v>0</v>
          </cell>
          <cell r="U226">
            <v>0</v>
          </cell>
          <cell r="Z226">
            <v>0</v>
          </cell>
          <cell r="AA226">
            <v>0</v>
          </cell>
          <cell r="AF226">
            <v>0</v>
          </cell>
          <cell r="AG226">
            <v>0</v>
          </cell>
          <cell r="AL226">
            <v>0</v>
          </cell>
          <cell r="AM226">
            <v>0</v>
          </cell>
          <cell r="AR226">
            <v>0</v>
          </cell>
          <cell r="AS226">
            <v>0</v>
          </cell>
          <cell r="AX226">
            <v>0</v>
          </cell>
          <cell r="AY226">
            <v>0</v>
          </cell>
          <cell r="AZ226">
            <v>0</v>
          </cell>
          <cell r="BA226">
            <v>0</v>
          </cell>
          <cell r="BF226">
            <v>0</v>
          </cell>
          <cell r="BG226">
            <v>0</v>
          </cell>
          <cell r="BL226">
            <v>0</v>
          </cell>
          <cell r="BM226">
            <v>0</v>
          </cell>
          <cell r="BR226">
            <v>0</v>
          </cell>
          <cell r="BS226">
            <v>0</v>
          </cell>
          <cell r="BX226">
            <v>0</v>
          </cell>
          <cell r="BY226">
            <v>0</v>
          </cell>
          <cell r="CD226">
            <v>0</v>
          </cell>
          <cell r="CE226">
            <v>0</v>
          </cell>
          <cell r="CJ226">
            <v>0</v>
          </cell>
          <cell r="CK226">
            <v>0</v>
          </cell>
          <cell r="CP226">
            <v>0</v>
          </cell>
          <cell r="CQ226">
            <v>0</v>
          </cell>
          <cell r="CR226">
            <v>0</v>
          </cell>
          <cell r="CS226">
            <v>0</v>
          </cell>
          <cell r="CX226">
            <v>0</v>
          </cell>
          <cell r="CY226">
            <v>0</v>
          </cell>
          <cell r="CZ226">
            <v>0</v>
          </cell>
          <cell r="DA226">
            <v>0</v>
          </cell>
          <cell r="DF226">
            <v>0</v>
          </cell>
          <cell r="DG226">
            <v>0</v>
          </cell>
          <cell r="DH226">
            <v>0</v>
          </cell>
          <cell r="DI226">
            <v>0</v>
          </cell>
          <cell r="DN226">
            <v>0</v>
          </cell>
          <cell r="DO226">
            <v>0</v>
          </cell>
          <cell r="DP226">
            <v>0</v>
          </cell>
          <cell r="DQ226">
            <v>0</v>
          </cell>
          <cell r="DV226">
            <v>0</v>
          </cell>
          <cell r="DW226">
            <v>0</v>
          </cell>
          <cell r="DX226">
            <v>0</v>
          </cell>
          <cell r="DY226">
            <v>0</v>
          </cell>
        </row>
        <row r="227">
          <cell r="F227">
            <v>0</v>
          </cell>
          <cell r="G227">
            <v>1111</v>
          </cell>
          <cell r="H227">
            <v>333.45</v>
          </cell>
          <cell r="I227">
            <v>30.013501350135012</v>
          </cell>
          <cell r="N227">
            <v>0</v>
          </cell>
          <cell r="O227">
            <v>44</v>
          </cell>
          <cell r="P227">
            <v>13.122</v>
          </cell>
          <cell r="T227">
            <v>0</v>
          </cell>
          <cell r="U227">
            <v>60</v>
          </cell>
          <cell r="V227">
            <v>17.922000000000001</v>
          </cell>
          <cell r="Z227">
            <v>0</v>
          </cell>
          <cell r="AA227">
            <v>68</v>
          </cell>
          <cell r="AB227">
            <v>20.622</v>
          </cell>
          <cell r="AF227">
            <v>0</v>
          </cell>
          <cell r="AG227">
            <v>64</v>
          </cell>
          <cell r="AH227">
            <v>19.295999999999999</v>
          </cell>
          <cell r="AL227">
            <v>0</v>
          </cell>
          <cell r="AM227">
            <v>73</v>
          </cell>
          <cell r="AN227">
            <v>21.995999999999999</v>
          </cell>
          <cell r="AR227">
            <v>0</v>
          </cell>
          <cell r="AS227">
            <v>64</v>
          </cell>
          <cell r="AT227">
            <v>19.295999999999999</v>
          </cell>
          <cell r="AX227">
            <v>0</v>
          </cell>
          <cell r="AY227">
            <v>373</v>
          </cell>
          <cell r="AZ227">
            <v>112.254</v>
          </cell>
          <cell r="BA227">
            <v>30.094906166219843</v>
          </cell>
          <cell r="BF227">
            <v>0</v>
          </cell>
          <cell r="BG227">
            <v>76</v>
          </cell>
          <cell r="BH227">
            <v>22.745999999999999</v>
          </cell>
          <cell r="BL227">
            <v>0</v>
          </cell>
          <cell r="BM227">
            <v>93</v>
          </cell>
          <cell r="BN227">
            <v>27.795000000000002</v>
          </cell>
          <cell r="BR227">
            <v>0</v>
          </cell>
          <cell r="BS227">
            <v>112</v>
          </cell>
          <cell r="BT227">
            <v>33.494999999999997</v>
          </cell>
          <cell r="BX227">
            <v>0</v>
          </cell>
          <cell r="BY227">
            <v>147</v>
          </cell>
          <cell r="BZ227">
            <v>43.994999999999997</v>
          </cell>
          <cell r="CD227">
            <v>0</v>
          </cell>
          <cell r="CE227">
            <v>162</v>
          </cell>
          <cell r="CF227">
            <v>48.795000000000002</v>
          </cell>
          <cell r="CJ227">
            <v>0</v>
          </cell>
          <cell r="CK227">
            <v>148</v>
          </cell>
          <cell r="CL227">
            <v>44.37</v>
          </cell>
          <cell r="CP227">
            <v>0</v>
          </cell>
          <cell r="CQ227">
            <v>738</v>
          </cell>
          <cell r="CR227">
            <v>221.196</v>
          </cell>
          <cell r="CS227">
            <v>29.972357723577236</v>
          </cell>
          <cell r="CX227">
            <v>0</v>
          </cell>
          <cell r="CY227">
            <v>172</v>
          </cell>
          <cell r="CZ227">
            <v>51.665999999999997</v>
          </cell>
          <cell r="DA227">
            <v>30.038372093023252</v>
          </cell>
          <cell r="DF227">
            <v>0</v>
          </cell>
          <cell r="DG227">
            <v>201</v>
          </cell>
          <cell r="DH227">
            <v>60.588000000000001</v>
          </cell>
          <cell r="DI227">
            <v>30.143283582089552</v>
          </cell>
          <cell r="DN227">
            <v>0</v>
          </cell>
          <cell r="DO227">
            <v>281</v>
          </cell>
          <cell r="DP227">
            <v>84.036000000000001</v>
          </cell>
          <cell r="DQ227">
            <v>29.906049822064055</v>
          </cell>
          <cell r="DV227">
            <v>0</v>
          </cell>
          <cell r="DW227">
            <v>457</v>
          </cell>
          <cell r="DX227">
            <v>137.16</v>
          </cell>
          <cell r="DY227">
            <v>30.013129102844637</v>
          </cell>
        </row>
        <row r="228">
          <cell r="F228">
            <v>0</v>
          </cell>
          <cell r="G228">
            <v>0</v>
          </cell>
          <cell r="H228">
            <v>0</v>
          </cell>
          <cell r="I228">
            <v>0</v>
          </cell>
          <cell r="N228">
            <v>0</v>
          </cell>
          <cell r="O228">
            <v>0</v>
          </cell>
          <cell r="T228">
            <v>0</v>
          </cell>
          <cell r="U228">
            <v>0</v>
          </cell>
          <cell r="Z228">
            <v>0</v>
          </cell>
          <cell r="AA228">
            <v>0</v>
          </cell>
          <cell r="AF228">
            <v>0</v>
          </cell>
          <cell r="AG228">
            <v>0</v>
          </cell>
          <cell r="AL228">
            <v>0</v>
          </cell>
          <cell r="AM228">
            <v>0</v>
          </cell>
          <cell r="AR228">
            <v>0</v>
          </cell>
          <cell r="AS228">
            <v>0</v>
          </cell>
          <cell r="AX228">
            <v>0</v>
          </cell>
          <cell r="AY228">
            <v>0</v>
          </cell>
          <cell r="AZ228">
            <v>0</v>
          </cell>
          <cell r="BA228">
            <v>0</v>
          </cell>
          <cell r="BF228">
            <v>0</v>
          </cell>
          <cell r="BG228">
            <v>0</v>
          </cell>
          <cell r="BL228">
            <v>0</v>
          </cell>
          <cell r="BM228">
            <v>0</v>
          </cell>
          <cell r="BR228">
            <v>0</v>
          </cell>
          <cell r="BS228">
            <v>0</v>
          </cell>
          <cell r="BX228">
            <v>0</v>
          </cell>
          <cell r="BY228">
            <v>0</v>
          </cell>
          <cell r="CD228">
            <v>0</v>
          </cell>
          <cell r="CE228">
            <v>0</v>
          </cell>
          <cell r="CJ228">
            <v>0</v>
          </cell>
          <cell r="CK228">
            <v>0</v>
          </cell>
          <cell r="CP228">
            <v>0</v>
          </cell>
          <cell r="CQ228">
            <v>0</v>
          </cell>
          <cell r="CR228">
            <v>0</v>
          </cell>
          <cell r="CS228">
            <v>0</v>
          </cell>
          <cell r="CX228">
            <v>0</v>
          </cell>
          <cell r="CY228">
            <v>0</v>
          </cell>
          <cell r="CZ228">
            <v>0</v>
          </cell>
          <cell r="DA228">
            <v>0</v>
          </cell>
          <cell r="DF228">
            <v>0</v>
          </cell>
          <cell r="DG228">
            <v>0</v>
          </cell>
          <cell r="DH228">
            <v>0</v>
          </cell>
          <cell r="DI228">
            <v>0</v>
          </cell>
          <cell r="DN228">
            <v>0</v>
          </cell>
          <cell r="DO228">
            <v>0</v>
          </cell>
          <cell r="DP228">
            <v>0</v>
          </cell>
          <cell r="DQ228">
            <v>0</v>
          </cell>
          <cell r="DV228">
            <v>0</v>
          </cell>
          <cell r="DW228">
            <v>0</v>
          </cell>
          <cell r="DX228">
            <v>0</v>
          </cell>
          <cell r="DY228">
            <v>0</v>
          </cell>
        </row>
        <row r="229">
          <cell r="F229">
            <v>0</v>
          </cell>
          <cell r="G229">
            <v>0</v>
          </cell>
          <cell r="H229">
            <v>0</v>
          </cell>
          <cell r="I229">
            <v>0</v>
          </cell>
          <cell r="N229">
            <v>0</v>
          </cell>
          <cell r="O229">
            <v>0</v>
          </cell>
          <cell r="T229">
            <v>0</v>
          </cell>
          <cell r="U229">
            <v>0</v>
          </cell>
          <cell r="Z229">
            <v>0</v>
          </cell>
          <cell r="AA229">
            <v>0</v>
          </cell>
          <cell r="AF229">
            <v>0</v>
          </cell>
          <cell r="AG229">
            <v>0</v>
          </cell>
          <cell r="AL229">
            <v>0</v>
          </cell>
          <cell r="AM229">
            <v>0</v>
          </cell>
          <cell r="AR229">
            <v>0</v>
          </cell>
          <cell r="AS229">
            <v>0</v>
          </cell>
          <cell r="AX229">
            <v>0</v>
          </cell>
          <cell r="AY229">
            <v>0</v>
          </cell>
          <cell r="AZ229">
            <v>0</v>
          </cell>
          <cell r="BA229">
            <v>0</v>
          </cell>
          <cell r="BF229">
            <v>0</v>
          </cell>
          <cell r="BG229">
            <v>0</v>
          </cell>
          <cell r="BL229">
            <v>0</v>
          </cell>
          <cell r="BM229">
            <v>0</v>
          </cell>
          <cell r="BR229">
            <v>0</v>
          </cell>
          <cell r="BS229">
            <v>0</v>
          </cell>
          <cell r="BX229">
            <v>0</v>
          </cell>
          <cell r="BY229">
            <v>0</v>
          </cell>
          <cell r="CD229">
            <v>0</v>
          </cell>
          <cell r="CE229">
            <v>0</v>
          </cell>
          <cell r="CJ229">
            <v>0</v>
          </cell>
          <cell r="CK229">
            <v>0</v>
          </cell>
          <cell r="CP229">
            <v>0</v>
          </cell>
          <cell r="CQ229">
            <v>0</v>
          </cell>
          <cell r="CR229">
            <v>0</v>
          </cell>
          <cell r="CS229">
            <v>0</v>
          </cell>
          <cell r="CX229">
            <v>0</v>
          </cell>
          <cell r="CY229">
            <v>0</v>
          </cell>
          <cell r="CZ229">
            <v>0</v>
          </cell>
          <cell r="DA229">
            <v>0</v>
          </cell>
          <cell r="DF229">
            <v>0</v>
          </cell>
          <cell r="DG229">
            <v>0</v>
          </cell>
          <cell r="DH229">
            <v>0</v>
          </cell>
          <cell r="DI229">
            <v>0</v>
          </cell>
          <cell r="DN229">
            <v>0</v>
          </cell>
          <cell r="DO229">
            <v>0</v>
          </cell>
          <cell r="DP229">
            <v>0</v>
          </cell>
          <cell r="DQ229">
            <v>0</v>
          </cell>
          <cell r="DV229">
            <v>0</v>
          </cell>
          <cell r="DW229">
            <v>0</v>
          </cell>
          <cell r="DX229">
            <v>0</v>
          </cell>
          <cell r="DY229">
            <v>0</v>
          </cell>
        </row>
        <row r="230">
          <cell r="F230">
            <v>0</v>
          </cell>
          <cell r="G230">
            <v>0</v>
          </cell>
          <cell r="H230">
            <v>0</v>
          </cell>
          <cell r="I230">
            <v>0</v>
          </cell>
          <cell r="N230">
            <v>0</v>
          </cell>
          <cell r="O230">
            <v>0</v>
          </cell>
          <cell r="P230">
            <v>0</v>
          </cell>
          <cell r="T230">
            <v>0</v>
          </cell>
          <cell r="U230">
            <v>0</v>
          </cell>
          <cell r="V230">
            <v>0</v>
          </cell>
          <cell r="Z230">
            <v>0</v>
          </cell>
          <cell r="AA230">
            <v>0</v>
          </cell>
          <cell r="AB230">
            <v>0</v>
          </cell>
          <cell r="AF230">
            <v>0</v>
          </cell>
          <cell r="AG230">
            <v>0</v>
          </cell>
          <cell r="AH230">
            <v>0</v>
          </cell>
          <cell r="AL230">
            <v>0</v>
          </cell>
          <cell r="AM230">
            <v>0</v>
          </cell>
          <cell r="AN230">
            <v>0</v>
          </cell>
          <cell r="AR230">
            <v>0</v>
          </cell>
          <cell r="AS230">
            <v>0</v>
          </cell>
          <cell r="AT230">
            <v>0</v>
          </cell>
          <cell r="AX230">
            <v>0</v>
          </cell>
          <cell r="AY230">
            <v>0</v>
          </cell>
          <cell r="AZ230">
            <v>0</v>
          </cell>
          <cell r="BA230">
            <v>0</v>
          </cell>
          <cell r="BF230">
            <v>0</v>
          </cell>
          <cell r="BG230">
            <v>0</v>
          </cell>
          <cell r="BH230">
            <v>0</v>
          </cell>
          <cell r="BL230">
            <v>0</v>
          </cell>
          <cell r="BM230">
            <v>0</v>
          </cell>
          <cell r="BN230">
            <v>0</v>
          </cell>
          <cell r="BR230">
            <v>0</v>
          </cell>
          <cell r="BS230">
            <v>0</v>
          </cell>
          <cell r="BT230">
            <v>0</v>
          </cell>
          <cell r="BX230">
            <v>0</v>
          </cell>
          <cell r="BY230">
            <v>0</v>
          </cell>
          <cell r="BZ230">
            <v>0</v>
          </cell>
          <cell r="CD230">
            <v>0</v>
          </cell>
          <cell r="CE230">
            <v>0</v>
          </cell>
          <cell r="CF230">
            <v>0</v>
          </cell>
          <cell r="CJ230">
            <v>0</v>
          </cell>
          <cell r="CK230">
            <v>0</v>
          </cell>
          <cell r="CL230">
            <v>0</v>
          </cell>
          <cell r="CP230">
            <v>0</v>
          </cell>
          <cell r="CQ230">
            <v>0</v>
          </cell>
          <cell r="CR230">
            <v>0</v>
          </cell>
          <cell r="CS230">
            <v>0</v>
          </cell>
          <cell r="CX230">
            <v>0</v>
          </cell>
          <cell r="CY230">
            <v>0</v>
          </cell>
          <cell r="CZ230">
            <v>0</v>
          </cell>
          <cell r="DA230">
            <v>0</v>
          </cell>
          <cell r="DF230">
            <v>0</v>
          </cell>
          <cell r="DG230">
            <v>0</v>
          </cell>
          <cell r="DH230">
            <v>0</v>
          </cell>
          <cell r="DI230">
            <v>0</v>
          </cell>
          <cell r="DN230">
            <v>0</v>
          </cell>
          <cell r="DO230">
            <v>0</v>
          </cell>
          <cell r="DP230">
            <v>0</v>
          </cell>
          <cell r="DQ230">
            <v>0</v>
          </cell>
          <cell r="DV230">
            <v>0</v>
          </cell>
          <cell r="DW230">
            <v>0</v>
          </cell>
          <cell r="DX230">
            <v>0</v>
          </cell>
          <cell r="DY230">
            <v>0</v>
          </cell>
        </row>
        <row r="231">
          <cell r="F231">
            <v>6750</v>
          </cell>
          <cell r="G231">
            <v>1012</v>
          </cell>
          <cell r="H231">
            <v>133.495</v>
          </cell>
          <cell r="I231">
            <v>13.19120553359684</v>
          </cell>
          <cell r="N231">
            <v>0</v>
          </cell>
          <cell r="O231">
            <v>0</v>
          </cell>
          <cell r="P231">
            <v>0</v>
          </cell>
          <cell r="T231">
            <v>200</v>
          </cell>
          <cell r="U231">
            <v>30</v>
          </cell>
          <cell r="V231">
            <v>3.956</v>
          </cell>
          <cell r="Z231">
            <v>250</v>
          </cell>
          <cell r="AA231">
            <v>37</v>
          </cell>
          <cell r="AB231">
            <v>4.9450000000000003</v>
          </cell>
          <cell r="AF231">
            <v>300</v>
          </cell>
          <cell r="AG231">
            <v>45</v>
          </cell>
          <cell r="AH231">
            <v>5.931</v>
          </cell>
          <cell r="AL231">
            <v>500</v>
          </cell>
          <cell r="AM231">
            <v>75</v>
          </cell>
          <cell r="AN231">
            <v>9.89</v>
          </cell>
          <cell r="AR231">
            <v>600</v>
          </cell>
          <cell r="AS231">
            <v>90</v>
          </cell>
          <cell r="AT231">
            <v>11.868</v>
          </cell>
          <cell r="AX231">
            <v>1850</v>
          </cell>
          <cell r="AY231">
            <v>277</v>
          </cell>
          <cell r="AZ231">
            <v>36.590000000000003</v>
          </cell>
          <cell r="BA231">
            <v>13.209386281588447</v>
          </cell>
          <cell r="BF231">
            <v>700</v>
          </cell>
          <cell r="BG231">
            <v>105</v>
          </cell>
          <cell r="BH231">
            <v>13.846</v>
          </cell>
          <cell r="BL231">
            <v>750</v>
          </cell>
          <cell r="BM231">
            <v>113</v>
          </cell>
          <cell r="BN231">
            <v>14.827</v>
          </cell>
          <cell r="BR231">
            <v>800</v>
          </cell>
          <cell r="BS231">
            <v>120</v>
          </cell>
          <cell r="BT231">
            <v>15.824</v>
          </cell>
          <cell r="BX231">
            <v>850</v>
          </cell>
          <cell r="BY231">
            <v>127</v>
          </cell>
          <cell r="BZ231">
            <v>16.812999999999999</v>
          </cell>
          <cell r="CD231">
            <v>900</v>
          </cell>
          <cell r="CE231">
            <v>135</v>
          </cell>
          <cell r="CF231">
            <v>17.802</v>
          </cell>
          <cell r="CJ231">
            <v>900</v>
          </cell>
          <cell r="CK231">
            <v>135</v>
          </cell>
          <cell r="CL231">
            <v>17.792999999999999</v>
          </cell>
          <cell r="CP231">
            <v>4900</v>
          </cell>
          <cell r="CQ231">
            <v>735</v>
          </cell>
          <cell r="CR231">
            <v>96.905000000000001</v>
          </cell>
          <cell r="CS231">
            <v>13.184353741496599</v>
          </cell>
          <cell r="CX231">
            <v>450</v>
          </cell>
          <cell r="CY231">
            <v>67</v>
          </cell>
          <cell r="CZ231">
            <v>8.9009999999999998</v>
          </cell>
          <cell r="DA231">
            <v>13.28507462686567</v>
          </cell>
          <cell r="DF231">
            <v>1400</v>
          </cell>
          <cell r="DG231">
            <v>210</v>
          </cell>
          <cell r="DH231">
            <v>27.689</v>
          </cell>
          <cell r="DI231">
            <v>13.185238095238095</v>
          </cell>
          <cell r="DN231">
            <v>2250</v>
          </cell>
          <cell r="DO231">
            <v>338</v>
          </cell>
          <cell r="DP231">
            <v>44.497</v>
          </cell>
          <cell r="DQ231">
            <v>13.164792899408283</v>
          </cell>
          <cell r="DV231">
            <v>2650</v>
          </cell>
          <cell r="DW231">
            <v>397</v>
          </cell>
          <cell r="DX231">
            <v>52.407999999999994</v>
          </cell>
          <cell r="DY231">
            <v>13.201007556675062</v>
          </cell>
        </row>
        <row r="232">
          <cell r="F232">
            <v>0</v>
          </cell>
          <cell r="G232">
            <v>1000</v>
          </cell>
          <cell r="H232">
            <v>794.75700000000006</v>
          </cell>
          <cell r="I232">
            <v>79.475700000000003</v>
          </cell>
          <cell r="O232">
            <v>40</v>
          </cell>
          <cell r="P232">
            <v>30.494</v>
          </cell>
          <cell r="U232">
            <v>50</v>
          </cell>
          <cell r="V232">
            <v>37.814</v>
          </cell>
          <cell r="AA232">
            <v>50</v>
          </cell>
          <cell r="AB232">
            <v>36.72</v>
          </cell>
          <cell r="AG232">
            <v>70</v>
          </cell>
          <cell r="AH232">
            <v>55.106999999999999</v>
          </cell>
          <cell r="AM232">
            <v>70</v>
          </cell>
          <cell r="AN232">
            <v>54.527000000000001</v>
          </cell>
          <cell r="AS232">
            <v>80</v>
          </cell>
          <cell r="AT232">
            <v>64</v>
          </cell>
          <cell r="AX232">
            <v>0</v>
          </cell>
          <cell r="AY232">
            <v>360</v>
          </cell>
          <cell r="AZ232">
            <v>278.66200000000003</v>
          </cell>
          <cell r="BA232">
            <v>77.406111111111116</v>
          </cell>
          <cell r="BG232">
            <v>85</v>
          </cell>
          <cell r="BH232">
            <v>66.927000000000007</v>
          </cell>
          <cell r="BM232">
            <v>85</v>
          </cell>
          <cell r="BN232">
            <v>67.066999999999993</v>
          </cell>
          <cell r="BS232">
            <v>90</v>
          </cell>
          <cell r="BT232">
            <v>72.819999999999993</v>
          </cell>
          <cell r="BY232">
            <v>100</v>
          </cell>
          <cell r="BZ232">
            <v>80.027000000000001</v>
          </cell>
          <cell r="CE232">
            <v>120</v>
          </cell>
          <cell r="CF232">
            <v>96.427000000000007</v>
          </cell>
          <cell r="CK232">
            <v>160</v>
          </cell>
          <cell r="CL232">
            <v>132.827</v>
          </cell>
          <cell r="CP232">
            <v>0</v>
          </cell>
          <cell r="CQ232">
            <v>640</v>
          </cell>
          <cell r="CR232">
            <v>516.09500000000003</v>
          </cell>
          <cell r="CS232">
            <v>80.639843750000011</v>
          </cell>
          <cell r="CX232">
            <v>0</v>
          </cell>
          <cell r="CY232">
            <v>140</v>
          </cell>
          <cell r="CZ232">
            <v>105.02799999999999</v>
          </cell>
          <cell r="DA232">
            <v>75.02</v>
          </cell>
          <cell r="DF232">
            <v>0</v>
          </cell>
          <cell r="DG232">
            <v>220</v>
          </cell>
          <cell r="DH232">
            <v>173.63400000000001</v>
          </cell>
          <cell r="DI232">
            <v>78.924545454545452</v>
          </cell>
          <cell r="DN232">
            <v>0</v>
          </cell>
          <cell r="DO232">
            <v>260</v>
          </cell>
          <cell r="DP232">
            <v>206.81399999999999</v>
          </cell>
          <cell r="DQ232">
            <v>79.543846153846147</v>
          </cell>
          <cell r="DV232">
            <v>0</v>
          </cell>
          <cell r="DW232">
            <v>380</v>
          </cell>
          <cell r="DX232">
            <v>309.28100000000001</v>
          </cell>
          <cell r="DY232">
            <v>81.389736842105265</v>
          </cell>
        </row>
        <row r="233">
          <cell r="F233">
            <v>0</v>
          </cell>
          <cell r="G233">
            <v>0</v>
          </cell>
          <cell r="H233">
            <v>0</v>
          </cell>
          <cell r="I233">
            <v>0</v>
          </cell>
          <cell r="N233">
            <v>0</v>
          </cell>
          <cell r="O233">
            <v>0</v>
          </cell>
          <cell r="T233">
            <v>0</v>
          </cell>
          <cell r="U233">
            <v>0</v>
          </cell>
          <cell r="Z233">
            <v>0</v>
          </cell>
          <cell r="AA233">
            <v>0</v>
          </cell>
          <cell r="AF233">
            <v>0</v>
          </cell>
          <cell r="AG233">
            <v>0</v>
          </cell>
          <cell r="AL233">
            <v>0</v>
          </cell>
          <cell r="AM233">
            <v>0</v>
          </cell>
          <cell r="AR233">
            <v>0</v>
          </cell>
          <cell r="AS233">
            <v>0</v>
          </cell>
          <cell r="AX233">
            <v>0</v>
          </cell>
          <cell r="AY233">
            <v>0</v>
          </cell>
          <cell r="AZ233">
            <v>0</v>
          </cell>
          <cell r="BA233">
            <v>0</v>
          </cell>
          <cell r="BF233">
            <v>0</v>
          </cell>
          <cell r="BG233">
            <v>0</v>
          </cell>
          <cell r="BL233">
            <v>0</v>
          </cell>
          <cell r="BM233">
            <v>0</v>
          </cell>
          <cell r="BR233">
            <v>0</v>
          </cell>
          <cell r="BS233">
            <v>0</v>
          </cell>
          <cell r="BX233">
            <v>0</v>
          </cell>
          <cell r="BY233">
            <v>0</v>
          </cell>
          <cell r="CD233">
            <v>0</v>
          </cell>
          <cell r="CE233">
            <v>0</v>
          </cell>
          <cell r="CJ233">
            <v>0</v>
          </cell>
          <cell r="CK233">
            <v>0</v>
          </cell>
          <cell r="CP233">
            <v>0</v>
          </cell>
          <cell r="CQ233">
            <v>0</v>
          </cell>
          <cell r="CR233">
            <v>0</v>
          </cell>
          <cell r="CS233">
            <v>0</v>
          </cell>
          <cell r="CX233">
            <v>0</v>
          </cell>
          <cell r="CY233">
            <v>0</v>
          </cell>
          <cell r="CZ233">
            <v>0</v>
          </cell>
          <cell r="DA233">
            <v>0</v>
          </cell>
          <cell r="DF233">
            <v>0</v>
          </cell>
          <cell r="DG233">
            <v>0</v>
          </cell>
          <cell r="DH233">
            <v>0</v>
          </cell>
          <cell r="DI233">
            <v>0</v>
          </cell>
          <cell r="DN233">
            <v>0</v>
          </cell>
          <cell r="DO233">
            <v>0</v>
          </cell>
          <cell r="DP233">
            <v>0</v>
          </cell>
          <cell r="DQ233">
            <v>0</v>
          </cell>
          <cell r="DV233">
            <v>0</v>
          </cell>
          <cell r="DW233">
            <v>0</v>
          </cell>
          <cell r="DX233">
            <v>0</v>
          </cell>
          <cell r="DY233">
            <v>0</v>
          </cell>
        </row>
        <row r="234">
          <cell r="F234">
            <v>6750</v>
          </cell>
          <cell r="G234">
            <v>2012</v>
          </cell>
          <cell r="H234">
            <v>928.25200000000007</v>
          </cell>
          <cell r="I234">
            <v>46.135785288270384</v>
          </cell>
          <cell r="N234">
            <v>0</v>
          </cell>
          <cell r="O234">
            <v>40</v>
          </cell>
          <cell r="P234">
            <v>30.494</v>
          </cell>
          <cell r="T234">
            <v>200</v>
          </cell>
          <cell r="U234">
            <v>80</v>
          </cell>
          <cell r="V234">
            <v>41.77</v>
          </cell>
          <cell r="Z234">
            <v>250</v>
          </cell>
          <cell r="AA234">
            <v>87</v>
          </cell>
          <cell r="AB234">
            <v>41.664999999999999</v>
          </cell>
          <cell r="AF234">
            <v>300</v>
          </cell>
          <cell r="AG234">
            <v>115</v>
          </cell>
          <cell r="AH234">
            <v>61.037999999999997</v>
          </cell>
          <cell r="AL234">
            <v>500</v>
          </cell>
          <cell r="AM234">
            <v>145</v>
          </cell>
          <cell r="AN234">
            <v>64.417000000000002</v>
          </cell>
          <cell r="AR234">
            <v>600</v>
          </cell>
          <cell r="AS234">
            <v>170</v>
          </cell>
          <cell r="AT234">
            <v>75.867999999999995</v>
          </cell>
          <cell r="AX234">
            <v>1850</v>
          </cell>
          <cell r="AY234">
            <v>637</v>
          </cell>
          <cell r="AZ234">
            <v>315.25200000000007</v>
          </cell>
          <cell r="BA234">
            <v>49.490109890109899</v>
          </cell>
          <cell r="BF234">
            <v>700</v>
          </cell>
          <cell r="BG234">
            <v>190</v>
          </cell>
          <cell r="BH234">
            <v>80.77300000000001</v>
          </cell>
          <cell r="BL234">
            <v>750</v>
          </cell>
          <cell r="BM234">
            <v>198</v>
          </cell>
          <cell r="BN234">
            <v>81.893999999999991</v>
          </cell>
          <cell r="BR234">
            <v>800</v>
          </cell>
          <cell r="BS234">
            <v>210</v>
          </cell>
          <cell r="BT234">
            <v>88.643999999999991</v>
          </cell>
          <cell r="BX234">
            <v>850</v>
          </cell>
          <cell r="BY234">
            <v>227</v>
          </cell>
          <cell r="BZ234">
            <v>96.84</v>
          </cell>
          <cell r="CD234">
            <v>900</v>
          </cell>
          <cell r="CE234">
            <v>255</v>
          </cell>
          <cell r="CF234">
            <v>114.22900000000001</v>
          </cell>
          <cell r="CJ234">
            <v>900</v>
          </cell>
          <cell r="CK234">
            <v>295</v>
          </cell>
          <cell r="CL234">
            <v>150.62</v>
          </cell>
          <cell r="CP234">
            <v>4900</v>
          </cell>
          <cell r="CQ234">
            <v>1375</v>
          </cell>
          <cell r="CR234">
            <v>613</v>
          </cell>
          <cell r="CS234">
            <v>44.581818181818186</v>
          </cell>
          <cell r="CX234">
            <v>450</v>
          </cell>
          <cell r="CY234">
            <v>207</v>
          </cell>
          <cell r="CZ234">
            <v>113.92899999999999</v>
          </cell>
          <cell r="DA234">
            <v>55.038164251207725</v>
          </cell>
          <cell r="DF234">
            <v>1400</v>
          </cell>
          <cell r="DG234">
            <v>430</v>
          </cell>
          <cell r="DH234">
            <v>201.32300000000001</v>
          </cell>
          <cell r="DI234">
            <v>46.819302325581397</v>
          </cell>
          <cell r="DN234">
            <v>2250</v>
          </cell>
          <cell r="DO234">
            <v>598</v>
          </cell>
          <cell r="DP234">
            <v>251.31099999999998</v>
          </cell>
          <cell r="DQ234">
            <v>42.025250836120399</v>
          </cell>
          <cell r="DV234">
            <v>2650</v>
          </cell>
          <cell r="DW234">
            <v>777</v>
          </cell>
          <cell r="DX234">
            <v>361.68900000000002</v>
          </cell>
          <cell r="DY234">
            <v>46.549420849420855</v>
          </cell>
        </row>
        <row r="235">
          <cell r="F235">
            <v>6750</v>
          </cell>
          <cell r="G235">
            <v>8873.1</v>
          </cell>
          <cell r="H235">
            <v>3005.7569999999996</v>
          </cell>
          <cell r="I235">
            <v>33.874936606146662</v>
          </cell>
          <cell r="N235">
            <v>0</v>
          </cell>
          <cell r="O235">
            <v>368.2</v>
          </cell>
          <cell r="P235">
            <v>125.096</v>
          </cell>
          <cell r="T235">
            <v>200</v>
          </cell>
          <cell r="U235">
            <v>533</v>
          </cell>
          <cell r="V235">
            <v>172.59200000000001</v>
          </cell>
          <cell r="Z235">
            <v>250</v>
          </cell>
          <cell r="AA235">
            <v>653.20000000000005</v>
          </cell>
          <cell r="AB235">
            <v>208.06699999999998</v>
          </cell>
          <cell r="AF235">
            <v>300</v>
          </cell>
          <cell r="AG235">
            <v>690.5</v>
          </cell>
          <cell r="AH235">
            <v>230.75799999999998</v>
          </cell>
          <cell r="AL235">
            <v>500</v>
          </cell>
          <cell r="AM235">
            <v>742.2</v>
          </cell>
          <cell r="AN235">
            <v>241.393</v>
          </cell>
          <cell r="AR235">
            <v>600</v>
          </cell>
          <cell r="AS235">
            <v>769.2</v>
          </cell>
          <cell r="AT235">
            <v>256.70600000000002</v>
          </cell>
          <cell r="AX235">
            <v>1850</v>
          </cell>
          <cell r="AY235">
            <v>3756.3</v>
          </cell>
          <cell r="AZ235">
            <v>1234.6120000000001</v>
          </cell>
          <cell r="BA235">
            <v>32.867768815057367</v>
          </cell>
          <cell r="BF235">
            <v>700</v>
          </cell>
          <cell r="BG235">
            <v>730.4</v>
          </cell>
          <cell r="BH235">
            <v>247.63400000000001</v>
          </cell>
          <cell r="BL235">
            <v>750</v>
          </cell>
          <cell r="BM235">
            <v>701.4</v>
          </cell>
          <cell r="BN235">
            <v>238.72500000000002</v>
          </cell>
          <cell r="BR235">
            <v>800</v>
          </cell>
          <cell r="BS235">
            <v>891.9</v>
          </cell>
          <cell r="BT235">
            <v>302.11500000000001</v>
          </cell>
          <cell r="BX235">
            <v>850</v>
          </cell>
          <cell r="BY235">
            <v>973.5</v>
          </cell>
          <cell r="BZ235">
            <v>328.93100000000004</v>
          </cell>
          <cell r="CD235">
            <v>900</v>
          </cell>
          <cell r="CE235">
            <v>909.1</v>
          </cell>
          <cell r="CF235">
            <v>315.149</v>
          </cell>
          <cell r="CJ235">
            <v>900</v>
          </cell>
          <cell r="CK235">
            <v>910.5</v>
          </cell>
          <cell r="CL235">
            <v>338.59100000000001</v>
          </cell>
          <cell r="CP235">
            <v>4900</v>
          </cell>
          <cell r="CQ235">
            <v>5116.8</v>
          </cell>
          <cell r="CR235">
            <v>1771.145</v>
          </cell>
          <cell r="CS235">
            <v>34.614309724828018</v>
          </cell>
          <cell r="CX235">
            <v>450</v>
          </cell>
          <cell r="CY235">
            <v>1554.4</v>
          </cell>
          <cell r="CZ235">
            <v>505.75499999999994</v>
          </cell>
          <cell r="DA235">
            <v>32.53699176531137</v>
          </cell>
          <cell r="DF235">
            <v>1400</v>
          </cell>
          <cell r="DG235">
            <v>2201.9</v>
          </cell>
          <cell r="DH235">
            <v>728.85699999999997</v>
          </cell>
          <cell r="DI235">
            <v>33.101276170579951</v>
          </cell>
          <cell r="DN235">
            <v>2250</v>
          </cell>
          <cell r="DO235">
            <v>2323.6999999999998</v>
          </cell>
          <cell r="DP235">
            <v>788.47399999999993</v>
          </cell>
          <cell r="DQ235">
            <v>33.931832852777902</v>
          </cell>
          <cell r="DV235">
            <v>2650</v>
          </cell>
          <cell r="DW235">
            <v>2793.1</v>
          </cell>
          <cell r="DX235">
            <v>982.67100000000005</v>
          </cell>
          <cell r="DY235">
            <v>35.182091582829116</v>
          </cell>
        </row>
        <row r="236">
          <cell r="F236">
            <v>0</v>
          </cell>
          <cell r="G236">
            <v>0</v>
          </cell>
          <cell r="H236">
            <v>0</v>
          </cell>
          <cell r="I236">
            <v>0</v>
          </cell>
          <cell r="N236">
            <v>0</v>
          </cell>
          <cell r="AR236">
            <v>0</v>
          </cell>
          <cell r="AX236">
            <v>0</v>
          </cell>
          <cell r="AY236">
            <v>0</v>
          </cell>
          <cell r="AZ236">
            <v>0</v>
          </cell>
          <cell r="BA236">
            <v>0</v>
          </cell>
          <cell r="BF236">
            <v>0</v>
          </cell>
          <cell r="BL236">
            <v>0</v>
          </cell>
          <cell r="BR236">
            <v>0</v>
          </cell>
          <cell r="BX236">
            <v>0</v>
          </cell>
          <cell r="CD236">
            <v>0</v>
          </cell>
          <cell r="CJ236">
            <v>0</v>
          </cell>
          <cell r="CP236">
            <v>0</v>
          </cell>
          <cell r="CQ236">
            <v>0</v>
          </cell>
          <cell r="CR236">
            <v>0</v>
          </cell>
          <cell r="CS236">
            <v>0</v>
          </cell>
          <cell r="CX236">
            <v>0</v>
          </cell>
          <cell r="CY236">
            <v>0</v>
          </cell>
          <cell r="CZ236">
            <v>0</v>
          </cell>
          <cell r="DA236">
            <v>0</v>
          </cell>
          <cell r="DF236">
            <v>0</v>
          </cell>
          <cell r="DG236">
            <v>0</v>
          </cell>
          <cell r="DH236">
            <v>0</v>
          </cell>
          <cell r="DI236">
            <v>0</v>
          </cell>
          <cell r="DN236">
            <v>0</v>
          </cell>
          <cell r="DO236">
            <v>0</v>
          </cell>
          <cell r="DP236">
            <v>0</v>
          </cell>
          <cell r="DQ236">
            <v>0</v>
          </cell>
          <cell r="DV236">
            <v>0</v>
          </cell>
          <cell r="DW236">
            <v>0</v>
          </cell>
          <cell r="DX236">
            <v>0</v>
          </cell>
          <cell r="DY236">
            <v>0</v>
          </cell>
        </row>
        <row r="237">
          <cell r="F237">
            <v>51210</v>
          </cell>
          <cell r="G237">
            <v>36640.1</v>
          </cell>
          <cell r="H237">
            <v>12877.547</v>
          </cell>
          <cell r="I237">
            <v>35.146047636332874</v>
          </cell>
          <cell r="N237">
            <v>2302</v>
          </cell>
          <cell r="O237">
            <v>1929.2</v>
          </cell>
          <cell r="P237">
            <v>534.07299999999998</v>
          </cell>
          <cell r="T237">
            <v>2670</v>
          </cell>
          <cell r="U237">
            <v>2170</v>
          </cell>
          <cell r="V237">
            <v>598.36</v>
          </cell>
          <cell r="Z237">
            <v>3500</v>
          </cell>
          <cell r="AA237">
            <v>2707.2</v>
          </cell>
          <cell r="AB237">
            <v>835.84900000000005</v>
          </cell>
          <cell r="AF237">
            <v>3842</v>
          </cell>
          <cell r="AG237">
            <v>3029</v>
          </cell>
          <cell r="AH237">
            <v>979.28</v>
          </cell>
          <cell r="AL237">
            <v>4300</v>
          </cell>
          <cell r="AM237">
            <v>3096.7</v>
          </cell>
          <cell r="AN237">
            <v>1047.415</v>
          </cell>
          <cell r="AR237">
            <v>4570</v>
          </cell>
          <cell r="AS237">
            <v>3148.2</v>
          </cell>
          <cell r="AT237">
            <v>1107.2190000000001</v>
          </cell>
          <cell r="AX237">
            <v>21184</v>
          </cell>
          <cell r="AY237">
            <v>16080.3</v>
          </cell>
          <cell r="AZ237">
            <v>5102.1959999999999</v>
          </cell>
          <cell r="BA237">
            <v>31.729482658905617</v>
          </cell>
          <cell r="BF237">
            <v>4952</v>
          </cell>
          <cell r="BG237">
            <v>3230.4</v>
          </cell>
          <cell r="BH237">
            <v>1165.0149999999999</v>
          </cell>
          <cell r="BL237">
            <v>4270</v>
          </cell>
          <cell r="BM237">
            <v>2965.4</v>
          </cell>
          <cell r="BN237">
            <v>1069.8559999999998</v>
          </cell>
          <cell r="BR237">
            <v>4786</v>
          </cell>
          <cell r="BS237">
            <v>3564.9</v>
          </cell>
          <cell r="BT237">
            <v>1338.1310000000001</v>
          </cell>
          <cell r="BX237">
            <v>5764</v>
          </cell>
          <cell r="BY237">
            <v>3839.5</v>
          </cell>
          <cell r="BZ237">
            <v>1455.65</v>
          </cell>
          <cell r="CD237">
            <v>5504</v>
          </cell>
          <cell r="CE237">
            <v>3634.1</v>
          </cell>
          <cell r="CF237">
            <v>1398.3220000000001</v>
          </cell>
          <cell r="CJ237">
            <v>4750</v>
          </cell>
          <cell r="CK237">
            <v>3325.5</v>
          </cell>
          <cell r="CL237">
            <v>1348.377</v>
          </cell>
          <cell r="CP237">
            <v>30026</v>
          </cell>
          <cell r="CQ237">
            <v>20559.8</v>
          </cell>
          <cell r="CR237">
            <v>7775.3510000000006</v>
          </cell>
          <cell r="CS237">
            <v>37.81822293991187</v>
          </cell>
          <cell r="CX237">
            <v>8472</v>
          </cell>
          <cell r="CY237">
            <v>6806.4</v>
          </cell>
          <cell r="CZ237">
            <v>1968.2820000000002</v>
          </cell>
          <cell r="DA237">
            <v>28.918106488011286</v>
          </cell>
          <cell r="DF237">
            <v>12712</v>
          </cell>
          <cell r="DG237">
            <v>9273.9</v>
          </cell>
          <cell r="DH237">
            <v>3133.9139999999998</v>
          </cell>
          <cell r="DI237">
            <v>33.792837964610356</v>
          </cell>
          <cell r="DN237">
            <v>14008</v>
          </cell>
          <cell r="DO237">
            <v>9760.7000000000007</v>
          </cell>
          <cell r="DP237">
            <v>3573.0020000000004</v>
          </cell>
          <cell r="DQ237">
            <v>36.606001618736364</v>
          </cell>
          <cell r="DV237">
            <v>16018</v>
          </cell>
          <cell r="DW237">
            <v>10799.1</v>
          </cell>
          <cell r="DX237">
            <v>4202.3490000000002</v>
          </cell>
          <cell r="DY237">
            <v>38.913881712364919</v>
          </cell>
        </row>
        <row r="238">
          <cell r="F238">
            <v>0</v>
          </cell>
          <cell r="G238">
            <v>0</v>
          </cell>
          <cell r="H238">
            <v>0</v>
          </cell>
          <cell r="I238">
            <v>0</v>
          </cell>
          <cell r="N238">
            <v>0</v>
          </cell>
          <cell r="O238">
            <v>0</v>
          </cell>
          <cell r="P238">
            <v>0</v>
          </cell>
          <cell r="T238">
            <v>0</v>
          </cell>
          <cell r="U238">
            <v>0</v>
          </cell>
          <cell r="V238">
            <v>0</v>
          </cell>
          <cell r="Z238">
            <v>0</v>
          </cell>
          <cell r="AA238">
            <v>0</v>
          </cell>
          <cell r="AB238">
            <v>0</v>
          </cell>
          <cell r="AF238">
            <v>0</v>
          </cell>
          <cell r="AG238">
            <v>0</v>
          </cell>
          <cell r="AH238">
            <v>0</v>
          </cell>
          <cell r="AL238">
            <v>0</v>
          </cell>
          <cell r="AM238">
            <v>0</v>
          </cell>
          <cell r="AN238">
            <v>0</v>
          </cell>
          <cell r="AR238">
            <v>0</v>
          </cell>
          <cell r="AS238">
            <v>0</v>
          </cell>
          <cell r="AT238">
            <v>0</v>
          </cell>
          <cell r="AX238">
            <v>0</v>
          </cell>
          <cell r="AY238">
            <v>0</v>
          </cell>
          <cell r="AZ238">
            <v>0</v>
          </cell>
          <cell r="BA238">
            <v>0</v>
          </cell>
          <cell r="BF238">
            <v>0</v>
          </cell>
          <cell r="BG238">
            <v>0</v>
          </cell>
          <cell r="BH238">
            <v>0</v>
          </cell>
          <cell r="BL238">
            <v>0</v>
          </cell>
          <cell r="BM238">
            <v>0</v>
          </cell>
          <cell r="BN238">
            <v>0</v>
          </cell>
          <cell r="BR238">
            <v>0</v>
          </cell>
          <cell r="BS238">
            <v>0</v>
          </cell>
          <cell r="BT238">
            <v>0</v>
          </cell>
          <cell r="BX238">
            <v>0</v>
          </cell>
          <cell r="BY238">
            <v>0</v>
          </cell>
          <cell r="BZ238">
            <v>0</v>
          </cell>
          <cell r="CD238">
            <v>0</v>
          </cell>
          <cell r="CE238">
            <v>0</v>
          </cell>
          <cell r="CF238">
            <v>0</v>
          </cell>
          <cell r="CJ238">
            <v>0</v>
          </cell>
          <cell r="CK238">
            <v>0</v>
          </cell>
          <cell r="CL238">
            <v>0</v>
          </cell>
          <cell r="CP238">
            <v>0</v>
          </cell>
          <cell r="CQ238">
            <v>0</v>
          </cell>
          <cell r="CR238">
            <v>0</v>
          </cell>
          <cell r="CS238">
            <v>0</v>
          </cell>
          <cell r="CX238">
            <v>0</v>
          </cell>
          <cell r="CY238">
            <v>0</v>
          </cell>
          <cell r="CZ238">
            <v>0</v>
          </cell>
          <cell r="DA238">
            <v>0</v>
          </cell>
          <cell r="DF238">
            <v>0</v>
          </cell>
          <cell r="DG238">
            <v>0</v>
          </cell>
          <cell r="DH238">
            <v>0</v>
          </cell>
          <cell r="DI238">
            <v>0</v>
          </cell>
          <cell r="DN238">
            <v>0</v>
          </cell>
          <cell r="DO238">
            <v>0</v>
          </cell>
          <cell r="DP238">
            <v>0</v>
          </cell>
          <cell r="DQ238">
            <v>0</v>
          </cell>
          <cell r="DV238">
            <v>0</v>
          </cell>
          <cell r="DW238">
            <v>0</v>
          </cell>
          <cell r="DX238">
            <v>0</v>
          </cell>
          <cell r="DY238">
            <v>0</v>
          </cell>
        </row>
        <row r="239">
          <cell r="F239">
            <v>25</v>
          </cell>
          <cell r="G239">
            <v>400</v>
          </cell>
          <cell r="H239">
            <v>11.199</v>
          </cell>
          <cell r="I239">
            <v>2.79975</v>
          </cell>
          <cell r="N239">
            <v>2</v>
          </cell>
          <cell r="O239">
            <v>32</v>
          </cell>
          <cell r="P239">
            <v>5.6630000000000003</v>
          </cell>
          <cell r="T239">
            <v>2</v>
          </cell>
          <cell r="U239">
            <v>32</v>
          </cell>
          <cell r="V239">
            <v>5.6630000000000003</v>
          </cell>
          <cell r="Z239">
            <v>2</v>
          </cell>
          <cell r="AA239">
            <v>32</v>
          </cell>
          <cell r="AB239">
            <v>5.6630000000000003</v>
          </cell>
          <cell r="AF239">
            <v>2</v>
          </cell>
          <cell r="AG239">
            <v>32</v>
          </cell>
          <cell r="AH239">
            <v>5.6630000000000003</v>
          </cell>
          <cell r="AL239">
            <v>2</v>
          </cell>
          <cell r="AM239">
            <v>32</v>
          </cell>
          <cell r="AN239">
            <v>0.82299999999999995</v>
          </cell>
          <cell r="AR239">
            <v>2</v>
          </cell>
          <cell r="AS239">
            <v>32</v>
          </cell>
          <cell r="AT239">
            <v>-0.93300000000000005</v>
          </cell>
          <cell r="AX239">
            <v>12</v>
          </cell>
          <cell r="AY239">
            <v>192</v>
          </cell>
          <cell r="AZ239">
            <v>22.542000000000002</v>
          </cell>
          <cell r="BA239">
            <v>11.740625</v>
          </cell>
          <cell r="BF239">
            <v>2</v>
          </cell>
          <cell r="BG239">
            <v>32</v>
          </cell>
          <cell r="BH239">
            <v>-1.323</v>
          </cell>
          <cell r="BL239">
            <v>2</v>
          </cell>
          <cell r="BM239">
            <v>32</v>
          </cell>
          <cell r="BN239">
            <v>-1.284</v>
          </cell>
          <cell r="BR239">
            <v>2</v>
          </cell>
          <cell r="BS239">
            <v>32</v>
          </cell>
          <cell r="BT239">
            <v>-1.68</v>
          </cell>
          <cell r="BX239">
            <v>3</v>
          </cell>
          <cell r="BY239">
            <v>48</v>
          </cell>
          <cell r="BZ239">
            <v>-2.6749999999999998</v>
          </cell>
          <cell r="CD239">
            <v>2</v>
          </cell>
          <cell r="CE239">
            <v>32</v>
          </cell>
          <cell r="CF239">
            <v>-2.1509999999999998</v>
          </cell>
          <cell r="CJ239">
            <v>2</v>
          </cell>
          <cell r="CK239">
            <v>32</v>
          </cell>
          <cell r="CL239">
            <v>-2.23</v>
          </cell>
          <cell r="CP239">
            <v>13</v>
          </cell>
          <cell r="CQ239">
            <v>208</v>
          </cell>
          <cell r="CR239">
            <v>-11.343000000000002</v>
          </cell>
          <cell r="CS239">
            <v>-5.4533653846153856</v>
          </cell>
          <cell r="CX239">
            <v>6</v>
          </cell>
          <cell r="CY239">
            <v>96</v>
          </cell>
          <cell r="CZ239">
            <v>16.989000000000001</v>
          </cell>
          <cell r="DA239">
            <v>17.696875000000002</v>
          </cell>
          <cell r="DF239">
            <v>6</v>
          </cell>
          <cell r="DG239">
            <v>96</v>
          </cell>
          <cell r="DH239">
            <v>5.5530000000000008</v>
          </cell>
          <cell r="DI239">
            <v>5.7843750000000007</v>
          </cell>
          <cell r="DN239">
            <v>6</v>
          </cell>
          <cell r="DO239">
            <v>96</v>
          </cell>
          <cell r="DP239">
            <v>-4.2869999999999999</v>
          </cell>
          <cell r="DQ239">
            <v>-4.4656250000000002</v>
          </cell>
          <cell r="DV239">
            <v>7</v>
          </cell>
          <cell r="DW239">
            <v>112</v>
          </cell>
          <cell r="DX239">
            <v>-7.0559999999999992</v>
          </cell>
          <cell r="DY239">
            <v>-6.2999999999999989</v>
          </cell>
        </row>
        <row r="240">
          <cell r="F240">
            <v>135</v>
          </cell>
          <cell r="G240">
            <v>3375</v>
          </cell>
          <cell r="H240">
            <v>-287.12</v>
          </cell>
          <cell r="I240">
            <v>-8.5072592592592589</v>
          </cell>
          <cell r="N240">
            <v>8</v>
          </cell>
          <cell r="O240">
            <v>200</v>
          </cell>
          <cell r="P240">
            <v>-28.98</v>
          </cell>
          <cell r="T240">
            <v>8</v>
          </cell>
          <cell r="U240">
            <v>200</v>
          </cell>
          <cell r="V240">
            <v>-27.376999999999999</v>
          </cell>
          <cell r="Z240">
            <v>9</v>
          </cell>
          <cell r="AA240">
            <v>225</v>
          </cell>
          <cell r="AB240">
            <v>-32.378999999999998</v>
          </cell>
          <cell r="AF240">
            <v>9</v>
          </cell>
          <cell r="AG240">
            <v>225</v>
          </cell>
          <cell r="AH240">
            <v>-30.28</v>
          </cell>
          <cell r="AL240">
            <v>11</v>
          </cell>
          <cell r="AM240">
            <v>275</v>
          </cell>
          <cell r="AN240">
            <v>-34.533999999999999</v>
          </cell>
          <cell r="AR240">
            <v>11</v>
          </cell>
          <cell r="AS240">
            <v>275</v>
          </cell>
          <cell r="AT240">
            <v>-24.745999999999999</v>
          </cell>
          <cell r="AX240">
            <v>56</v>
          </cell>
          <cell r="AY240">
            <v>1400</v>
          </cell>
          <cell r="AZ240">
            <v>-178.29599999999999</v>
          </cell>
          <cell r="BA240">
            <v>-12.735428571428569</v>
          </cell>
          <cell r="BF240">
            <v>12</v>
          </cell>
          <cell r="BG240">
            <v>300</v>
          </cell>
          <cell r="BH240">
            <v>-19.975000000000001</v>
          </cell>
          <cell r="BL240">
            <v>13</v>
          </cell>
          <cell r="BM240">
            <v>325</v>
          </cell>
          <cell r="BN240">
            <v>-15.085000000000001</v>
          </cell>
          <cell r="BR240">
            <v>14</v>
          </cell>
          <cell r="BS240">
            <v>350</v>
          </cell>
          <cell r="BT240">
            <v>-15.5</v>
          </cell>
          <cell r="BX240">
            <v>14</v>
          </cell>
          <cell r="BY240">
            <v>350</v>
          </cell>
          <cell r="BZ240">
            <v>-17.11</v>
          </cell>
          <cell r="CD240">
            <v>14</v>
          </cell>
          <cell r="CE240">
            <v>350</v>
          </cell>
          <cell r="CF240">
            <v>-21.561</v>
          </cell>
          <cell r="CJ240">
            <v>12</v>
          </cell>
          <cell r="CK240">
            <v>300</v>
          </cell>
          <cell r="CL240">
            <v>-19.593</v>
          </cell>
          <cell r="CP240">
            <v>79</v>
          </cell>
          <cell r="CQ240">
            <v>1975</v>
          </cell>
          <cell r="CR240">
            <v>-108.82399999999998</v>
          </cell>
          <cell r="CS240">
            <v>-5.5100759493670886</v>
          </cell>
          <cell r="CX240">
            <v>25</v>
          </cell>
          <cell r="CY240">
            <v>625</v>
          </cell>
          <cell r="CZ240">
            <v>-88.73599999999999</v>
          </cell>
          <cell r="DA240">
            <v>-14.197759999999999</v>
          </cell>
          <cell r="DF240">
            <v>31</v>
          </cell>
          <cell r="DG240">
            <v>775</v>
          </cell>
          <cell r="DH240">
            <v>-89.559999999999988</v>
          </cell>
          <cell r="DI240">
            <v>-11.556129032258063</v>
          </cell>
          <cell r="DN240">
            <v>39</v>
          </cell>
          <cell r="DO240">
            <v>975</v>
          </cell>
          <cell r="DP240">
            <v>-50.56</v>
          </cell>
          <cell r="DQ240">
            <v>-5.1856410256410257</v>
          </cell>
          <cell r="DV240">
            <v>40</v>
          </cell>
          <cell r="DW240">
            <v>1000</v>
          </cell>
          <cell r="DX240">
            <v>-58.263999999999996</v>
          </cell>
          <cell r="DY240">
            <v>-5.8263999999999996</v>
          </cell>
        </row>
        <row r="241">
          <cell r="F241">
            <v>72</v>
          </cell>
          <cell r="G241">
            <v>576</v>
          </cell>
          <cell r="H241">
            <v>163.97800000000001</v>
          </cell>
          <cell r="I241">
            <v>28.468402777777779</v>
          </cell>
          <cell r="N241">
            <v>4</v>
          </cell>
          <cell r="O241">
            <v>32</v>
          </cell>
          <cell r="P241">
            <v>9.11</v>
          </cell>
          <cell r="T241">
            <v>4</v>
          </cell>
          <cell r="U241">
            <v>32</v>
          </cell>
          <cell r="V241">
            <v>9.11</v>
          </cell>
          <cell r="Z241">
            <v>5</v>
          </cell>
          <cell r="AA241">
            <v>40</v>
          </cell>
          <cell r="AB241">
            <v>11.387</v>
          </cell>
          <cell r="AF241">
            <v>5</v>
          </cell>
          <cell r="AG241">
            <v>40</v>
          </cell>
          <cell r="AH241">
            <v>11.387</v>
          </cell>
          <cell r="AL241">
            <v>6</v>
          </cell>
          <cell r="AM241">
            <v>48</v>
          </cell>
          <cell r="AN241">
            <v>13.664999999999999</v>
          </cell>
          <cell r="AR241">
            <v>6</v>
          </cell>
          <cell r="AS241">
            <v>48</v>
          </cell>
          <cell r="AT241">
            <v>13.664999999999999</v>
          </cell>
          <cell r="AX241">
            <v>30</v>
          </cell>
          <cell r="AY241">
            <v>240</v>
          </cell>
          <cell r="AZ241">
            <v>68.323999999999998</v>
          </cell>
          <cell r="BA241">
            <v>28.468333333333334</v>
          </cell>
          <cell r="BF241">
            <v>6</v>
          </cell>
          <cell r="BG241">
            <v>48</v>
          </cell>
          <cell r="BH241">
            <v>13.664999999999999</v>
          </cell>
          <cell r="BL241">
            <v>7</v>
          </cell>
          <cell r="BM241">
            <v>56</v>
          </cell>
          <cell r="BN241">
            <v>15.942</v>
          </cell>
          <cell r="BR241">
            <v>8</v>
          </cell>
          <cell r="BS241">
            <v>64</v>
          </cell>
          <cell r="BT241">
            <v>18.22</v>
          </cell>
          <cell r="BX241">
            <v>8</v>
          </cell>
          <cell r="BY241">
            <v>64</v>
          </cell>
          <cell r="BZ241">
            <v>18.22</v>
          </cell>
          <cell r="CD241">
            <v>7</v>
          </cell>
          <cell r="CE241">
            <v>56</v>
          </cell>
          <cell r="CF241">
            <v>15.942</v>
          </cell>
          <cell r="CJ241">
            <v>6</v>
          </cell>
          <cell r="CK241">
            <v>48</v>
          </cell>
          <cell r="CL241">
            <v>13.664999999999999</v>
          </cell>
          <cell r="CP241">
            <v>42</v>
          </cell>
          <cell r="CQ241">
            <v>336</v>
          </cell>
          <cell r="CR241">
            <v>95.653999999999996</v>
          </cell>
          <cell r="CS241">
            <v>28.468452380952382</v>
          </cell>
          <cell r="CX241">
            <v>13</v>
          </cell>
          <cell r="CY241">
            <v>104</v>
          </cell>
          <cell r="CZ241">
            <v>29.606999999999999</v>
          </cell>
          <cell r="DA241">
            <v>28.468269230769227</v>
          </cell>
          <cell r="DF241">
            <v>17</v>
          </cell>
          <cell r="DG241">
            <v>136</v>
          </cell>
          <cell r="DH241">
            <v>38.716999999999999</v>
          </cell>
          <cell r="DI241">
            <v>28.468382352941173</v>
          </cell>
          <cell r="DN241">
            <v>21</v>
          </cell>
          <cell r="DO241">
            <v>168</v>
          </cell>
          <cell r="DP241">
            <v>47.826999999999998</v>
          </cell>
          <cell r="DQ241">
            <v>28.468452380952382</v>
          </cell>
          <cell r="DV241">
            <v>21</v>
          </cell>
          <cell r="DW241">
            <v>168</v>
          </cell>
          <cell r="DX241">
            <v>47.826999999999998</v>
          </cell>
          <cell r="DY241">
            <v>28.468452380952382</v>
          </cell>
        </row>
        <row r="242">
          <cell r="F242">
            <v>0</v>
          </cell>
          <cell r="G242">
            <v>0</v>
          </cell>
          <cell r="H242">
            <v>0</v>
          </cell>
          <cell r="I242">
            <v>0</v>
          </cell>
          <cell r="AX242">
            <v>0</v>
          </cell>
          <cell r="AY242">
            <v>0</v>
          </cell>
          <cell r="AZ242">
            <v>0</v>
          </cell>
          <cell r="BA242">
            <v>0</v>
          </cell>
          <cell r="CP242">
            <v>0</v>
          </cell>
          <cell r="CQ242">
            <v>0</v>
          </cell>
          <cell r="CR242">
            <v>0</v>
          </cell>
          <cell r="CS242">
            <v>0</v>
          </cell>
          <cell r="CX242">
            <v>0</v>
          </cell>
          <cell r="CY242">
            <v>0</v>
          </cell>
          <cell r="CZ242">
            <v>0</v>
          </cell>
          <cell r="DA242">
            <v>0</v>
          </cell>
          <cell r="DF242">
            <v>0</v>
          </cell>
          <cell r="DG242">
            <v>0</v>
          </cell>
          <cell r="DH242">
            <v>0</v>
          </cell>
          <cell r="DI242">
            <v>0</v>
          </cell>
          <cell r="DN242">
            <v>0</v>
          </cell>
          <cell r="DO242">
            <v>0</v>
          </cell>
          <cell r="DP242">
            <v>0</v>
          </cell>
          <cell r="DQ242">
            <v>0</v>
          </cell>
          <cell r="DV242">
            <v>0</v>
          </cell>
          <cell r="DW242">
            <v>0</v>
          </cell>
          <cell r="DX242">
            <v>0</v>
          </cell>
          <cell r="DY242">
            <v>0</v>
          </cell>
        </row>
        <row r="243">
          <cell r="F243">
            <v>88</v>
          </cell>
          <cell r="G243">
            <v>880</v>
          </cell>
          <cell r="H243">
            <v>352</v>
          </cell>
          <cell r="I243">
            <v>40</v>
          </cell>
          <cell r="N243">
            <v>6</v>
          </cell>
          <cell r="O243">
            <v>60</v>
          </cell>
          <cell r="P243">
            <v>24</v>
          </cell>
          <cell r="T243">
            <v>6</v>
          </cell>
          <cell r="U243">
            <v>60</v>
          </cell>
          <cell r="V243">
            <v>24</v>
          </cell>
          <cell r="Z243">
            <v>6</v>
          </cell>
          <cell r="AA243">
            <v>60</v>
          </cell>
          <cell r="AB243">
            <v>24</v>
          </cell>
          <cell r="AF243">
            <v>6</v>
          </cell>
          <cell r="AG243">
            <v>60</v>
          </cell>
          <cell r="AH243">
            <v>24</v>
          </cell>
          <cell r="AL243">
            <v>7</v>
          </cell>
          <cell r="AM243">
            <v>70</v>
          </cell>
          <cell r="AN243">
            <v>28</v>
          </cell>
          <cell r="AR243">
            <v>7</v>
          </cell>
          <cell r="AS243">
            <v>70</v>
          </cell>
          <cell r="AT243">
            <v>28</v>
          </cell>
          <cell r="AX243">
            <v>38</v>
          </cell>
          <cell r="AY243">
            <v>380</v>
          </cell>
          <cell r="AZ243">
            <v>152</v>
          </cell>
          <cell r="BA243">
            <v>40</v>
          </cell>
          <cell r="BF243">
            <v>8</v>
          </cell>
          <cell r="BG243">
            <v>80</v>
          </cell>
          <cell r="BH243">
            <v>32</v>
          </cell>
          <cell r="BL243">
            <v>8</v>
          </cell>
          <cell r="BM243">
            <v>80</v>
          </cell>
          <cell r="BN243">
            <v>32</v>
          </cell>
          <cell r="BR243">
            <v>8</v>
          </cell>
          <cell r="BS243">
            <v>80</v>
          </cell>
          <cell r="BT243">
            <v>32</v>
          </cell>
          <cell r="BX243">
            <v>9</v>
          </cell>
          <cell r="BY243">
            <v>90</v>
          </cell>
          <cell r="BZ243">
            <v>36</v>
          </cell>
          <cell r="CD243">
            <v>9</v>
          </cell>
          <cell r="CE243">
            <v>90</v>
          </cell>
          <cell r="CF243">
            <v>36</v>
          </cell>
          <cell r="CJ243">
            <v>8</v>
          </cell>
          <cell r="CK243">
            <v>80</v>
          </cell>
          <cell r="CL243">
            <v>32</v>
          </cell>
          <cell r="CP243">
            <v>50</v>
          </cell>
          <cell r="CQ243">
            <v>500</v>
          </cell>
          <cell r="CR243">
            <v>200</v>
          </cell>
          <cell r="CS243">
            <v>40</v>
          </cell>
          <cell r="CX243">
            <v>18</v>
          </cell>
          <cell r="CY243">
            <v>180</v>
          </cell>
          <cell r="CZ243">
            <v>72</v>
          </cell>
          <cell r="DA243">
            <v>40</v>
          </cell>
          <cell r="DF243">
            <v>20</v>
          </cell>
          <cell r="DG243">
            <v>200</v>
          </cell>
          <cell r="DH243">
            <v>80</v>
          </cell>
          <cell r="DI243">
            <v>40</v>
          </cell>
          <cell r="DN243">
            <v>24</v>
          </cell>
          <cell r="DO243">
            <v>240</v>
          </cell>
          <cell r="DP243">
            <v>96</v>
          </cell>
          <cell r="DQ243">
            <v>40</v>
          </cell>
          <cell r="DV243">
            <v>26</v>
          </cell>
          <cell r="DW243">
            <v>260</v>
          </cell>
          <cell r="DX243">
            <v>104</v>
          </cell>
          <cell r="DY243">
            <v>40</v>
          </cell>
        </row>
        <row r="244">
          <cell r="F244">
            <v>0</v>
          </cell>
          <cell r="G244">
            <v>405</v>
          </cell>
          <cell r="H244">
            <v>40.816000000000003</v>
          </cell>
          <cell r="I244">
            <v>10.078024691358026</v>
          </cell>
          <cell r="N244">
            <v>0</v>
          </cell>
          <cell r="O244">
            <v>24</v>
          </cell>
          <cell r="P244">
            <v>2.1709999999999998</v>
          </cell>
          <cell r="T244">
            <v>0</v>
          </cell>
          <cell r="U244">
            <v>24</v>
          </cell>
          <cell r="V244">
            <v>1.91</v>
          </cell>
          <cell r="Z244">
            <v>0</v>
          </cell>
          <cell r="AA244">
            <v>27</v>
          </cell>
          <cell r="AB244">
            <v>2.125</v>
          </cell>
          <cell r="AF244">
            <v>0</v>
          </cell>
          <cell r="AG244">
            <v>27</v>
          </cell>
          <cell r="AH244">
            <v>2.488</v>
          </cell>
          <cell r="AL244">
            <v>0</v>
          </cell>
          <cell r="AM244">
            <v>33</v>
          </cell>
          <cell r="AN244">
            <v>2.516</v>
          </cell>
          <cell r="AR244">
            <v>0</v>
          </cell>
          <cell r="AS244">
            <v>33</v>
          </cell>
          <cell r="AT244">
            <v>3.524</v>
          </cell>
          <cell r="AX244">
            <v>0</v>
          </cell>
          <cell r="AY244">
            <v>168</v>
          </cell>
          <cell r="AZ244">
            <v>14.734</v>
          </cell>
          <cell r="BA244">
            <v>8.7702380952380956</v>
          </cell>
          <cell r="BF244">
            <v>0</v>
          </cell>
          <cell r="BG244">
            <v>36</v>
          </cell>
          <cell r="BH244">
            <v>4.17</v>
          </cell>
          <cell r="BL244">
            <v>0</v>
          </cell>
          <cell r="BM244">
            <v>39</v>
          </cell>
          <cell r="BN244">
            <v>4.3109999999999999</v>
          </cell>
          <cell r="BR244">
            <v>0</v>
          </cell>
          <cell r="BS244">
            <v>42</v>
          </cell>
          <cell r="BT244">
            <v>4.585</v>
          </cell>
          <cell r="BX244">
            <v>0</v>
          </cell>
          <cell r="BY244">
            <v>42</v>
          </cell>
          <cell r="BZ244">
            <v>4.6269999999999998</v>
          </cell>
          <cell r="CD244">
            <v>0</v>
          </cell>
          <cell r="CE244">
            <v>42</v>
          </cell>
          <cell r="CF244">
            <v>4.4260000000000002</v>
          </cell>
          <cell r="CJ244">
            <v>0</v>
          </cell>
          <cell r="CK244">
            <v>36</v>
          </cell>
          <cell r="CL244">
            <v>3.9630000000000001</v>
          </cell>
          <cell r="CP244">
            <v>0</v>
          </cell>
          <cell r="CQ244">
            <v>237</v>
          </cell>
          <cell r="CR244">
            <v>26.082000000000001</v>
          </cell>
          <cell r="CS244">
            <v>11.005063291139241</v>
          </cell>
          <cell r="CX244">
            <v>0</v>
          </cell>
          <cell r="CY244">
            <v>75</v>
          </cell>
          <cell r="CZ244">
            <v>6.2059999999999995</v>
          </cell>
          <cell r="DA244">
            <v>8.2746666666666666</v>
          </cell>
          <cell r="DF244">
            <v>0</v>
          </cell>
          <cell r="DG244">
            <v>93</v>
          </cell>
          <cell r="DH244">
            <v>8.5279999999999987</v>
          </cell>
          <cell r="DI244">
            <v>9.1698924731182778</v>
          </cell>
          <cell r="DN244">
            <v>0</v>
          </cell>
          <cell r="DO244">
            <v>117</v>
          </cell>
          <cell r="DP244">
            <v>13.065999999999999</v>
          </cell>
          <cell r="DQ244">
            <v>11.167521367521367</v>
          </cell>
          <cell r="DV244">
            <v>0</v>
          </cell>
          <cell r="DW244">
            <v>120</v>
          </cell>
          <cell r="DX244">
            <v>13.016000000000002</v>
          </cell>
          <cell r="DY244">
            <v>10.846666666666668</v>
          </cell>
        </row>
        <row r="245">
          <cell r="F245">
            <v>0</v>
          </cell>
          <cell r="G245">
            <v>0</v>
          </cell>
          <cell r="H245">
            <v>0</v>
          </cell>
          <cell r="I245">
            <v>0</v>
          </cell>
          <cell r="N245">
            <v>0</v>
          </cell>
          <cell r="T245">
            <v>0</v>
          </cell>
          <cell r="Z245">
            <v>0</v>
          </cell>
          <cell r="AF245">
            <v>0</v>
          </cell>
          <cell r="AL245">
            <v>0</v>
          </cell>
          <cell r="AR245">
            <v>0</v>
          </cell>
          <cell r="AX245">
            <v>0</v>
          </cell>
          <cell r="AY245">
            <v>0</v>
          </cell>
          <cell r="AZ245">
            <v>0</v>
          </cell>
          <cell r="BA245">
            <v>0</v>
          </cell>
          <cell r="CP245">
            <v>0</v>
          </cell>
          <cell r="CQ245">
            <v>0</v>
          </cell>
          <cell r="CR245">
            <v>0</v>
          </cell>
          <cell r="CS245">
            <v>0</v>
          </cell>
          <cell r="CX245">
            <v>0</v>
          </cell>
          <cell r="CY245">
            <v>0</v>
          </cell>
          <cell r="CZ245">
            <v>0</v>
          </cell>
          <cell r="DA245">
            <v>0</v>
          </cell>
          <cell r="DF245">
            <v>0</v>
          </cell>
          <cell r="DG245">
            <v>0</v>
          </cell>
          <cell r="DH245">
            <v>0</v>
          </cell>
          <cell r="DI245">
            <v>0</v>
          </cell>
          <cell r="DN245">
            <v>0</v>
          </cell>
          <cell r="DO245">
            <v>0</v>
          </cell>
          <cell r="DP245">
            <v>0</v>
          </cell>
          <cell r="DQ245">
            <v>0</v>
          </cell>
          <cell r="DV245">
            <v>0</v>
          </cell>
          <cell r="DW245">
            <v>0</v>
          </cell>
          <cell r="DX245">
            <v>0</v>
          </cell>
          <cell r="DY245">
            <v>0</v>
          </cell>
        </row>
        <row r="246">
          <cell r="F246">
            <v>320</v>
          </cell>
          <cell r="G246">
            <v>5636</v>
          </cell>
          <cell r="H246">
            <v>280.87300000000005</v>
          </cell>
          <cell r="I246">
            <v>4.9835521646557845</v>
          </cell>
          <cell r="N246">
            <v>20</v>
          </cell>
          <cell r="O246">
            <v>348</v>
          </cell>
          <cell r="P246">
            <v>11.963999999999999</v>
          </cell>
          <cell r="T246">
            <v>20</v>
          </cell>
          <cell r="U246">
            <v>348</v>
          </cell>
          <cell r="V246">
            <v>13.306000000000001</v>
          </cell>
          <cell r="Z246">
            <v>22</v>
          </cell>
          <cell r="AA246">
            <v>384</v>
          </cell>
          <cell r="AB246">
            <v>10.796000000000003</v>
          </cell>
          <cell r="AF246">
            <v>22</v>
          </cell>
          <cell r="AG246">
            <v>384</v>
          </cell>
          <cell r="AH246">
            <v>13.257999999999999</v>
          </cell>
          <cell r="AL246">
            <v>26</v>
          </cell>
          <cell r="AM246">
            <v>458</v>
          </cell>
          <cell r="AN246">
            <v>10.47</v>
          </cell>
          <cell r="AR246">
            <v>26</v>
          </cell>
          <cell r="AS246">
            <v>458</v>
          </cell>
          <cell r="AT246">
            <v>19.510000000000002</v>
          </cell>
          <cell r="AX246">
            <v>136</v>
          </cell>
          <cell r="AY246">
            <v>2380</v>
          </cell>
          <cell r="AZ246">
            <v>79.304000000000002</v>
          </cell>
          <cell r="BA246">
            <v>3.3321008403361345</v>
          </cell>
          <cell r="BF246">
            <v>28</v>
          </cell>
          <cell r="BG246">
            <v>496</v>
          </cell>
          <cell r="BH246">
            <v>28.536999999999999</v>
          </cell>
          <cell r="BL246">
            <v>30</v>
          </cell>
          <cell r="BM246">
            <v>532</v>
          </cell>
          <cell r="BN246">
            <v>35.884</v>
          </cell>
          <cell r="BR246">
            <v>32</v>
          </cell>
          <cell r="BS246">
            <v>568</v>
          </cell>
          <cell r="BT246">
            <v>37.625</v>
          </cell>
          <cell r="BX246">
            <v>34</v>
          </cell>
          <cell r="BY246">
            <v>594</v>
          </cell>
          <cell r="BZ246">
            <v>39.062000000000005</v>
          </cell>
          <cell r="CD246">
            <v>32</v>
          </cell>
          <cell r="CE246">
            <v>570</v>
          </cell>
          <cell r="CF246">
            <v>32.655999999999999</v>
          </cell>
          <cell r="CJ246">
            <v>28</v>
          </cell>
          <cell r="CK246">
            <v>496</v>
          </cell>
          <cell r="CL246">
            <v>27.805</v>
          </cell>
          <cell r="CP246">
            <v>184</v>
          </cell>
          <cell r="CQ246">
            <v>3256</v>
          </cell>
          <cell r="CR246">
            <v>201.56900000000002</v>
          </cell>
          <cell r="CS246">
            <v>6.1906941031941036</v>
          </cell>
          <cell r="CX246">
            <v>62</v>
          </cell>
          <cell r="CY246">
            <v>1080</v>
          </cell>
          <cell r="CZ246">
            <v>36.066000000000017</v>
          </cell>
          <cell r="DA246">
            <v>3.3394444444444464</v>
          </cell>
          <cell r="DF246">
            <v>74</v>
          </cell>
          <cell r="DG246">
            <v>1300</v>
          </cell>
          <cell r="DH246">
            <v>43.238000000000007</v>
          </cell>
          <cell r="DI246">
            <v>3.3260000000000005</v>
          </cell>
          <cell r="DN246">
            <v>90</v>
          </cell>
          <cell r="DO246">
            <v>1596</v>
          </cell>
          <cell r="DP246">
            <v>102.04599999999999</v>
          </cell>
          <cell r="DQ246">
            <v>6.3938596491228061</v>
          </cell>
          <cell r="DV246">
            <v>94</v>
          </cell>
          <cell r="DW246">
            <v>1660</v>
          </cell>
          <cell r="DX246">
            <v>99.52300000000001</v>
          </cell>
          <cell r="DY246">
            <v>5.995361445783133</v>
          </cell>
        </row>
        <row r="247">
          <cell r="F247">
            <v>0</v>
          </cell>
          <cell r="G247">
            <v>0</v>
          </cell>
          <cell r="H247">
            <v>0</v>
          </cell>
          <cell r="I247">
            <v>0</v>
          </cell>
          <cell r="O247">
            <v>0</v>
          </cell>
          <cell r="T247">
            <v>0</v>
          </cell>
          <cell r="U247">
            <v>0</v>
          </cell>
          <cell r="Z247">
            <v>0</v>
          </cell>
          <cell r="AA247">
            <v>0</v>
          </cell>
          <cell r="AF247">
            <v>0</v>
          </cell>
          <cell r="AG247">
            <v>0</v>
          </cell>
          <cell r="AL247">
            <v>0</v>
          </cell>
          <cell r="AM247">
            <v>0</v>
          </cell>
          <cell r="AR247">
            <v>0</v>
          </cell>
          <cell r="AS247">
            <v>0</v>
          </cell>
          <cell r="AX247">
            <v>0</v>
          </cell>
          <cell r="AY247">
            <v>0</v>
          </cell>
          <cell r="AZ247">
            <v>0</v>
          </cell>
          <cell r="BA247">
            <v>0</v>
          </cell>
          <cell r="BF247">
            <v>0</v>
          </cell>
          <cell r="BG247">
            <v>0</v>
          </cell>
          <cell r="BL247">
            <v>0</v>
          </cell>
          <cell r="BM247">
            <v>0</v>
          </cell>
          <cell r="BR247">
            <v>0</v>
          </cell>
          <cell r="BS247">
            <v>0</v>
          </cell>
          <cell r="BX247">
            <v>0</v>
          </cell>
          <cell r="BY247">
            <v>0</v>
          </cell>
          <cell r="CD247">
            <v>0</v>
          </cell>
          <cell r="CE247">
            <v>0</v>
          </cell>
          <cell r="CJ247">
            <v>0</v>
          </cell>
          <cell r="CK247">
            <v>0</v>
          </cell>
          <cell r="CP247">
            <v>0</v>
          </cell>
          <cell r="CQ247">
            <v>0</v>
          </cell>
          <cell r="CR247">
            <v>0</v>
          </cell>
          <cell r="CS247">
            <v>0</v>
          </cell>
          <cell r="CX247">
            <v>0</v>
          </cell>
          <cell r="CY247">
            <v>0</v>
          </cell>
          <cell r="CZ247">
            <v>0</v>
          </cell>
          <cell r="DA247">
            <v>0</v>
          </cell>
          <cell r="DF247">
            <v>0</v>
          </cell>
          <cell r="DG247">
            <v>0</v>
          </cell>
          <cell r="DH247">
            <v>0</v>
          </cell>
          <cell r="DI247">
            <v>0</v>
          </cell>
          <cell r="DN247">
            <v>0</v>
          </cell>
          <cell r="DO247">
            <v>0</v>
          </cell>
          <cell r="DP247">
            <v>0</v>
          </cell>
          <cell r="DQ247">
            <v>0</v>
          </cell>
          <cell r="DV247">
            <v>0</v>
          </cell>
          <cell r="DW247">
            <v>0</v>
          </cell>
          <cell r="DX247">
            <v>0</v>
          </cell>
          <cell r="DY247">
            <v>0</v>
          </cell>
        </row>
        <row r="248">
          <cell r="F248">
            <v>0</v>
          </cell>
          <cell r="G248">
            <v>0</v>
          </cell>
          <cell r="H248">
            <v>0</v>
          </cell>
          <cell r="I248">
            <v>0</v>
          </cell>
          <cell r="O248">
            <v>0</v>
          </cell>
          <cell r="T248">
            <v>0</v>
          </cell>
          <cell r="U248">
            <v>0</v>
          </cell>
          <cell r="Z248">
            <v>0</v>
          </cell>
          <cell r="AA248">
            <v>0</v>
          </cell>
          <cell r="AF248">
            <v>0</v>
          </cell>
          <cell r="AG248">
            <v>0</v>
          </cell>
          <cell r="AL248">
            <v>0</v>
          </cell>
          <cell r="AM248">
            <v>0</v>
          </cell>
          <cell r="AR248">
            <v>0</v>
          </cell>
          <cell r="AS248">
            <v>0</v>
          </cell>
          <cell r="AX248">
            <v>0</v>
          </cell>
          <cell r="AY248">
            <v>0</v>
          </cell>
          <cell r="AZ248">
            <v>0</v>
          </cell>
          <cell r="BA248">
            <v>0</v>
          </cell>
          <cell r="BF248">
            <v>0</v>
          </cell>
          <cell r="BG248">
            <v>0</v>
          </cell>
          <cell r="BL248">
            <v>0</v>
          </cell>
          <cell r="BM248">
            <v>0</v>
          </cell>
          <cell r="BR248">
            <v>0</v>
          </cell>
          <cell r="BS248">
            <v>0</v>
          </cell>
          <cell r="BX248">
            <v>0</v>
          </cell>
          <cell r="BY248">
            <v>0</v>
          </cell>
          <cell r="CD248">
            <v>0</v>
          </cell>
          <cell r="CE248">
            <v>0</v>
          </cell>
          <cell r="CJ248">
            <v>0</v>
          </cell>
          <cell r="CK248">
            <v>0</v>
          </cell>
          <cell r="CP248">
            <v>0</v>
          </cell>
          <cell r="CQ248">
            <v>0</v>
          </cell>
          <cell r="CR248">
            <v>0</v>
          </cell>
          <cell r="CS248">
            <v>0</v>
          </cell>
          <cell r="CX248">
            <v>0</v>
          </cell>
          <cell r="CY248">
            <v>0</v>
          </cell>
          <cell r="CZ248">
            <v>0</v>
          </cell>
          <cell r="DA248">
            <v>0</v>
          </cell>
          <cell r="DF248">
            <v>0</v>
          </cell>
          <cell r="DG248">
            <v>0</v>
          </cell>
          <cell r="DH248">
            <v>0</v>
          </cell>
          <cell r="DI248">
            <v>0</v>
          </cell>
          <cell r="DN248">
            <v>0</v>
          </cell>
          <cell r="DO248">
            <v>0</v>
          </cell>
          <cell r="DP248">
            <v>0</v>
          </cell>
          <cell r="DQ248">
            <v>0</v>
          </cell>
          <cell r="DV248">
            <v>0</v>
          </cell>
          <cell r="DW248">
            <v>0</v>
          </cell>
          <cell r="DX248">
            <v>0</v>
          </cell>
          <cell r="DY248">
            <v>0</v>
          </cell>
        </row>
        <row r="249">
          <cell r="F249">
            <v>0</v>
          </cell>
          <cell r="G249">
            <v>0</v>
          </cell>
          <cell r="H249">
            <v>0</v>
          </cell>
          <cell r="I249">
            <v>0</v>
          </cell>
          <cell r="N249">
            <v>0</v>
          </cell>
          <cell r="O249">
            <v>0</v>
          </cell>
          <cell r="P249">
            <v>0</v>
          </cell>
          <cell r="T249">
            <v>0</v>
          </cell>
          <cell r="U249">
            <v>0</v>
          </cell>
          <cell r="V249">
            <v>0</v>
          </cell>
          <cell r="Z249">
            <v>0</v>
          </cell>
          <cell r="AA249">
            <v>0</v>
          </cell>
          <cell r="AB249">
            <v>0</v>
          </cell>
          <cell r="AF249">
            <v>0</v>
          </cell>
          <cell r="AG249">
            <v>0</v>
          </cell>
          <cell r="AH249">
            <v>0</v>
          </cell>
          <cell r="AL249">
            <v>0</v>
          </cell>
          <cell r="AM249">
            <v>0</v>
          </cell>
          <cell r="AN249">
            <v>0</v>
          </cell>
          <cell r="AR249">
            <v>0</v>
          </cell>
          <cell r="AS249">
            <v>0</v>
          </cell>
          <cell r="AT249">
            <v>0</v>
          </cell>
          <cell r="AX249">
            <v>0</v>
          </cell>
          <cell r="AY249">
            <v>0</v>
          </cell>
          <cell r="AZ249">
            <v>0</v>
          </cell>
          <cell r="BA249">
            <v>0</v>
          </cell>
          <cell r="BF249">
            <v>0</v>
          </cell>
          <cell r="BG249">
            <v>0</v>
          </cell>
          <cell r="BH249">
            <v>0</v>
          </cell>
          <cell r="BL249">
            <v>0</v>
          </cell>
          <cell r="BM249">
            <v>0</v>
          </cell>
          <cell r="BN249">
            <v>0</v>
          </cell>
          <cell r="BR249">
            <v>0</v>
          </cell>
          <cell r="BS249">
            <v>0</v>
          </cell>
          <cell r="BT249">
            <v>0</v>
          </cell>
          <cell r="BX249">
            <v>0</v>
          </cell>
          <cell r="BY249">
            <v>0</v>
          </cell>
          <cell r="BZ249">
            <v>0</v>
          </cell>
          <cell r="CD249">
            <v>0</v>
          </cell>
          <cell r="CE249">
            <v>0</v>
          </cell>
          <cell r="CF249">
            <v>0</v>
          </cell>
          <cell r="CJ249">
            <v>0</v>
          </cell>
          <cell r="CK249">
            <v>0</v>
          </cell>
          <cell r="CL249">
            <v>0</v>
          </cell>
          <cell r="CP249">
            <v>0</v>
          </cell>
          <cell r="CQ249">
            <v>0</v>
          </cell>
          <cell r="CR249">
            <v>0</v>
          </cell>
          <cell r="CS249">
            <v>0</v>
          </cell>
          <cell r="CX249">
            <v>0</v>
          </cell>
          <cell r="CY249">
            <v>0</v>
          </cell>
          <cell r="CZ249">
            <v>0</v>
          </cell>
          <cell r="DA249">
            <v>0</v>
          </cell>
          <cell r="DF249">
            <v>0</v>
          </cell>
          <cell r="DG249">
            <v>0</v>
          </cell>
          <cell r="DH249">
            <v>0</v>
          </cell>
          <cell r="DI249">
            <v>0</v>
          </cell>
          <cell r="DN249">
            <v>0</v>
          </cell>
          <cell r="DO249">
            <v>0</v>
          </cell>
          <cell r="DP249">
            <v>0</v>
          </cell>
          <cell r="DQ249">
            <v>0</v>
          </cell>
          <cell r="DV249">
            <v>0</v>
          </cell>
          <cell r="DW249">
            <v>0</v>
          </cell>
          <cell r="DX249">
            <v>0</v>
          </cell>
          <cell r="DY249">
            <v>0</v>
          </cell>
        </row>
        <row r="250">
          <cell r="F250">
            <v>0</v>
          </cell>
          <cell r="G250">
            <v>0</v>
          </cell>
          <cell r="H250">
            <v>0</v>
          </cell>
          <cell r="I250">
            <v>0</v>
          </cell>
          <cell r="O250">
            <v>0</v>
          </cell>
          <cell r="T250">
            <v>0</v>
          </cell>
          <cell r="U250">
            <v>0</v>
          </cell>
          <cell r="Z250">
            <v>0</v>
          </cell>
          <cell r="AA250">
            <v>0</v>
          </cell>
          <cell r="AF250">
            <v>0</v>
          </cell>
          <cell r="AG250">
            <v>0</v>
          </cell>
          <cell r="AL250">
            <v>0</v>
          </cell>
          <cell r="AM250">
            <v>0</v>
          </cell>
          <cell r="AR250">
            <v>0</v>
          </cell>
          <cell r="AS250">
            <v>0</v>
          </cell>
          <cell r="AX250">
            <v>0</v>
          </cell>
          <cell r="AY250">
            <v>0</v>
          </cell>
          <cell r="AZ250">
            <v>0</v>
          </cell>
          <cell r="BA250">
            <v>0</v>
          </cell>
          <cell r="BF250">
            <v>0</v>
          </cell>
          <cell r="BG250">
            <v>0</v>
          </cell>
          <cell r="BL250">
            <v>0</v>
          </cell>
          <cell r="BM250">
            <v>0</v>
          </cell>
          <cell r="BR250">
            <v>0</v>
          </cell>
          <cell r="BS250">
            <v>0</v>
          </cell>
          <cell r="BX250">
            <v>0</v>
          </cell>
          <cell r="BY250">
            <v>0</v>
          </cell>
          <cell r="CD250">
            <v>0</v>
          </cell>
          <cell r="CE250">
            <v>0</v>
          </cell>
          <cell r="CJ250">
            <v>0</v>
          </cell>
          <cell r="CK250">
            <v>0</v>
          </cell>
          <cell r="CP250">
            <v>0</v>
          </cell>
          <cell r="CQ250">
            <v>0</v>
          </cell>
          <cell r="CR250">
            <v>0</v>
          </cell>
          <cell r="CS250">
            <v>0</v>
          </cell>
          <cell r="CX250">
            <v>0</v>
          </cell>
          <cell r="CY250">
            <v>0</v>
          </cell>
          <cell r="CZ250">
            <v>0</v>
          </cell>
          <cell r="DA250">
            <v>0</v>
          </cell>
          <cell r="DF250">
            <v>0</v>
          </cell>
          <cell r="DG250">
            <v>0</v>
          </cell>
          <cell r="DH250">
            <v>0</v>
          </cell>
          <cell r="DI250">
            <v>0</v>
          </cell>
          <cell r="DN250">
            <v>0</v>
          </cell>
          <cell r="DO250">
            <v>0</v>
          </cell>
          <cell r="DP250">
            <v>0</v>
          </cell>
          <cell r="DQ250">
            <v>0</v>
          </cell>
          <cell r="DV250">
            <v>0</v>
          </cell>
          <cell r="DW250">
            <v>0</v>
          </cell>
          <cell r="DX250">
            <v>0</v>
          </cell>
          <cell r="DY250">
            <v>0</v>
          </cell>
        </row>
        <row r="251">
          <cell r="F251">
            <v>0</v>
          </cell>
          <cell r="G251">
            <v>0</v>
          </cell>
          <cell r="H251">
            <v>0</v>
          </cell>
          <cell r="I251">
            <v>0</v>
          </cell>
          <cell r="O251">
            <v>0</v>
          </cell>
          <cell r="T251">
            <v>0</v>
          </cell>
          <cell r="U251">
            <v>0</v>
          </cell>
          <cell r="Z251">
            <v>0</v>
          </cell>
          <cell r="AA251">
            <v>0</v>
          </cell>
          <cell r="AF251">
            <v>0</v>
          </cell>
          <cell r="AG251">
            <v>0</v>
          </cell>
          <cell r="AL251">
            <v>0</v>
          </cell>
          <cell r="AM251">
            <v>0</v>
          </cell>
          <cell r="AR251">
            <v>0</v>
          </cell>
          <cell r="AS251">
            <v>0</v>
          </cell>
          <cell r="AX251">
            <v>0</v>
          </cell>
          <cell r="AY251">
            <v>0</v>
          </cell>
          <cell r="AZ251">
            <v>0</v>
          </cell>
          <cell r="BA251">
            <v>0</v>
          </cell>
          <cell r="BF251">
            <v>0</v>
          </cell>
          <cell r="BG251">
            <v>0</v>
          </cell>
          <cell r="BL251">
            <v>0</v>
          </cell>
          <cell r="BM251">
            <v>0</v>
          </cell>
          <cell r="BR251">
            <v>0</v>
          </cell>
          <cell r="BS251">
            <v>0</v>
          </cell>
          <cell r="BX251">
            <v>0</v>
          </cell>
          <cell r="BY251">
            <v>0</v>
          </cell>
          <cell r="CD251">
            <v>0</v>
          </cell>
          <cell r="CE251">
            <v>0</v>
          </cell>
          <cell r="CJ251">
            <v>0</v>
          </cell>
          <cell r="CK251">
            <v>0</v>
          </cell>
          <cell r="CP251">
            <v>0</v>
          </cell>
          <cell r="CQ251">
            <v>0</v>
          </cell>
          <cell r="CR251">
            <v>0</v>
          </cell>
          <cell r="CS251">
            <v>0</v>
          </cell>
          <cell r="CX251">
            <v>0</v>
          </cell>
          <cell r="CY251">
            <v>0</v>
          </cell>
          <cell r="CZ251">
            <v>0</v>
          </cell>
          <cell r="DA251">
            <v>0</v>
          </cell>
          <cell r="DF251">
            <v>0</v>
          </cell>
          <cell r="DG251">
            <v>0</v>
          </cell>
          <cell r="DH251">
            <v>0</v>
          </cell>
          <cell r="DI251">
            <v>0</v>
          </cell>
          <cell r="DN251">
            <v>0</v>
          </cell>
          <cell r="DO251">
            <v>0</v>
          </cell>
          <cell r="DP251">
            <v>0</v>
          </cell>
          <cell r="DQ251">
            <v>0</v>
          </cell>
          <cell r="DV251">
            <v>0</v>
          </cell>
          <cell r="DW251">
            <v>0</v>
          </cell>
          <cell r="DX251">
            <v>0</v>
          </cell>
          <cell r="DY251">
            <v>0</v>
          </cell>
        </row>
        <row r="252">
          <cell r="F252">
            <v>0</v>
          </cell>
          <cell r="G252">
            <v>0</v>
          </cell>
          <cell r="H252">
            <v>0</v>
          </cell>
          <cell r="I252">
            <v>0</v>
          </cell>
          <cell r="O252">
            <v>0</v>
          </cell>
          <cell r="T252">
            <v>0</v>
          </cell>
          <cell r="U252">
            <v>0</v>
          </cell>
          <cell r="Z252">
            <v>0</v>
          </cell>
          <cell r="AA252">
            <v>0</v>
          </cell>
          <cell r="AF252">
            <v>0</v>
          </cell>
          <cell r="AG252">
            <v>0</v>
          </cell>
          <cell r="AL252">
            <v>0</v>
          </cell>
          <cell r="AM252">
            <v>0</v>
          </cell>
          <cell r="AR252">
            <v>0</v>
          </cell>
          <cell r="AS252">
            <v>0</v>
          </cell>
          <cell r="AX252">
            <v>0</v>
          </cell>
          <cell r="AY252">
            <v>0</v>
          </cell>
          <cell r="AZ252">
            <v>0</v>
          </cell>
          <cell r="BA252">
            <v>0</v>
          </cell>
          <cell r="BF252">
            <v>0</v>
          </cell>
          <cell r="BG252">
            <v>0</v>
          </cell>
          <cell r="BL252">
            <v>0</v>
          </cell>
          <cell r="BM252">
            <v>0</v>
          </cell>
          <cell r="BR252">
            <v>0</v>
          </cell>
          <cell r="BS252">
            <v>0</v>
          </cell>
          <cell r="BX252">
            <v>0</v>
          </cell>
          <cell r="BY252">
            <v>0</v>
          </cell>
          <cell r="CD252">
            <v>0</v>
          </cell>
          <cell r="CE252">
            <v>0</v>
          </cell>
          <cell r="CJ252">
            <v>0</v>
          </cell>
          <cell r="CK252">
            <v>0</v>
          </cell>
          <cell r="CP252">
            <v>0</v>
          </cell>
          <cell r="CQ252">
            <v>0</v>
          </cell>
          <cell r="CR252">
            <v>0</v>
          </cell>
          <cell r="CS252">
            <v>0</v>
          </cell>
          <cell r="CX252">
            <v>0</v>
          </cell>
          <cell r="CY252">
            <v>0</v>
          </cell>
          <cell r="CZ252">
            <v>0</v>
          </cell>
          <cell r="DA252">
            <v>0</v>
          </cell>
          <cell r="DF252">
            <v>0</v>
          </cell>
          <cell r="DG252">
            <v>0</v>
          </cell>
          <cell r="DH252">
            <v>0</v>
          </cell>
          <cell r="DI252">
            <v>0</v>
          </cell>
          <cell r="DN252">
            <v>0</v>
          </cell>
          <cell r="DO252">
            <v>0</v>
          </cell>
          <cell r="DP252">
            <v>0</v>
          </cell>
          <cell r="DQ252">
            <v>0</v>
          </cell>
          <cell r="DV252">
            <v>0</v>
          </cell>
          <cell r="DW252">
            <v>0</v>
          </cell>
          <cell r="DX252">
            <v>0</v>
          </cell>
          <cell r="DY252">
            <v>0</v>
          </cell>
        </row>
        <row r="253">
          <cell r="F253">
            <v>0</v>
          </cell>
          <cell r="G253">
            <v>0</v>
          </cell>
          <cell r="H253">
            <v>0</v>
          </cell>
          <cell r="I253">
            <v>0</v>
          </cell>
          <cell r="O253">
            <v>0</v>
          </cell>
          <cell r="T253">
            <v>0</v>
          </cell>
          <cell r="U253">
            <v>0</v>
          </cell>
          <cell r="Z253">
            <v>0</v>
          </cell>
          <cell r="AA253">
            <v>0</v>
          </cell>
          <cell r="AF253">
            <v>0</v>
          </cell>
          <cell r="AG253">
            <v>0</v>
          </cell>
          <cell r="AL253">
            <v>0</v>
          </cell>
          <cell r="AM253">
            <v>0</v>
          </cell>
          <cell r="AR253">
            <v>0</v>
          </cell>
          <cell r="AS253">
            <v>0</v>
          </cell>
          <cell r="AX253">
            <v>0</v>
          </cell>
          <cell r="AY253">
            <v>0</v>
          </cell>
          <cell r="AZ253">
            <v>0</v>
          </cell>
          <cell r="BA253">
            <v>0</v>
          </cell>
          <cell r="BF253">
            <v>0</v>
          </cell>
          <cell r="BG253">
            <v>0</v>
          </cell>
          <cell r="BL253">
            <v>0</v>
          </cell>
          <cell r="BM253">
            <v>0</v>
          </cell>
          <cell r="BR253">
            <v>0</v>
          </cell>
          <cell r="BS253">
            <v>0</v>
          </cell>
          <cell r="BX253">
            <v>0</v>
          </cell>
          <cell r="BY253">
            <v>0</v>
          </cell>
          <cell r="CD253">
            <v>0</v>
          </cell>
          <cell r="CE253">
            <v>0</v>
          </cell>
          <cell r="CJ253">
            <v>0</v>
          </cell>
          <cell r="CK253">
            <v>0</v>
          </cell>
          <cell r="CP253">
            <v>0</v>
          </cell>
          <cell r="CQ253">
            <v>0</v>
          </cell>
          <cell r="CR253">
            <v>0</v>
          </cell>
          <cell r="CS253">
            <v>0</v>
          </cell>
          <cell r="CX253">
            <v>0</v>
          </cell>
          <cell r="CY253">
            <v>0</v>
          </cell>
          <cell r="CZ253">
            <v>0</v>
          </cell>
          <cell r="DA253">
            <v>0</v>
          </cell>
          <cell r="DF253">
            <v>0</v>
          </cell>
          <cell r="DG253">
            <v>0</v>
          </cell>
          <cell r="DH253">
            <v>0</v>
          </cell>
          <cell r="DI253">
            <v>0</v>
          </cell>
          <cell r="DN253">
            <v>0</v>
          </cell>
          <cell r="DO253">
            <v>0</v>
          </cell>
          <cell r="DP253">
            <v>0</v>
          </cell>
          <cell r="DQ253">
            <v>0</v>
          </cell>
          <cell r="DV253">
            <v>0</v>
          </cell>
          <cell r="DW253">
            <v>0</v>
          </cell>
          <cell r="DX253">
            <v>0</v>
          </cell>
          <cell r="DY253">
            <v>0</v>
          </cell>
        </row>
        <row r="254">
          <cell r="F254">
            <v>0</v>
          </cell>
          <cell r="G254">
            <v>0</v>
          </cell>
          <cell r="H254">
            <v>0</v>
          </cell>
          <cell r="I254">
            <v>0</v>
          </cell>
          <cell r="O254">
            <v>0</v>
          </cell>
          <cell r="T254">
            <v>0</v>
          </cell>
          <cell r="U254">
            <v>0</v>
          </cell>
          <cell r="Z254">
            <v>0</v>
          </cell>
          <cell r="AA254">
            <v>0</v>
          </cell>
          <cell r="AF254">
            <v>0</v>
          </cell>
          <cell r="AG254">
            <v>0</v>
          </cell>
          <cell r="AL254">
            <v>0</v>
          </cell>
          <cell r="AM254">
            <v>0</v>
          </cell>
          <cell r="AR254">
            <v>0</v>
          </cell>
          <cell r="AS254">
            <v>0</v>
          </cell>
          <cell r="AX254">
            <v>0</v>
          </cell>
          <cell r="AY254">
            <v>0</v>
          </cell>
          <cell r="AZ254">
            <v>0</v>
          </cell>
          <cell r="BA254">
            <v>0</v>
          </cell>
          <cell r="BF254">
            <v>0</v>
          </cell>
          <cell r="BG254">
            <v>0</v>
          </cell>
          <cell r="BL254">
            <v>0</v>
          </cell>
          <cell r="BM254">
            <v>0</v>
          </cell>
          <cell r="BR254">
            <v>0</v>
          </cell>
          <cell r="BS254">
            <v>0</v>
          </cell>
          <cell r="BX254">
            <v>0</v>
          </cell>
          <cell r="BY254">
            <v>0</v>
          </cell>
          <cell r="CD254">
            <v>0</v>
          </cell>
          <cell r="CE254">
            <v>0</v>
          </cell>
          <cell r="CJ254">
            <v>0</v>
          </cell>
          <cell r="CK254">
            <v>0</v>
          </cell>
          <cell r="CP254">
            <v>0</v>
          </cell>
          <cell r="CQ254">
            <v>0</v>
          </cell>
          <cell r="CR254">
            <v>0</v>
          </cell>
          <cell r="CS254">
            <v>0</v>
          </cell>
          <cell r="CX254">
            <v>0</v>
          </cell>
          <cell r="CY254">
            <v>0</v>
          </cell>
          <cell r="CZ254">
            <v>0</v>
          </cell>
          <cell r="DA254">
            <v>0</v>
          </cell>
          <cell r="DF254">
            <v>0</v>
          </cell>
          <cell r="DG254">
            <v>0</v>
          </cell>
          <cell r="DH254">
            <v>0</v>
          </cell>
          <cell r="DI254">
            <v>0</v>
          </cell>
          <cell r="DN254">
            <v>0</v>
          </cell>
          <cell r="DO254">
            <v>0</v>
          </cell>
          <cell r="DP254">
            <v>0</v>
          </cell>
          <cell r="DQ254">
            <v>0</v>
          </cell>
          <cell r="DV254">
            <v>0</v>
          </cell>
          <cell r="DW254">
            <v>0</v>
          </cell>
          <cell r="DX254">
            <v>0</v>
          </cell>
          <cell r="DY254">
            <v>0</v>
          </cell>
        </row>
        <row r="255">
          <cell r="F255">
            <v>0</v>
          </cell>
          <cell r="G255">
            <v>0</v>
          </cell>
          <cell r="H255">
            <v>0</v>
          </cell>
          <cell r="I255">
            <v>0</v>
          </cell>
          <cell r="O255">
            <v>0</v>
          </cell>
          <cell r="T255">
            <v>0</v>
          </cell>
          <cell r="U255">
            <v>0</v>
          </cell>
          <cell r="Z255">
            <v>0</v>
          </cell>
          <cell r="AA255">
            <v>0</v>
          </cell>
          <cell r="AF255">
            <v>0</v>
          </cell>
          <cell r="AG255">
            <v>0</v>
          </cell>
          <cell r="AL255">
            <v>0</v>
          </cell>
          <cell r="AM255">
            <v>0</v>
          </cell>
          <cell r="AR255">
            <v>0</v>
          </cell>
          <cell r="AS255">
            <v>0</v>
          </cell>
          <cell r="AX255">
            <v>0</v>
          </cell>
          <cell r="AY255">
            <v>0</v>
          </cell>
          <cell r="AZ255">
            <v>0</v>
          </cell>
          <cell r="BA255">
            <v>0</v>
          </cell>
          <cell r="BF255">
            <v>0</v>
          </cell>
          <cell r="BG255">
            <v>0</v>
          </cell>
          <cell r="BL255">
            <v>0</v>
          </cell>
          <cell r="BM255">
            <v>0</v>
          </cell>
          <cell r="BR255">
            <v>0</v>
          </cell>
          <cell r="BS255">
            <v>0</v>
          </cell>
          <cell r="BX255">
            <v>0</v>
          </cell>
          <cell r="BY255">
            <v>0</v>
          </cell>
          <cell r="CD255">
            <v>0</v>
          </cell>
          <cell r="CE255">
            <v>0</v>
          </cell>
          <cell r="CJ255">
            <v>0</v>
          </cell>
          <cell r="CK255">
            <v>0</v>
          </cell>
          <cell r="CP255">
            <v>0</v>
          </cell>
          <cell r="CQ255">
            <v>0</v>
          </cell>
          <cell r="CR255">
            <v>0</v>
          </cell>
          <cell r="CS255">
            <v>0</v>
          </cell>
          <cell r="CX255">
            <v>0</v>
          </cell>
          <cell r="CY255">
            <v>0</v>
          </cell>
          <cell r="CZ255">
            <v>0</v>
          </cell>
          <cell r="DA255">
            <v>0</v>
          </cell>
          <cell r="DF255">
            <v>0</v>
          </cell>
          <cell r="DG255">
            <v>0</v>
          </cell>
          <cell r="DH255">
            <v>0</v>
          </cell>
          <cell r="DI255">
            <v>0</v>
          </cell>
          <cell r="DN255">
            <v>0</v>
          </cell>
          <cell r="DO255">
            <v>0</v>
          </cell>
          <cell r="DP255">
            <v>0</v>
          </cell>
          <cell r="DQ255">
            <v>0</v>
          </cell>
          <cell r="DV255">
            <v>0</v>
          </cell>
          <cell r="DW255">
            <v>0</v>
          </cell>
          <cell r="DX255">
            <v>0</v>
          </cell>
          <cell r="DY255">
            <v>0</v>
          </cell>
        </row>
        <row r="256">
          <cell r="F256">
            <v>0</v>
          </cell>
          <cell r="G256">
            <v>0</v>
          </cell>
          <cell r="H256">
            <v>0</v>
          </cell>
          <cell r="I256">
            <v>0</v>
          </cell>
          <cell r="O256">
            <v>0</v>
          </cell>
          <cell r="T256">
            <v>0</v>
          </cell>
          <cell r="U256">
            <v>0</v>
          </cell>
          <cell r="Z256">
            <v>0</v>
          </cell>
          <cell r="AA256">
            <v>0</v>
          </cell>
          <cell r="AF256">
            <v>0</v>
          </cell>
          <cell r="AG256">
            <v>0</v>
          </cell>
          <cell r="AL256">
            <v>0</v>
          </cell>
          <cell r="AM256">
            <v>0</v>
          </cell>
          <cell r="AR256">
            <v>0</v>
          </cell>
          <cell r="AS256">
            <v>0</v>
          </cell>
          <cell r="AX256">
            <v>0</v>
          </cell>
          <cell r="AY256">
            <v>0</v>
          </cell>
          <cell r="AZ256">
            <v>0</v>
          </cell>
          <cell r="BA256">
            <v>0</v>
          </cell>
          <cell r="BF256">
            <v>0</v>
          </cell>
          <cell r="BG256">
            <v>0</v>
          </cell>
          <cell r="BL256">
            <v>0</v>
          </cell>
          <cell r="BM256">
            <v>0</v>
          </cell>
          <cell r="BR256">
            <v>0</v>
          </cell>
          <cell r="BS256">
            <v>0</v>
          </cell>
          <cell r="BX256">
            <v>0</v>
          </cell>
          <cell r="BY256">
            <v>0</v>
          </cell>
          <cell r="CD256">
            <v>0</v>
          </cell>
          <cell r="CE256">
            <v>0</v>
          </cell>
          <cell r="CJ256">
            <v>0</v>
          </cell>
          <cell r="CK256">
            <v>0</v>
          </cell>
          <cell r="CP256">
            <v>0</v>
          </cell>
          <cell r="CQ256">
            <v>0</v>
          </cell>
          <cell r="CR256">
            <v>0</v>
          </cell>
          <cell r="CS256">
            <v>0</v>
          </cell>
          <cell r="CX256">
            <v>0</v>
          </cell>
          <cell r="CY256">
            <v>0</v>
          </cell>
          <cell r="CZ256">
            <v>0</v>
          </cell>
          <cell r="DA256">
            <v>0</v>
          </cell>
          <cell r="DF256">
            <v>0</v>
          </cell>
          <cell r="DG256">
            <v>0</v>
          </cell>
          <cell r="DH256">
            <v>0</v>
          </cell>
          <cell r="DI256">
            <v>0</v>
          </cell>
          <cell r="DN256">
            <v>0</v>
          </cell>
          <cell r="DO256">
            <v>0</v>
          </cell>
          <cell r="DP256">
            <v>0</v>
          </cell>
          <cell r="DQ256">
            <v>0</v>
          </cell>
          <cell r="DV256">
            <v>0</v>
          </cell>
          <cell r="DW256">
            <v>0</v>
          </cell>
          <cell r="DX256">
            <v>0</v>
          </cell>
          <cell r="DY256">
            <v>0</v>
          </cell>
        </row>
        <row r="257">
          <cell r="F257">
            <v>0</v>
          </cell>
          <cell r="G257">
            <v>0</v>
          </cell>
          <cell r="H257">
            <v>0</v>
          </cell>
          <cell r="I257">
            <v>0</v>
          </cell>
          <cell r="O257">
            <v>0</v>
          </cell>
          <cell r="T257">
            <v>0</v>
          </cell>
          <cell r="U257">
            <v>0</v>
          </cell>
          <cell r="Z257">
            <v>0</v>
          </cell>
          <cell r="AA257">
            <v>0</v>
          </cell>
          <cell r="AF257">
            <v>0</v>
          </cell>
          <cell r="AG257">
            <v>0</v>
          </cell>
          <cell r="AL257">
            <v>0</v>
          </cell>
          <cell r="AM257">
            <v>0</v>
          </cell>
          <cell r="AR257">
            <v>0</v>
          </cell>
          <cell r="AS257">
            <v>0</v>
          </cell>
          <cell r="AX257">
            <v>0</v>
          </cell>
          <cell r="AY257">
            <v>0</v>
          </cell>
          <cell r="AZ257">
            <v>0</v>
          </cell>
          <cell r="BA257">
            <v>0</v>
          </cell>
          <cell r="BF257">
            <v>0</v>
          </cell>
          <cell r="BG257">
            <v>0</v>
          </cell>
          <cell r="BL257">
            <v>0</v>
          </cell>
          <cell r="BM257">
            <v>0</v>
          </cell>
          <cell r="BR257">
            <v>0</v>
          </cell>
          <cell r="BS257">
            <v>0</v>
          </cell>
          <cell r="BX257">
            <v>0</v>
          </cell>
          <cell r="BY257">
            <v>0</v>
          </cell>
          <cell r="CD257">
            <v>0</v>
          </cell>
          <cell r="CE257">
            <v>0</v>
          </cell>
          <cell r="CJ257">
            <v>0</v>
          </cell>
          <cell r="CK257">
            <v>0</v>
          </cell>
          <cell r="CP257">
            <v>0</v>
          </cell>
          <cell r="CQ257">
            <v>0</v>
          </cell>
          <cell r="CR257">
            <v>0</v>
          </cell>
          <cell r="CS257">
            <v>0</v>
          </cell>
          <cell r="CX257">
            <v>0</v>
          </cell>
          <cell r="CY257">
            <v>0</v>
          </cell>
          <cell r="CZ257">
            <v>0</v>
          </cell>
          <cell r="DA257">
            <v>0</v>
          </cell>
          <cell r="DF257">
            <v>0</v>
          </cell>
          <cell r="DG257">
            <v>0</v>
          </cell>
          <cell r="DH257">
            <v>0</v>
          </cell>
          <cell r="DI257">
            <v>0</v>
          </cell>
          <cell r="DN257">
            <v>0</v>
          </cell>
          <cell r="DO257">
            <v>0</v>
          </cell>
          <cell r="DP257">
            <v>0</v>
          </cell>
          <cell r="DQ257">
            <v>0</v>
          </cell>
          <cell r="DV257">
            <v>0</v>
          </cell>
          <cell r="DW257">
            <v>0</v>
          </cell>
          <cell r="DX257">
            <v>0</v>
          </cell>
          <cell r="DY257">
            <v>0</v>
          </cell>
        </row>
        <row r="258">
          <cell r="F258">
            <v>0</v>
          </cell>
          <cell r="G258">
            <v>0</v>
          </cell>
          <cell r="H258">
            <v>0</v>
          </cell>
          <cell r="I258">
            <v>0</v>
          </cell>
          <cell r="O258">
            <v>0</v>
          </cell>
          <cell r="T258">
            <v>0</v>
          </cell>
          <cell r="U258">
            <v>0</v>
          </cell>
          <cell r="Z258">
            <v>0</v>
          </cell>
          <cell r="AA258">
            <v>0</v>
          </cell>
          <cell r="AF258">
            <v>0</v>
          </cell>
          <cell r="AG258">
            <v>0</v>
          </cell>
          <cell r="AL258">
            <v>0</v>
          </cell>
          <cell r="AM258">
            <v>0</v>
          </cell>
          <cell r="AR258">
            <v>0</v>
          </cell>
          <cell r="AS258">
            <v>0</v>
          </cell>
          <cell r="AX258">
            <v>0</v>
          </cell>
          <cell r="AY258">
            <v>0</v>
          </cell>
          <cell r="AZ258">
            <v>0</v>
          </cell>
          <cell r="BA258">
            <v>0</v>
          </cell>
          <cell r="BF258">
            <v>0</v>
          </cell>
          <cell r="BG258">
            <v>0</v>
          </cell>
          <cell r="BL258">
            <v>0</v>
          </cell>
          <cell r="BM258">
            <v>0</v>
          </cell>
          <cell r="BR258">
            <v>0</v>
          </cell>
          <cell r="BS258">
            <v>0</v>
          </cell>
          <cell r="BX258">
            <v>0</v>
          </cell>
          <cell r="BY258">
            <v>0</v>
          </cell>
          <cell r="CD258">
            <v>0</v>
          </cell>
          <cell r="CE258">
            <v>0</v>
          </cell>
          <cell r="CJ258">
            <v>0</v>
          </cell>
          <cell r="CK258">
            <v>0</v>
          </cell>
          <cell r="CP258">
            <v>0</v>
          </cell>
          <cell r="CQ258">
            <v>0</v>
          </cell>
          <cell r="CR258">
            <v>0</v>
          </cell>
          <cell r="CS258">
            <v>0</v>
          </cell>
          <cell r="CX258">
            <v>0</v>
          </cell>
          <cell r="CY258">
            <v>0</v>
          </cell>
          <cell r="CZ258">
            <v>0</v>
          </cell>
          <cell r="DA258">
            <v>0</v>
          </cell>
          <cell r="DF258">
            <v>0</v>
          </cell>
          <cell r="DG258">
            <v>0</v>
          </cell>
          <cell r="DH258">
            <v>0</v>
          </cell>
          <cell r="DI258">
            <v>0</v>
          </cell>
          <cell r="DN258">
            <v>0</v>
          </cell>
          <cell r="DO258">
            <v>0</v>
          </cell>
          <cell r="DP258">
            <v>0</v>
          </cell>
          <cell r="DQ258">
            <v>0</v>
          </cell>
          <cell r="DV258">
            <v>0</v>
          </cell>
          <cell r="DW258">
            <v>0</v>
          </cell>
          <cell r="DX258">
            <v>0</v>
          </cell>
          <cell r="DY258">
            <v>0</v>
          </cell>
        </row>
        <row r="259">
          <cell r="F259">
            <v>0</v>
          </cell>
          <cell r="G259">
            <v>0</v>
          </cell>
          <cell r="H259">
            <v>0</v>
          </cell>
          <cell r="I259">
            <v>0</v>
          </cell>
          <cell r="AX259">
            <v>0</v>
          </cell>
          <cell r="AY259">
            <v>0</v>
          </cell>
          <cell r="AZ259">
            <v>0</v>
          </cell>
          <cell r="BA259">
            <v>0</v>
          </cell>
          <cell r="CP259">
            <v>0</v>
          </cell>
          <cell r="CQ259">
            <v>0</v>
          </cell>
          <cell r="CR259">
            <v>0</v>
          </cell>
          <cell r="CS259">
            <v>0</v>
          </cell>
          <cell r="CX259">
            <v>0</v>
          </cell>
          <cell r="CY259">
            <v>0</v>
          </cell>
          <cell r="CZ259">
            <v>0</v>
          </cell>
          <cell r="DA259">
            <v>0</v>
          </cell>
          <cell r="DF259">
            <v>0</v>
          </cell>
          <cell r="DG259">
            <v>0</v>
          </cell>
          <cell r="DH259">
            <v>0</v>
          </cell>
          <cell r="DI259">
            <v>0</v>
          </cell>
          <cell r="DN259">
            <v>0</v>
          </cell>
          <cell r="DO259">
            <v>0</v>
          </cell>
          <cell r="DP259">
            <v>0</v>
          </cell>
          <cell r="DQ259">
            <v>0</v>
          </cell>
          <cell r="DV259">
            <v>0</v>
          </cell>
          <cell r="DW259">
            <v>0</v>
          </cell>
          <cell r="DX259">
            <v>0</v>
          </cell>
          <cell r="DY259">
            <v>0</v>
          </cell>
        </row>
        <row r="260">
          <cell r="F260">
            <v>0</v>
          </cell>
          <cell r="G260">
            <v>0</v>
          </cell>
          <cell r="H260">
            <v>0</v>
          </cell>
          <cell r="I260">
            <v>0</v>
          </cell>
          <cell r="O260">
            <v>0</v>
          </cell>
          <cell r="T260">
            <v>0</v>
          </cell>
          <cell r="U260">
            <v>0</v>
          </cell>
          <cell r="Z260">
            <v>0</v>
          </cell>
          <cell r="AA260">
            <v>0</v>
          </cell>
          <cell r="AF260">
            <v>0</v>
          </cell>
          <cell r="AG260">
            <v>0</v>
          </cell>
          <cell r="AL260">
            <v>0</v>
          </cell>
          <cell r="AM260">
            <v>0</v>
          </cell>
          <cell r="AR260">
            <v>0</v>
          </cell>
          <cell r="AS260">
            <v>0</v>
          </cell>
          <cell r="AX260">
            <v>0</v>
          </cell>
          <cell r="AY260">
            <v>0</v>
          </cell>
          <cell r="AZ260">
            <v>0</v>
          </cell>
          <cell r="BA260">
            <v>0</v>
          </cell>
          <cell r="BF260">
            <v>0</v>
          </cell>
          <cell r="BG260">
            <v>0</v>
          </cell>
          <cell r="BL260">
            <v>0</v>
          </cell>
          <cell r="BM260">
            <v>0</v>
          </cell>
          <cell r="BR260">
            <v>0</v>
          </cell>
          <cell r="BS260">
            <v>0</v>
          </cell>
          <cell r="BX260">
            <v>0</v>
          </cell>
          <cell r="BY260">
            <v>0</v>
          </cell>
          <cell r="CD260">
            <v>0</v>
          </cell>
          <cell r="CE260">
            <v>0</v>
          </cell>
          <cell r="CJ260">
            <v>0</v>
          </cell>
          <cell r="CK260">
            <v>0</v>
          </cell>
          <cell r="CP260">
            <v>0</v>
          </cell>
          <cell r="CQ260">
            <v>0</v>
          </cell>
          <cell r="CR260">
            <v>0</v>
          </cell>
          <cell r="CS260">
            <v>0</v>
          </cell>
          <cell r="CX260">
            <v>0</v>
          </cell>
          <cell r="CY260">
            <v>0</v>
          </cell>
          <cell r="CZ260">
            <v>0</v>
          </cell>
          <cell r="DA260">
            <v>0</v>
          </cell>
          <cell r="DF260">
            <v>0</v>
          </cell>
          <cell r="DG260">
            <v>0</v>
          </cell>
          <cell r="DH260">
            <v>0</v>
          </cell>
          <cell r="DI260">
            <v>0</v>
          </cell>
          <cell r="DN260">
            <v>0</v>
          </cell>
          <cell r="DO260">
            <v>0</v>
          </cell>
          <cell r="DP260">
            <v>0</v>
          </cell>
          <cell r="DQ260">
            <v>0</v>
          </cell>
          <cell r="DV260">
            <v>0</v>
          </cell>
          <cell r="DW260">
            <v>0</v>
          </cell>
          <cell r="DX260">
            <v>0</v>
          </cell>
          <cell r="DY260">
            <v>0</v>
          </cell>
        </row>
        <row r="261">
          <cell r="F261">
            <v>0</v>
          </cell>
          <cell r="G261">
            <v>0</v>
          </cell>
          <cell r="H261">
            <v>0</v>
          </cell>
          <cell r="I261">
            <v>0</v>
          </cell>
          <cell r="O261">
            <v>0</v>
          </cell>
          <cell r="T261">
            <v>0</v>
          </cell>
          <cell r="U261">
            <v>0</v>
          </cell>
          <cell r="Z261">
            <v>0</v>
          </cell>
          <cell r="AA261">
            <v>0</v>
          </cell>
          <cell r="AF261">
            <v>0</v>
          </cell>
          <cell r="AG261">
            <v>0</v>
          </cell>
          <cell r="AL261">
            <v>0</v>
          </cell>
          <cell r="AM261">
            <v>0</v>
          </cell>
          <cell r="AR261">
            <v>0</v>
          </cell>
          <cell r="AS261">
            <v>0</v>
          </cell>
          <cell r="AX261">
            <v>0</v>
          </cell>
          <cell r="AY261">
            <v>0</v>
          </cell>
          <cell r="AZ261">
            <v>0</v>
          </cell>
          <cell r="BA261">
            <v>0</v>
          </cell>
          <cell r="BF261">
            <v>0</v>
          </cell>
          <cell r="BG261">
            <v>0</v>
          </cell>
          <cell r="BL261">
            <v>0</v>
          </cell>
          <cell r="BM261">
            <v>0</v>
          </cell>
          <cell r="BR261">
            <v>0</v>
          </cell>
          <cell r="BS261">
            <v>0</v>
          </cell>
          <cell r="BX261">
            <v>0</v>
          </cell>
          <cell r="BY261">
            <v>0</v>
          </cell>
          <cell r="CD261">
            <v>0</v>
          </cell>
          <cell r="CE261">
            <v>0</v>
          </cell>
          <cell r="CJ261">
            <v>0</v>
          </cell>
          <cell r="CK261">
            <v>0</v>
          </cell>
          <cell r="CP261">
            <v>0</v>
          </cell>
          <cell r="CQ261">
            <v>0</v>
          </cell>
          <cell r="CR261">
            <v>0</v>
          </cell>
          <cell r="CS261">
            <v>0</v>
          </cell>
          <cell r="CX261">
            <v>0</v>
          </cell>
          <cell r="CY261">
            <v>0</v>
          </cell>
          <cell r="CZ261">
            <v>0</v>
          </cell>
          <cell r="DA261">
            <v>0</v>
          </cell>
          <cell r="DF261">
            <v>0</v>
          </cell>
          <cell r="DG261">
            <v>0</v>
          </cell>
          <cell r="DH261">
            <v>0</v>
          </cell>
          <cell r="DI261">
            <v>0</v>
          </cell>
          <cell r="DN261">
            <v>0</v>
          </cell>
          <cell r="DO261">
            <v>0</v>
          </cell>
          <cell r="DP261">
            <v>0</v>
          </cell>
          <cell r="DQ261">
            <v>0</v>
          </cell>
          <cell r="DV261">
            <v>0</v>
          </cell>
          <cell r="DW261">
            <v>0</v>
          </cell>
          <cell r="DX261">
            <v>0</v>
          </cell>
          <cell r="DY261">
            <v>0</v>
          </cell>
        </row>
        <row r="262">
          <cell r="F262">
            <v>0</v>
          </cell>
          <cell r="G262">
            <v>0</v>
          </cell>
          <cell r="H262">
            <v>0</v>
          </cell>
          <cell r="I262">
            <v>0</v>
          </cell>
          <cell r="N262">
            <v>0</v>
          </cell>
          <cell r="O262">
            <v>0</v>
          </cell>
          <cell r="P262">
            <v>0</v>
          </cell>
          <cell r="T262">
            <v>0</v>
          </cell>
          <cell r="U262">
            <v>0</v>
          </cell>
          <cell r="V262">
            <v>0</v>
          </cell>
          <cell r="Z262">
            <v>0</v>
          </cell>
          <cell r="AA262">
            <v>0</v>
          </cell>
          <cell r="AB262">
            <v>0</v>
          </cell>
          <cell r="AF262">
            <v>0</v>
          </cell>
          <cell r="AG262">
            <v>0</v>
          </cell>
          <cell r="AH262">
            <v>0</v>
          </cell>
          <cell r="AL262">
            <v>0</v>
          </cell>
          <cell r="AM262">
            <v>0</v>
          </cell>
          <cell r="AN262">
            <v>0</v>
          </cell>
          <cell r="AR262">
            <v>0</v>
          </cell>
          <cell r="AS262">
            <v>0</v>
          </cell>
          <cell r="AT262">
            <v>0</v>
          </cell>
          <cell r="AX262">
            <v>0</v>
          </cell>
          <cell r="AY262">
            <v>0</v>
          </cell>
          <cell r="AZ262">
            <v>0</v>
          </cell>
          <cell r="BA262">
            <v>0</v>
          </cell>
          <cell r="BF262">
            <v>0</v>
          </cell>
          <cell r="BG262">
            <v>0</v>
          </cell>
          <cell r="BH262">
            <v>0</v>
          </cell>
          <cell r="BL262">
            <v>0</v>
          </cell>
          <cell r="BM262">
            <v>0</v>
          </cell>
          <cell r="BN262">
            <v>0</v>
          </cell>
          <cell r="BR262">
            <v>0</v>
          </cell>
          <cell r="BS262">
            <v>0</v>
          </cell>
          <cell r="BT262">
            <v>0</v>
          </cell>
          <cell r="BX262">
            <v>0</v>
          </cell>
          <cell r="BY262">
            <v>0</v>
          </cell>
          <cell r="BZ262">
            <v>0</v>
          </cell>
          <cell r="CD262">
            <v>0</v>
          </cell>
          <cell r="CE262">
            <v>0</v>
          </cell>
          <cell r="CF262">
            <v>0</v>
          </cell>
          <cell r="CJ262">
            <v>0</v>
          </cell>
          <cell r="CK262">
            <v>0</v>
          </cell>
          <cell r="CL262">
            <v>0</v>
          </cell>
          <cell r="CP262">
            <v>0</v>
          </cell>
          <cell r="CQ262">
            <v>0</v>
          </cell>
          <cell r="CR262">
            <v>0</v>
          </cell>
          <cell r="CS262">
            <v>0</v>
          </cell>
          <cell r="CX262">
            <v>0</v>
          </cell>
          <cell r="CY262">
            <v>0</v>
          </cell>
          <cell r="CZ262">
            <v>0</v>
          </cell>
          <cell r="DA262">
            <v>0</v>
          </cell>
          <cell r="DF262">
            <v>0</v>
          </cell>
          <cell r="DG262">
            <v>0</v>
          </cell>
          <cell r="DH262">
            <v>0</v>
          </cell>
          <cell r="DI262">
            <v>0</v>
          </cell>
          <cell r="DN262">
            <v>0</v>
          </cell>
          <cell r="DO262">
            <v>0</v>
          </cell>
          <cell r="DP262">
            <v>0</v>
          </cell>
          <cell r="DQ262">
            <v>0</v>
          </cell>
          <cell r="DV262">
            <v>0</v>
          </cell>
          <cell r="DW262">
            <v>0</v>
          </cell>
          <cell r="DX262">
            <v>0</v>
          </cell>
          <cell r="DY262">
            <v>0</v>
          </cell>
        </row>
        <row r="263">
          <cell r="F263">
            <v>0</v>
          </cell>
          <cell r="G263">
            <v>0</v>
          </cell>
          <cell r="H263">
            <v>0</v>
          </cell>
          <cell r="I263">
            <v>0</v>
          </cell>
          <cell r="O263">
            <v>0</v>
          </cell>
          <cell r="T263">
            <v>0</v>
          </cell>
          <cell r="U263">
            <v>0</v>
          </cell>
          <cell r="Z263">
            <v>0</v>
          </cell>
          <cell r="AA263">
            <v>0</v>
          </cell>
          <cell r="AF263">
            <v>0</v>
          </cell>
          <cell r="AG263">
            <v>0</v>
          </cell>
          <cell r="AL263">
            <v>0</v>
          </cell>
          <cell r="AM263">
            <v>0</v>
          </cell>
          <cell r="AR263">
            <v>0</v>
          </cell>
          <cell r="AS263">
            <v>0</v>
          </cell>
          <cell r="AX263">
            <v>0</v>
          </cell>
          <cell r="AY263">
            <v>0</v>
          </cell>
          <cell r="AZ263">
            <v>0</v>
          </cell>
          <cell r="BA263">
            <v>0</v>
          </cell>
          <cell r="BF263">
            <v>0</v>
          </cell>
          <cell r="BG263">
            <v>0</v>
          </cell>
          <cell r="BL263">
            <v>0</v>
          </cell>
          <cell r="BM263">
            <v>0</v>
          </cell>
          <cell r="BR263">
            <v>0</v>
          </cell>
          <cell r="BS263">
            <v>0</v>
          </cell>
          <cell r="BX263">
            <v>0</v>
          </cell>
          <cell r="BY263">
            <v>0</v>
          </cell>
          <cell r="CD263">
            <v>0</v>
          </cell>
          <cell r="CE263">
            <v>0</v>
          </cell>
          <cell r="CJ263">
            <v>0</v>
          </cell>
          <cell r="CK263">
            <v>0</v>
          </cell>
          <cell r="CP263">
            <v>0</v>
          </cell>
          <cell r="CQ263">
            <v>0</v>
          </cell>
          <cell r="CR263">
            <v>0</v>
          </cell>
          <cell r="CS263">
            <v>0</v>
          </cell>
          <cell r="CX263">
            <v>0</v>
          </cell>
          <cell r="CY263">
            <v>0</v>
          </cell>
          <cell r="CZ263">
            <v>0</v>
          </cell>
          <cell r="DA263">
            <v>0</v>
          </cell>
          <cell r="DF263">
            <v>0</v>
          </cell>
          <cell r="DG263">
            <v>0</v>
          </cell>
          <cell r="DH263">
            <v>0</v>
          </cell>
          <cell r="DI263">
            <v>0</v>
          </cell>
          <cell r="DN263">
            <v>0</v>
          </cell>
          <cell r="DO263">
            <v>0</v>
          </cell>
          <cell r="DP263">
            <v>0</v>
          </cell>
          <cell r="DQ263">
            <v>0</v>
          </cell>
          <cell r="DV263">
            <v>0</v>
          </cell>
          <cell r="DW263">
            <v>0</v>
          </cell>
          <cell r="DX263">
            <v>0</v>
          </cell>
          <cell r="DY263">
            <v>0</v>
          </cell>
        </row>
        <row r="264">
          <cell r="F264">
            <v>0</v>
          </cell>
          <cell r="G264">
            <v>0</v>
          </cell>
          <cell r="H264">
            <v>0</v>
          </cell>
          <cell r="I264">
            <v>0</v>
          </cell>
          <cell r="O264">
            <v>0</v>
          </cell>
          <cell r="T264">
            <v>0</v>
          </cell>
          <cell r="U264">
            <v>0</v>
          </cell>
          <cell r="Z264">
            <v>0</v>
          </cell>
          <cell r="AA264">
            <v>0</v>
          </cell>
          <cell r="AF264">
            <v>0</v>
          </cell>
          <cell r="AG264">
            <v>0</v>
          </cell>
          <cell r="AL264">
            <v>0</v>
          </cell>
          <cell r="AM264">
            <v>0</v>
          </cell>
          <cell r="AR264">
            <v>0</v>
          </cell>
          <cell r="AS264">
            <v>0</v>
          </cell>
          <cell r="AX264">
            <v>0</v>
          </cell>
          <cell r="AY264">
            <v>0</v>
          </cell>
          <cell r="AZ264">
            <v>0</v>
          </cell>
          <cell r="BA264">
            <v>0</v>
          </cell>
          <cell r="BF264">
            <v>0</v>
          </cell>
          <cell r="BG264">
            <v>0</v>
          </cell>
          <cell r="BL264">
            <v>0</v>
          </cell>
          <cell r="BM264">
            <v>0</v>
          </cell>
          <cell r="BR264">
            <v>0</v>
          </cell>
          <cell r="BS264">
            <v>0</v>
          </cell>
          <cell r="BX264">
            <v>0</v>
          </cell>
          <cell r="BY264">
            <v>0</v>
          </cell>
          <cell r="CD264">
            <v>0</v>
          </cell>
          <cell r="CE264">
            <v>0</v>
          </cell>
          <cell r="CJ264">
            <v>0</v>
          </cell>
          <cell r="CK264">
            <v>0</v>
          </cell>
          <cell r="CP264">
            <v>0</v>
          </cell>
          <cell r="CQ264">
            <v>0</v>
          </cell>
          <cell r="CR264">
            <v>0</v>
          </cell>
          <cell r="CS264">
            <v>0</v>
          </cell>
          <cell r="CX264">
            <v>0</v>
          </cell>
          <cell r="CY264">
            <v>0</v>
          </cell>
          <cell r="CZ264">
            <v>0</v>
          </cell>
          <cell r="DA264">
            <v>0</v>
          </cell>
          <cell r="DF264">
            <v>0</v>
          </cell>
          <cell r="DG264">
            <v>0</v>
          </cell>
          <cell r="DH264">
            <v>0</v>
          </cell>
          <cell r="DI264">
            <v>0</v>
          </cell>
          <cell r="DN264">
            <v>0</v>
          </cell>
          <cell r="DO264">
            <v>0</v>
          </cell>
          <cell r="DP264">
            <v>0</v>
          </cell>
          <cell r="DQ264">
            <v>0</v>
          </cell>
          <cell r="DV264">
            <v>0</v>
          </cell>
          <cell r="DW264">
            <v>0</v>
          </cell>
          <cell r="DX264">
            <v>0</v>
          </cell>
          <cell r="DY264">
            <v>0</v>
          </cell>
        </row>
        <row r="265">
          <cell r="F265">
            <v>0</v>
          </cell>
          <cell r="G265">
            <v>0</v>
          </cell>
          <cell r="H265">
            <v>0</v>
          </cell>
          <cell r="I265">
            <v>0</v>
          </cell>
          <cell r="N265">
            <v>0</v>
          </cell>
          <cell r="O265">
            <v>0</v>
          </cell>
          <cell r="P265">
            <v>0</v>
          </cell>
          <cell r="T265">
            <v>0</v>
          </cell>
          <cell r="U265">
            <v>0</v>
          </cell>
          <cell r="V265">
            <v>0</v>
          </cell>
          <cell r="Z265">
            <v>0</v>
          </cell>
          <cell r="AA265">
            <v>0</v>
          </cell>
          <cell r="AB265">
            <v>0</v>
          </cell>
          <cell r="AF265">
            <v>0</v>
          </cell>
          <cell r="AG265">
            <v>0</v>
          </cell>
          <cell r="AH265">
            <v>0</v>
          </cell>
          <cell r="AL265">
            <v>0</v>
          </cell>
          <cell r="AM265">
            <v>0</v>
          </cell>
          <cell r="AN265">
            <v>0</v>
          </cell>
          <cell r="AR265">
            <v>0</v>
          </cell>
          <cell r="AS265">
            <v>0</v>
          </cell>
          <cell r="AT265">
            <v>0</v>
          </cell>
          <cell r="AX265">
            <v>0</v>
          </cell>
          <cell r="AY265">
            <v>0</v>
          </cell>
          <cell r="AZ265">
            <v>0</v>
          </cell>
          <cell r="BA265">
            <v>0</v>
          </cell>
          <cell r="BF265">
            <v>0</v>
          </cell>
          <cell r="BG265">
            <v>0</v>
          </cell>
          <cell r="BH265">
            <v>0</v>
          </cell>
          <cell r="BL265">
            <v>0</v>
          </cell>
          <cell r="BM265">
            <v>0</v>
          </cell>
          <cell r="BN265">
            <v>0</v>
          </cell>
          <cell r="BR265">
            <v>0</v>
          </cell>
          <cell r="BS265">
            <v>0</v>
          </cell>
          <cell r="BT265">
            <v>0</v>
          </cell>
          <cell r="BX265">
            <v>0</v>
          </cell>
          <cell r="BY265">
            <v>0</v>
          </cell>
          <cell r="BZ265">
            <v>0</v>
          </cell>
          <cell r="CD265">
            <v>0</v>
          </cell>
          <cell r="CE265">
            <v>0</v>
          </cell>
          <cell r="CF265">
            <v>0</v>
          </cell>
          <cell r="CJ265">
            <v>0</v>
          </cell>
          <cell r="CK265">
            <v>0</v>
          </cell>
          <cell r="CL265">
            <v>0</v>
          </cell>
          <cell r="CP265">
            <v>0</v>
          </cell>
          <cell r="CQ265">
            <v>0</v>
          </cell>
          <cell r="CR265">
            <v>0</v>
          </cell>
          <cell r="CS265">
            <v>0</v>
          </cell>
          <cell r="CX265">
            <v>0</v>
          </cell>
          <cell r="CY265">
            <v>0</v>
          </cell>
          <cell r="CZ265">
            <v>0</v>
          </cell>
          <cell r="DA265">
            <v>0</v>
          </cell>
          <cell r="DF265">
            <v>0</v>
          </cell>
          <cell r="DG265">
            <v>0</v>
          </cell>
          <cell r="DH265">
            <v>0</v>
          </cell>
          <cell r="DI265">
            <v>0</v>
          </cell>
          <cell r="DN265">
            <v>0</v>
          </cell>
          <cell r="DO265">
            <v>0</v>
          </cell>
          <cell r="DP265">
            <v>0</v>
          </cell>
          <cell r="DQ265">
            <v>0</v>
          </cell>
          <cell r="DV265">
            <v>0</v>
          </cell>
          <cell r="DW265">
            <v>0</v>
          </cell>
          <cell r="DX265">
            <v>0</v>
          </cell>
          <cell r="DY265">
            <v>0</v>
          </cell>
        </row>
        <row r="266">
          <cell r="F266">
            <v>0</v>
          </cell>
          <cell r="G266">
            <v>0</v>
          </cell>
          <cell r="H266">
            <v>0</v>
          </cell>
          <cell r="I266">
            <v>0</v>
          </cell>
          <cell r="O266">
            <v>0</v>
          </cell>
          <cell r="T266">
            <v>0</v>
          </cell>
          <cell r="U266">
            <v>0</v>
          </cell>
          <cell r="Z266">
            <v>0</v>
          </cell>
          <cell r="AA266">
            <v>0</v>
          </cell>
          <cell r="AF266">
            <v>0</v>
          </cell>
          <cell r="AG266">
            <v>0</v>
          </cell>
          <cell r="AL266">
            <v>0</v>
          </cell>
          <cell r="AM266">
            <v>0</v>
          </cell>
          <cell r="AR266">
            <v>0</v>
          </cell>
          <cell r="AS266">
            <v>0</v>
          </cell>
          <cell r="AX266">
            <v>0</v>
          </cell>
          <cell r="AY266">
            <v>0</v>
          </cell>
          <cell r="AZ266">
            <v>0</v>
          </cell>
          <cell r="BA266">
            <v>0</v>
          </cell>
          <cell r="BF266">
            <v>0</v>
          </cell>
          <cell r="BG266">
            <v>0</v>
          </cell>
          <cell r="BL266">
            <v>0</v>
          </cell>
          <cell r="BM266">
            <v>0</v>
          </cell>
          <cell r="BR266">
            <v>0</v>
          </cell>
          <cell r="BS266">
            <v>0</v>
          </cell>
          <cell r="BX266">
            <v>0</v>
          </cell>
          <cell r="BY266">
            <v>0</v>
          </cell>
          <cell r="CD266">
            <v>0</v>
          </cell>
          <cell r="CE266">
            <v>0</v>
          </cell>
          <cell r="CJ266">
            <v>0</v>
          </cell>
          <cell r="CK266">
            <v>0</v>
          </cell>
          <cell r="CP266">
            <v>0</v>
          </cell>
          <cell r="CQ266">
            <v>0</v>
          </cell>
          <cell r="CR266">
            <v>0</v>
          </cell>
          <cell r="CS266">
            <v>0</v>
          </cell>
          <cell r="CX266">
            <v>0</v>
          </cell>
          <cell r="CY266">
            <v>0</v>
          </cell>
          <cell r="CZ266">
            <v>0</v>
          </cell>
          <cell r="DA266">
            <v>0</v>
          </cell>
          <cell r="DF266">
            <v>0</v>
          </cell>
          <cell r="DG266">
            <v>0</v>
          </cell>
          <cell r="DH266">
            <v>0</v>
          </cell>
          <cell r="DI266">
            <v>0</v>
          </cell>
          <cell r="DN266">
            <v>0</v>
          </cell>
          <cell r="DO266">
            <v>0</v>
          </cell>
          <cell r="DP266">
            <v>0</v>
          </cell>
          <cell r="DQ266">
            <v>0</v>
          </cell>
          <cell r="DV266">
            <v>0</v>
          </cell>
          <cell r="DW266">
            <v>0</v>
          </cell>
          <cell r="DX266">
            <v>0</v>
          </cell>
          <cell r="DY266">
            <v>0</v>
          </cell>
        </row>
        <row r="267">
          <cell r="F267">
            <v>0</v>
          </cell>
          <cell r="G267">
            <v>0</v>
          </cell>
          <cell r="H267">
            <v>0</v>
          </cell>
          <cell r="I267">
            <v>0</v>
          </cell>
          <cell r="O267">
            <v>0</v>
          </cell>
          <cell r="T267">
            <v>0</v>
          </cell>
          <cell r="U267">
            <v>0</v>
          </cell>
          <cell r="Z267">
            <v>0</v>
          </cell>
          <cell r="AA267">
            <v>0</v>
          </cell>
          <cell r="AF267">
            <v>0</v>
          </cell>
          <cell r="AG267">
            <v>0</v>
          </cell>
          <cell r="AL267">
            <v>0</v>
          </cell>
          <cell r="AM267">
            <v>0</v>
          </cell>
          <cell r="AR267">
            <v>0</v>
          </cell>
          <cell r="AS267">
            <v>0</v>
          </cell>
          <cell r="AX267">
            <v>0</v>
          </cell>
          <cell r="AY267">
            <v>0</v>
          </cell>
          <cell r="AZ267">
            <v>0</v>
          </cell>
          <cell r="BA267">
            <v>0</v>
          </cell>
          <cell r="BF267">
            <v>0</v>
          </cell>
          <cell r="BG267">
            <v>0</v>
          </cell>
          <cell r="BL267">
            <v>0</v>
          </cell>
          <cell r="BM267">
            <v>0</v>
          </cell>
          <cell r="BR267">
            <v>0</v>
          </cell>
          <cell r="BS267">
            <v>0</v>
          </cell>
          <cell r="BX267">
            <v>0</v>
          </cell>
          <cell r="BY267">
            <v>0</v>
          </cell>
          <cell r="CD267">
            <v>0</v>
          </cell>
          <cell r="CE267">
            <v>0</v>
          </cell>
          <cell r="CJ267">
            <v>0</v>
          </cell>
          <cell r="CK267">
            <v>0</v>
          </cell>
          <cell r="CP267">
            <v>0</v>
          </cell>
          <cell r="CQ267">
            <v>0</v>
          </cell>
          <cell r="CR267">
            <v>0</v>
          </cell>
          <cell r="CS267">
            <v>0</v>
          </cell>
          <cell r="CX267">
            <v>0</v>
          </cell>
          <cell r="CY267">
            <v>0</v>
          </cell>
          <cell r="CZ267">
            <v>0</v>
          </cell>
          <cell r="DA267">
            <v>0</v>
          </cell>
          <cell r="DF267">
            <v>0</v>
          </cell>
          <cell r="DG267">
            <v>0</v>
          </cell>
          <cell r="DH267">
            <v>0</v>
          </cell>
          <cell r="DI267">
            <v>0</v>
          </cell>
          <cell r="DN267">
            <v>0</v>
          </cell>
          <cell r="DO267">
            <v>0</v>
          </cell>
          <cell r="DP267">
            <v>0</v>
          </cell>
          <cell r="DQ267">
            <v>0</v>
          </cell>
          <cell r="DV267">
            <v>0</v>
          </cell>
          <cell r="DW267">
            <v>0</v>
          </cell>
          <cell r="DX267">
            <v>0</v>
          </cell>
          <cell r="DY267">
            <v>0</v>
          </cell>
        </row>
        <row r="268">
          <cell r="F268">
            <v>0</v>
          </cell>
          <cell r="G268">
            <v>0</v>
          </cell>
          <cell r="H268">
            <v>0</v>
          </cell>
          <cell r="I268">
            <v>0</v>
          </cell>
          <cell r="O268">
            <v>0</v>
          </cell>
          <cell r="T268">
            <v>0</v>
          </cell>
          <cell r="U268">
            <v>0</v>
          </cell>
          <cell r="Z268">
            <v>0</v>
          </cell>
          <cell r="AA268">
            <v>0</v>
          </cell>
          <cell r="AF268">
            <v>0</v>
          </cell>
          <cell r="AG268">
            <v>0</v>
          </cell>
          <cell r="AL268">
            <v>0</v>
          </cell>
          <cell r="AM268">
            <v>0</v>
          </cell>
          <cell r="AR268">
            <v>0</v>
          </cell>
          <cell r="AS268">
            <v>0</v>
          </cell>
          <cell r="AX268">
            <v>0</v>
          </cell>
          <cell r="AY268">
            <v>0</v>
          </cell>
          <cell r="AZ268">
            <v>0</v>
          </cell>
          <cell r="BA268">
            <v>0</v>
          </cell>
          <cell r="BF268">
            <v>0</v>
          </cell>
          <cell r="BG268">
            <v>0</v>
          </cell>
          <cell r="BL268">
            <v>0</v>
          </cell>
          <cell r="BM268">
            <v>0</v>
          </cell>
          <cell r="BR268">
            <v>0</v>
          </cell>
          <cell r="BS268">
            <v>0</v>
          </cell>
          <cell r="BX268">
            <v>0</v>
          </cell>
          <cell r="BY268">
            <v>0</v>
          </cell>
          <cell r="CD268">
            <v>0</v>
          </cell>
          <cell r="CE268">
            <v>0</v>
          </cell>
          <cell r="CJ268">
            <v>0</v>
          </cell>
          <cell r="CK268">
            <v>0</v>
          </cell>
          <cell r="CP268">
            <v>0</v>
          </cell>
          <cell r="CQ268">
            <v>0</v>
          </cell>
          <cell r="CR268">
            <v>0</v>
          </cell>
          <cell r="CS268">
            <v>0</v>
          </cell>
          <cell r="CX268">
            <v>0</v>
          </cell>
          <cell r="CY268">
            <v>0</v>
          </cell>
          <cell r="CZ268">
            <v>0</v>
          </cell>
          <cell r="DA268">
            <v>0</v>
          </cell>
          <cell r="DF268">
            <v>0</v>
          </cell>
          <cell r="DG268">
            <v>0</v>
          </cell>
          <cell r="DH268">
            <v>0</v>
          </cell>
          <cell r="DI268">
            <v>0</v>
          </cell>
          <cell r="DN268">
            <v>0</v>
          </cell>
          <cell r="DO268">
            <v>0</v>
          </cell>
          <cell r="DP268">
            <v>0</v>
          </cell>
          <cell r="DQ268">
            <v>0</v>
          </cell>
          <cell r="DV268">
            <v>0</v>
          </cell>
          <cell r="DW268">
            <v>0</v>
          </cell>
          <cell r="DX268">
            <v>0</v>
          </cell>
          <cell r="DY268">
            <v>0</v>
          </cell>
        </row>
        <row r="269">
          <cell r="F269">
            <v>0</v>
          </cell>
          <cell r="G269">
            <v>0</v>
          </cell>
          <cell r="H269">
            <v>0</v>
          </cell>
          <cell r="I269">
            <v>0</v>
          </cell>
          <cell r="O269">
            <v>0</v>
          </cell>
          <cell r="T269">
            <v>0</v>
          </cell>
          <cell r="U269">
            <v>0</v>
          </cell>
          <cell r="Z269">
            <v>0</v>
          </cell>
          <cell r="AA269">
            <v>0</v>
          </cell>
          <cell r="AF269">
            <v>0</v>
          </cell>
          <cell r="AG269">
            <v>0</v>
          </cell>
          <cell r="AL269">
            <v>0</v>
          </cell>
          <cell r="AM269">
            <v>0</v>
          </cell>
          <cell r="AR269">
            <v>0</v>
          </cell>
          <cell r="AS269">
            <v>0</v>
          </cell>
          <cell r="AX269">
            <v>0</v>
          </cell>
          <cell r="AY269">
            <v>0</v>
          </cell>
          <cell r="AZ269">
            <v>0</v>
          </cell>
          <cell r="BA269">
            <v>0</v>
          </cell>
          <cell r="BF269">
            <v>0</v>
          </cell>
          <cell r="BG269">
            <v>0</v>
          </cell>
          <cell r="BL269">
            <v>0</v>
          </cell>
          <cell r="BM269">
            <v>0</v>
          </cell>
          <cell r="BR269">
            <v>0</v>
          </cell>
          <cell r="BS269">
            <v>0</v>
          </cell>
          <cell r="BX269">
            <v>0</v>
          </cell>
          <cell r="BY269">
            <v>0</v>
          </cell>
          <cell r="CD269">
            <v>0</v>
          </cell>
          <cell r="CE269">
            <v>0</v>
          </cell>
          <cell r="CJ269">
            <v>0</v>
          </cell>
          <cell r="CK269">
            <v>0</v>
          </cell>
          <cell r="CP269">
            <v>0</v>
          </cell>
          <cell r="CQ269">
            <v>0</v>
          </cell>
          <cell r="CR269">
            <v>0</v>
          </cell>
          <cell r="CS269">
            <v>0</v>
          </cell>
          <cell r="CX269">
            <v>0</v>
          </cell>
          <cell r="CY269">
            <v>0</v>
          </cell>
          <cell r="CZ269">
            <v>0</v>
          </cell>
          <cell r="DA269">
            <v>0</v>
          </cell>
          <cell r="DF269">
            <v>0</v>
          </cell>
          <cell r="DG269">
            <v>0</v>
          </cell>
          <cell r="DH269">
            <v>0</v>
          </cell>
          <cell r="DI269">
            <v>0</v>
          </cell>
          <cell r="DN269">
            <v>0</v>
          </cell>
          <cell r="DO269">
            <v>0</v>
          </cell>
          <cell r="DP269">
            <v>0</v>
          </cell>
          <cell r="DQ269">
            <v>0</v>
          </cell>
          <cell r="DV269">
            <v>0</v>
          </cell>
          <cell r="DW269">
            <v>0</v>
          </cell>
          <cell r="DX269">
            <v>0</v>
          </cell>
          <cell r="DY269">
            <v>0</v>
          </cell>
        </row>
        <row r="270">
          <cell r="F270">
            <v>0</v>
          </cell>
          <cell r="G270">
            <v>0</v>
          </cell>
          <cell r="H270">
            <v>0</v>
          </cell>
          <cell r="I270">
            <v>0</v>
          </cell>
          <cell r="N270">
            <v>0</v>
          </cell>
          <cell r="O270">
            <v>0</v>
          </cell>
          <cell r="P270">
            <v>0</v>
          </cell>
          <cell r="T270">
            <v>0</v>
          </cell>
          <cell r="U270">
            <v>0</v>
          </cell>
          <cell r="V270">
            <v>0</v>
          </cell>
          <cell r="Z270">
            <v>0</v>
          </cell>
          <cell r="AA270">
            <v>0</v>
          </cell>
          <cell r="AB270">
            <v>0</v>
          </cell>
          <cell r="AF270">
            <v>0</v>
          </cell>
          <cell r="AG270">
            <v>0</v>
          </cell>
          <cell r="AH270">
            <v>0</v>
          </cell>
          <cell r="AL270">
            <v>0</v>
          </cell>
          <cell r="AM270">
            <v>0</v>
          </cell>
          <cell r="AN270">
            <v>0</v>
          </cell>
          <cell r="AR270">
            <v>0</v>
          </cell>
          <cell r="AS270">
            <v>0</v>
          </cell>
          <cell r="AT270">
            <v>0</v>
          </cell>
          <cell r="AX270">
            <v>0</v>
          </cell>
          <cell r="AY270">
            <v>0</v>
          </cell>
          <cell r="AZ270">
            <v>0</v>
          </cell>
          <cell r="BA270">
            <v>0</v>
          </cell>
          <cell r="BF270">
            <v>0</v>
          </cell>
          <cell r="BG270">
            <v>0</v>
          </cell>
          <cell r="BH270">
            <v>0</v>
          </cell>
          <cell r="BL270">
            <v>0</v>
          </cell>
          <cell r="BM270">
            <v>0</v>
          </cell>
          <cell r="BN270">
            <v>0</v>
          </cell>
          <cell r="BR270">
            <v>0</v>
          </cell>
          <cell r="BS270">
            <v>0</v>
          </cell>
          <cell r="BT270">
            <v>0</v>
          </cell>
          <cell r="BX270">
            <v>0</v>
          </cell>
          <cell r="BY270">
            <v>0</v>
          </cell>
          <cell r="BZ270">
            <v>0</v>
          </cell>
          <cell r="CD270">
            <v>0</v>
          </cell>
          <cell r="CE270">
            <v>0</v>
          </cell>
          <cell r="CF270">
            <v>0</v>
          </cell>
          <cell r="CJ270">
            <v>0</v>
          </cell>
          <cell r="CK270">
            <v>0</v>
          </cell>
          <cell r="CL270">
            <v>0</v>
          </cell>
          <cell r="CP270">
            <v>0</v>
          </cell>
          <cell r="CQ270">
            <v>0</v>
          </cell>
          <cell r="CR270">
            <v>0</v>
          </cell>
          <cell r="CS270">
            <v>0</v>
          </cell>
          <cell r="CX270">
            <v>0</v>
          </cell>
          <cell r="CY270">
            <v>0</v>
          </cell>
          <cell r="CZ270">
            <v>0</v>
          </cell>
          <cell r="DA270">
            <v>0</v>
          </cell>
          <cell r="DF270">
            <v>0</v>
          </cell>
          <cell r="DG270">
            <v>0</v>
          </cell>
          <cell r="DH270">
            <v>0</v>
          </cell>
          <cell r="DI270">
            <v>0</v>
          </cell>
          <cell r="DN270">
            <v>0</v>
          </cell>
          <cell r="DO270">
            <v>0</v>
          </cell>
          <cell r="DP270">
            <v>0</v>
          </cell>
          <cell r="DQ270">
            <v>0</v>
          </cell>
          <cell r="DV270">
            <v>0</v>
          </cell>
          <cell r="DW270">
            <v>0</v>
          </cell>
          <cell r="DX270">
            <v>0</v>
          </cell>
          <cell r="DY270">
            <v>0</v>
          </cell>
        </row>
        <row r="271">
          <cell r="F271">
            <v>2110</v>
          </cell>
          <cell r="G271">
            <v>338.91399999999999</v>
          </cell>
          <cell r="H271">
            <v>0.13299999999999956</v>
          </cell>
          <cell r="I271">
            <v>3.9242993797836495E-2</v>
          </cell>
          <cell r="N271">
            <v>140</v>
          </cell>
          <cell r="O271">
            <v>22.815999999999999</v>
          </cell>
          <cell r="P271">
            <v>4.6159999999999997</v>
          </cell>
          <cell r="T271">
            <v>140</v>
          </cell>
          <cell r="U271">
            <v>22.815999999999999</v>
          </cell>
          <cell r="V271">
            <v>3.3279999999999998</v>
          </cell>
          <cell r="Z271">
            <v>140</v>
          </cell>
          <cell r="AA271">
            <v>22.815999999999999</v>
          </cell>
          <cell r="AB271">
            <v>-0.46200000000000002</v>
          </cell>
          <cell r="AF271">
            <v>140</v>
          </cell>
          <cell r="AG271">
            <v>22.815999999999999</v>
          </cell>
          <cell r="AH271">
            <v>-2.1280000000000001</v>
          </cell>
          <cell r="AL271">
            <v>100</v>
          </cell>
          <cell r="AM271">
            <v>16.297000000000001</v>
          </cell>
          <cell r="AN271">
            <v>-1.133</v>
          </cell>
          <cell r="AR271">
            <v>170</v>
          </cell>
          <cell r="AS271">
            <v>27.704999999999998</v>
          </cell>
          <cell r="AT271">
            <v>-1.3</v>
          </cell>
          <cell r="AX271">
            <v>830</v>
          </cell>
          <cell r="AY271">
            <v>135.26599999999999</v>
          </cell>
          <cell r="AZ271">
            <v>2.9209999999999998</v>
          </cell>
          <cell r="BA271">
            <v>2.1594487897919654</v>
          </cell>
          <cell r="BF271">
            <v>150</v>
          </cell>
          <cell r="BG271">
            <v>23.864999999999998</v>
          </cell>
          <cell r="BH271">
            <v>-1.0389999999999999</v>
          </cell>
          <cell r="BL271">
            <v>210</v>
          </cell>
          <cell r="BM271">
            <v>33.411000000000001</v>
          </cell>
          <cell r="BN271">
            <v>-1.359</v>
          </cell>
          <cell r="BR271">
            <v>210</v>
          </cell>
          <cell r="BS271">
            <v>33.411000000000001</v>
          </cell>
          <cell r="BT271">
            <v>-0.52</v>
          </cell>
          <cell r="BX271">
            <v>240</v>
          </cell>
          <cell r="BY271">
            <v>38.183999999999997</v>
          </cell>
          <cell r="BZ271">
            <v>-0.23300000000000001</v>
          </cell>
          <cell r="CD271">
            <v>240</v>
          </cell>
          <cell r="CE271">
            <v>38.183999999999997</v>
          </cell>
          <cell r="CF271">
            <v>1.9E-2</v>
          </cell>
          <cell r="CJ271">
            <v>230</v>
          </cell>
          <cell r="CK271">
            <v>36.593000000000004</v>
          </cell>
          <cell r="CL271">
            <v>0.34399999999999997</v>
          </cell>
          <cell r="CP271">
            <v>1280</v>
          </cell>
          <cell r="CQ271">
            <v>203.64800000000002</v>
          </cell>
          <cell r="CR271">
            <v>-2.7880000000000003</v>
          </cell>
          <cell r="CS271">
            <v>-1.3690289126335637</v>
          </cell>
          <cell r="CX271">
            <v>420</v>
          </cell>
          <cell r="CY271">
            <v>68.447999999999993</v>
          </cell>
          <cell r="CZ271">
            <v>7.4819999999999993</v>
          </cell>
          <cell r="DA271">
            <v>10.930925666199158</v>
          </cell>
          <cell r="DF271">
            <v>410</v>
          </cell>
          <cell r="DG271">
            <v>66.817999999999998</v>
          </cell>
          <cell r="DH271">
            <v>-4.5609999999999999</v>
          </cell>
          <cell r="DI271">
            <v>-6.8260049687210032</v>
          </cell>
          <cell r="DN271">
            <v>570</v>
          </cell>
          <cell r="DO271">
            <v>90.686999999999998</v>
          </cell>
          <cell r="DP271">
            <v>-2.9179999999999997</v>
          </cell>
          <cell r="DQ271">
            <v>-3.2176607452005248</v>
          </cell>
          <cell r="DV271">
            <v>710</v>
          </cell>
          <cell r="DW271">
            <v>112.961</v>
          </cell>
          <cell r="DX271">
            <v>0.12999999999999995</v>
          </cell>
          <cell r="DY271">
            <v>0.11508396703286972</v>
          </cell>
        </row>
        <row r="272">
          <cell r="F272">
            <v>1587</v>
          </cell>
          <cell r="G272">
            <v>281.851</v>
          </cell>
          <cell r="H272">
            <v>83.205999999999989</v>
          </cell>
          <cell r="I272">
            <v>29.52127187769424</v>
          </cell>
          <cell r="N272">
            <v>0</v>
          </cell>
          <cell r="O272">
            <v>0</v>
          </cell>
          <cell r="P272">
            <v>0</v>
          </cell>
          <cell r="T272">
            <v>0</v>
          </cell>
          <cell r="U272">
            <v>0</v>
          </cell>
          <cell r="V272">
            <v>0</v>
          </cell>
          <cell r="Z272">
            <v>0</v>
          </cell>
          <cell r="AA272">
            <v>0</v>
          </cell>
          <cell r="AB272">
            <v>0</v>
          </cell>
          <cell r="AF272">
            <v>0</v>
          </cell>
          <cell r="AG272">
            <v>0</v>
          </cell>
          <cell r="AH272">
            <v>0</v>
          </cell>
          <cell r="AL272">
            <v>0</v>
          </cell>
          <cell r="AM272">
            <v>0</v>
          </cell>
          <cell r="AN272">
            <v>0</v>
          </cell>
          <cell r="AR272">
            <v>0</v>
          </cell>
          <cell r="AS272">
            <v>0</v>
          </cell>
          <cell r="AT272">
            <v>0</v>
          </cell>
          <cell r="AX272">
            <v>0</v>
          </cell>
          <cell r="AY272">
            <v>0</v>
          </cell>
          <cell r="AZ272">
            <v>0</v>
          </cell>
          <cell r="BA272">
            <v>0</v>
          </cell>
          <cell r="BF272">
            <v>100</v>
          </cell>
          <cell r="BG272">
            <v>17.760000000000002</v>
          </cell>
          <cell r="BH272">
            <v>5.0030000000000001</v>
          </cell>
          <cell r="BL272">
            <v>280</v>
          </cell>
          <cell r="BM272">
            <v>49.728000000000002</v>
          </cell>
          <cell r="BN272">
            <v>13.428000000000001</v>
          </cell>
          <cell r="BR272">
            <v>230</v>
          </cell>
          <cell r="BS272">
            <v>40.847999999999999</v>
          </cell>
          <cell r="BT272">
            <v>11.926</v>
          </cell>
          <cell r="BX272">
            <v>320</v>
          </cell>
          <cell r="BY272">
            <v>56.832000000000001</v>
          </cell>
          <cell r="BZ272">
            <v>16.972000000000001</v>
          </cell>
          <cell r="CD272">
            <v>300</v>
          </cell>
          <cell r="CE272">
            <v>53.28</v>
          </cell>
          <cell r="CF272">
            <v>16.164999999999999</v>
          </cell>
          <cell r="CJ272">
            <v>357</v>
          </cell>
          <cell r="CK272">
            <v>63.402999999999999</v>
          </cell>
          <cell r="CL272">
            <v>19.712</v>
          </cell>
          <cell r="CP272">
            <v>1587</v>
          </cell>
          <cell r="CQ272">
            <v>281.851</v>
          </cell>
          <cell r="CR272">
            <v>83.205999999999989</v>
          </cell>
          <cell r="CS272">
            <v>29.52127187769424</v>
          </cell>
          <cell r="CX272">
            <v>0</v>
          </cell>
          <cell r="CY272">
            <v>0</v>
          </cell>
          <cell r="CZ272">
            <v>0</v>
          </cell>
          <cell r="DA272">
            <v>0</v>
          </cell>
          <cell r="DF272">
            <v>0</v>
          </cell>
          <cell r="DG272">
            <v>0</v>
          </cell>
          <cell r="DH272">
            <v>0</v>
          </cell>
          <cell r="DI272">
            <v>0</v>
          </cell>
          <cell r="DN272">
            <v>610</v>
          </cell>
          <cell r="DO272">
            <v>108.336</v>
          </cell>
          <cell r="DP272">
            <v>30.356999999999999</v>
          </cell>
          <cell r="DQ272">
            <v>28.021156402303944</v>
          </cell>
          <cell r="DV272">
            <v>977</v>
          </cell>
          <cell r="DW272">
            <v>173.51499999999999</v>
          </cell>
          <cell r="DX272">
            <v>52.849000000000004</v>
          </cell>
          <cell r="DY272">
            <v>30.457885485404724</v>
          </cell>
        </row>
        <row r="273">
          <cell r="F273">
            <v>3697</v>
          </cell>
          <cell r="G273">
            <v>620.76499999999999</v>
          </cell>
          <cell r="H273">
            <v>83.338999999999984</v>
          </cell>
          <cell r="I273">
            <v>13.425209217658853</v>
          </cell>
          <cell r="N273">
            <v>140</v>
          </cell>
          <cell r="O273">
            <v>22.815999999999999</v>
          </cell>
          <cell r="P273">
            <v>4.6159999999999997</v>
          </cell>
          <cell r="T273">
            <v>140</v>
          </cell>
          <cell r="U273">
            <v>22.815999999999999</v>
          </cell>
          <cell r="V273">
            <v>3.3279999999999998</v>
          </cell>
          <cell r="Z273">
            <v>140</v>
          </cell>
          <cell r="AA273">
            <v>22.815999999999999</v>
          </cell>
          <cell r="AB273">
            <v>-0.46200000000000002</v>
          </cell>
          <cell r="AF273">
            <v>140</v>
          </cell>
          <cell r="AG273">
            <v>22.815999999999999</v>
          </cell>
          <cell r="AH273">
            <v>-2.1280000000000001</v>
          </cell>
          <cell r="AL273">
            <v>100</v>
          </cell>
          <cell r="AM273">
            <v>16.297000000000001</v>
          </cell>
          <cell r="AN273">
            <v>-1.133</v>
          </cell>
          <cell r="AR273">
            <v>170</v>
          </cell>
          <cell r="AS273">
            <v>27.704999999999998</v>
          </cell>
          <cell r="AT273">
            <v>-1.3</v>
          </cell>
          <cell r="AX273">
            <v>830</v>
          </cell>
          <cell r="AY273">
            <v>135.26599999999999</v>
          </cell>
          <cell r="AZ273">
            <v>2.9209999999999998</v>
          </cell>
          <cell r="BA273">
            <v>2.1594487897919654</v>
          </cell>
          <cell r="BF273">
            <v>250</v>
          </cell>
          <cell r="BG273">
            <v>41.625</v>
          </cell>
          <cell r="BH273">
            <v>3.9640000000000004</v>
          </cell>
          <cell r="BL273">
            <v>490</v>
          </cell>
          <cell r="BM273">
            <v>83.13900000000001</v>
          </cell>
          <cell r="BN273">
            <v>12.069000000000001</v>
          </cell>
          <cell r="BR273">
            <v>440</v>
          </cell>
          <cell r="BS273">
            <v>74.259</v>
          </cell>
          <cell r="BT273">
            <v>11.406000000000001</v>
          </cell>
          <cell r="BX273">
            <v>560</v>
          </cell>
          <cell r="BY273">
            <v>95.015999999999991</v>
          </cell>
          <cell r="BZ273">
            <v>16.739000000000001</v>
          </cell>
          <cell r="CD273">
            <v>540</v>
          </cell>
          <cell r="CE273">
            <v>91.463999999999999</v>
          </cell>
          <cell r="CF273">
            <v>16.183999999999997</v>
          </cell>
          <cell r="CJ273">
            <v>587</v>
          </cell>
          <cell r="CK273">
            <v>99.996000000000009</v>
          </cell>
          <cell r="CL273">
            <v>20.056000000000001</v>
          </cell>
          <cell r="CP273">
            <v>2867</v>
          </cell>
          <cell r="CQ273">
            <v>485.49900000000002</v>
          </cell>
          <cell r="CR273">
            <v>80.417999999999992</v>
          </cell>
          <cell r="CS273">
            <v>16.563988803272505</v>
          </cell>
          <cell r="CX273">
            <v>420</v>
          </cell>
          <cell r="CY273">
            <v>68.447999999999993</v>
          </cell>
          <cell r="CZ273">
            <v>7.4819999999999993</v>
          </cell>
          <cell r="DA273">
            <v>10.930925666199158</v>
          </cell>
          <cell r="DF273">
            <v>410</v>
          </cell>
          <cell r="DG273">
            <v>66.817999999999998</v>
          </cell>
          <cell r="DH273">
            <v>-4.5609999999999999</v>
          </cell>
          <cell r="DI273">
            <v>-6.8260049687210032</v>
          </cell>
          <cell r="DN273">
            <v>1180</v>
          </cell>
          <cell r="DO273">
            <v>199.023</v>
          </cell>
          <cell r="DP273">
            <v>27.439</v>
          </cell>
          <cell r="DQ273">
            <v>13.786848756173912</v>
          </cell>
          <cell r="DV273">
            <v>1687</v>
          </cell>
          <cell r="DW273">
            <v>286.476</v>
          </cell>
          <cell r="DX273">
            <v>52.979000000000006</v>
          </cell>
          <cell r="DY273">
            <v>18.49334673759757</v>
          </cell>
        </row>
        <row r="274">
          <cell r="F274">
            <v>0</v>
          </cell>
          <cell r="G274">
            <v>0</v>
          </cell>
          <cell r="H274">
            <v>0</v>
          </cell>
          <cell r="I274">
            <v>0</v>
          </cell>
          <cell r="AX274">
            <v>0</v>
          </cell>
          <cell r="AY274">
            <v>0</v>
          </cell>
          <cell r="AZ274">
            <v>0</v>
          </cell>
          <cell r="BA274">
            <v>0</v>
          </cell>
          <cell r="CP274">
            <v>0</v>
          </cell>
          <cell r="CQ274">
            <v>0</v>
          </cell>
          <cell r="CR274">
            <v>0</v>
          </cell>
          <cell r="CS274">
            <v>0</v>
          </cell>
          <cell r="CX274">
            <v>0</v>
          </cell>
          <cell r="CY274">
            <v>0</v>
          </cell>
          <cell r="CZ274">
            <v>0</v>
          </cell>
          <cell r="DA274">
            <v>0</v>
          </cell>
          <cell r="DF274">
            <v>0</v>
          </cell>
          <cell r="DG274">
            <v>0</v>
          </cell>
          <cell r="DH274">
            <v>0</v>
          </cell>
          <cell r="DI274">
            <v>0</v>
          </cell>
          <cell r="DN274">
            <v>0</v>
          </cell>
          <cell r="DO274">
            <v>0</v>
          </cell>
          <cell r="DP274">
            <v>0</v>
          </cell>
          <cell r="DQ274">
            <v>0</v>
          </cell>
          <cell r="DV274">
            <v>0</v>
          </cell>
          <cell r="DW274">
            <v>0</v>
          </cell>
          <cell r="DX274">
            <v>0</v>
          </cell>
          <cell r="DY274">
            <v>0</v>
          </cell>
        </row>
        <row r="275">
          <cell r="F275">
            <v>0</v>
          </cell>
          <cell r="G275">
            <v>0</v>
          </cell>
          <cell r="H275">
            <v>0</v>
          </cell>
          <cell r="I275">
            <v>0</v>
          </cell>
          <cell r="AX275">
            <v>0</v>
          </cell>
          <cell r="AY275">
            <v>0</v>
          </cell>
          <cell r="AZ275">
            <v>0</v>
          </cell>
          <cell r="BA275">
            <v>0</v>
          </cell>
          <cell r="CP275">
            <v>0</v>
          </cell>
          <cell r="CQ275">
            <v>0</v>
          </cell>
          <cell r="CR275">
            <v>0</v>
          </cell>
          <cell r="CS275">
            <v>0</v>
          </cell>
          <cell r="CX275">
            <v>0</v>
          </cell>
          <cell r="CY275">
            <v>0</v>
          </cell>
          <cell r="CZ275">
            <v>0</v>
          </cell>
          <cell r="DA275">
            <v>0</v>
          </cell>
          <cell r="DF275">
            <v>0</v>
          </cell>
          <cell r="DG275">
            <v>0</v>
          </cell>
          <cell r="DH275">
            <v>0</v>
          </cell>
          <cell r="DI275">
            <v>0</v>
          </cell>
          <cell r="DN275">
            <v>0</v>
          </cell>
          <cell r="DO275">
            <v>0</v>
          </cell>
          <cell r="DP275">
            <v>0</v>
          </cell>
          <cell r="DQ275">
            <v>0</v>
          </cell>
          <cell r="DV275">
            <v>0</v>
          </cell>
          <cell r="DW275">
            <v>0</v>
          </cell>
          <cell r="DX275">
            <v>0</v>
          </cell>
          <cell r="DY275">
            <v>0</v>
          </cell>
        </row>
        <row r="276">
          <cell r="F276">
            <v>0</v>
          </cell>
          <cell r="G276">
            <v>0</v>
          </cell>
          <cell r="H276">
            <v>0</v>
          </cell>
          <cell r="I276">
            <v>0</v>
          </cell>
          <cell r="AX276">
            <v>0</v>
          </cell>
          <cell r="AY276">
            <v>0</v>
          </cell>
          <cell r="AZ276">
            <v>0</v>
          </cell>
          <cell r="BA276">
            <v>0</v>
          </cell>
          <cell r="CP276">
            <v>0</v>
          </cell>
          <cell r="CQ276">
            <v>0</v>
          </cell>
          <cell r="CR276">
            <v>0</v>
          </cell>
          <cell r="CS276">
            <v>0</v>
          </cell>
          <cell r="CX276">
            <v>0</v>
          </cell>
          <cell r="CY276">
            <v>0</v>
          </cell>
          <cell r="CZ276">
            <v>0</v>
          </cell>
          <cell r="DA276">
            <v>0</v>
          </cell>
          <cell r="DF276">
            <v>0</v>
          </cell>
          <cell r="DG276">
            <v>0</v>
          </cell>
          <cell r="DH276">
            <v>0</v>
          </cell>
          <cell r="DI276">
            <v>0</v>
          </cell>
          <cell r="DN276">
            <v>0</v>
          </cell>
          <cell r="DO276">
            <v>0</v>
          </cell>
          <cell r="DP276">
            <v>0</v>
          </cell>
          <cell r="DQ276">
            <v>0</v>
          </cell>
          <cell r="DV276">
            <v>0</v>
          </cell>
          <cell r="DW276">
            <v>0</v>
          </cell>
          <cell r="DX276">
            <v>0</v>
          </cell>
          <cell r="DY276">
            <v>0</v>
          </cell>
        </row>
        <row r="277">
          <cell r="F277">
            <v>0</v>
          </cell>
          <cell r="G277">
            <v>0</v>
          </cell>
          <cell r="H277">
            <v>0</v>
          </cell>
          <cell r="I277">
            <v>0</v>
          </cell>
          <cell r="AX277">
            <v>0</v>
          </cell>
          <cell r="AY277">
            <v>0</v>
          </cell>
          <cell r="AZ277">
            <v>0</v>
          </cell>
          <cell r="BA277">
            <v>0</v>
          </cell>
          <cell r="CP277">
            <v>0</v>
          </cell>
          <cell r="CQ277">
            <v>0</v>
          </cell>
          <cell r="CR277">
            <v>0</v>
          </cell>
          <cell r="CS277">
            <v>0</v>
          </cell>
          <cell r="CX277">
            <v>0</v>
          </cell>
          <cell r="CY277">
            <v>0</v>
          </cell>
          <cell r="CZ277">
            <v>0</v>
          </cell>
          <cell r="DA277">
            <v>0</v>
          </cell>
          <cell r="DF277">
            <v>0</v>
          </cell>
          <cell r="DG277">
            <v>0</v>
          </cell>
          <cell r="DH277">
            <v>0</v>
          </cell>
          <cell r="DI277">
            <v>0</v>
          </cell>
          <cell r="DN277">
            <v>0</v>
          </cell>
          <cell r="DO277">
            <v>0</v>
          </cell>
          <cell r="DP277">
            <v>0</v>
          </cell>
          <cell r="DQ277">
            <v>0</v>
          </cell>
          <cell r="DV277">
            <v>0</v>
          </cell>
          <cell r="DW277">
            <v>0</v>
          </cell>
          <cell r="DX277">
            <v>0</v>
          </cell>
          <cell r="DY277">
            <v>0</v>
          </cell>
        </row>
        <row r="278">
          <cell r="F278">
            <v>0</v>
          </cell>
          <cell r="G278">
            <v>0</v>
          </cell>
          <cell r="H278">
            <v>0</v>
          </cell>
          <cell r="I278">
            <v>0</v>
          </cell>
          <cell r="N278">
            <v>0</v>
          </cell>
          <cell r="O278">
            <v>0</v>
          </cell>
          <cell r="P278">
            <v>0</v>
          </cell>
          <cell r="T278">
            <v>0</v>
          </cell>
          <cell r="U278">
            <v>0</v>
          </cell>
          <cell r="V278">
            <v>0</v>
          </cell>
          <cell r="Z278">
            <v>0</v>
          </cell>
          <cell r="AA278">
            <v>0</v>
          </cell>
          <cell r="AB278">
            <v>0</v>
          </cell>
          <cell r="AF278">
            <v>0</v>
          </cell>
          <cell r="AG278">
            <v>0</v>
          </cell>
          <cell r="AH278">
            <v>0</v>
          </cell>
          <cell r="AL278">
            <v>0</v>
          </cell>
          <cell r="AM278">
            <v>0</v>
          </cell>
          <cell r="AN278">
            <v>0</v>
          </cell>
          <cell r="AR278">
            <v>0</v>
          </cell>
          <cell r="AS278">
            <v>0</v>
          </cell>
          <cell r="AT278">
            <v>0</v>
          </cell>
          <cell r="AX278">
            <v>0</v>
          </cell>
          <cell r="AY278">
            <v>0</v>
          </cell>
          <cell r="AZ278">
            <v>0</v>
          </cell>
          <cell r="BA278">
            <v>0</v>
          </cell>
          <cell r="BF278">
            <v>0</v>
          </cell>
          <cell r="BG278">
            <v>0</v>
          </cell>
          <cell r="BH278">
            <v>0</v>
          </cell>
          <cell r="BL278">
            <v>0</v>
          </cell>
          <cell r="BM278">
            <v>0</v>
          </cell>
          <cell r="BN278">
            <v>0</v>
          </cell>
          <cell r="BR278">
            <v>0</v>
          </cell>
          <cell r="BS278">
            <v>0</v>
          </cell>
          <cell r="BT278">
            <v>0</v>
          </cell>
          <cell r="BX278">
            <v>0</v>
          </cell>
          <cell r="BY278">
            <v>0</v>
          </cell>
          <cell r="BZ278">
            <v>0</v>
          </cell>
          <cell r="CD278">
            <v>0</v>
          </cell>
          <cell r="CE278">
            <v>0</v>
          </cell>
          <cell r="CF278">
            <v>0</v>
          </cell>
          <cell r="CJ278">
            <v>0</v>
          </cell>
          <cell r="CK278">
            <v>0</v>
          </cell>
          <cell r="CL278">
            <v>0</v>
          </cell>
          <cell r="CP278">
            <v>0</v>
          </cell>
          <cell r="CQ278">
            <v>0</v>
          </cell>
          <cell r="CR278">
            <v>0</v>
          </cell>
          <cell r="CS278">
            <v>0</v>
          </cell>
          <cell r="CX278">
            <v>0</v>
          </cell>
          <cell r="CY278">
            <v>0</v>
          </cell>
          <cell r="CZ278">
            <v>0</v>
          </cell>
          <cell r="DA278">
            <v>0</v>
          </cell>
          <cell r="DF278">
            <v>0</v>
          </cell>
          <cell r="DG278">
            <v>0</v>
          </cell>
          <cell r="DH278">
            <v>0</v>
          </cell>
          <cell r="DI278">
            <v>0</v>
          </cell>
          <cell r="DN278">
            <v>0</v>
          </cell>
          <cell r="DO278">
            <v>0</v>
          </cell>
          <cell r="DP278">
            <v>0</v>
          </cell>
          <cell r="DQ278">
            <v>0</v>
          </cell>
          <cell r="DV278">
            <v>0</v>
          </cell>
          <cell r="DW278">
            <v>0</v>
          </cell>
          <cell r="DX278">
            <v>0</v>
          </cell>
          <cell r="DY278">
            <v>0</v>
          </cell>
        </row>
        <row r="279">
          <cell r="F279">
            <v>930</v>
          </cell>
          <cell r="G279">
            <v>194.45999999999998</v>
          </cell>
          <cell r="H279">
            <v>-59.905000000000001</v>
          </cell>
          <cell r="I279">
            <v>-30.805821248585829</v>
          </cell>
          <cell r="N279">
            <v>50</v>
          </cell>
          <cell r="O279">
            <v>10.612</v>
          </cell>
          <cell r="P279">
            <v>-12.997</v>
          </cell>
          <cell r="T279">
            <v>50</v>
          </cell>
          <cell r="U279">
            <v>10.612</v>
          </cell>
          <cell r="V279">
            <v>-12.997</v>
          </cell>
          <cell r="Z279">
            <v>50</v>
          </cell>
          <cell r="AA279">
            <v>10.612</v>
          </cell>
          <cell r="AB279">
            <v>-9.234</v>
          </cell>
          <cell r="AF279">
            <v>50</v>
          </cell>
          <cell r="AG279">
            <v>10.612</v>
          </cell>
          <cell r="AH279">
            <v>-6.6449999999999996</v>
          </cell>
          <cell r="AL279">
            <v>70</v>
          </cell>
          <cell r="AM279">
            <v>14.856999999999999</v>
          </cell>
          <cell r="AN279">
            <v>-6.1050000000000004</v>
          </cell>
          <cell r="AR279">
            <v>80</v>
          </cell>
          <cell r="AS279">
            <v>16.978999999999999</v>
          </cell>
          <cell r="AT279">
            <v>-4.5339999999999998</v>
          </cell>
          <cell r="AX279">
            <v>350</v>
          </cell>
          <cell r="AY279">
            <v>74.284000000000006</v>
          </cell>
          <cell r="AZ279">
            <v>-52.512</v>
          </cell>
          <cell r="BA279">
            <v>-70.690862096817611</v>
          </cell>
          <cell r="BF279">
            <v>90</v>
          </cell>
          <cell r="BG279">
            <v>18.648</v>
          </cell>
          <cell r="BH279">
            <v>-2.83</v>
          </cell>
          <cell r="BL279">
            <v>90</v>
          </cell>
          <cell r="BM279">
            <v>18.648</v>
          </cell>
          <cell r="BN279">
            <v>-1.8320000000000001</v>
          </cell>
          <cell r="BR279">
            <v>100</v>
          </cell>
          <cell r="BS279">
            <v>20.72</v>
          </cell>
          <cell r="BT279">
            <v>-1.411</v>
          </cell>
          <cell r="BX279">
            <v>90</v>
          </cell>
          <cell r="BY279">
            <v>18.648</v>
          </cell>
          <cell r="BZ279">
            <v>-0.45800000000000002</v>
          </cell>
          <cell r="CD279">
            <v>100</v>
          </cell>
          <cell r="CE279">
            <v>20.72</v>
          </cell>
          <cell r="CF279">
            <v>-0.63</v>
          </cell>
          <cell r="CJ279">
            <v>110</v>
          </cell>
          <cell r="CK279">
            <v>22.792000000000002</v>
          </cell>
          <cell r="CL279">
            <v>-0.23200000000000001</v>
          </cell>
          <cell r="CP279">
            <v>580</v>
          </cell>
          <cell r="CQ279">
            <v>120.17599999999999</v>
          </cell>
          <cell r="CR279">
            <v>-7.3929999999999998</v>
          </cell>
          <cell r="CS279">
            <v>-6.1518106776727466</v>
          </cell>
          <cell r="CX279">
            <v>150</v>
          </cell>
          <cell r="CY279">
            <v>31.835999999999999</v>
          </cell>
          <cell r="CZ279">
            <v>-35.228000000000002</v>
          </cell>
          <cell r="DA279">
            <v>-110.65460484985552</v>
          </cell>
          <cell r="DF279">
            <v>200</v>
          </cell>
          <cell r="DG279">
            <v>42.448</v>
          </cell>
          <cell r="DH279">
            <v>-17.283999999999999</v>
          </cell>
          <cell r="DI279">
            <v>-40.718055032039196</v>
          </cell>
          <cell r="DN279">
            <v>280</v>
          </cell>
          <cell r="DO279">
            <v>58.015999999999998</v>
          </cell>
          <cell r="DP279">
            <v>-6.0730000000000004</v>
          </cell>
          <cell r="DQ279">
            <v>-10.467801985659129</v>
          </cell>
          <cell r="DV279">
            <v>300</v>
          </cell>
          <cell r="DW279">
            <v>62.16</v>
          </cell>
          <cell r="DX279">
            <v>-1.32</v>
          </cell>
          <cell r="DY279">
            <v>-2.1235521235521237</v>
          </cell>
        </row>
        <row r="280">
          <cell r="F280">
            <v>0</v>
          </cell>
          <cell r="G280">
            <v>0</v>
          </cell>
          <cell r="H280">
            <v>0</v>
          </cell>
          <cell r="I280">
            <v>0</v>
          </cell>
          <cell r="O280">
            <v>0</v>
          </cell>
          <cell r="T280">
            <v>0</v>
          </cell>
          <cell r="U280">
            <v>0</v>
          </cell>
          <cell r="Z280">
            <v>0</v>
          </cell>
          <cell r="AA280">
            <v>0</v>
          </cell>
          <cell r="AF280">
            <v>0</v>
          </cell>
          <cell r="AG280">
            <v>0</v>
          </cell>
          <cell r="AL280">
            <v>0</v>
          </cell>
          <cell r="AM280">
            <v>0</v>
          </cell>
          <cell r="AR280">
            <v>0</v>
          </cell>
          <cell r="AS280">
            <v>0</v>
          </cell>
          <cell r="AX280">
            <v>0</v>
          </cell>
          <cell r="AY280">
            <v>0</v>
          </cell>
          <cell r="AZ280">
            <v>0</v>
          </cell>
          <cell r="BA280">
            <v>0</v>
          </cell>
          <cell r="BF280">
            <v>0</v>
          </cell>
          <cell r="BG280">
            <v>0</v>
          </cell>
          <cell r="BL280">
            <v>0</v>
          </cell>
          <cell r="BM280">
            <v>0</v>
          </cell>
          <cell r="BR280">
            <v>0</v>
          </cell>
          <cell r="BS280">
            <v>0</v>
          </cell>
          <cell r="BX280">
            <v>0</v>
          </cell>
          <cell r="BY280">
            <v>0</v>
          </cell>
          <cell r="CD280">
            <v>0</v>
          </cell>
          <cell r="CE280">
            <v>0</v>
          </cell>
          <cell r="CJ280">
            <v>0</v>
          </cell>
          <cell r="CK280">
            <v>0</v>
          </cell>
          <cell r="CP280">
            <v>0</v>
          </cell>
          <cell r="CQ280">
            <v>0</v>
          </cell>
          <cell r="CR280">
            <v>0</v>
          </cell>
          <cell r="CS280">
            <v>0</v>
          </cell>
          <cell r="CX280">
            <v>0</v>
          </cell>
          <cell r="CY280">
            <v>0</v>
          </cell>
          <cell r="CZ280">
            <v>0</v>
          </cell>
          <cell r="DA280">
            <v>0</v>
          </cell>
          <cell r="DF280">
            <v>0</v>
          </cell>
          <cell r="DG280">
            <v>0</v>
          </cell>
          <cell r="DH280">
            <v>0</v>
          </cell>
          <cell r="DI280">
            <v>0</v>
          </cell>
          <cell r="DN280">
            <v>0</v>
          </cell>
          <cell r="DO280">
            <v>0</v>
          </cell>
          <cell r="DP280">
            <v>0</v>
          </cell>
          <cell r="DQ280">
            <v>0</v>
          </cell>
          <cell r="DV280">
            <v>0</v>
          </cell>
          <cell r="DW280">
            <v>0</v>
          </cell>
          <cell r="DX280">
            <v>0</v>
          </cell>
          <cell r="DY280">
            <v>0</v>
          </cell>
        </row>
        <row r="281">
          <cell r="F281">
            <v>0</v>
          </cell>
          <cell r="G281">
            <v>0</v>
          </cell>
          <cell r="H281">
            <v>0</v>
          </cell>
          <cell r="I281">
            <v>0</v>
          </cell>
          <cell r="O281">
            <v>0</v>
          </cell>
          <cell r="T281">
            <v>0</v>
          </cell>
          <cell r="U281">
            <v>0</v>
          </cell>
          <cell r="Z281">
            <v>0</v>
          </cell>
          <cell r="AA281">
            <v>0</v>
          </cell>
          <cell r="AF281">
            <v>0</v>
          </cell>
          <cell r="AG281">
            <v>0</v>
          </cell>
          <cell r="AL281">
            <v>0</v>
          </cell>
          <cell r="AM281">
            <v>0</v>
          </cell>
          <cell r="AR281">
            <v>0</v>
          </cell>
          <cell r="AS281">
            <v>0</v>
          </cell>
          <cell r="AX281">
            <v>0</v>
          </cell>
          <cell r="AY281">
            <v>0</v>
          </cell>
          <cell r="AZ281">
            <v>0</v>
          </cell>
          <cell r="BA281">
            <v>0</v>
          </cell>
          <cell r="BF281">
            <v>0</v>
          </cell>
          <cell r="BG281">
            <v>0</v>
          </cell>
          <cell r="BL281">
            <v>0</v>
          </cell>
          <cell r="BM281">
            <v>0</v>
          </cell>
          <cell r="BR281">
            <v>0</v>
          </cell>
          <cell r="BS281">
            <v>0</v>
          </cell>
          <cell r="BX281">
            <v>0</v>
          </cell>
          <cell r="BY281">
            <v>0</v>
          </cell>
          <cell r="CD281">
            <v>0</v>
          </cell>
          <cell r="CE281">
            <v>0</v>
          </cell>
          <cell r="CJ281">
            <v>0</v>
          </cell>
          <cell r="CK281">
            <v>0</v>
          </cell>
          <cell r="CP281">
            <v>0</v>
          </cell>
          <cell r="CQ281">
            <v>0</v>
          </cell>
          <cell r="CR281">
            <v>0</v>
          </cell>
          <cell r="CS281">
            <v>0</v>
          </cell>
          <cell r="CX281">
            <v>0</v>
          </cell>
          <cell r="CY281">
            <v>0</v>
          </cell>
          <cell r="CZ281">
            <v>0</v>
          </cell>
          <cell r="DA281">
            <v>0</v>
          </cell>
          <cell r="DF281">
            <v>0</v>
          </cell>
          <cell r="DG281">
            <v>0</v>
          </cell>
          <cell r="DH281">
            <v>0</v>
          </cell>
          <cell r="DI281">
            <v>0</v>
          </cell>
          <cell r="DN281">
            <v>0</v>
          </cell>
          <cell r="DO281">
            <v>0</v>
          </cell>
          <cell r="DP281">
            <v>0</v>
          </cell>
          <cell r="DQ281">
            <v>0</v>
          </cell>
          <cell r="DV281">
            <v>0</v>
          </cell>
          <cell r="DW281">
            <v>0</v>
          </cell>
          <cell r="DX281">
            <v>0</v>
          </cell>
          <cell r="DY281">
            <v>0</v>
          </cell>
        </row>
        <row r="282">
          <cell r="F282">
            <v>560</v>
          </cell>
          <cell r="G282">
            <v>117.11599999999999</v>
          </cell>
          <cell r="H282">
            <v>-19.576000000000001</v>
          </cell>
          <cell r="I282">
            <v>-16.715051743570481</v>
          </cell>
          <cell r="N282">
            <v>30</v>
          </cell>
          <cell r="O282">
            <v>6.367</v>
          </cell>
          <cell r="P282">
            <v>-1.306</v>
          </cell>
          <cell r="T282">
            <v>30</v>
          </cell>
          <cell r="U282">
            <v>6.367</v>
          </cell>
          <cell r="V282">
            <v>-1.306</v>
          </cell>
          <cell r="Z282">
            <v>35</v>
          </cell>
          <cell r="AA282">
            <v>7.4279999999999999</v>
          </cell>
          <cell r="AB282">
            <v>-1.524</v>
          </cell>
          <cell r="AF282">
            <v>40</v>
          </cell>
          <cell r="AG282">
            <v>8.49</v>
          </cell>
          <cell r="AH282">
            <v>-1.74</v>
          </cell>
          <cell r="AL282">
            <v>40</v>
          </cell>
          <cell r="AM282">
            <v>8.49</v>
          </cell>
          <cell r="AN282">
            <v>-1.7410000000000001</v>
          </cell>
          <cell r="AR282">
            <v>40</v>
          </cell>
          <cell r="AS282">
            <v>8.49</v>
          </cell>
          <cell r="AT282">
            <v>-1.7410000000000001</v>
          </cell>
          <cell r="AX282">
            <v>215</v>
          </cell>
          <cell r="AY282">
            <v>45.631999999999991</v>
          </cell>
          <cell r="AZ282">
            <v>-9.3580000000000005</v>
          </cell>
          <cell r="BA282">
            <v>-20.50753856942497</v>
          </cell>
          <cell r="BF282">
            <v>50</v>
          </cell>
          <cell r="BG282">
            <v>10.36</v>
          </cell>
          <cell r="BH282">
            <v>-2.4279999999999999</v>
          </cell>
          <cell r="BL282">
            <v>50</v>
          </cell>
          <cell r="BM282">
            <v>10.36</v>
          </cell>
          <cell r="BN282">
            <v>-2.4289999999999998</v>
          </cell>
          <cell r="BR282">
            <v>100</v>
          </cell>
          <cell r="BS282">
            <v>20.72</v>
          </cell>
          <cell r="BT282">
            <v>-4.8579999999999997</v>
          </cell>
          <cell r="BX282">
            <v>45</v>
          </cell>
          <cell r="BY282">
            <v>9.3239999999999998</v>
          </cell>
          <cell r="BZ282">
            <v>-0.60399999999999998</v>
          </cell>
          <cell r="CD282">
            <v>50</v>
          </cell>
          <cell r="CE282">
            <v>10.36</v>
          </cell>
          <cell r="CF282">
            <v>-9.0999999999999998E-2</v>
          </cell>
          <cell r="CJ282">
            <v>50</v>
          </cell>
          <cell r="CK282">
            <v>10.36</v>
          </cell>
          <cell r="CL282">
            <v>0.192</v>
          </cell>
          <cell r="CP282">
            <v>345</v>
          </cell>
          <cell r="CQ282">
            <v>71.483999999999995</v>
          </cell>
          <cell r="CR282">
            <v>-10.218</v>
          </cell>
          <cell r="CS282">
            <v>-14.294107772368642</v>
          </cell>
          <cell r="CX282">
            <v>95</v>
          </cell>
          <cell r="CY282">
            <v>20.161999999999999</v>
          </cell>
          <cell r="CZ282">
            <v>-4.1360000000000001</v>
          </cell>
          <cell r="DA282">
            <v>-20.513837912905466</v>
          </cell>
          <cell r="DF282">
            <v>120</v>
          </cell>
          <cell r="DG282">
            <v>25.47</v>
          </cell>
          <cell r="DH282">
            <v>-5.2219999999999995</v>
          </cell>
          <cell r="DI282">
            <v>-20.502552021986649</v>
          </cell>
          <cell r="DN282">
            <v>200</v>
          </cell>
          <cell r="DO282">
            <v>41.44</v>
          </cell>
          <cell r="DP282">
            <v>-9.7149999999999999</v>
          </cell>
          <cell r="DQ282">
            <v>-23.44353281853282</v>
          </cell>
          <cell r="DV282">
            <v>145</v>
          </cell>
          <cell r="DW282">
            <v>30.043999999999997</v>
          </cell>
          <cell r="DX282">
            <v>-0.50299999999999989</v>
          </cell>
          <cell r="DY282">
            <v>-1.6742111569697775</v>
          </cell>
        </row>
        <row r="283">
          <cell r="F283">
            <v>1490</v>
          </cell>
          <cell r="G283">
            <v>356.69200000000001</v>
          </cell>
          <cell r="H283">
            <v>-61.483000000000004</v>
          </cell>
          <cell r="I283">
            <v>-17.236999988785843</v>
          </cell>
          <cell r="N283">
            <v>100</v>
          </cell>
          <cell r="O283">
            <v>24.256</v>
          </cell>
          <cell r="P283">
            <v>-15.930999999999999</v>
          </cell>
          <cell r="T283">
            <v>100</v>
          </cell>
          <cell r="U283">
            <v>24.256</v>
          </cell>
          <cell r="V283">
            <v>-15.932</v>
          </cell>
          <cell r="Z283">
            <v>100</v>
          </cell>
          <cell r="AA283">
            <v>24.256</v>
          </cell>
          <cell r="AB283">
            <v>-15.932</v>
          </cell>
          <cell r="AF283">
            <v>110</v>
          </cell>
          <cell r="AG283">
            <v>26.681999999999999</v>
          </cell>
          <cell r="AH283">
            <v>-13.529</v>
          </cell>
          <cell r="AL283">
            <v>110</v>
          </cell>
          <cell r="AM283">
            <v>26.681999999999999</v>
          </cell>
          <cell r="AN283">
            <v>-5.3070000000000004</v>
          </cell>
          <cell r="AR283">
            <v>150</v>
          </cell>
          <cell r="AS283">
            <v>36.384</v>
          </cell>
          <cell r="AT283">
            <v>-4.2560000000000002</v>
          </cell>
          <cell r="AX283">
            <v>670</v>
          </cell>
          <cell r="AY283">
            <v>162.51599999999999</v>
          </cell>
          <cell r="AZ283">
            <v>-70.887</v>
          </cell>
          <cell r="BA283">
            <v>-43.618474488665733</v>
          </cell>
          <cell r="BF283">
            <v>90</v>
          </cell>
          <cell r="BG283">
            <v>21.312000000000001</v>
          </cell>
          <cell r="BH283">
            <v>-1.0840000000000001</v>
          </cell>
          <cell r="BL283">
            <v>120</v>
          </cell>
          <cell r="BM283">
            <v>28.416</v>
          </cell>
          <cell r="BN283">
            <v>-0.106</v>
          </cell>
          <cell r="BR283">
            <v>140</v>
          </cell>
          <cell r="BS283">
            <v>33.152000000000001</v>
          </cell>
          <cell r="BT283">
            <v>1.5069999999999999</v>
          </cell>
          <cell r="BX283">
            <v>140</v>
          </cell>
          <cell r="BY283">
            <v>33.152000000000001</v>
          </cell>
          <cell r="BZ283">
            <v>2.25</v>
          </cell>
          <cell r="CD283">
            <v>160</v>
          </cell>
          <cell r="CE283">
            <v>37.887999999999998</v>
          </cell>
          <cell r="CF283">
            <v>3.2949999999999999</v>
          </cell>
          <cell r="CJ283">
            <v>170</v>
          </cell>
          <cell r="CK283">
            <v>40.256</v>
          </cell>
          <cell r="CL283">
            <v>3.5419999999999998</v>
          </cell>
          <cell r="CP283">
            <v>820</v>
          </cell>
          <cell r="CQ283">
            <v>194.17600000000002</v>
          </cell>
          <cell r="CR283">
            <v>9.4039999999999999</v>
          </cell>
          <cell r="CS283">
            <v>4.8430290046143698</v>
          </cell>
          <cell r="CX283">
            <v>300</v>
          </cell>
          <cell r="CY283">
            <v>72.768000000000001</v>
          </cell>
          <cell r="CZ283">
            <v>-47.795000000000002</v>
          </cell>
          <cell r="DA283">
            <v>-65.681343447669306</v>
          </cell>
          <cell r="DF283">
            <v>370</v>
          </cell>
          <cell r="DG283">
            <v>89.74799999999999</v>
          </cell>
          <cell r="DH283">
            <v>-23.091999999999999</v>
          </cell>
          <cell r="DI283">
            <v>-25.729821277354368</v>
          </cell>
          <cell r="DN283">
            <v>350</v>
          </cell>
          <cell r="DO283">
            <v>82.88</v>
          </cell>
          <cell r="DP283">
            <v>0.31699999999999973</v>
          </cell>
          <cell r="DQ283">
            <v>0.38248069498069465</v>
          </cell>
          <cell r="DV283">
            <v>470</v>
          </cell>
          <cell r="DW283">
            <v>111.29599999999999</v>
          </cell>
          <cell r="DX283">
            <v>9.0869999999999997</v>
          </cell>
          <cell r="DY283">
            <v>8.1647139160437039</v>
          </cell>
        </row>
        <row r="284">
          <cell r="F284">
            <v>1917</v>
          </cell>
          <cell r="G284">
            <v>429.39200000000005</v>
          </cell>
          <cell r="H284">
            <v>47.926000000000002</v>
          </cell>
          <cell r="I284">
            <v>11.161363043559264</v>
          </cell>
          <cell r="N284">
            <v>90</v>
          </cell>
          <cell r="O284">
            <v>20.466000000000001</v>
          </cell>
          <cell r="P284">
            <v>8.8970000000000002</v>
          </cell>
          <cell r="T284">
            <v>125</v>
          </cell>
          <cell r="U284">
            <v>28.425000000000001</v>
          </cell>
          <cell r="V284">
            <v>12.579000000000001</v>
          </cell>
          <cell r="Z284">
            <v>130</v>
          </cell>
          <cell r="AA284">
            <v>29.562000000000001</v>
          </cell>
          <cell r="AB284">
            <v>13.962999999999999</v>
          </cell>
          <cell r="AF284">
            <v>120</v>
          </cell>
          <cell r="AG284">
            <v>27.288</v>
          </cell>
          <cell r="AH284">
            <v>5.8520000000000003</v>
          </cell>
          <cell r="AL284">
            <v>112</v>
          </cell>
          <cell r="AM284">
            <v>25.469000000000001</v>
          </cell>
          <cell r="AN284">
            <v>1.8</v>
          </cell>
          <cell r="AR284">
            <v>130</v>
          </cell>
          <cell r="AS284">
            <v>29.562000000000001</v>
          </cell>
          <cell r="AT284">
            <v>1.7270000000000001</v>
          </cell>
          <cell r="AX284">
            <v>707</v>
          </cell>
          <cell r="AY284">
            <v>160.77200000000002</v>
          </cell>
          <cell r="AZ284">
            <v>44.817999999999998</v>
          </cell>
          <cell r="BA284">
            <v>27.876744706789736</v>
          </cell>
          <cell r="BF284">
            <v>190</v>
          </cell>
          <cell r="BG284">
            <v>42.18</v>
          </cell>
          <cell r="BH284">
            <v>0.27700000000000002</v>
          </cell>
          <cell r="BL284">
            <v>190</v>
          </cell>
          <cell r="BM284">
            <v>42.18</v>
          </cell>
          <cell r="BN284">
            <v>-0.377</v>
          </cell>
          <cell r="BR284">
            <v>190</v>
          </cell>
          <cell r="BS284">
            <v>42.18</v>
          </cell>
          <cell r="BT284">
            <v>0.13500000000000001</v>
          </cell>
          <cell r="BX284">
            <v>190</v>
          </cell>
          <cell r="BY284">
            <v>42.18</v>
          </cell>
          <cell r="BZ284">
            <v>0.45100000000000001</v>
          </cell>
          <cell r="CD284">
            <v>190</v>
          </cell>
          <cell r="CE284">
            <v>42.18</v>
          </cell>
          <cell r="CF284">
            <v>0.70399999999999996</v>
          </cell>
          <cell r="CJ284">
            <v>260</v>
          </cell>
          <cell r="CK284">
            <v>57.72</v>
          </cell>
          <cell r="CL284">
            <v>1.9179999999999999</v>
          </cell>
          <cell r="CP284">
            <v>1210</v>
          </cell>
          <cell r="CQ284">
            <v>268.62</v>
          </cell>
          <cell r="CR284">
            <v>3.1080000000000005</v>
          </cell>
          <cell r="CS284">
            <v>1.1570247933884299</v>
          </cell>
          <cell r="CX284">
            <v>345</v>
          </cell>
          <cell r="CY284">
            <v>78.453000000000003</v>
          </cell>
          <cell r="CZ284">
            <v>35.439</v>
          </cell>
          <cell r="DA284">
            <v>45.172268746893039</v>
          </cell>
          <cell r="DF284">
            <v>362</v>
          </cell>
          <cell r="DG284">
            <v>82.319000000000003</v>
          </cell>
          <cell r="DH284">
            <v>9.3789999999999996</v>
          </cell>
          <cell r="DI284">
            <v>11.393481456285912</v>
          </cell>
          <cell r="DN284">
            <v>570</v>
          </cell>
          <cell r="DO284">
            <v>126.53999999999999</v>
          </cell>
          <cell r="DP284">
            <v>3.5000000000000031E-2</v>
          </cell>
          <cell r="DQ284">
            <v>2.7659238185554002E-2</v>
          </cell>
          <cell r="DV284">
            <v>640</v>
          </cell>
          <cell r="DW284">
            <v>142.07999999999998</v>
          </cell>
          <cell r="DX284">
            <v>3.073</v>
          </cell>
          <cell r="DY284">
            <v>2.1628659909909911</v>
          </cell>
        </row>
        <row r="285">
          <cell r="F285">
            <v>950</v>
          </cell>
          <cell r="G285">
            <v>219.88400000000001</v>
          </cell>
          <cell r="H285">
            <v>-21.915999999999997</v>
          </cell>
          <cell r="I285">
            <v>-9.9670735478706938</v>
          </cell>
          <cell r="N285">
            <v>50</v>
          </cell>
          <cell r="O285">
            <v>11.749000000000001</v>
          </cell>
          <cell r="P285">
            <v>-8.4939999999999998</v>
          </cell>
          <cell r="T285">
            <v>50</v>
          </cell>
          <cell r="U285">
            <v>11.749000000000001</v>
          </cell>
          <cell r="V285">
            <v>-6.2140000000000004</v>
          </cell>
          <cell r="Z285">
            <v>50</v>
          </cell>
          <cell r="AA285">
            <v>11.749000000000001</v>
          </cell>
          <cell r="AB285">
            <v>-3.532</v>
          </cell>
          <cell r="AF285">
            <v>60</v>
          </cell>
          <cell r="AG285">
            <v>14.099</v>
          </cell>
          <cell r="AH285">
            <v>-3.0249999999999999</v>
          </cell>
          <cell r="AL285">
            <v>70</v>
          </cell>
          <cell r="AM285">
            <v>16.449000000000002</v>
          </cell>
          <cell r="AN285">
            <v>-2.2429999999999999</v>
          </cell>
          <cell r="AR285">
            <v>70</v>
          </cell>
          <cell r="AS285">
            <v>16.449000000000002</v>
          </cell>
          <cell r="AT285">
            <v>-1.0629999999999999</v>
          </cell>
          <cell r="AX285">
            <v>350</v>
          </cell>
          <cell r="AY285">
            <v>82.244</v>
          </cell>
          <cell r="AZ285">
            <v>-24.570999999999998</v>
          </cell>
          <cell r="BA285">
            <v>-29.875735615971983</v>
          </cell>
          <cell r="BF285">
            <v>100</v>
          </cell>
          <cell r="BG285">
            <v>22.94</v>
          </cell>
          <cell r="BH285">
            <v>-0.39900000000000002</v>
          </cell>
          <cell r="BL285">
            <v>100</v>
          </cell>
          <cell r="BM285">
            <v>22.94</v>
          </cell>
          <cell r="BN285">
            <v>-0.152</v>
          </cell>
          <cell r="BR285">
            <v>100</v>
          </cell>
          <cell r="BS285">
            <v>22.94</v>
          </cell>
          <cell r="BT285">
            <v>0.41799999999999998</v>
          </cell>
          <cell r="BX285">
            <v>100</v>
          </cell>
          <cell r="BY285">
            <v>22.94</v>
          </cell>
          <cell r="BZ285">
            <v>0.73199999999999998</v>
          </cell>
          <cell r="CD285">
            <v>100</v>
          </cell>
          <cell r="CE285">
            <v>22.94</v>
          </cell>
          <cell r="CF285">
            <v>0.92300000000000004</v>
          </cell>
          <cell r="CJ285">
            <v>100</v>
          </cell>
          <cell r="CK285">
            <v>22.94</v>
          </cell>
          <cell r="CL285">
            <v>1.133</v>
          </cell>
          <cell r="CP285">
            <v>600</v>
          </cell>
          <cell r="CQ285">
            <v>137.64000000000001</v>
          </cell>
          <cell r="CR285">
            <v>2.6550000000000002</v>
          </cell>
          <cell r="CS285">
            <v>1.9289450741063645</v>
          </cell>
          <cell r="CX285">
            <v>150</v>
          </cell>
          <cell r="CY285">
            <v>35.247</v>
          </cell>
          <cell r="CZ285">
            <v>-18.240000000000002</v>
          </cell>
          <cell r="DA285">
            <v>-51.749085028513079</v>
          </cell>
          <cell r="DF285">
            <v>200</v>
          </cell>
          <cell r="DG285">
            <v>46.997</v>
          </cell>
          <cell r="DH285">
            <v>-6.3309999999999995</v>
          </cell>
          <cell r="DI285">
            <v>-13.471072621656702</v>
          </cell>
          <cell r="DN285">
            <v>300</v>
          </cell>
          <cell r="DO285">
            <v>68.820000000000007</v>
          </cell>
          <cell r="DP285">
            <v>-0.13300000000000006</v>
          </cell>
          <cell r="DQ285">
            <v>-0.19325777390293528</v>
          </cell>
          <cell r="DV285">
            <v>300</v>
          </cell>
          <cell r="DW285">
            <v>68.820000000000007</v>
          </cell>
          <cell r="DX285">
            <v>2.7880000000000003</v>
          </cell>
          <cell r="DY285">
            <v>4.0511479221156641</v>
          </cell>
        </row>
        <row r="286">
          <cell r="F286">
            <v>1613.9680000000003</v>
          </cell>
          <cell r="G286">
            <v>361.73299999999995</v>
          </cell>
          <cell r="H286">
            <v>25.593000000000004</v>
          </cell>
          <cell r="I286">
            <v>7.075107883438891</v>
          </cell>
          <cell r="N286">
            <v>100</v>
          </cell>
          <cell r="O286">
            <v>22.74</v>
          </cell>
          <cell r="P286">
            <v>3.7010000000000001</v>
          </cell>
          <cell r="T286">
            <v>100</v>
          </cell>
          <cell r="U286">
            <v>22.74</v>
          </cell>
          <cell r="V286">
            <v>3.7010000000000001</v>
          </cell>
          <cell r="Z286">
            <v>100</v>
          </cell>
          <cell r="AA286">
            <v>22.74</v>
          </cell>
          <cell r="AB286">
            <v>3.7010000000000001</v>
          </cell>
          <cell r="AF286">
            <v>95.8</v>
          </cell>
          <cell r="AG286">
            <v>21.785</v>
          </cell>
          <cell r="AH286">
            <v>3.5070000000000001</v>
          </cell>
          <cell r="AL286">
            <v>109.833</v>
          </cell>
          <cell r="AM286">
            <v>24.975999999999999</v>
          </cell>
          <cell r="AN286">
            <v>2.0009999999999999</v>
          </cell>
          <cell r="AR286">
            <v>130</v>
          </cell>
          <cell r="AS286">
            <v>29.562000000000001</v>
          </cell>
          <cell r="AT286">
            <v>1.379</v>
          </cell>
          <cell r="AX286">
            <v>635.63300000000004</v>
          </cell>
          <cell r="AY286">
            <v>144.54299999999998</v>
          </cell>
          <cell r="AZ286">
            <v>17.990000000000002</v>
          </cell>
          <cell r="BA286">
            <v>12.446123298949106</v>
          </cell>
          <cell r="BF286">
            <v>159.667</v>
          </cell>
          <cell r="BG286">
            <v>35.445999999999998</v>
          </cell>
          <cell r="BH286">
            <v>0.84799999999999998</v>
          </cell>
          <cell r="BL286">
            <v>159.667</v>
          </cell>
          <cell r="BM286">
            <v>35.445999999999998</v>
          </cell>
          <cell r="BN286">
            <v>0.41499999999999998</v>
          </cell>
          <cell r="BR286">
            <v>159.667</v>
          </cell>
          <cell r="BS286">
            <v>35.445999999999998</v>
          </cell>
          <cell r="BT286">
            <v>1.1259999999999999</v>
          </cell>
          <cell r="BX286">
            <v>159.667</v>
          </cell>
          <cell r="BY286">
            <v>35.445999999999998</v>
          </cell>
          <cell r="BZ286">
            <v>1.429</v>
          </cell>
          <cell r="CD286">
            <v>159.667</v>
          </cell>
          <cell r="CE286">
            <v>35.445999999999998</v>
          </cell>
          <cell r="CF286">
            <v>1.6020000000000001</v>
          </cell>
          <cell r="CJ286">
            <v>180</v>
          </cell>
          <cell r="CK286">
            <v>39.96</v>
          </cell>
          <cell r="CL286">
            <v>2.1829999999999998</v>
          </cell>
          <cell r="CP286">
            <v>978.33500000000015</v>
          </cell>
          <cell r="CQ286">
            <v>217.19</v>
          </cell>
          <cell r="CR286">
            <v>7.6029999999999998</v>
          </cell>
          <cell r="CS286">
            <v>3.500621575578986</v>
          </cell>
          <cell r="CX286">
            <v>300</v>
          </cell>
          <cell r="CY286">
            <v>68.22</v>
          </cell>
          <cell r="CZ286">
            <v>11.103</v>
          </cell>
          <cell r="DA286">
            <v>16.275285839929641</v>
          </cell>
          <cell r="DF286">
            <v>335.63299999999998</v>
          </cell>
          <cell r="DG286">
            <v>76.322999999999993</v>
          </cell>
          <cell r="DH286">
            <v>6.8870000000000005</v>
          </cell>
          <cell r="DI286">
            <v>9.023492263144794</v>
          </cell>
          <cell r="DN286">
            <v>479.00099999999998</v>
          </cell>
          <cell r="DO286">
            <v>106.33799999999999</v>
          </cell>
          <cell r="DP286">
            <v>2.3889999999999998</v>
          </cell>
          <cell r="DQ286">
            <v>2.2466098666516205</v>
          </cell>
          <cell r="DV286">
            <v>499.334</v>
          </cell>
          <cell r="DW286">
            <v>110.852</v>
          </cell>
          <cell r="DX286">
            <v>5.2140000000000004</v>
          </cell>
          <cell r="DY286">
            <v>4.7035687222603109</v>
          </cell>
        </row>
        <row r="287">
          <cell r="F287">
            <v>1609.8360000000002</v>
          </cell>
          <cell r="G287">
            <v>372.82100000000003</v>
          </cell>
          <cell r="H287">
            <v>-6.5789999999999997</v>
          </cell>
          <cell r="I287">
            <v>-1.7646538151016169</v>
          </cell>
          <cell r="N287">
            <v>100</v>
          </cell>
          <cell r="O287">
            <v>23.498000000000001</v>
          </cell>
          <cell r="P287">
            <v>0.48399999999999999</v>
          </cell>
          <cell r="T287">
            <v>100</v>
          </cell>
          <cell r="U287">
            <v>23.498000000000001</v>
          </cell>
          <cell r="V287">
            <v>-5.4039999999999999</v>
          </cell>
          <cell r="Z287">
            <v>95.805999999999997</v>
          </cell>
          <cell r="AA287">
            <v>22.513000000000002</v>
          </cell>
          <cell r="AB287">
            <v>-3.7269999999999999</v>
          </cell>
          <cell r="AF287">
            <v>95.805999999999997</v>
          </cell>
          <cell r="AG287">
            <v>22.513000000000002</v>
          </cell>
          <cell r="AH287">
            <v>-2.9089999999999998</v>
          </cell>
          <cell r="AL287">
            <v>109.839</v>
          </cell>
          <cell r="AM287">
            <v>25.81</v>
          </cell>
          <cell r="AN287">
            <v>-1.256</v>
          </cell>
          <cell r="AR287">
            <v>130</v>
          </cell>
          <cell r="AS287">
            <v>30.547000000000001</v>
          </cell>
          <cell r="AT287">
            <v>-0.13400000000000001</v>
          </cell>
          <cell r="AX287">
            <v>631.45100000000002</v>
          </cell>
          <cell r="AY287">
            <v>148.37900000000002</v>
          </cell>
          <cell r="AZ287">
            <v>-12.946</v>
          </cell>
          <cell r="BA287">
            <v>-8.7249543398998508</v>
          </cell>
          <cell r="BF287">
            <v>159.67699999999999</v>
          </cell>
          <cell r="BG287">
            <v>36.630000000000003</v>
          </cell>
          <cell r="BH287">
            <v>0.13200000000000001</v>
          </cell>
          <cell r="BL287">
            <v>159.67699999999999</v>
          </cell>
          <cell r="BM287">
            <v>36.630000000000003</v>
          </cell>
          <cell r="BN287">
            <v>8.5000000000000006E-2</v>
          </cell>
          <cell r="BR287">
            <v>159.67699999999999</v>
          </cell>
          <cell r="BS287">
            <v>36.630000000000003</v>
          </cell>
          <cell r="BT287">
            <v>0.99</v>
          </cell>
          <cell r="BX287">
            <v>159.67699999999999</v>
          </cell>
          <cell r="BY287">
            <v>36.630000000000003</v>
          </cell>
          <cell r="BZ287">
            <v>1.375</v>
          </cell>
          <cell r="CD287">
            <v>159.67699999999999</v>
          </cell>
          <cell r="CE287">
            <v>36.630000000000003</v>
          </cell>
          <cell r="CF287">
            <v>1.5860000000000001</v>
          </cell>
          <cell r="CJ287">
            <v>180</v>
          </cell>
          <cell r="CK287">
            <v>41.292000000000002</v>
          </cell>
          <cell r="CL287">
            <v>2.1989999999999998</v>
          </cell>
          <cell r="CP287">
            <v>978.3850000000001</v>
          </cell>
          <cell r="CQ287">
            <v>224.44199999999998</v>
          </cell>
          <cell r="CR287">
            <v>6.367</v>
          </cell>
          <cell r="CS287">
            <v>2.8368130742017983</v>
          </cell>
          <cell r="CX287">
            <v>295.80599999999998</v>
          </cell>
          <cell r="CY287">
            <v>69.509</v>
          </cell>
          <cell r="CZ287">
            <v>-8.6470000000000002</v>
          </cell>
          <cell r="DA287">
            <v>-12.440115668474586</v>
          </cell>
          <cell r="DF287">
            <v>335.64499999999998</v>
          </cell>
          <cell r="DG287">
            <v>78.87</v>
          </cell>
          <cell r="DH287">
            <v>-4.2990000000000004</v>
          </cell>
          <cell r="DI287">
            <v>-5.4507417268923541</v>
          </cell>
          <cell r="DN287">
            <v>479.03099999999995</v>
          </cell>
          <cell r="DO287">
            <v>109.89000000000001</v>
          </cell>
          <cell r="DP287">
            <v>1.2070000000000001</v>
          </cell>
          <cell r="DQ287">
            <v>1.0983710983710984</v>
          </cell>
          <cell r="DV287">
            <v>499.35399999999998</v>
          </cell>
          <cell r="DW287">
            <v>114.55200000000001</v>
          </cell>
          <cell r="DX287">
            <v>5.16</v>
          </cell>
          <cell r="DY287">
            <v>4.5045045045045047</v>
          </cell>
        </row>
        <row r="288">
          <cell r="F288">
            <v>9070.8040000000001</v>
          </cell>
          <cell r="G288">
            <v>2052.098</v>
          </cell>
          <cell r="H288">
            <v>-95.939999999999984</v>
          </cell>
          <cell r="I288">
            <v>-4.6752153162275869</v>
          </cell>
          <cell r="N288">
            <v>520</v>
          </cell>
          <cell r="O288">
            <v>119.688</v>
          </cell>
          <cell r="P288">
            <v>-25.646000000000001</v>
          </cell>
          <cell r="T288">
            <v>555</v>
          </cell>
          <cell r="U288">
            <v>127.64699999999999</v>
          </cell>
          <cell r="V288">
            <v>-25.572999999999997</v>
          </cell>
          <cell r="Z288">
            <v>560.80600000000004</v>
          </cell>
          <cell r="AA288">
            <v>128.85999999999999</v>
          </cell>
          <cell r="AB288">
            <v>-16.285</v>
          </cell>
          <cell r="AF288">
            <v>571.60599999999999</v>
          </cell>
          <cell r="AG288">
            <v>131.46899999999999</v>
          </cell>
          <cell r="AH288">
            <v>-18.489000000000001</v>
          </cell>
          <cell r="AL288">
            <v>621.67200000000003</v>
          </cell>
          <cell r="AM288">
            <v>142.73299999999998</v>
          </cell>
          <cell r="AN288">
            <v>-12.851000000000001</v>
          </cell>
          <cell r="AR288">
            <v>730</v>
          </cell>
          <cell r="AS288">
            <v>167.97300000000001</v>
          </cell>
          <cell r="AT288">
            <v>-8.6220000000000017</v>
          </cell>
          <cell r="AX288">
            <v>3559.0839999999998</v>
          </cell>
          <cell r="AY288">
            <v>818.37000000000012</v>
          </cell>
          <cell r="AZ288">
            <v>-107.46600000000001</v>
          </cell>
          <cell r="BA288">
            <v>-13.131713039334286</v>
          </cell>
          <cell r="BF288">
            <v>839.34400000000005</v>
          </cell>
          <cell r="BG288">
            <v>187.51599999999999</v>
          </cell>
          <cell r="BH288">
            <v>-5.4840000000000009</v>
          </cell>
          <cell r="BL288">
            <v>869.34400000000005</v>
          </cell>
          <cell r="BM288">
            <v>194.62</v>
          </cell>
          <cell r="BN288">
            <v>-4.3959999999999999</v>
          </cell>
          <cell r="BR288">
            <v>949.34400000000005</v>
          </cell>
          <cell r="BS288">
            <v>211.78799999999998</v>
          </cell>
          <cell r="BT288">
            <v>-2.0930000000000009</v>
          </cell>
          <cell r="BX288">
            <v>884.34400000000005</v>
          </cell>
          <cell r="BY288">
            <v>198.32</v>
          </cell>
          <cell r="BZ288">
            <v>5.1749999999999998</v>
          </cell>
          <cell r="CD288">
            <v>919.34400000000005</v>
          </cell>
          <cell r="CE288">
            <v>206.16399999999999</v>
          </cell>
          <cell r="CF288">
            <v>7.3890000000000002</v>
          </cell>
          <cell r="CJ288">
            <v>1050</v>
          </cell>
          <cell r="CK288">
            <v>235.32</v>
          </cell>
          <cell r="CL288">
            <v>10.935</v>
          </cell>
          <cell r="CP288">
            <v>5511.72</v>
          </cell>
          <cell r="CQ288">
            <v>1233.7280000000001</v>
          </cell>
          <cell r="CR288">
            <v>11.526</v>
          </cell>
          <cell r="CS288">
            <v>0.93424158323390571</v>
          </cell>
          <cell r="CX288">
            <v>1635.806</v>
          </cell>
          <cell r="CY288">
            <v>376.19500000000005</v>
          </cell>
          <cell r="CZ288">
            <v>-67.504000000000005</v>
          </cell>
          <cell r="DA288">
            <v>-17.943885484921381</v>
          </cell>
          <cell r="DF288">
            <v>1923.278</v>
          </cell>
          <cell r="DG288">
            <v>442.17500000000001</v>
          </cell>
          <cell r="DH288">
            <v>-39.961999999999996</v>
          </cell>
          <cell r="DI288">
            <v>-9.0375982359925366</v>
          </cell>
          <cell r="DN288">
            <v>2658.0320000000002</v>
          </cell>
          <cell r="DO288">
            <v>593.92399999999998</v>
          </cell>
          <cell r="DP288">
            <v>-11.973000000000001</v>
          </cell>
          <cell r="DQ288">
            <v>-2.0159144941103579</v>
          </cell>
          <cell r="DV288">
            <v>2853.6879999999996</v>
          </cell>
          <cell r="DW288">
            <v>639.80399999999997</v>
          </cell>
          <cell r="DX288">
            <v>23.498999999999999</v>
          </cell>
          <cell r="DY288">
            <v>3.6728435583397419</v>
          </cell>
        </row>
        <row r="289">
          <cell r="F289">
            <v>0</v>
          </cell>
          <cell r="G289">
            <v>0</v>
          </cell>
          <cell r="H289">
            <v>0</v>
          </cell>
          <cell r="I289">
            <v>0</v>
          </cell>
          <cell r="AX289">
            <v>0</v>
          </cell>
          <cell r="AY289">
            <v>0</v>
          </cell>
          <cell r="AZ289">
            <v>0</v>
          </cell>
          <cell r="BA289">
            <v>0</v>
          </cell>
          <cell r="CP289">
            <v>0</v>
          </cell>
          <cell r="CQ289">
            <v>0</v>
          </cell>
          <cell r="CR289">
            <v>0</v>
          </cell>
          <cell r="CS289">
            <v>0</v>
          </cell>
          <cell r="CX289">
            <v>0</v>
          </cell>
          <cell r="CY289">
            <v>0</v>
          </cell>
          <cell r="CZ289">
            <v>0</v>
          </cell>
          <cell r="DA289">
            <v>0</v>
          </cell>
          <cell r="DF289">
            <v>0</v>
          </cell>
          <cell r="DG289">
            <v>0</v>
          </cell>
          <cell r="DH289">
            <v>0</v>
          </cell>
          <cell r="DI289">
            <v>0</v>
          </cell>
          <cell r="DN289">
            <v>0</v>
          </cell>
          <cell r="DO289">
            <v>0</v>
          </cell>
          <cell r="DP289">
            <v>0</v>
          </cell>
          <cell r="DQ289">
            <v>0</v>
          </cell>
          <cell r="DV289">
            <v>0</v>
          </cell>
          <cell r="DW289">
            <v>0</v>
          </cell>
          <cell r="DX289">
            <v>0</v>
          </cell>
          <cell r="DY289">
            <v>0</v>
          </cell>
        </row>
        <row r="290">
          <cell r="F290">
            <v>0</v>
          </cell>
          <cell r="G290">
            <v>0</v>
          </cell>
          <cell r="H290">
            <v>0</v>
          </cell>
          <cell r="I290">
            <v>0</v>
          </cell>
          <cell r="AX290">
            <v>0</v>
          </cell>
          <cell r="AY290">
            <v>0</v>
          </cell>
          <cell r="AZ290">
            <v>0</v>
          </cell>
          <cell r="BA290">
            <v>0</v>
          </cell>
          <cell r="CP290">
            <v>0</v>
          </cell>
          <cell r="CQ290">
            <v>0</v>
          </cell>
          <cell r="CR290">
            <v>0</v>
          </cell>
          <cell r="CS290">
            <v>0</v>
          </cell>
          <cell r="CX290">
            <v>0</v>
          </cell>
          <cell r="CY290">
            <v>0</v>
          </cell>
          <cell r="CZ290">
            <v>0</v>
          </cell>
          <cell r="DA290">
            <v>0</v>
          </cell>
          <cell r="DF290">
            <v>0</v>
          </cell>
          <cell r="DG290">
            <v>0</v>
          </cell>
          <cell r="DH290">
            <v>0</v>
          </cell>
          <cell r="DI290">
            <v>0</v>
          </cell>
          <cell r="DN290">
            <v>0</v>
          </cell>
          <cell r="DO290">
            <v>0</v>
          </cell>
          <cell r="DP290">
            <v>0</v>
          </cell>
          <cell r="DQ290">
            <v>0</v>
          </cell>
          <cell r="DV290">
            <v>0</v>
          </cell>
          <cell r="DW290">
            <v>0</v>
          </cell>
          <cell r="DX290">
            <v>0</v>
          </cell>
          <cell r="DY290">
            <v>0</v>
          </cell>
        </row>
        <row r="291">
          <cell r="F291">
            <v>0</v>
          </cell>
          <cell r="G291">
            <v>0</v>
          </cell>
          <cell r="H291">
            <v>0</v>
          </cell>
          <cell r="I291">
            <v>0</v>
          </cell>
          <cell r="N291">
            <v>0</v>
          </cell>
          <cell r="O291">
            <v>0</v>
          </cell>
          <cell r="P291">
            <v>0</v>
          </cell>
          <cell r="T291">
            <v>0</v>
          </cell>
          <cell r="U291">
            <v>0</v>
          </cell>
          <cell r="V291">
            <v>0</v>
          </cell>
          <cell r="Z291">
            <v>0</v>
          </cell>
          <cell r="AA291">
            <v>0</v>
          </cell>
          <cell r="AB291">
            <v>0</v>
          </cell>
          <cell r="AF291">
            <v>0</v>
          </cell>
          <cell r="AG291">
            <v>0</v>
          </cell>
          <cell r="AH291">
            <v>0</v>
          </cell>
          <cell r="AL291">
            <v>0</v>
          </cell>
          <cell r="AM291">
            <v>0</v>
          </cell>
          <cell r="AN291">
            <v>0</v>
          </cell>
          <cell r="AR291">
            <v>0</v>
          </cell>
          <cell r="AS291">
            <v>0</v>
          </cell>
          <cell r="AT291">
            <v>0</v>
          </cell>
          <cell r="AX291">
            <v>0</v>
          </cell>
          <cell r="AY291">
            <v>0</v>
          </cell>
          <cell r="AZ291">
            <v>0</v>
          </cell>
          <cell r="BA291">
            <v>0</v>
          </cell>
          <cell r="BF291">
            <v>0</v>
          </cell>
          <cell r="BG291">
            <v>0</v>
          </cell>
          <cell r="BH291">
            <v>0</v>
          </cell>
          <cell r="BL291">
            <v>0</v>
          </cell>
          <cell r="BM291">
            <v>0</v>
          </cell>
          <cell r="BN291">
            <v>0</v>
          </cell>
          <cell r="BR291">
            <v>0</v>
          </cell>
          <cell r="BS291">
            <v>0</v>
          </cell>
          <cell r="BT291">
            <v>0</v>
          </cell>
          <cell r="BX291">
            <v>0</v>
          </cell>
          <cell r="BY291">
            <v>0</v>
          </cell>
          <cell r="BZ291">
            <v>0</v>
          </cell>
          <cell r="CD291">
            <v>0</v>
          </cell>
          <cell r="CE291">
            <v>0</v>
          </cell>
          <cell r="CF291">
            <v>0</v>
          </cell>
          <cell r="CJ291">
            <v>0</v>
          </cell>
          <cell r="CK291">
            <v>0</v>
          </cell>
          <cell r="CL291">
            <v>0</v>
          </cell>
          <cell r="CP291">
            <v>0</v>
          </cell>
          <cell r="CQ291">
            <v>0</v>
          </cell>
          <cell r="CR291">
            <v>0</v>
          </cell>
          <cell r="CS291">
            <v>0</v>
          </cell>
          <cell r="CX291">
            <v>0</v>
          </cell>
          <cell r="CY291">
            <v>0</v>
          </cell>
          <cell r="CZ291">
            <v>0</v>
          </cell>
          <cell r="DA291">
            <v>0</v>
          </cell>
          <cell r="DF291">
            <v>0</v>
          </cell>
          <cell r="DG291">
            <v>0</v>
          </cell>
          <cell r="DH291">
            <v>0</v>
          </cell>
          <cell r="DI291">
            <v>0</v>
          </cell>
          <cell r="DN291">
            <v>0</v>
          </cell>
          <cell r="DO291">
            <v>0</v>
          </cell>
          <cell r="DP291">
            <v>0</v>
          </cell>
          <cell r="DQ291">
            <v>0</v>
          </cell>
          <cell r="DV291">
            <v>0</v>
          </cell>
          <cell r="DW291">
            <v>0</v>
          </cell>
          <cell r="DX291">
            <v>0</v>
          </cell>
          <cell r="DY291">
            <v>0</v>
          </cell>
        </row>
        <row r="292">
          <cell r="F292">
            <v>0</v>
          </cell>
          <cell r="G292">
            <v>0</v>
          </cell>
          <cell r="H292">
            <v>0</v>
          </cell>
          <cell r="I292">
            <v>0</v>
          </cell>
          <cell r="AX292">
            <v>0</v>
          </cell>
          <cell r="AY292">
            <v>0</v>
          </cell>
          <cell r="AZ292">
            <v>0</v>
          </cell>
          <cell r="BA292">
            <v>0</v>
          </cell>
          <cell r="CP292">
            <v>0</v>
          </cell>
          <cell r="CQ292">
            <v>0</v>
          </cell>
          <cell r="CR292">
            <v>0</v>
          </cell>
          <cell r="CS292">
            <v>0</v>
          </cell>
          <cell r="CX292">
            <v>0</v>
          </cell>
          <cell r="CY292">
            <v>0</v>
          </cell>
          <cell r="CZ292">
            <v>0</v>
          </cell>
          <cell r="DA292">
            <v>0</v>
          </cell>
          <cell r="DF292">
            <v>0</v>
          </cell>
          <cell r="DG292">
            <v>0</v>
          </cell>
          <cell r="DH292">
            <v>0</v>
          </cell>
          <cell r="DI292">
            <v>0</v>
          </cell>
          <cell r="DN292">
            <v>0</v>
          </cell>
          <cell r="DO292">
            <v>0</v>
          </cell>
          <cell r="DP292">
            <v>0</v>
          </cell>
          <cell r="DQ292">
            <v>0</v>
          </cell>
          <cell r="DV292">
            <v>0</v>
          </cell>
          <cell r="DW292">
            <v>0</v>
          </cell>
          <cell r="DX292">
            <v>0</v>
          </cell>
          <cell r="DY292">
            <v>0</v>
          </cell>
        </row>
        <row r="293">
          <cell r="F293">
            <v>1500</v>
          </cell>
          <cell r="G293">
            <v>363.96799999999996</v>
          </cell>
          <cell r="H293">
            <v>15.986000000000004</v>
          </cell>
          <cell r="I293">
            <v>4.3921443643397238</v>
          </cell>
          <cell r="N293">
            <v>100</v>
          </cell>
          <cell r="O293">
            <v>24.635000000000002</v>
          </cell>
          <cell r="P293">
            <v>-12.388999999999999</v>
          </cell>
          <cell r="T293">
            <v>100</v>
          </cell>
          <cell r="U293">
            <v>24.635000000000002</v>
          </cell>
          <cell r="V293">
            <v>-12.435</v>
          </cell>
          <cell r="Z293">
            <v>100</v>
          </cell>
          <cell r="AA293">
            <v>24.635000000000002</v>
          </cell>
          <cell r="AB293">
            <v>-12.435</v>
          </cell>
          <cell r="AF293">
            <v>100</v>
          </cell>
          <cell r="AG293">
            <v>24.635000000000002</v>
          </cell>
          <cell r="AH293">
            <v>-10.35</v>
          </cell>
          <cell r="AL293">
            <v>50</v>
          </cell>
          <cell r="AM293">
            <v>12.318</v>
          </cell>
          <cell r="AN293">
            <v>-1.099</v>
          </cell>
          <cell r="AR293">
            <v>100</v>
          </cell>
          <cell r="AS293">
            <v>24.635000000000002</v>
          </cell>
          <cell r="AT293">
            <v>2.9009999999999998</v>
          </cell>
          <cell r="AX293">
            <v>550</v>
          </cell>
          <cell r="AY293">
            <v>135.49300000000002</v>
          </cell>
          <cell r="AZ293">
            <v>-45.807000000000002</v>
          </cell>
          <cell r="BA293">
            <v>-33.807650579734741</v>
          </cell>
          <cell r="BF293">
            <v>150</v>
          </cell>
          <cell r="BG293">
            <v>36.075000000000003</v>
          </cell>
          <cell r="BH293">
            <v>7.3010000000000002</v>
          </cell>
          <cell r="BL293">
            <v>150</v>
          </cell>
          <cell r="BM293">
            <v>36.075000000000003</v>
          </cell>
          <cell r="BN293">
            <v>8.6519999999999992</v>
          </cell>
          <cell r="BR293">
            <v>150</v>
          </cell>
          <cell r="BS293">
            <v>36.075000000000003</v>
          </cell>
          <cell r="BT293">
            <v>9.8710000000000004</v>
          </cell>
          <cell r="BX293">
            <v>150</v>
          </cell>
          <cell r="BY293">
            <v>36.075000000000003</v>
          </cell>
          <cell r="BZ293">
            <v>10.457000000000001</v>
          </cell>
          <cell r="CD293">
            <v>170</v>
          </cell>
          <cell r="CE293">
            <v>40.884999999999998</v>
          </cell>
          <cell r="CF293">
            <v>12.202</v>
          </cell>
          <cell r="CJ293">
            <v>180</v>
          </cell>
          <cell r="CK293">
            <v>43.29</v>
          </cell>
          <cell r="CL293">
            <v>13.31</v>
          </cell>
          <cell r="CP293">
            <v>950</v>
          </cell>
          <cell r="CQ293">
            <v>228.47499999999997</v>
          </cell>
          <cell r="CR293">
            <v>61.793000000000006</v>
          </cell>
          <cell r="CS293">
            <v>27.045847466900103</v>
          </cell>
          <cell r="CX293">
            <v>300</v>
          </cell>
          <cell r="CY293">
            <v>73.905000000000001</v>
          </cell>
          <cell r="CZ293">
            <v>-37.259</v>
          </cell>
          <cell r="DA293">
            <v>-50.414721602056687</v>
          </cell>
          <cell r="DF293">
            <v>250</v>
          </cell>
          <cell r="DG293">
            <v>61.588000000000008</v>
          </cell>
          <cell r="DH293">
            <v>-8.548</v>
          </cell>
          <cell r="DI293">
            <v>-13.879327141650968</v>
          </cell>
          <cell r="DN293">
            <v>450</v>
          </cell>
          <cell r="DO293">
            <v>108.22500000000001</v>
          </cell>
          <cell r="DP293">
            <v>25.823999999999998</v>
          </cell>
          <cell r="DQ293">
            <v>23.861399861399857</v>
          </cell>
          <cell r="DV293">
            <v>500</v>
          </cell>
          <cell r="DW293">
            <v>120.25</v>
          </cell>
          <cell r="DX293">
            <v>35.969000000000001</v>
          </cell>
          <cell r="DY293">
            <v>29.911850311850312</v>
          </cell>
        </row>
        <row r="294">
          <cell r="F294">
            <v>1642</v>
          </cell>
          <cell r="G294">
            <v>425.27800000000002</v>
          </cell>
          <cell r="H294">
            <v>139.64400000000001</v>
          </cell>
          <cell r="I294">
            <v>32.835933201341241</v>
          </cell>
          <cell r="N294">
            <v>0</v>
          </cell>
          <cell r="O294">
            <v>0</v>
          </cell>
          <cell r="P294">
            <v>0</v>
          </cell>
          <cell r="T294">
            <v>0</v>
          </cell>
          <cell r="U294">
            <v>0</v>
          </cell>
          <cell r="V294">
            <v>0</v>
          </cell>
          <cell r="Z294">
            <v>0</v>
          </cell>
          <cell r="AA294">
            <v>0</v>
          </cell>
          <cell r="AB294">
            <v>0</v>
          </cell>
          <cell r="AF294">
            <v>0</v>
          </cell>
          <cell r="AG294">
            <v>0</v>
          </cell>
          <cell r="AH294">
            <v>0</v>
          </cell>
          <cell r="AL294">
            <v>0</v>
          </cell>
          <cell r="AM294">
            <v>0</v>
          </cell>
          <cell r="AN294">
            <v>0</v>
          </cell>
          <cell r="AR294">
            <v>0</v>
          </cell>
          <cell r="AS294">
            <v>0</v>
          </cell>
          <cell r="AT294">
            <v>0</v>
          </cell>
          <cell r="AX294">
            <v>0</v>
          </cell>
          <cell r="AY294">
            <v>0</v>
          </cell>
          <cell r="AZ294">
            <v>0</v>
          </cell>
          <cell r="BA294">
            <v>0</v>
          </cell>
          <cell r="BF294">
            <v>236</v>
          </cell>
          <cell r="BG294">
            <v>61.124000000000002</v>
          </cell>
          <cell r="BH294">
            <v>19.585999999999999</v>
          </cell>
          <cell r="BL294">
            <v>280</v>
          </cell>
          <cell r="BM294">
            <v>72.52</v>
          </cell>
          <cell r="BN294">
            <v>22.513000000000002</v>
          </cell>
          <cell r="BR294">
            <v>266</v>
          </cell>
          <cell r="BS294">
            <v>68.894000000000005</v>
          </cell>
          <cell r="BT294">
            <v>22.462</v>
          </cell>
          <cell r="BX294">
            <v>270</v>
          </cell>
          <cell r="BY294">
            <v>69.930000000000007</v>
          </cell>
          <cell r="BZ294">
            <v>23.241</v>
          </cell>
          <cell r="CD294">
            <v>260</v>
          </cell>
          <cell r="CE294">
            <v>67.34</v>
          </cell>
          <cell r="CF294">
            <v>22.617999999999999</v>
          </cell>
          <cell r="CJ294">
            <v>330</v>
          </cell>
          <cell r="CK294">
            <v>85.47</v>
          </cell>
          <cell r="CL294">
            <v>29.224</v>
          </cell>
          <cell r="CP294">
            <v>1642</v>
          </cell>
          <cell r="CQ294">
            <v>425.27800000000002</v>
          </cell>
          <cell r="CR294">
            <v>139.64400000000001</v>
          </cell>
          <cell r="CS294">
            <v>32.835933201341241</v>
          </cell>
          <cell r="CX294">
            <v>0</v>
          </cell>
          <cell r="CY294">
            <v>0</v>
          </cell>
          <cell r="CZ294">
            <v>0</v>
          </cell>
          <cell r="DA294">
            <v>0</v>
          </cell>
          <cell r="DF294">
            <v>0</v>
          </cell>
          <cell r="DG294">
            <v>0</v>
          </cell>
          <cell r="DH294">
            <v>0</v>
          </cell>
          <cell r="DI294">
            <v>0</v>
          </cell>
          <cell r="DN294">
            <v>782</v>
          </cell>
          <cell r="DO294">
            <v>202.53800000000001</v>
          </cell>
          <cell r="DP294">
            <v>64.561000000000007</v>
          </cell>
          <cell r="DQ294">
            <v>31.875993640699523</v>
          </cell>
          <cell r="DV294">
            <v>860</v>
          </cell>
          <cell r="DW294">
            <v>222.74</v>
          </cell>
          <cell r="DX294">
            <v>75.082999999999998</v>
          </cell>
          <cell r="DY294">
            <v>33.708808476250333</v>
          </cell>
        </row>
        <row r="295">
          <cell r="F295">
            <v>0</v>
          </cell>
          <cell r="G295">
            <v>0</v>
          </cell>
          <cell r="H295">
            <v>0</v>
          </cell>
          <cell r="I295">
            <v>0</v>
          </cell>
          <cell r="AX295">
            <v>0</v>
          </cell>
          <cell r="AY295">
            <v>0</v>
          </cell>
          <cell r="AZ295">
            <v>0</v>
          </cell>
          <cell r="BA295">
            <v>0</v>
          </cell>
          <cell r="CP295">
            <v>0</v>
          </cell>
          <cell r="CQ295">
            <v>0</v>
          </cell>
          <cell r="CR295">
            <v>0</v>
          </cell>
          <cell r="CS295">
            <v>0</v>
          </cell>
          <cell r="CX295">
            <v>0</v>
          </cell>
          <cell r="CY295">
            <v>0</v>
          </cell>
          <cell r="CZ295">
            <v>0</v>
          </cell>
          <cell r="DA295">
            <v>0</v>
          </cell>
          <cell r="DF295">
            <v>0</v>
          </cell>
          <cell r="DG295">
            <v>0</v>
          </cell>
          <cell r="DH295">
            <v>0</v>
          </cell>
          <cell r="DI295">
            <v>0</v>
          </cell>
          <cell r="DN295">
            <v>0</v>
          </cell>
          <cell r="DO295">
            <v>0</v>
          </cell>
          <cell r="DP295">
            <v>0</v>
          </cell>
          <cell r="DQ295">
            <v>0</v>
          </cell>
          <cell r="DV295">
            <v>0</v>
          </cell>
          <cell r="DW295">
            <v>0</v>
          </cell>
          <cell r="DX295">
            <v>0</v>
          </cell>
          <cell r="DY295">
            <v>0</v>
          </cell>
        </row>
        <row r="296">
          <cell r="F296">
            <v>0</v>
          </cell>
          <cell r="G296">
            <v>0</v>
          </cell>
          <cell r="H296">
            <v>0</v>
          </cell>
          <cell r="I296">
            <v>0</v>
          </cell>
          <cell r="AX296">
            <v>0</v>
          </cell>
          <cell r="AY296">
            <v>0</v>
          </cell>
          <cell r="AZ296">
            <v>0</v>
          </cell>
          <cell r="BA296">
            <v>0</v>
          </cell>
          <cell r="CP296">
            <v>0</v>
          </cell>
          <cell r="CQ296">
            <v>0</v>
          </cell>
          <cell r="CR296">
            <v>0</v>
          </cell>
          <cell r="CS296">
            <v>0</v>
          </cell>
          <cell r="CX296">
            <v>0</v>
          </cell>
          <cell r="CY296">
            <v>0</v>
          </cell>
          <cell r="CZ296">
            <v>0</v>
          </cell>
          <cell r="DA296">
            <v>0</v>
          </cell>
          <cell r="DF296">
            <v>0</v>
          </cell>
          <cell r="DG296">
            <v>0</v>
          </cell>
          <cell r="DH296">
            <v>0</v>
          </cell>
          <cell r="DI296">
            <v>0</v>
          </cell>
          <cell r="DN296">
            <v>0</v>
          </cell>
          <cell r="DO296">
            <v>0</v>
          </cell>
          <cell r="DP296">
            <v>0</v>
          </cell>
          <cell r="DQ296">
            <v>0</v>
          </cell>
          <cell r="DV296">
            <v>0</v>
          </cell>
          <cell r="DW296">
            <v>0</v>
          </cell>
          <cell r="DX296">
            <v>0</v>
          </cell>
          <cell r="DY296">
            <v>0</v>
          </cell>
        </row>
        <row r="297">
          <cell r="F297">
            <v>3142</v>
          </cell>
          <cell r="G297">
            <v>789.24599999999998</v>
          </cell>
          <cell r="H297">
            <v>155.63</v>
          </cell>
          <cell r="I297">
            <v>19.718820241090864</v>
          </cell>
          <cell r="N297">
            <v>100</v>
          </cell>
          <cell r="O297">
            <v>24.635000000000002</v>
          </cell>
          <cell r="P297">
            <v>-12.388999999999999</v>
          </cell>
          <cell r="T297">
            <v>100</v>
          </cell>
          <cell r="U297">
            <v>24.635000000000002</v>
          </cell>
          <cell r="V297">
            <v>-12.435</v>
          </cell>
          <cell r="Z297">
            <v>100</v>
          </cell>
          <cell r="AA297">
            <v>24.635000000000002</v>
          </cell>
          <cell r="AB297">
            <v>-12.435</v>
          </cell>
          <cell r="AF297">
            <v>100</v>
          </cell>
          <cell r="AG297">
            <v>24.635000000000002</v>
          </cell>
          <cell r="AH297">
            <v>-10.35</v>
          </cell>
          <cell r="AL297">
            <v>50</v>
          </cell>
          <cell r="AM297">
            <v>12.318</v>
          </cell>
          <cell r="AN297">
            <v>-1.099</v>
          </cell>
          <cell r="AR297">
            <v>100</v>
          </cell>
          <cell r="AS297">
            <v>24.635000000000002</v>
          </cell>
          <cell r="AT297">
            <v>2.9009999999999998</v>
          </cell>
          <cell r="AX297">
            <v>550</v>
          </cell>
          <cell r="AY297">
            <v>135.49300000000002</v>
          </cell>
          <cell r="AZ297">
            <v>-45.807000000000002</v>
          </cell>
          <cell r="BA297">
            <v>-33.807650579734741</v>
          </cell>
          <cell r="BF297">
            <v>386</v>
          </cell>
          <cell r="BG297">
            <v>97.199000000000012</v>
          </cell>
          <cell r="BH297">
            <v>26.887</v>
          </cell>
          <cell r="BL297">
            <v>430</v>
          </cell>
          <cell r="BM297">
            <v>108.595</v>
          </cell>
          <cell r="BN297">
            <v>31.164999999999999</v>
          </cell>
          <cell r="BR297">
            <v>416</v>
          </cell>
          <cell r="BS297">
            <v>104.96900000000001</v>
          </cell>
          <cell r="BT297">
            <v>32.332999999999998</v>
          </cell>
          <cell r="BX297">
            <v>420</v>
          </cell>
          <cell r="BY297">
            <v>106.00500000000001</v>
          </cell>
          <cell r="BZ297">
            <v>33.698</v>
          </cell>
          <cell r="CD297">
            <v>430</v>
          </cell>
          <cell r="CE297">
            <v>108.22499999999999</v>
          </cell>
          <cell r="CF297">
            <v>34.82</v>
          </cell>
          <cell r="CJ297">
            <v>510</v>
          </cell>
          <cell r="CK297">
            <v>128.76</v>
          </cell>
          <cell r="CL297">
            <v>42.533999999999999</v>
          </cell>
          <cell r="CP297">
            <v>2592</v>
          </cell>
          <cell r="CQ297">
            <v>653.75299999999993</v>
          </cell>
          <cell r="CR297">
            <v>201.43700000000001</v>
          </cell>
          <cell r="CS297">
            <v>30.812401625690445</v>
          </cell>
          <cell r="CX297">
            <v>300</v>
          </cell>
          <cell r="CY297">
            <v>73.905000000000001</v>
          </cell>
          <cell r="CZ297">
            <v>-37.259</v>
          </cell>
          <cell r="DA297">
            <v>-50.414721602056687</v>
          </cell>
          <cell r="DF297">
            <v>250</v>
          </cell>
          <cell r="DG297">
            <v>61.588000000000008</v>
          </cell>
          <cell r="DH297">
            <v>-8.548</v>
          </cell>
          <cell r="DI297">
            <v>-13.879327141650968</v>
          </cell>
          <cell r="DN297">
            <v>1232</v>
          </cell>
          <cell r="DO297">
            <v>310.76300000000003</v>
          </cell>
          <cell r="DP297">
            <v>90.385000000000005</v>
          </cell>
          <cell r="DQ297">
            <v>29.084865315368948</v>
          </cell>
          <cell r="DV297">
            <v>1360</v>
          </cell>
          <cell r="DW297">
            <v>342.99</v>
          </cell>
          <cell r="DX297">
            <v>111.05199999999999</v>
          </cell>
          <cell r="DY297">
            <v>32.377620338785384</v>
          </cell>
        </row>
        <row r="298">
          <cell r="F298">
            <v>300</v>
          </cell>
          <cell r="G298">
            <v>89.448000000000008</v>
          </cell>
          <cell r="H298">
            <v>49.753999999999998</v>
          </cell>
          <cell r="I298">
            <v>55.623378946426968</v>
          </cell>
          <cell r="N298">
            <v>0</v>
          </cell>
          <cell r="O298">
            <v>0</v>
          </cell>
          <cell r="P298">
            <v>0</v>
          </cell>
          <cell r="T298">
            <v>0</v>
          </cell>
          <cell r="U298">
            <v>0</v>
          </cell>
          <cell r="V298">
            <v>0</v>
          </cell>
          <cell r="Z298">
            <v>0</v>
          </cell>
          <cell r="AA298">
            <v>0</v>
          </cell>
          <cell r="AB298">
            <v>0</v>
          </cell>
          <cell r="AF298">
            <v>30</v>
          </cell>
          <cell r="AG298">
            <v>9.0960000000000001</v>
          </cell>
          <cell r="AH298">
            <v>3.7690000000000001</v>
          </cell>
          <cell r="AL298">
            <v>30</v>
          </cell>
          <cell r="AM298">
            <v>9.0960000000000001</v>
          </cell>
          <cell r="AN298">
            <v>4.4610000000000003</v>
          </cell>
          <cell r="AR298">
            <v>30</v>
          </cell>
          <cell r="AS298">
            <v>9.0960000000000001</v>
          </cell>
          <cell r="AT298">
            <v>4.8099999999999996</v>
          </cell>
          <cell r="AX298">
            <v>90</v>
          </cell>
          <cell r="AY298">
            <v>27.288</v>
          </cell>
          <cell r="AZ298">
            <v>13.040000000000001</v>
          </cell>
          <cell r="BA298">
            <v>47.786572852535912</v>
          </cell>
          <cell r="BF298">
            <v>30</v>
          </cell>
          <cell r="BG298">
            <v>8.8800000000000008</v>
          </cell>
          <cell r="BH298">
            <v>5.0060000000000002</v>
          </cell>
          <cell r="BL298">
            <v>30</v>
          </cell>
          <cell r="BM298">
            <v>8.8800000000000008</v>
          </cell>
          <cell r="BN298">
            <v>5.1020000000000003</v>
          </cell>
          <cell r="BR298">
            <v>30</v>
          </cell>
          <cell r="BS298">
            <v>8.8800000000000008</v>
          </cell>
          <cell r="BT298">
            <v>5.2629999999999999</v>
          </cell>
          <cell r="BX298">
            <v>40</v>
          </cell>
          <cell r="BY298">
            <v>11.84</v>
          </cell>
          <cell r="BZ298">
            <v>7.0759999999999996</v>
          </cell>
          <cell r="CD298">
            <v>40</v>
          </cell>
          <cell r="CE298">
            <v>11.84</v>
          </cell>
          <cell r="CF298">
            <v>7.1109999999999998</v>
          </cell>
          <cell r="CJ298">
            <v>40</v>
          </cell>
          <cell r="CK298">
            <v>11.84</v>
          </cell>
          <cell r="CL298">
            <v>7.1559999999999997</v>
          </cell>
          <cell r="CP298">
            <v>210</v>
          </cell>
          <cell r="CQ298">
            <v>62.160000000000004</v>
          </cell>
          <cell r="CR298">
            <v>36.713999999999999</v>
          </cell>
          <cell r="CS298">
            <v>59.063706563706553</v>
          </cell>
          <cell r="CX298">
            <v>0</v>
          </cell>
          <cell r="CY298">
            <v>0</v>
          </cell>
          <cell r="CZ298">
            <v>0</v>
          </cell>
          <cell r="DA298">
            <v>0</v>
          </cell>
          <cell r="DF298">
            <v>90</v>
          </cell>
          <cell r="DG298">
            <v>27.288</v>
          </cell>
          <cell r="DH298">
            <v>13.04</v>
          </cell>
          <cell r="DI298">
            <v>47.786572852535905</v>
          </cell>
          <cell r="DN298">
            <v>90</v>
          </cell>
          <cell r="DO298">
            <v>26.64</v>
          </cell>
          <cell r="DP298">
            <v>15.371</v>
          </cell>
          <cell r="DQ298">
            <v>57.698948948948946</v>
          </cell>
          <cell r="DV298">
            <v>120</v>
          </cell>
          <cell r="DW298">
            <v>35.519999999999996</v>
          </cell>
          <cell r="DX298">
            <v>21.343</v>
          </cell>
          <cell r="DY298">
            <v>60.087274774774777</v>
          </cell>
        </row>
        <row r="299">
          <cell r="F299">
            <v>0</v>
          </cell>
          <cell r="G299">
            <v>0</v>
          </cell>
          <cell r="H299">
            <v>0</v>
          </cell>
          <cell r="I299">
            <v>0</v>
          </cell>
          <cell r="O299">
            <v>0</v>
          </cell>
          <cell r="T299">
            <v>0</v>
          </cell>
          <cell r="U299">
            <v>0</v>
          </cell>
          <cell r="Z299">
            <v>0</v>
          </cell>
          <cell r="AA299">
            <v>0</v>
          </cell>
          <cell r="AF299">
            <v>0</v>
          </cell>
          <cell r="AG299">
            <v>0</v>
          </cell>
          <cell r="AL299">
            <v>0</v>
          </cell>
          <cell r="AM299">
            <v>0</v>
          </cell>
          <cell r="AR299">
            <v>0</v>
          </cell>
          <cell r="AS299">
            <v>0</v>
          </cell>
          <cell r="AX299">
            <v>0</v>
          </cell>
          <cell r="AY299">
            <v>0</v>
          </cell>
          <cell r="AZ299">
            <v>0</v>
          </cell>
          <cell r="BA299">
            <v>0</v>
          </cell>
          <cell r="BF299">
            <v>0</v>
          </cell>
          <cell r="BG299">
            <v>0</v>
          </cell>
          <cell r="BL299">
            <v>0</v>
          </cell>
          <cell r="BM299">
            <v>0</v>
          </cell>
          <cell r="BR299">
            <v>0</v>
          </cell>
          <cell r="BS299">
            <v>0</v>
          </cell>
          <cell r="BX299">
            <v>0</v>
          </cell>
          <cell r="BY299">
            <v>0</v>
          </cell>
          <cell r="CD299">
            <v>0</v>
          </cell>
          <cell r="CE299">
            <v>0</v>
          </cell>
          <cell r="CJ299">
            <v>0</v>
          </cell>
          <cell r="CK299">
            <v>0</v>
          </cell>
          <cell r="CP299">
            <v>0</v>
          </cell>
          <cell r="CQ299">
            <v>0</v>
          </cell>
          <cell r="CR299">
            <v>0</v>
          </cell>
          <cell r="CS299">
            <v>0</v>
          </cell>
          <cell r="CX299">
            <v>0</v>
          </cell>
          <cell r="CY299">
            <v>0</v>
          </cell>
          <cell r="CZ299">
            <v>0</v>
          </cell>
          <cell r="DA299">
            <v>0</v>
          </cell>
          <cell r="DF299">
            <v>0</v>
          </cell>
          <cell r="DG299">
            <v>0</v>
          </cell>
          <cell r="DH299">
            <v>0</v>
          </cell>
          <cell r="DI299">
            <v>0</v>
          </cell>
          <cell r="DN299">
            <v>0</v>
          </cell>
          <cell r="DO299">
            <v>0</v>
          </cell>
          <cell r="DP299">
            <v>0</v>
          </cell>
          <cell r="DQ299">
            <v>0</v>
          </cell>
          <cell r="DV299">
            <v>0</v>
          </cell>
          <cell r="DW299">
            <v>0</v>
          </cell>
          <cell r="DX299">
            <v>0</v>
          </cell>
          <cell r="DY299">
            <v>0</v>
          </cell>
        </row>
        <row r="300">
          <cell r="F300">
            <v>0</v>
          </cell>
          <cell r="G300">
            <v>0</v>
          </cell>
          <cell r="H300">
            <v>0</v>
          </cell>
          <cell r="I300">
            <v>0</v>
          </cell>
          <cell r="O300">
            <v>0</v>
          </cell>
          <cell r="T300">
            <v>0</v>
          </cell>
          <cell r="U300">
            <v>0</v>
          </cell>
          <cell r="Z300">
            <v>0</v>
          </cell>
          <cell r="AA300">
            <v>0</v>
          </cell>
          <cell r="AF300">
            <v>0</v>
          </cell>
          <cell r="AG300">
            <v>0</v>
          </cell>
          <cell r="AL300">
            <v>0</v>
          </cell>
          <cell r="AM300">
            <v>0</v>
          </cell>
          <cell r="AR300">
            <v>0</v>
          </cell>
          <cell r="AS300">
            <v>0</v>
          </cell>
          <cell r="AX300">
            <v>0</v>
          </cell>
          <cell r="AY300">
            <v>0</v>
          </cell>
          <cell r="AZ300">
            <v>0</v>
          </cell>
          <cell r="BA300">
            <v>0</v>
          </cell>
          <cell r="BF300">
            <v>0</v>
          </cell>
          <cell r="BG300">
            <v>0</v>
          </cell>
          <cell r="BL300">
            <v>0</v>
          </cell>
          <cell r="BM300">
            <v>0</v>
          </cell>
          <cell r="BR300">
            <v>0</v>
          </cell>
          <cell r="BS300">
            <v>0</v>
          </cell>
          <cell r="BX300">
            <v>0</v>
          </cell>
          <cell r="BY300">
            <v>0</v>
          </cell>
          <cell r="CD300">
            <v>0</v>
          </cell>
          <cell r="CE300">
            <v>0</v>
          </cell>
          <cell r="CJ300">
            <v>0</v>
          </cell>
          <cell r="CK300">
            <v>0</v>
          </cell>
          <cell r="CP300">
            <v>0</v>
          </cell>
          <cell r="CQ300">
            <v>0</v>
          </cell>
          <cell r="CR300">
            <v>0</v>
          </cell>
          <cell r="CS300">
            <v>0</v>
          </cell>
          <cell r="CX300">
            <v>0</v>
          </cell>
          <cell r="CY300">
            <v>0</v>
          </cell>
          <cell r="CZ300">
            <v>0</v>
          </cell>
          <cell r="DA300">
            <v>0</v>
          </cell>
          <cell r="DF300">
            <v>0</v>
          </cell>
          <cell r="DG300">
            <v>0</v>
          </cell>
          <cell r="DH300">
            <v>0</v>
          </cell>
          <cell r="DI300">
            <v>0</v>
          </cell>
          <cell r="DN300">
            <v>0</v>
          </cell>
          <cell r="DO300">
            <v>0</v>
          </cell>
          <cell r="DP300">
            <v>0</v>
          </cell>
          <cell r="DQ300">
            <v>0</v>
          </cell>
          <cell r="DV300">
            <v>0</v>
          </cell>
          <cell r="DW300">
            <v>0</v>
          </cell>
          <cell r="DX300">
            <v>0</v>
          </cell>
          <cell r="DY300">
            <v>0</v>
          </cell>
        </row>
        <row r="301">
          <cell r="F301">
            <v>300</v>
          </cell>
          <cell r="G301">
            <v>89.448000000000008</v>
          </cell>
          <cell r="H301">
            <v>49.753999999999998</v>
          </cell>
          <cell r="I301">
            <v>55.623378946426968</v>
          </cell>
          <cell r="N301">
            <v>0</v>
          </cell>
          <cell r="O301">
            <v>0</v>
          </cell>
          <cell r="P301">
            <v>0</v>
          </cell>
          <cell r="T301">
            <v>0</v>
          </cell>
          <cell r="U301">
            <v>0</v>
          </cell>
          <cell r="V301">
            <v>0</v>
          </cell>
          <cell r="Z301">
            <v>0</v>
          </cell>
          <cell r="AA301">
            <v>0</v>
          </cell>
          <cell r="AB301">
            <v>0</v>
          </cell>
          <cell r="AF301">
            <v>30</v>
          </cell>
          <cell r="AG301">
            <v>9.0960000000000001</v>
          </cell>
          <cell r="AH301">
            <v>3.7690000000000001</v>
          </cell>
          <cell r="AL301">
            <v>30</v>
          </cell>
          <cell r="AM301">
            <v>9.0960000000000001</v>
          </cell>
          <cell r="AN301">
            <v>4.4610000000000003</v>
          </cell>
          <cell r="AR301">
            <v>30</v>
          </cell>
          <cell r="AS301">
            <v>9.0960000000000001</v>
          </cell>
          <cell r="AT301">
            <v>4.8099999999999996</v>
          </cell>
          <cell r="AX301">
            <v>90</v>
          </cell>
          <cell r="AY301">
            <v>27.288</v>
          </cell>
          <cell r="AZ301">
            <v>13.040000000000001</v>
          </cell>
          <cell r="BA301">
            <v>47.786572852535912</v>
          </cell>
          <cell r="BF301">
            <v>30</v>
          </cell>
          <cell r="BG301">
            <v>8.8800000000000008</v>
          </cell>
          <cell r="BH301">
            <v>5.0060000000000002</v>
          </cell>
          <cell r="BL301">
            <v>30</v>
          </cell>
          <cell r="BM301">
            <v>8.8800000000000008</v>
          </cell>
          <cell r="BN301">
            <v>5.1020000000000003</v>
          </cell>
          <cell r="BR301">
            <v>30</v>
          </cell>
          <cell r="BS301">
            <v>8.8800000000000008</v>
          </cell>
          <cell r="BT301">
            <v>5.2629999999999999</v>
          </cell>
          <cell r="BX301">
            <v>40</v>
          </cell>
          <cell r="BY301">
            <v>11.84</v>
          </cell>
          <cell r="BZ301">
            <v>7.0759999999999996</v>
          </cell>
          <cell r="CD301">
            <v>40</v>
          </cell>
          <cell r="CE301">
            <v>11.84</v>
          </cell>
          <cell r="CF301">
            <v>7.1109999999999998</v>
          </cell>
          <cell r="CJ301">
            <v>40</v>
          </cell>
          <cell r="CK301">
            <v>11.84</v>
          </cell>
          <cell r="CL301">
            <v>7.1559999999999997</v>
          </cell>
          <cell r="CP301">
            <v>210</v>
          </cell>
          <cell r="CQ301">
            <v>62.160000000000004</v>
          </cell>
          <cell r="CR301">
            <v>36.713999999999999</v>
          </cell>
          <cell r="CS301">
            <v>59.063706563706553</v>
          </cell>
          <cell r="CX301">
            <v>0</v>
          </cell>
          <cell r="CY301">
            <v>0</v>
          </cell>
          <cell r="CZ301">
            <v>0</v>
          </cell>
          <cell r="DA301">
            <v>0</v>
          </cell>
          <cell r="DF301">
            <v>90</v>
          </cell>
          <cell r="DG301">
            <v>27.288</v>
          </cell>
          <cell r="DH301">
            <v>13.04</v>
          </cell>
          <cell r="DI301">
            <v>47.786572852535905</v>
          </cell>
          <cell r="DN301">
            <v>90</v>
          </cell>
          <cell r="DO301">
            <v>26.64</v>
          </cell>
          <cell r="DP301">
            <v>15.371</v>
          </cell>
          <cell r="DQ301">
            <v>57.698948948948946</v>
          </cell>
          <cell r="DV301">
            <v>120</v>
          </cell>
          <cell r="DW301">
            <v>35.519999999999996</v>
          </cell>
          <cell r="DX301">
            <v>21.343</v>
          </cell>
          <cell r="DY301">
            <v>60.087274774774777</v>
          </cell>
        </row>
        <row r="302">
          <cell r="F302">
            <v>1000</v>
          </cell>
          <cell r="G302">
            <v>303.39800000000002</v>
          </cell>
          <cell r="H302">
            <v>55.394000000000005</v>
          </cell>
          <cell r="I302">
            <v>18.257865905510254</v>
          </cell>
          <cell r="N302">
            <v>0</v>
          </cell>
          <cell r="O302">
            <v>0</v>
          </cell>
          <cell r="P302">
            <v>0</v>
          </cell>
          <cell r="T302">
            <v>0</v>
          </cell>
          <cell r="U302">
            <v>0</v>
          </cell>
          <cell r="V302">
            <v>0</v>
          </cell>
          <cell r="Z302">
            <v>0</v>
          </cell>
          <cell r="AA302">
            <v>0</v>
          </cell>
          <cell r="AB302">
            <v>0</v>
          </cell>
          <cell r="AF302">
            <v>0</v>
          </cell>
          <cell r="AG302">
            <v>0</v>
          </cell>
          <cell r="AH302">
            <v>0</v>
          </cell>
          <cell r="AL302">
            <v>0</v>
          </cell>
          <cell r="AM302">
            <v>0</v>
          </cell>
          <cell r="AN302">
            <v>0</v>
          </cell>
          <cell r="AR302">
            <v>0</v>
          </cell>
          <cell r="AS302">
            <v>0</v>
          </cell>
          <cell r="AT302">
            <v>0</v>
          </cell>
          <cell r="AX302">
            <v>0</v>
          </cell>
          <cell r="AY302">
            <v>0</v>
          </cell>
          <cell r="AZ302">
            <v>0</v>
          </cell>
          <cell r="BA302">
            <v>0</v>
          </cell>
          <cell r="BF302">
            <v>166</v>
          </cell>
          <cell r="BG302">
            <v>50.363999999999997</v>
          </cell>
          <cell r="BH302">
            <v>8.0380000000000003</v>
          </cell>
          <cell r="BL302">
            <v>166</v>
          </cell>
          <cell r="BM302">
            <v>50.363999999999997</v>
          </cell>
          <cell r="BN302">
            <v>9.1880000000000006</v>
          </cell>
          <cell r="BR302">
            <v>166</v>
          </cell>
          <cell r="BS302">
            <v>50.363999999999997</v>
          </cell>
          <cell r="BT302">
            <v>8.9689999999999994</v>
          </cell>
          <cell r="BX302">
            <v>166</v>
          </cell>
          <cell r="BY302">
            <v>50.363999999999997</v>
          </cell>
          <cell r="BZ302">
            <v>9.077</v>
          </cell>
          <cell r="CD302">
            <v>166</v>
          </cell>
          <cell r="CE302">
            <v>50.363999999999997</v>
          </cell>
          <cell r="CF302">
            <v>9.3680000000000003</v>
          </cell>
          <cell r="CJ302">
            <v>170</v>
          </cell>
          <cell r="CK302">
            <v>51.578000000000003</v>
          </cell>
          <cell r="CL302">
            <v>10.754</v>
          </cell>
          <cell r="CP302">
            <v>1000</v>
          </cell>
          <cell r="CQ302">
            <v>303.39800000000002</v>
          </cell>
          <cell r="CR302">
            <v>55.394000000000005</v>
          </cell>
          <cell r="CS302">
            <v>18.257865905510254</v>
          </cell>
          <cell r="CX302">
            <v>0</v>
          </cell>
          <cell r="CY302">
            <v>0</v>
          </cell>
          <cell r="CZ302">
            <v>0</v>
          </cell>
          <cell r="DA302">
            <v>0</v>
          </cell>
          <cell r="DF302">
            <v>0</v>
          </cell>
          <cell r="DG302">
            <v>0</v>
          </cell>
          <cell r="DH302">
            <v>0</v>
          </cell>
          <cell r="DI302">
            <v>0</v>
          </cell>
          <cell r="DN302">
            <v>498</v>
          </cell>
          <cell r="DO302">
            <v>151.09199999999998</v>
          </cell>
          <cell r="DP302">
            <v>26.195</v>
          </cell>
          <cell r="DQ302">
            <v>17.337119106239911</v>
          </cell>
          <cell r="DV302">
            <v>502</v>
          </cell>
          <cell r="DW302">
            <v>152.30599999999998</v>
          </cell>
          <cell r="DX302">
            <v>29.198999999999998</v>
          </cell>
          <cell r="DY302">
            <v>19.171273620211942</v>
          </cell>
        </row>
        <row r="303">
          <cell r="F303">
            <v>0</v>
          </cell>
          <cell r="G303">
            <v>0</v>
          </cell>
          <cell r="H303">
            <v>0</v>
          </cell>
          <cell r="I303">
            <v>0</v>
          </cell>
          <cell r="N303">
            <v>0</v>
          </cell>
          <cell r="O303">
            <v>0</v>
          </cell>
          <cell r="T303">
            <v>0</v>
          </cell>
          <cell r="U303">
            <v>0</v>
          </cell>
          <cell r="Z303">
            <v>0</v>
          </cell>
          <cell r="AA303">
            <v>0</v>
          </cell>
          <cell r="AF303">
            <v>0</v>
          </cell>
          <cell r="AG303">
            <v>0</v>
          </cell>
          <cell r="AL303">
            <v>0</v>
          </cell>
          <cell r="AM303">
            <v>0</v>
          </cell>
          <cell r="AR303">
            <v>0</v>
          </cell>
          <cell r="AS303">
            <v>0</v>
          </cell>
          <cell r="AX303">
            <v>0</v>
          </cell>
          <cell r="AY303">
            <v>0</v>
          </cell>
          <cell r="AZ303">
            <v>0</v>
          </cell>
          <cell r="BA303">
            <v>0</v>
          </cell>
          <cell r="BF303">
            <v>0</v>
          </cell>
          <cell r="BG303">
            <v>0</v>
          </cell>
          <cell r="BL303">
            <v>0</v>
          </cell>
          <cell r="BM303">
            <v>0</v>
          </cell>
          <cell r="BR303">
            <v>0</v>
          </cell>
          <cell r="BS303">
            <v>0</v>
          </cell>
          <cell r="BX303">
            <v>0</v>
          </cell>
          <cell r="BY303">
            <v>0</v>
          </cell>
          <cell r="CD303">
            <v>0</v>
          </cell>
          <cell r="CE303">
            <v>0</v>
          </cell>
          <cell r="CJ303">
            <v>0</v>
          </cell>
          <cell r="CK303">
            <v>0</v>
          </cell>
          <cell r="CP303">
            <v>0</v>
          </cell>
          <cell r="CQ303">
            <v>0</v>
          </cell>
          <cell r="CR303">
            <v>0</v>
          </cell>
          <cell r="CS303">
            <v>0</v>
          </cell>
          <cell r="CX303">
            <v>0</v>
          </cell>
          <cell r="CY303">
            <v>0</v>
          </cell>
          <cell r="CZ303">
            <v>0</v>
          </cell>
          <cell r="DA303">
            <v>0</v>
          </cell>
          <cell r="DF303">
            <v>0</v>
          </cell>
          <cell r="DG303">
            <v>0</v>
          </cell>
          <cell r="DH303">
            <v>0</v>
          </cell>
          <cell r="DI303">
            <v>0</v>
          </cell>
          <cell r="DN303">
            <v>0</v>
          </cell>
          <cell r="DO303">
            <v>0</v>
          </cell>
          <cell r="DP303">
            <v>0</v>
          </cell>
          <cell r="DQ303">
            <v>0</v>
          </cell>
          <cell r="DV303">
            <v>0</v>
          </cell>
          <cell r="DW303">
            <v>0</v>
          </cell>
          <cell r="DX303">
            <v>0</v>
          </cell>
          <cell r="DY303">
            <v>0</v>
          </cell>
        </row>
        <row r="304">
          <cell r="F304">
            <v>1000</v>
          </cell>
          <cell r="G304">
            <v>303.39800000000002</v>
          </cell>
          <cell r="H304">
            <v>55.394000000000005</v>
          </cell>
          <cell r="I304">
            <v>18.257865905510254</v>
          </cell>
          <cell r="N304">
            <v>0</v>
          </cell>
          <cell r="O304">
            <v>0</v>
          </cell>
          <cell r="P304">
            <v>0</v>
          </cell>
          <cell r="T304">
            <v>0</v>
          </cell>
          <cell r="U304">
            <v>0</v>
          </cell>
          <cell r="V304">
            <v>0</v>
          </cell>
          <cell r="Z304">
            <v>0</v>
          </cell>
          <cell r="AA304">
            <v>0</v>
          </cell>
          <cell r="AB304">
            <v>0</v>
          </cell>
          <cell r="AF304">
            <v>0</v>
          </cell>
          <cell r="AG304">
            <v>0</v>
          </cell>
          <cell r="AH304">
            <v>0</v>
          </cell>
          <cell r="AL304">
            <v>0</v>
          </cell>
          <cell r="AM304">
            <v>0</v>
          </cell>
          <cell r="AN304">
            <v>0</v>
          </cell>
          <cell r="AR304">
            <v>0</v>
          </cell>
          <cell r="AS304">
            <v>0</v>
          </cell>
          <cell r="AT304">
            <v>0</v>
          </cell>
          <cell r="AX304">
            <v>0</v>
          </cell>
          <cell r="AY304">
            <v>0</v>
          </cell>
          <cell r="AZ304">
            <v>0</v>
          </cell>
          <cell r="BA304">
            <v>0</v>
          </cell>
          <cell r="BF304">
            <v>166</v>
          </cell>
          <cell r="BG304">
            <v>50.363999999999997</v>
          </cell>
          <cell r="BH304">
            <v>8.0380000000000003</v>
          </cell>
          <cell r="BL304">
            <v>166</v>
          </cell>
          <cell r="BM304">
            <v>50.363999999999997</v>
          </cell>
          <cell r="BN304">
            <v>9.1880000000000006</v>
          </cell>
          <cell r="BR304">
            <v>166</v>
          </cell>
          <cell r="BS304">
            <v>50.363999999999997</v>
          </cell>
          <cell r="BT304">
            <v>8.9689999999999994</v>
          </cell>
          <cell r="BX304">
            <v>166</v>
          </cell>
          <cell r="BY304">
            <v>50.363999999999997</v>
          </cell>
          <cell r="BZ304">
            <v>9.077</v>
          </cell>
          <cell r="CD304">
            <v>166</v>
          </cell>
          <cell r="CE304">
            <v>50.363999999999997</v>
          </cell>
          <cell r="CF304">
            <v>9.3680000000000003</v>
          </cell>
          <cell r="CJ304">
            <v>170</v>
          </cell>
          <cell r="CK304">
            <v>51.578000000000003</v>
          </cell>
          <cell r="CL304">
            <v>10.754</v>
          </cell>
          <cell r="CP304">
            <v>1000</v>
          </cell>
          <cell r="CQ304">
            <v>303.39800000000002</v>
          </cell>
          <cell r="CR304">
            <v>55.394000000000005</v>
          </cell>
          <cell r="CS304">
            <v>18.257865905510254</v>
          </cell>
          <cell r="CX304">
            <v>0</v>
          </cell>
          <cell r="CY304">
            <v>0</v>
          </cell>
          <cell r="CZ304">
            <v>0</v>
          </cell>
          <cell r="DA304">
            <v>0</v>
          </cell>
          <cell r="DF304">
            <v>0</v>
          </cell>
          <cell r="DG304">
            <v>0</v>
          </cell>
          <cell r="DH304">
            <v>0</v>
          </cell>
          <cell r="DI304">
            <v>0</v>
          </cell>
          <cell r="DN304">
            <v>498</v>
          </cell>
          <cell r="DO304">
            <v>151.09199999999998</v>
          </cell>
          <cell r="DP304">
            <v>26.195</v>
          </cell>
          <cell r="DQ304">
            <v>17.337119106239911</v>
          </cell>
          <cell r="DV304">
            <v>502</v>
          </cell>
          <cell r="DW304">
            <v>152.30599999999998</v>
          </cell>
          <cell r="DX304">
            <v>29.198999999999998</v>
          </cell>
          <cell r="DY304">
            <v>19.171273620211942</v>
          </cell>
        </row>
        <row r="305">
          <cell r="F305">
            <v>17209.804</v>
          </cell>
          <cell r="G305">
            <v>3854.9549999999999</v>
          </cell>
          <cell r="H305">
            <v>248.17699999999999</v>
          </cell>
          <cell r="I305">
            <v>6.437870221571977</v>
          </cell>
          <cell r="N305">
            <v>760</v>
          </cell>
          <cell r="O305">
            <v>167.13899999999998</v>
          </cell>
          <cell r="P305">
            <v>-33.418999999999997</v>
          </cell>
          <cell r="T305">
            <v>795</v>
          </cell>
          <cell r="U305">
            <v>175.09799999999998</v>
          </cell>
          <cell r="V305">
            <v>-34.68</v>
          </cell>
          <cell r="Z305">
            <v>800.80600000000004</v>
          </cell>
          <cell r="AA305">
            <v>176.31099999999998</v>
          </cell>
          <cell r="AB305">
            <v>-29.182000000000002</v>
          </cell>
          <cell r="AF305">
            <v>841.60599999999999</v>
          </cell>
          <cell r="AG305">
            <v>188.01599999999999</v>
          </cell>
          <cell r="AH305">
            <v>-27.198</v>
          </cell>
          <cell r="AL305">
            <v>801.67200000000003</v>
          </cell>
          <cell r="AM305">
            <v>180.44399999999999</v>
          </cell>
          <cell r="AN305">
            <v>-10.622000000000002</v>
          </cell>
          <cell r="AR305">
            <v>1030</v>
          </cell>
          <cell r="AS305">
            <v>229.40899999999999</v>
          </cell>
          <cell r="AT305">
            <v>-2.211000000000003</v>
          </cell>
          <cell r="AX305">
            <v>5029.0839999999998</v>
          </cell>
          <cell r="AY305">
            <v>1116.4170000000001</v>
          </cell>
          <cell r="AZ305">
            <v>-137.31200000000001</v>
          </cell>
          <cell r="BA305">
            <v>-12.299346928611801</v>
          </cell>
          <cell r="BF305">
            <v>1671.3440000000001</v>
          </cell>
          <cell r="BG305">
            <v>385.584</v>
          </cell>
          <cell r="BH305">
            <v>38.411000000000001</v>
          </cell>
          <cell r="BL305">
            <v>1985.3440000000001</v>
          </cell>
          <cell r="BM305">
            <v>445.59800000000001</v>
          </cell>
          <cell r="BN305">
            <v>53.128</v>
          </cell>
          <cell r="BR305">
            <v>2001.3440000000001</v>
          </cell>
          <cell r="BS305">
            <v>450.25999999999993</v>
          </cell>
          <cell r="BT305">
            <v>55.878</v>
          </cell>
          <cell r="BX305">
            <v>2070.3440000000001</v>
          </cell>
          <cell r="BY305">
            <v>461.54499999999996</v>
          </cell>
          <cell r="BZ305">
            <v>71.765000000000001</v>
          </cell>
          <cell r="CD305">
            <v>2095.3440000000001</v>
          </cell>
          <cell r="CE305">
            <v>468.0569999999999</v>
          </cell>
          <cell r="CF305">
            <v>74.872</v>
          </cell>
          <cell r="CJ305">
            <v>2357</v>
          </cell>
          <cell r="CK305">
            <v>527.49400000000003</v>
          </cell>
          <cell r="CL305">
            <v>91.435000000000016</v>
          </cell>
          <cell r="CP305">
            <v>12180.720000000001</v>
          </cell>
          <cell r="CQ305">
            <v>2738.538</v>
          </cell>
          <cell r="CR305">
            <v>385.48899999999998</v>
          </cell>
          <cell r="CS305">
            <v>14.076452472085469</v>
          </cell>
          <cell r="CX305">
            <v>2355.806</v>
          </cell>
          <cell r="CY305">
            <v>518.548</v>
          </cell>
          <cell r="CZ305">
            <v>-97.281000000000006</v>
          </cell>
          <cell r="DA305">
            <v>-18.760269058987792</v>
          </cell>
          <cell r="DF305">
            <v>2673.2780000000002</v>
          </cell>
          <cell r="DG305">
            <v>597.86900000000003</v>
          </cell>
          <cell r="DH305">
            <v>-40.030999999999999</v>
          </cell>
          <cell r="DI305">
            <v>-6.6956139221133721</v>
          </cell>
          <cell r="DN305">
            <v>5658.0320000000002</v>
          </cell>
          <cell r="DO305">
            <v>1281.442</v>
          </cell>
          <cell r="DP305">
            <v>147.417</v>
          </cell>
          <cell r="DQ305">
            <v>11.503993157708269</v>
          </cell>
          <cell r="DV305">
            <v>6522.6880000000001</v>
          </cell>
          <cell r="DW305">
            <v>1457.096</v>
          </cell>
          <cell r="DX305">
            <v>238.072</v>
          </cell>
          <cell r="DY305">
            <v>16.33879991435019</v>
          </cell>
        </row>
        <row r="306">
          <cell r="F306">
            <v>508</v>
          </cell>
          <cell r="G306">
            <v>26.576999999999998</v>
          </cell>
          <cell r="H306">
            <v>-8.9640000000000004</v>
          </cell>
          <cell r="I306">
            <v>-33.728411784625806</v>
          </cell>
          <cell r="N306">
            <v>40</v>
          </cell>
          <cell r="O306">
            <v>2.1219999999999999</v>
          </cell>
          <cell r="P306">
            <v>0.16600000000000001</v>
          </cell>
          <cell r="T306">
            <v>31</v>
          </cell>
          <cell r="U306">
            <v>1.645</v>
          </cell>
          <cell r="V306">
            <v>0.129</v>
          </cell>
          <cell r="Z306">
            <v>31</v>
          </cell>
          <cell r="AA306">
            <v>1.645</v>
          </cell>
          <cell r="AB306">
            <v>-4.9000000000000002E-2</v>
          </cell>
          <cell r="AF306">
            <v>31</v>
          </cell>
          <cell r="AG306">
            <v>1.645</v>
          </cell>
          <cell r="AH306">
            <v>-0.33900000000000002</v>
          </cell>
          <cell r="AL306">
            <v>36</v>
          </cell>
          <cell r="AM306">
            <v>1.91</v>
          </cell>
          <cell r="AN306">
            <v>-0.56299999999999994</v>
          </cell>
          <cell r="AR306">
            <v>40</v>
          </cell>
          <cell r="AS306">
            <v>2.1219999999999999</v>
          </cell>
          <cell r="AT306">
            <v>-0.81899999999999995</v>
          </cell>
          <cell r="AX306">
            <v>209</v>
          </cell>
          <cell r="AY306">
            <v>11.088999999999999</v>
          </cell>
          <cell r="AZ306">
            <v>-1.4749999999999999</v>
          </cell>
          <cell r="BA306">
            <v>-13.301469925151052</v>
          </cell>
          <cell r="BF306">
            <v>50</v>
          </cell>
          <cell r="BG306">
            <v>2.59</v>
          </cell>
          <cell r="BH306">
            <v>-1.1850000000000001</v>
          </cell>
          <cell r="BL306">
            <v>50</v>
          </cell>
          <cell r="BM306">
            <v>2.59</v>
          </cell>
          <cell r="BN306">
            <v>-1.2849999999999999</v>
          </cell>
          <cell r="BR306">
            <v>49</v>
          </cell>
          <cell r="BS306">
            <v>2.5379999999999998</v>
          </cell>
          <cell r="BT306">
            <v>-1.2529999999999999</v>
          </cell>
          <cell r="BX306">
            <v>50</v>
          </cell>
          <cell r="BY306">
            <v>2.59</v>
          </cell>
          <cell r="BZ306">
            <v>-1.272</v>
          </cell>
          <cell r="CD306">
            <v>50</v>
          </cell>
          <cell r="CE306">
            <v>2.59</v>
          </cell>
          <cell r="CF306">
            <v>-1.2609999999999999</v>
          </cell>
          <cell r="CJ306">
            <v>50</v>
          </cell>
          <cell r="CK306">
            <v>2.59</v>
          </cell>
          <cell r="CL306">
            <v>-1.2330000000000001</v>
          </cell>
          <cell r="CP306">
            <v>299</v>
          </cell>
          <cell r="CQ306">
            <v>15.488</v>
          </cell>
          <cell r="CR306">
            <v>-7.4890000000000008</v>
          </cell>
          <cell r="CS306">
            <v>-48.353564049586787</v>
          </cell>
          <cell r="CX306">
            <v>102</v>
          </cell>
          <cell r="CY306">
            <v>5.4119999999999999</v>
          </cell>
          <cell r="CZ306">
            <v>0.24600000000000005</v>
          </cell>
          <cell r="DA306">
            <v>4.5454545454545459</v>
          </cell>
          <cell r="DF306">
            <v>107</v>
          </cell>
          <cell r="DG306">
            <v>5.6769999999999996</v>
          </cell>
          <cell r="DH306">
            <v>-1.7209999999999999</v>
          </cell>
          <cell r="DI306">
            <v>-30.315307380658794</v>
          </cell>
          <cell r="DN306">
            <v>149</v>
          </cell>
          <cell r="DO306">
            <v>7.718</v>
          </cell>
          <cell r="DP306">
            <v>-3.7229999999999999</v>
          </cell>
          <cell r="DQ306">
            <v>-48.237885462555063</v>
          </cell>
          <cell r="DV306">
            <v>150</v>
          </cell>
          <cell r="DW306">
            <v>7.77</v>
          </cell>
          <cell r="DX306">
            <v>-3.766</v>
          </cell>
          <cell r="DY306">
            <v>-48.468468468468473</v>
          </cell>
        </row>
        <row r="307">
          <cell r="F307">
            <v>1860</v>
          </cell>
          <cell r="G307">
            <v>291.61500000000001</v>
          </cell>
          <cell r="H307">
            <v>82.277999999999992</v>
          </cell>
          <cell r="I307">
            <v>28.21459801450542</v>
          </cell>
          <cell r="N307">
            <v>125</v>
          </cell>
          <cell r="O307">
            <v>19.898</v>
          </cell>
          <cell r="P307">
            <v>2.9209999999999998</v>
          </cell>
          <cell r="T307">
            <v>125</v>
          </cell>
          <cell r="U307">
            <v>19.898</v>
          </cell>
          <cell r="V307">
            <v>4.202</v>
          </cell>
          <cell r="Z307">
            <v>100</v>
          </cell>
          <cell r="AA307">
            <v>15.917999999999999</v>
          </cell>
          <cell r="AB307">
            <v>1.617</v>
          </cell>
          <cell r="AF307">
            <v>100</v>
          </cell>
          <cell r="AG307">
            <v>15.917999999999999</v>
          </cell>
          <cell r="AH307">
            <v>3.5950000000000002</v>
          </cell>
          <cell r="AL307">
            <v>100</v>
          </cell>
          <cell r="AM307">
            <v>15.917999999999999</v>
          </cell>
          <cell r="AN307">
            <v>2.4670000000000001</v>
          </cell>
          <cell r="AR307">
            <v>130</v>
          </cell>
          <cell r="AS307">
            <v>20.693000000000001</v>
          </cell>
          <cell r="AT307">
            <v>4.5039999999999996</v>
          </cell>
          <cell r="AX307">
            <v>680</v>
          </cell>
          <cell r="AY307">
            <v>108.24299999999999</v>
          </cell>
          <cell r="AZ307">
            <v>19.305999999999997</v>
          </cell>
          <cell r="BA307">
            <v>17.835795386306735</v>
          </cell>
          <cell r="BF307">
            <v>175</v>
          </cell>
          <cell r="BG307">
            <v>27.195</v>
          </cell>
          <cell r="BH307">
            <v>8.6180000000000003</v>
          </cell>
          <cell r="BL307">
            <v>180</v>
          </cell>
          <cell r="BM307">
            <v>27.972000000000001</v>
          </cell>
          <cell r="BN307">
            <v>9.7569999999999997</v>
          </cell>
          <cell r="BR307">
            <v>185</v>
          </cell>
          <cell r="BS307">
            <v>28.748999999999999</v>
          </cell>
          <cell r="BT307">
            <v>9.4529999999999994</v>
          </cell>
          <cell r="BX307">
            <v>190</v>
          </cell>
          <cell r="BY307">
            <v>29.526</v>
          </cell>
          <cell r="BZ307">
            <v>10.144</v>
          </cell>
          <cell r="CD307">
            <v>210</v>
          </cell>
          <cell r="CE307">
            <v>32.634</v>
          </cell>
          <cell r="CF307">
            <v>11.526</v>
          </cell>
          <cell r="CJ307">
            <v>240</v>
          </cell>
          <cell r="CK307">
            <v>37.295999999999999</v>
          </cell>
          <cell r="CL307">
            <v>13.474</v>
          </cell>
          <cell r="CP307">
            <v>1180</v>
          </cell>
          <cell r="CQ307">
            <v>183.37200000000001</v>
          </cell>
          <cell r="CR307">
            <v>62.971999999999994</v>
          </cell>
          <cell r="CS307">
            <v>34.341120781798736</v>
          </cell>
          <cell r="CX307">
            <v>350</v>
          </cell>
          <cell r="CY307">
            <v>55.713999999999999</v>
          </cell>
          <cell r="CZ307">
            <v>8.7399999999999984</v>
          </cell>
          <cell r="DA307">
            <v>15.687259934666328</v>
          </cell>
          <cell r="DF307">
            <v>330</v>
          </cell>
          <cell r="DG307">
            <v>52.528999999999996</v>
          </cell>
          <cell r="DH307">
            <v>10.565999999999999</v>
          </cell>
          <cell r="DI307">
            <v>20.114603361952444</v>
          </cell>
          <cell r="DN307">
            <v>540</v>
          </cell>
          <cell r="DO307">
            <v>83.915999999999997</v>
          </cell>
          <cell r="DP307">
            <v>27.827999999999999</v>
          </cell>
          <cell r="DQ307">
            <v>33.161733161733167</v>
          </cell>
          <cell r="DV307">
            <v>640</v>
          </cell>
          <cell r="DW307">
            <v>99.455999999999989</v>
          </cell>
          <cell r="DX307">
            <v>35.144000000000005</v>
          </cell>
          <cell r="DY307">
            <v>35.336229086229096</v>
          </cell>
        </row>
        <row r="308">
          <cell r="F308">
            <v>0</v>
          </cell>
          <cell r="G308">
            <v>0</v>
          </cell>
          <cell r="H308">
            <v>0</v>
          </cell>
          <cell r="I308">
            <v>0</v>
          </cell>
          <cell r="AX308">
            <v>0</v>
          </cell>
          <cell r="AY308">
            <v>0</v>
          </cell>
          <cell r="AZ308">
            <v>0</v>
          </cell>
          <cell r="BA308">
            <v>0</v>
          </cell>
          <cell r="CP308">
            <v>0</v>
          </cell>
          <cell r="CQ308">
            <v>0</v>
          </cell>
          <cell r="CR308">
            <v>0</v>
          </cell>
          <cell r="CS308">
            <v>0</v>
          </cell>
          <cell r="CX308">
            <v>0</v>
          </cell>
          <cell r="CY308">
            <v>0</v>
          </cell>
          <cell r="CZ308">
            <v>0</v>
          </cell>
          <cell r="DA308">
            <v>0</v>
          </cell>
          <cell r="DF308">
            <v>0</v>
          </cell>
          <cell r="DG308">
            <v>0</v>
          </cell>
          <cell r="DH308">
            <v>0</v>
          </cell>
          <cell r="DI308">
            <v>0</v>
          </cell>
          <cell r="DN308">
            <v>0</v>
          </cell>
          <cell r="DO308">
            <v>0</v>
          </cell>
          <cell r="DP308">
            <v>0</v>
          </cell>
          <cell r="DQ308">
            <v>0</v>
          </cell>
          <cell r="DV308">
            <v>0</v>
          </cell>
          <cell r="DW308">
            <v>0</v>
          </cell>
          <cell r="DX308">
            <v>0</v>
          </cell>
          <cell r="DY308">
            <v>0</v>
          </cell>
        </row>
        <row r="309">
          <cell r="F309">
            <v>0</v>
          </cell>
          <cell r="G309">
            <v>0</v>
          </cell>
          <cell r="H309">
            <v>0</v>
          </cell>
          <cell r="I309">
            <v>0</v>
          </cell>
          <cell r="AX309">
            <v>0</v>
          </cell>
          <cell r="AY309">
            <v>0</v>
          </cell>
          <cell r="AZ309">
            <v>0</v>
          </cell>
          <cell r="BA309">
            <v>0</v>
          </cell>
          <cell r="CP309">
            <v>0</v>
          </cell>
          <cell r="CQ309">
            <v>0</v>
          </cell>
          <cell r="CR309">
            <v>0</v>
          </cell>
          <cell r="CS309">
            <v>0</v>
          </cell>
          <cell r="CX309">
            <v>0</v>
          </cell>
          <cell r="CY309">
            <v>0</v>
          </cell>
          <cell r="CZ309">
            <v>0</v>
          </cell>
          <cell r="DA309">
            <v>0</v>
          </cell>
          <cell r="DF309">
            <v>0</v>
          </cell>
          <cell r="DG309">
            <v>0</v>
          </cell>
          <cell r="DH309">
            <v>0</v>
          </cell>
          <cell r="DI309">
            <v>0</v>
          </cell>
          <cell r="DN309">
            <v>0</v>
          </cell>
          <cell r="DO309">
            <v>0</v>
          </cell>
          <cell r="DP309">
            <v>0</v>
          </cell>
          <cell r="DQ309">
            <v>0</v>
          </cell>
          <cell r="DV309">
            <v>0</v>
          </cell>
          <cell r="DW309">
            <v>0</v>
          </cell>
          <cell r="DX309">
            <v>0</v>
          </cell>
          <cell r="DY309">
            <v>0</v>
          </cell>
        </row>
        <row r="310">
          <cell r="F310">
            <v>0</v>
          </cell>
          <cell r="G310">
            <v>0</v>
          </cell>
          <cell r="H310">
            <v>0</v>
          </cell>
          <cell r="I310">
            <v>0</v>
          </cell>
          <cell r="AX310">
            <v>0</v>
          </cell>
          <cell r="AY310">
            <v>0</v>
          </cell>
          <cell r="AZ310">
            <v>0</v>
          </cell>
          <cell r="BA310">
            <v>0</v>
          </cell>
          <cell r="CP310">
            <v>0</v>
          </cell>
          <cell r="CQ310">
            <v>0</v>
          </cell>
          <cell r="CR310">
            <v>0</v>
          </cell>
          <cell r="CS310">
            <v>0</v>
          </cell>
          <cell r="CX310">
            <v>0</v>
          </cell>
          <cell r="CY310">
            <v>0</v>
          </cell>
          <cell r="CZ310">
            <v>0</v>
          </cell>
          <cell r="DA310">
            <v>0</v>
          </cell>
          <cell r="DF310">
            <v>0</v>
          </cell>
          <cell r="DG310">
            <v>0</v>
          </cell>
          <cell r="DH310">
            <v>0</v>
          </cell>
          <cell r="DI310">
            <v>0</v>
          </cell>
          <cell r="DN310">
            <v>0</v>
          </cell>
          <cell r="DO310">
            <v>0</v>
          </cell>
          <cell r="DP310">
            <v>0</v>
          </cell>
          <cell r="DQ310">
            <v>0</v>
          </cell>
          <cell r="DV310">
            <v>0</v>
          </cell>
          <cell r="DW310">
            <v>0</v>
          </cell>
          <cell r="DX310">
            <v>0</v>
          </cell>
          <cell r="DY310">
            <v>0</v>
          </cell>
        </row>
        <row r="311">
          <cell r="F311">
            <v>0</v>
          </cell>
          <cell r="G311">
            <v>0</v>
          </cell>
          <cell r="H311">
            <v>0</v>
          </cell>
          <cell r="I311">
            <v>0</v>
          </cell>
          <cell r="AX311">
            <v>0</v>
          </cell>
          <cell r="AY311">
            <v>0</v>
          </cell>
          <cell r="AZ311">
            <v>0</v>
          </cell>
          <cell r="BA311">
            <v>0</v>
          </cell>
          <cell r="CP311">
            <v>0</v>
          </cell>
          <cell r="CQ311">
            <v>0</v>
          </cell>
          <cell r="CR311">
            <v>0</v>
          </cell>
          <cell r="CS311">
            <v>0</v>
          </cell>
          <cell r="CX311">
            <v>0</v>
          </cell>
          <cell r="CY311">
            <v>0</v>
          </cell>
          <cell r="CZ311">
            <v>0</v>
          </cell>
          <cell r="DA311">
            <v>0</v>
          </cell>
          <cell r="DF311">
            <v>0</v>
          </cell>
          <cell r="DG311">
            <v>0</v>
          </cell>
          <cell r="DH311">
            <v>0</v>
          </cell>
          <cell r="DI311">
            <v>0</v>
          </cell>
          <cell r="DN311">
            <v>0</v>
          </cell>
          <cell r="DO311">
            <v>0</v>
          </cell>
          <cell r="DP311">
            <v>0</v>
          </cell>
          <cell r="DQ311">
            <v>0</v>
          </cell>
          <cell r="DV311">
            <v>0</v>
          </cell>
          <cell r="DW311">
            <v>0</v>
          </cell>
          <cell r="DX311">
            <v>0</v>
          </cell>
          <cell r="DY311">
            <v>0</v>
          </cell>
        </row>
        <row r="312">
          <cell r="F312">
            <v>0</v>
          </cell>
          <cell r="G312">
            <v>0</v>
          </cell>
          <cell r="H312">
            <v>0</v>
          </cell>
          <cell r="I312">
            <v>0</v>
          </cell>
          <cell r="AX312">
            <v>0</v>
          </cell>
          <cell r="AY312">
            <v>0</v>
          </cell>
          <cell r="AZ312">
            <v>0</v>
          </cell>
          <cell r="BA312">
            <v>0</v>
          </cell>
          <cell r="CP312">
            <v>0</v>
          </cell>
          <cell r="CQ312">
            <v>0</v>
          </cell>
          <cell r="CR312">
            <v>0</v>
          </cell>
          <cell r="CS312">
            <v>0</v>
          </cell>
          <cell r="CX312">
            <v>0</v>
          </cell>
          <cell r="CY312">
            <v>0</v>
          </cell>
          <cell r="CZ312">
            <v>0</v>
          </cell>
          <cell r="DA312">
            <v>0</v>
          </cell>
          <cell r="DF312">
            <v>0</v>
          </cell>
          <cell r="DG312">
            <v>0</v>
          </cell>
          <cell r="DH312">
            <v>0</v>
          </cell>
          <cell r="DI312">
            <v>0</v>
          </cell>
          <cell r="DN312">
            <v>0</v>
          </cell>
          <cell r="DO312">
            <v>0</v>
          </cell>
          <cell r="DP312">
            <v>0</v>
          </cell>
          <cell r="DQ312">
            <v>0</v>
          </cell>
          <cell r="DV312">
            <v>0</v>
          </cell>
          <cell r="DW312">
            <v>0</v>
          </cell>
          <cell r="DX312">
            <v>0</v>
          </cell>
          <cell r="DY312">
            <v>0</v>
          </cell>
        </row>
        <row r="313">
          <cell r="F313">
            <v>2368</v>
          </cell>
          <cell r="G313">
            <v>318.19200000000001</v>
          </cell>
          <cell r="H313">
            <v>73.313999999999993</v>
          </cell>
          <cell r="I313">
            <v>23.04080555136521</v>
          </cell>
          <cell r="N313">
            <v>165</v>
          </cell>
          <cell r="O313">
            <v>22.02</v>
          </cell>
          <cell r="P313">
            <v>3.0869999999999997</v>
          </cell>
          <cell r="T313">
            <v>156</v>
          </cell>
          <cell r="U313">
            <v>21.542999999999999</v>
          </cell>
          <cell r="V313">
            <v>4.3309999999999995</v>
          </cell>
          <cell r="Z313">
            <v>131</v>
          </cell>
          <cell r="AA313">
            <v>17.562999999999999</v>
          </cell>
          <cell r="AB313">
            <v>1.5680000000000001</v>
          </cell>
          <cell r="AF313">
            <v>131</v>
          </cell>
          <cell r="AG313">
            <v>17.562999999999999</v>
          </cell>
          <cell r="AH313">
            <v>3.2560000000000002</v>
          </cell>
          <cell r="AL313">
            <v>136</v>
          </cell>
          <cell r="AM313">
            <v>17.827999999999999</v>
          </cell>
          <cell r="AN313">
            <v>1.9040000000000001</v>
          </cell>
          <cell r="AR313">
            <v>170</v>
          </cell>
          <cell r="AS313">
            <v>22.815000000000001</v>
          </cell>
          <cell r="AT313">
            <v>3.6849999999999996</v>
          </cell>
          <cell r="AX313">
            <v>889</v>
          </cell>
          <cell r="AY313">
            <v>119.33199999999999</v>
          </cell>
          <cell r="AZ313">
            <v>17.830999999999996</v>
          </cell>
          <cell r="BA313">
            <v>14.942345724533231</v>
          </cell>
          <cell r="BF313">
            <v>225</v>
          </cell>
          <cell r="BG313">
            <v>29.785</v>
          </cell>
          <cell r="BH313">
            <v>7.4329999999999998</v>
          </cell>
          <cell r="BL313">
            <v>230</v>
          </cell>
          <cell r="BM313">
            <v>30.562000000000001</v>
          </cell>
          <cell r="BN313">
            <v>8.4719999999999995</v>
          </cell>
          <cell r="BR313">
            <v>234</v>
          </cell>
          <cell r="BS313">
            <v>31.286999999999999</v>
          </cell>
          <cell r="BT313">
            <v>8.1999999999999993</v>
          </cell>
          <cell r="BX313">
            <v>240</v>
          </cell>
          <cell r="BY313">
            <v>32.116</v>
          </cell>
          <cell r="BZ313">
            <v>8.8719999999999999</v>
          </cell>
          <cell r="CD313">
            <v>260</v>
          </cell>
          <cell r="CE313">
            <v>35.224000000000004</v>
          </cell>
          <cell r="CF313">
            <v>10.265000000000001</v>
          </cell>
          <cell r="CJ313">
            <v>290</v>
          </cell>
          <cell r="CK313">
            <v>39.885999999999996</v>
          </cell>
          <cell r="CL313">
            <v>12.241</v>
          </cell>
          <cell r="CP313">
            <v>1479</v>
          </cell>
          <cell r="CQ313">
            <v>198.86</v>
          </cell>
          <cell r="CR313">
            <v>55.48299999999999</v>
          </cell>
          <cell r="CS313">
            <v>27.900533038318407</v>
          </cell>
          <cell r="CX313">
            <v>452</v>
          </cell>
          <cell r="CY313">
            <v>61.125999999999998</v>
          </cell>
          <cell r="CZ313">
            <v>8.9859999999999989</v>
          </cell>
          <cell r="DA313">
            <v>14.700781991296665</v>
          </cell>
          <cell r="DF313">
            <v>437</v>
          </cell>
          <cell r="DG313">
            <v>58.205999999999996</v>
          </cell>
          <cell r="DH313">
            <v>8.8449999999999989</v>
          </cell>
          <cell r="DI313">
            <v>15.196027900903687</v>
          </cell>
          <cell r="DN313">
            <v>689</v>
          </cell>
          <cell r="DO313">
            <v>91.634</v>
          </cell>
          <cell r="DP313">
            <v>24.105</v>
          </cell>
          <cell r="DQ313">
            <v>26.305738044830523</v>
          </cell>
          <cell r="DV313">
            <v>790</v>
          </cell>
          <cell r="DW313">
            <v>107.22599999999998</v>
          </cell>
          <cell r="DX313">
            <v>31.378000000000007</v>
          </cell>
          <cell r="DY313">
            <v>29.26342491559884</v>
          </cell>
        </row>
        <row r="314">
          <cell r="F314">
            <v>200</v>
          </cell>
          <cell r="G314">
            <v>164.38400000000001</v>
          </cell>
          <cell r="H314">
            <v>44.445000000000007</v>
          </cell>
          <cell r="I314">
            <v>27.037302900525599</v>
          </cell>
          <cell r="N314">
            <v>10</v>
          </cell>
          <cell r="O314">
            <v>8.3379999999999992</v>
          </cell>
          <cell r="P314">
            <v>0.434</v>
          </cell>
          <cell r="T314">
            <v>15</v>
          </cell>
          <cell r="U314">
            <v>12.507</v>
          </cell>
          <cell r="V314">
            <v>0.65100000000000002</v>
          </cell>
          <cell r="Z314">
            <v>15</v>
          </cell>
          <cell r="AA314">
            <v>12.507</v>
          </cell>
          <cell r="AB314">
            <v>0.65100000000000002</v>
          </cell>
          <cell r="AF314">
            <v>15</v>
          </cell>
          <cell r="AG314">
            <v>12.507</v>
          </cell>
          <cell r="AH314">
            <v>2.121</v>
          </cell>
          <cell r="AL314">
            <v>10</v>
          </cell>
          <cell r="AM314">
            <v>8.3379999999999992</v>
          </cell>
          <cell r="AN314">
            <v>1.843</v>
          </cell>
          <cell r="AR314">
            <v>15</v>
          </cell>
          <cell r="AS314">
            <v>12.507</v>
          </cell>
          <cell r="AT314">
            <v>3.0670000000000002</v>
          </cell>
          <cell r="AX314">
            <v>80</v>
          </cell>
          <cell r="AY314">
            <v>66.703999999999994</v>
          </cell>
          <cell r="AZ314">
            <v>8.7669999999999995</v>
          </cell>
          <cell r="BA314">
            <v>13.143139841688656</v>
          </cell>
          <cell r="BF314">
            <v>20</v>
          </cell>
          <cell r="BG314">
            <v>16.28</v>
          </cell>
          <cell r="BH314">
            <v>5.0119999999999996</v>
          </cell>
          <cell r="BL314">
            <v>20</v>
          </cell>
          <cell r="BM314">
            <v>16.28</v>
          </cell>
          <cell r="BN314">
            <v>5.8109999999999999</v>
          </cell>
          <cell r="BR314">
            <v>15</v>
          </cell>
          <cell r="BS314">
            <v>12.21</v>
          </cell>
          <cell r="BT314">
            <v>4.484</v>
          </cell>
          <cell r="BX314">
            <v>20</v>
          </cell>
          <cell r="BY314">
            <v>16.28</v>
          </cell>
          <cell r="BZ314">
            <v>6.1280000000000001</v>
          </cell>
          <cell r="CD314">
            <v>25</v>
          </cell>
          <cell r="CE314">
            <v>20.350000000000001</v>
          </cell>
          <cell r="CF314">
            <v>7.835</v>
          </cell>
          <cell r="CJ314">
            <v>20</v>
          </cell>
          <cell r="CK314">
            <v>16.28</v>
          </cell>
          <cell r="CL314">
            <v>6.4080000000000004</v>
          </cell>
          <cell r="CP314">
            <v>120</v>
          </cell>
          <cell r="CQ314">
            <v>97.68</v>
          </cell>
          <cell r="CR314">
            <v>35.678000000000004</v>
          </cell>
          <cell r="CS314">
            <v>36.525389025389025</v>
          </cell>
          <cell r="CX314">
            <v>40</v>
          </cell>
          <cell r="CY314">
            <v>33.351999999999997</v>
          </cell>
          <cell r="CZ314">
            <v>1.736</v>
          </cell>
          <cell r="DA314">
            <v>5.2050851523147044</v>
          </cell>
          <cell r="DF314">
            <v>40</v>
          </cell>
          <cell r="DG314">
            <v>33.351999999999997</v>
          </cell>
          <cell r="DH314">
            <v>7.0310000000000006</v>
          </cell>
          <cell r="DI314">
            <v>21.081194531062607</v>
          </cell>
          <cell r="DN314">
            <v>55</v>
          </cell>
          <cell r="DO314">
            <v>44.77</v>
          </cell>
          <cell r="DP314">
            <v>15.307</v>
          </cell>
          <cell r="DQ314">
            <v>34.190306008487823</v>
          </cell>
          <cell r="DV314">
            <v>65</v>
          </cell>
          <cell r="DW314">
            <v>52.910000000000004</v>
          </cell>
          <cell r="DX314">
            <v>20.371000000000002</v>
          </cell>
          <cell r="DY314">
            <v>38.501228501228503</v>
          </cell>
        </row>
        <row r="315">
          <cell r="F315">
            <v>1116</v>
          </cell>
          <cell r="G315">
            <v>1002.176</v>
          </cell>
          <cell r="H315">
            <v>397.94599999999997</v>
          </cell>
          <cell r="I315">
            <v>39.708194967750174</v>
          </cell>
          <cell r="N315">
            <v>80</v>
          </cell>
          <cell r="O315">
            <v>72.768000000000001</v>
          </cell>
          <cell r="P315">
            <v>23.283999999999999</v>
          </cell>
          <cell r="T315">
            <v>86</v>
          </cell>
          <cell r="U315">
            <v>78.225999999999999</v>
          </cell>
          <cell r="V315">
            <v>26.536999999999999</v>
          </cell>
          <cell r="Z315">
            <v>80</v>
          </cell>
          <cell r="AA315">
            <v>72.768000000000001</v>
          </cell>
          <cell r="AB315">
            <v>24.529</v>
          </cell>
          <cell r="AF315">
            <v>75</v>
          </cell>
          <cell r="AG315">
            <v>68.22</v>
          </cell>
          <cell r="AH315">
            <v>22.707999999999998</v>
          </cell>
          <cell r="AL315">
            <v>91</v>
          </cell>
          <cell r="AM315">
            <v>82.774000000000001</v>
          </cell>
          <cell r="AN315">
            <v>28.678000000000001</v>
          </cell>
          <cell r="AR315">
            <v>105</v>
          </cell>
          <cell r="AS315">
            <v>95.507999999999996</v>
          </cell>
          <cell r="AT315">
            <v>34.380000000000003</v>
          </cell>
          <cell r="AX315">
            <v>517</v>
          </cell>
          <cell r="AY315">
            <v>470.26400000000001</v>
          </cell>
          <cell r="AZ315">
            <v>160.11599999999999</v>
          </cell>
          <cell r="BA315">
            <v>34.048109147202425</v>
          </cell>
          <cell r="BF315">
            <v>95</v>
          </cell>
          <cell r="BG315">
            <v>84.36</v>
          </cell>
          <cell r="BH315">
            <v>32.390999999999998</v>
          </cell>
          <cell r="BL315">
            <v>85</v>
          </cell>
          <cell r="BM315">
            <v>75.48</v>
          </cell>
          <cell r="BN315">
            <v>31.875</v>
          </cell>
          <cell r="BR315">
            <v>84</v>
          </cell>
          <cell r="BS315">
            <v>74.591999999999999</v>
          </cell>
          <cell r="BT315">
            <v>33.643999999999998</v>
          </cell>
          <cell r="BX315">
            <v>95</v>
          </cell>
          <cell r="BY315">
            <v>84.36</v>
          </cell>
          <cell r="BZ315">
            <v>38.445999999999998</v>
          </cell>
          <cell r="CD315">
            <v>110</v>
          </cell>
          <cell r="CE315">
            <v>97.68</v>
          </cell>
          <cell r="CF315">
            <v>46.338999999999999</v>
          </cell>
          <cell r="CJ315">
            <v>130</v>
          </cell>
          <cell r="CK315">
            <v>115.44</v>
          </cell>
          <cell r="CL315">
            <v>55.134999999999998</v>
          </cell>
          <cell r="CP315">
            <v>599</v>
          </cell>
          <cell r="CQ315">
            <v>531.91200000000003</v>
          </cell>
          <cell r="CR315">
            <v>237.82999999999998</v>
          </cell>
          <cell r="CS315">
            <v>44.712283234820795</v>
          </cell>
          <cell r="CX315">
            <v>246</v>
          </cell>
          <cell r="CY315">
            <v>223.762</v>
          </cell>
          <cell r="CZ315">
            <v>74.349999999999994</v>
          </cell>
          <cell r="DA315">
            <v>33.227268258238659</v>
          </cell>
          <cell r="DF315">
            <v>271</v>
          </cell>
          <cell r="DG315">
            <v>246.50200000000001</v>
          </cell>
          <cell r="DH315">
            <v>85.765999999999991</v>
          </cell>
          <cell r="DI315">
            <v>34.793226829802592</v>
          </cell>
          <cell r="DN315">
            <v>264</v>
          </cell>
          <cell r="DO315">
            <v>234.43200000000002</v>
          </cell>
          <cell r="DP315">
            <v>97.91</v>
          </cell>
          <cell r="DQ315">
            <v>41.764776139776131</v>
          </cell>
          <cell r="DV315">
            <v>335</v>
          </cell>
          <cell r="DW315">
            <v>297.48</v>
          </cell>
          <cell r="DX315">
            <v>139.91999999999999</v>
          </cell>
          <cell r="DY315">
            <v>47.035094796288817</v>
          </cell>
        </row>
        <row r="316">
          <cell r="F316">
            <v>200</v>
          </cell>
          <cell r="G316">
            <v>164.285</v>
          </cell>
          <cell r="H316">
            <v>59.657999999999994</v>
          </cell>
          <cell r="I316">
            <v>36.313723103143921</v>
          </cell>
          <cell r="N316">
            <v>10</v>
          </cell>
          <cell r="O316">
            <v>8.3379999999999992</v>
          </cell>
          <cell r="P316">
            <v>2.19</v>
          </cell>
          <cell r="T316">
            <v>10</v>
          </cell>
          <cell r="U316">
            <v>8.3379999999999992</v>
          </cell>
          <cell r="V316">
            <v>2.3519999999999999</v>
          </cell>
          <cell r="Z316">
            <v>15</v>
          </cell>
          <cell r="AA316">
            <v>12.507</v>
          </cell>
          <cell r="AB316">
            <v>3.4260000000000002</v>
          </cell>
          <cell r="AF316">
            <v>15</v>
          </cell>
          <cell r="AG316">
            <v>12.507</v>
          </cell>
          <cell r="AH316">
            <v>3.468</v>
          </cell>
          <cell r="AL316">
            <v>10</v>
          </cell>
          <cell r="AM316">
            <v>8.3379999999999992</v>
          </cell>
          <cell r="AN316">
            <v>2.4039999999999999</v>
          </cell>
          <cell r="AR316">
            <v>15</v>
          </cell>
          <cell r="AS316">
            <v>12.507</v>
          </cell>
          <cell r="AT316">
            <v>3.7629999999999999</v>
          </cell>
          <cell r="AX316">
            <v>75</v>
          </cell>
          <cell r="AY316">
            <v>62.534999999999997</v>
          </cell>
          <cell r="AZ316">
            <v>17.603000000000002</v>
          </cell>
          <cell r="BA316">
            <v>28.149036539537864</v>
          </cell>
          <cell r="BF316">
            <v>20</v>
          </cell>
          <cell r="BG316">
            <v>16.28</v>
          </cell>
          <cell r="BH316">
            <v>5.7839999999999998</v>
          </cell>
          <cell r="BL316">
            <v>20</v>
          </cell>
          <cell r="BM316">
            <v>16.28</v>
          </cell>
          <cell r="BN316">
            <v>6.5469999999999997</v>
          </cell>
          <cell r="BR316">
            <v>20</v>
          </cell>
          <cell r="BS316">
            <v>16.28</v>
          </cell>
          <cell r="BT316">
            <v>6.7350000000000003</v>
          </cell>
          <cell r="BX316">
            <v>20</v>
          </cell>
          <cell r="BY316">
            <v>16.28</v>
          </cell>
          <cell r="BZ316">
            <v>6.915</v>
          </cell>
          <cell r="CD316">
            <v>20</v>
          </cell>
          <cell r="CE316">
            <v>16.28</v>
          </cell>
          <cell r="CF316">
            <v>7.0679999999999996</v>
          </cell>
          <cell r="CJ316">
            <v>25</v>
          </cell>
          <cell r="CK316">
            <v>20.350000000000001</v>
          </cell>
          <cell r="CL316">
            <v>9.0060000000000002</v>
          </cell>
          <cell r="CP316">
            <v>125</v>
          </cell>
          <cell r="CQ316">
            <v>101.75</v>
          </cell>
          <cell r="CR316">
            <v>42.054999999999993</v>
          </cell>
          <cell r="CS316">
            <v>41.331695331695322</v>
          </cell>
          <cell r="CX316">
            <v>35</v>
          </cell>
          <cell r="CY316">
            <v>29.183</v>
          </cell>
          <cell r="CZ316">
            <v>7.968</v>
          </cell>
          <cell r="DA316">
            <v>27.303567145255798</v>
          </cell>
          <cell r="DF316">
            <v>40</v>
          </cell>
          <cell r="DG316">
            <v>33.351999999999997</v>
          </cell>
          <cell r="DH316">
            <v>9.6349999999999998</v>
          </cell>
          <cell r="DI316">
            <v>28.888822259534663</v>
          </cell>
          <cell r="DN316">
            <v>60</v>
          </cell>
          <cell r="DO316">
            <v>48.84</v>
          </cell>
          <cell r="DP316">
            <v>19.065999999999999</v>
          </cell>
          <cell r="DQ316">
            <v>39.03767403767403</v>
          </cell>
          <cell r="DV316">
            <v>65</v>
          </cell>
          <cell r="DW316">
            <v>52.910000000000004</v>
          </cell>
          <cell r="DX316">
            <v>22.989000000000001</v>
          </cell>
          <cell r="DY316">
            <v>43.449253449253447</v>
          </cell>
        </row>
        <row r="317">
          <cell r="F317">
            <v>0</v>
          </cell>
          <cell r="G317">
            <v>0</v>
          </cell>
          <cell r="H317">
            <v>0</v>
          </cell>
          <cell r="I317">
            <v>0</v>
          </cell>
          <cell r="AX317">
            <v>0</v>
          </cell>
          <cell r="AY317">
            <v>0</v>
          </cell>
          <cell r="AZ317">
            <v>0</v>
          </cell>
          <cell r="BA317">
            <v>0</v>
          </cell>
          <cell r="CP317">
            <v>0</v>
          </cell>
          <cell r="CQ317">
            <v>0</v>
          </cell>
          <cell r="CR317">
            <v>0</v>
          </cell>
          <cell r="CS317">
            <v>0</v>
          </cell>
          <cell r="CX317">
            <v>0</v>
          </cell>
          <cell r="CY317">
            <v>0</v>
          </cell>
          <cell r="CZ317">
            <v>0</v>
          </cell>
          <cell r="DA317">
            <v>0</v>
          </cell>
          <cell r="DF317">
            <v>0</v>
          </cell>
          <cell r="DG317">
            <v>0</v>
          </cell>
          <cell r="DH317">
            <v>0</v>
          </cell>
          <cell r="DI317">
            <v>0</v>
          </cell>
          <cell r="DN317">
            <v>0</v>
          </cell>
          <cell r="DO317">
            <v>0</v>
          </cell>
          <cell r="DP317">
            <v>0</v>
          </cell>
          <cell r="DQ317">
            <v>0</v>
          </cell>
          <cell r="DV317">
            <v>0</v>
          </cell>
          <cell r="DW317">
            <v>0</v>
          </cell>
          <cell r="DX317">
            <v>0</v>
          </cell>
          <cell r="DY317">
            <v>0</v>
          </cell>
        </row>
        <row r="318">
          <cell r="F318">
            <v>244</v>
          </cell>
          <cell r="G318">
            <v>189.58799999999997</v>
          </cell>
          <cell r="H318">
            <v>46.305999999999997</v>
          </cell>
          <cell r="I318">
            <v>24.424541637656393</v>
          </cell>
          <cell r="N318">
            <v>0</v>
          </cell>
          <cell r="O318">
            <v>0</v>
          </cell>
          <cell r="P318">
            <v>0</v>
          </cell>
          <cell r="T318">
            <v>0</v>
          </cell>
          <cell r="U318">
            <v>0</v>
          </cell>
          <cell r="V318">
            <v>0</v>
          </cell>
          <cell r="Z318">
            <v>0</v>
          </cell>
          <cell r="AA318">
            <v>0</v>
          </cell>
          <cell r="AB318">
            <v>0</v>
          </cell>
          <cell r="AF318">
            <v>0</v>
          </cell>
          <cell r="AG318">
            <v>0</v>
          </cell>
          <cell r="AH318">
            <v>0</v>
          </cell>
          <cell r="AL318">
            <v>0</v>
          </cell>
          <cell r="AM318">
            <v>0</v>
          </cell>
          <cell r="AN318">
            <v>0</v>
          </cell>
          <cell r="AR318">
            <v>0</v>
          </cell>
          <cell r="AS318">
            <v>0</v>
          </cell>
          <cell r="AT318">
            <v>0</v>
          </cell>
          <cell r="AX318">
            <v>0</v>
          </cell>
          <cell r="AY318">
            <v>0</v>
          </cell>
          <cell r="AZ318">
            <v>0</v>
          </cell>
          <cell r="BA318">
            <v>0</v>
          </cell>
          <cell r="BF318">
            <v>40</v>
          </cell>
          <cell r="BG318">
            <v>31.08</v>
          </cell>
          <cell r="BH318">
            <v>6.9359999999999999</v>
          </cell>
          <cell r="BL318">
            <v>30</v>
          </cell>
          <cell r="BM318">
            <v>23.31</v>
          </cell>
          <cell r="BN318">
            <v>5.7549999999999999</v>
          </cell>
          <cell r="BR318">
            <v>30</v>
          </cell>
          <cell r="BS318">
            <v>23.31</v>
          </cell>
          <cell r="BT318">
            <v>5.5940000000000003</v>
          </cell>
          <cell r="BX318">
            <v>37</v>
          </cell>
          <cell r="BY318">
            <v>28.748999999999999</v>
          </cell>
          <cell r="BZ318">
            <v>6.9740000000000002</v>
          </cell>
          <cell r="CD318">
            <v>47</v>
          </cell>
          <cell r="CE318">
            <v>36.518999999999998</v>
          </cell>
          <cell r="CF318">
            <v>9.1</v>
          </cell>
          <cell r="CJ318">
            <v>60</v>
          </cell>
          <cell r="CK318">
            <v>46.62</v>
          </cell>
          <cell r="CL318">
            <v>11.946999999999999</v>
          </cell>
          <cell r="CP318">
            <v>244</v>
          </cell>
          <cell r="CQ318">
            <v>189.58799999999997</v>
          </cell>
          <cell r="CR318">
            <v>46.305999999999997</v>
          </cell>
          <cell r="CS318">
            <v>24.424541637656393</v>
          </cell>
          <cell r="CX318">
            <v>0</v>
          </cell>
          <cell r="CY318">
            <v>0</v>
          </cell>
          <cell r="CZ318">
            <v>0</v>
          </cell>
          <cell r="DA318">
            <v>0</v>
          </cell>
          <cell r="DF318">
            <v>0</v>
          </cell>
          <cell r="DG318">
            <v>0</v>
          </cell>
          <cell r="DH318">
            <v>0</v>
          </cell>
          <cell r="DI318">
            <v>0</v>
          </cell>
          <cell r="DN318">
            <v>100</v>
          </cell>
          <cell r="DO318">
            <v>77.7</v>
          </cell>
          <cell r="DP318">
            <v>18.285</v>
          </cell>
          <cell r="DQ318">
            <v>23.532818532818531</v>
          </cell>
          <cell r="DV318">
            <v>144</v>
          </cell>
          <cell r="DW318">
            <v>111.88800000000001</v>
          </cell>
          <cell r="DX318">
            <v>28.020999999999997</v>
          </cell>
          <cell r="DY318">
            <v>25.043793793793789</v>
          </cell>
        </row>
        <row r="319">
          <cell r="F319">
            <v>100</v>
          </cell>
          <cell r="G319">
            <v>74.63</v>
          </cell>
          <cell r="H319">
            <v>25.255999999999997</v>
          </cell>
          <cell r="I319">
            <v>33.841618652016614</v>
          </cell>
          <cell r="N319">
            <v>5</v>
          </cell>
          <cell r="O319">
            <v>3.79</v>
          </cell>
          <cell r="P319">
            <v>0.92400000000000004</v>
          </cell>
          <cell r="T319">
            <v>5</v>
          </cell>
          <cell r="U319">
            <v>3.79</v>
          </cell>
          <cell r="V319">
            <v>1.05</v>
          </cell>
          <cell r="Z319">
            <v>5</v>
          </cell>
          <cell r="AA319">
            <v>3.79</v>
          </cell>
          <cell r="AB319">
            <v>0.97</v>
          </cell>
          <cell r="AF319">
            <v>5</v>
          </cell>
          <cell r="AG319">
            <v>3.79</v>
          </cell>
          <cell r="AH319">
            <v>0.97499999999999998</v>
          </cell>
          <cell r="AL319">
            <v>5</v>
          </cell>
          <cell r="AM319">
            <v>3.79</v>
          </cell>
          <cell r="AN319">
            <v>1.0049999999999999</v>
          </cell>
          <cell r="AR319">
            <v>10</v>
          </cell>
          <cell r="AS319">
            <v>7.58</v>
          </cell>
          <cell r="AT319">
            <v>2.0979999999999999</v>
          </cell>
          <cell r="AX319">
            <v>35</v>
          </cell>
          <cell r="AY319">
            <v>26.529999999999998</v>
          </cell>
          <cell r="AZ319">
            <v>7.0219999999999994</v>
          </cell>
          <cell r="BA319">
            <v>26.468149264983037</v>
          </cell>
          <cell r="BF319">
            <v>10</v>
          </cell>
          <cell r="BG319">
            <v>7.4</v>
          </cell>
          <cell r="BH319">
            <v>2.3039999999999998</v>
          </cell>
          <cell r="BL319">
            <v>10</v>
          </cell>
          <cell r="BM319">
            <v>7.4</v>
          </cell>
          <cell r="BN319">
            <v>2.7090000000000001</v>
          </cell>
          <cell r="BR319">
            <v>10</v>
          </cell>
          <cell r="BS319">
            <v>7.4</v>
          </cell>
          <cell r="BT319">
            <v>2.7879999999999998</v>
          </cell>
          <cell r="BX319">
            <v>10</v>
          </cell>
          <cell r="BY319">
            <v>7.4</v>
          </cell>
          <cell r="BZ319">
            <v>2.8980000000000001</v>
          </cell>
          <cell r="CD319">
            <v>10</v>
          </cell>
          <cell r="CE319">
            <v>7.4</v>
          </cell>
          <cell r="CF319">
            <v>2.9790000000000001</v>
          </cell>
          <cell r="CJ319">
            <v>15</v>
          </cell>
          <cell r="CK319">
            <v>11.1</v>
          </cell>
          <cell r="CL319">
            <v>4.556</v>
          </cell>
          <cell r="CP319">
            <v>65</v>
          </cell>
          <cell r="CQ319">
            <v>48.099999999999994</v>
          </cell>
          <cell r="CR319">
            <v>18.233999999999998</v>
          </cell>
          <cell r="CS319">
            <v>37.908523908523911</v>
          </cell>
          <cell r="CX319">
            <v>15</v>
          </cell>
          <cell r="CY319">
            <v>11.370000000000001</v>
          </cell>
          <cell r="CZ319">
            <v>2.944</v>
          </cell>
          <cell r="DA319">
            <v>25.892700087950743</v>
          </cell>
          <cell r="DF319">
            <v>20</v>
          </cell>
          <cell r="DG319">
            <v>15.16</v>
          </cell>
          <cell r="DH319">
            <v>4.0779999999999994</v>
          </cell>
          <cell r="DI319">
            <v>26.899736147757253</v>
          </cell>
          <cell r="DN319">
            <v>30</v>
          </cell>
          <cell r="DO319">
            <v>22.200000000000003</v>
          </cell>
          <cell r="DP319">
            <v>7.8010000000000002</v>
          </cell>
          <cell r="DQ319">
            <v>35.139639639639633</v>
          </cell>
          <cell r="DV319">
            <v>35</v>
          </cell>
          <cell r="DW319">
            <v>25.9</v>
          </cell>
          <cell r="DX319">
            <v>10.433</v>
          </cell>
          <cell r="DY319">
            <v>40.281853281853287</v>
          </cell>
        </row>
        <row r="320">
          <cell r="F320">
            <v>0</v>
          </cell>
          <cell r="G320">
            <v>0</v>
          </cell>
          <cell r="H320">
            <v>0</v>
          </cell>
          <cell r="I320">
            <v>0</v>
          </cell>
          <cell r="AX320">
            <v>0</v>
          </cell>
          <cell r="AY320">
            <v>0</v>
          </cell>
          <cell r="AZ320">
            <v>0</v>
          </cell>
          <cell r="BA320">
            <v>0</v>
          </cell>
          <cell r="CP320">
            <v>0</v>
          </cell>
          <cell r="CQ320">
            <v>0</v>
          </cell>
          <cell r="CR320">
            <v>0</v>
          </cell>
          <cell r="CS320">
            <v>0</v>
          </cell>
          <cell r="CX320">
            <v>0</v>
          </cell>
          <cell r="CY320">
            <v>0</v>
          </cell>
          <cell r="CZ320">
            <v>0</v>
          </cell>
          <cell r="DA320">
            <v>0</v>
          </cell>
          <cell r="DF320">
            <v>0</v>
          </cell>
          <cell r="DG320">
            <v>0</v>
          </cell>
          <cell r="DH320">
            <v>0</v>
          </cell>
          <cell r="DI320">
            <v>0</v>
          </cell>
          <cell r="DN320">
            <v>0</v>
          </cell>
          <cell r="DO320">
            <v>0</v>
          </cell>
          <cell r="DP320">
            <v>0</v>
          </cell>
          <cell r="DQ320">
            <v>0</v>
          </cell>
          <cell r="DV320">
            <v>0</v>
          </cell>
          <cell r="DW320">
            <v>0</v>
          </cell>
          <cell r="DX320">
            <v>0</v>
          </cell>
          <cell r="DY320">
            <v>0</v>
          </cell>
        </row>
        <row r="321">
          <cell r="F321">
            <v>0</v>
          </cell>
          <cell r="G321">
            <v>0</v>
          </cell>
          <cell r="H321">
            <v>0</v>
          </cell>
          <cell r="I321">
            <v>0</v>
          </cell>
          <cell r="N321">
            <v>0</v>
          </cell>
          <cell r="O321">
            <v>0</v>
          </cell>
          <cell r="T321">
            <v>0</v>
          </cell>
          <cell r="U321">
            <v>0</v>
          </cell>
          <cell r="Z321">
            <v>0</v>
          </cell>
          <cell r="AA321">
            <v>0</v>
          </cell>
          <cell r="AF321">
            <v>0</v>
          </cell>
          <cell r="AG321">
            <v>0</v>
          </cell>
          <cell r="AL321">
            <v>0</v>
          </cell>
          <cell r="AM321">
            <v>0</v>
          </cell>
          <cell r="AR321">
            <v>0</v>
          </cell>
          <cell r="AS321">
            <v>0</v>
          </cell>
          <cell r="AX321">
            <v>0</v>
          </cell>
          <cell r="AY321">
            <v>0</v>
          </cell>
          <cell r="AZ321">
            <v>0</v>
          </cell>
          <cell r="BA321">
            <v>0</v>
          </cell>
          <cell r="BF321">
            <v>0</v>
          </cell>
          <cell r="BG321">
            <v>0</v>
          </cell>
          <cell r="BL321">
            <v>0</v>
          </cell>
          <cell r="BM321">
            <v>0</v>
          </cell>
          <cell r="BR321">
            <v>0</v>
          </cell>
          <cell r="BS321">
            <v>0</v>
          </cell>
          <cell r="BX321">
            <v>0</v>
          </cell>
          <cell r="BY321">
            <v>0</v>
          </cell>
          <cell r="CD321">
            <v>0</v>
          </cell>
          <cell r="CE321">
            <v>0</v>
          </cell>
          <cell r="CJ321">
            <v>0</v>
          </cell>
          <cell r="CK321">
            <v>0</v>
          </cell>
          <cell r="CP321">
            <v>0</v>
          </cell>
          <cell r="CQ321">
            <v>0</v>
          </cell>
          <cell r="CR321">
            <v>0</v>
          </cell>
          <cell r="CS321">
            <v>0</v>
          </cell>
          <cell r="CX321">
            <v>0</v>
          </cell>
          <cell r="CY321">
            <v>0</v>
          </cell>
          <cell r="CZ321">
            <v>0</v>
          </cell>
          <cell r="DA321">
            <v>0</v>
          </cell>
          <cell r="DF321">
            <v>0</v>
          </cell>
          <cell r="DG321">
            <v>0</v>
          </cell>
          <cell r="DH321">
            <v>0</v>
          </cell>
          <cell r="DI321">
            <v>0</v>
          </cell>
          <cell r="DN321">
            <v>0</v>
          </cell>
          <cell r="DO321">
            <v>0</v>
          </cell>
          <cell r="DP321">
            <v>0</v>
          </cell>
          <cell r="DQ321">
            <v>0</v>
          </cell>
          <cell r="DV321">
            <v>0</v>
          </cell>
          <cell r="DW321">
            <v>0</v>
          </cell>
          <cell r="DX321">
            <v>0</v>
          </cell>
          <cell r="DY321">
            <v>0</v>
          </cell>
        </row>
        <row r="322">
          <cell r="F322">
            <v>335</v>
          </cell>
          <cell r="G322">
            <v>275.06599999999997</v>
          </cell>
          <cell r="H322">
            <v>98.688999999999993</v>
          </cell>
          <cell r="I322">
            <v>35.878298299317258</v>
          </cell>
          <cell r="N322">
            <v>10</v>
          </cell>
          <cell r="O322">
            <v>8.3379999999999992</v>
          </cell>
          <cell r="P322">
            <v>1.921</v>
          </cell>
          <cell r="T322">
            <v>40</v>
          </cell>
          <cell r="U322">
            <v>33.351999999999997</v>
          </cell>
          <cell r="V322">
            <v>8.9629999999999992</v>
          </cell>
          <cell r="Z322">
            <v>5</v>
          </cell>
          <cell r="AA322">
            <v>4.1689999999999996</v>
          </cell>
          <cell r="AB322">
            <v>0.96899999999999997</v>
          </cell>
          <cell r="AF322">
            <v>30</v>
          </cell>
          <cell r="AG322">
            <v>25.013999999999999</v>
          </cell>
          <cell r="AH322">
            <v>6.8680000000000003</v>
          </cell>
          <cell r="AL322">
            <v>5</v>
          </cell>
          <cell r="AM322">
            <v>4.1689999999999996</v>
          </cell>
          <cell r="AN322">
            <v>1.028</v>
          </cell>
          <cell r="AR322">
            <v>30</v>
          </cell>
          <cell r="AS322">
            <v>25.013999999999999</v>
          </cell>
          <cell r="AT322">
            <v>7.431</v>
          </cell>
          <cell r="AX322">
            <v>120</v>
          </cell>
          <cell r="AY322">
            <v>100.05599999999998</v>
          </cell>
          <cell r="AZ322">
            <v>27.18</v>
          </cell>
          <cell r="BA322">
            <v>27.164787718877431</v>
          </cell>
          <cell r="BF322">
            <v>10</v>
          </cell>
          <cell r="BG322">
            <v>8.14</v>
          </cell>
          <cell r="BH322">
            <v>2.7690000000000001</v>
          </cell>
          <cell r="BL322">
            <v>30</v>
          </cell>
          <cell r="BM322">
            <v>24.42</v>
          </cell>
          <cell r="BN322">
            <v>9.2810000000000006</v>
          </cell>
          <cell r="BR322">
            <v>50</v>
          </cell>
          <cell r="BS322">
            <v>40.700000000000003</v>
          </cell>
          <cell r="BT322">
            <v>17.061</v>
          </cell>
          <cell r="BX322">
            <v>80</v>
          </cell>
          <cell r="BY322">
            <v>65.12</v>
          </cell>
          <cell r="BZ322">
            <v>27.271000000000001</v>
          </cell>
          <cell r="CD322">
            <v>30</v>
          </cell>
          <cell r="CE322">
            <v>24.42</v>
          </cell>
          <cell r="CF322">
            <v>10.019</v>
          </cell>
          <cell r="CJ322">
            <v>15</v>
          </cell>
          <cell r="CK322">
            <v>12.21</v>
          </cell>
          <cell r="CL322">
            <v>5.1079999999999997</v>
          </cell>
          <cell r="CP322">
            <v>215</v>
          </cell>
          <cell r="CQ322">
            <v>175.01</v>
          </cell>
          <cell r="CR322">
            <v>71.509</v>
          </cell>
          <cell r="CS322">
            <v>40.859950859950864</v>
          </cell>
          <cell r="CX322">
            <v>55</v>
          </cell>
          <cell r="CY322">
            <v>45.858999999999995</v>
          </cell>
          <cell r="CZ322">
            <v>11.852999999999998</v>
          </cell>
          <cell r="DA322">
            <v>25.846616803680845</v>
          </cell>
          <cell r="DF322">
            <v>65</v>
          </cell>
          <cell r="DG322">
            <v>54.197000000000003</v>
          </cell>
          <cell r="DH322">
            <v>15.327000000000002</v>
          </cell>
          <cell r="DI322">
            <v>28.280163108659153</v>
          </cell>
          <cell r="DN322">
            <v>90</v>
          </cell>
          <cell r="DO322">
            <v>73.260000000000005</v>
          </cell>
          <cell r="DP322">
            <v>29.111000000000001</v>
          </cell>
          <cell r="DQ322">
            <v>39.736554736554737</v>
          </cell>
          <cell r="DV322">
            <v>125</v>
          </cell>
          <cell r="DW322">
            <v>101.75</v>
          </cell>
          <cell r="DX322">
            <v>42.397999999999996</v>
          </cell>
          <cell r="DY322">
            <v>41.668796068796063</v>
          </cell>
        </row>
        <row r="323">
          <cell r="F323">
            <v>0</v>
          </cell>
          <cell r="G323">
            <v>0</v>
          </cell>
          <cell r="H323">
            <v>0</v>
          </cell>
          <cell r="I323">
            <v>0</v>
          </cell>
          <cell r="AX323">
            <v>0</v>
          </cell>
          <cell r="AY323">
            <v>0</v>
          </cell>
          <cell r="AZ323">
            <v>0</v>
          </cell>
          <cell r="BA323">
            <v>0</v>
          </cell>
          <cell r="CP323">
            <v>0</v>
          </cell>
          <cell r="CQ323">
            <v>0</v>
          </cell>
          <cell r="CR323">
            <v>0</v>
          </cell>
          <cell r="CS323">
            <v>0</v>
          </cell>
          <cell r="CX323">
            <v>0</v>
          </cell>
          <cell r="CY323">
            <v>0</v>
          </cell>
          <cell r="CZ323">
            <v>0</v>
          </cell>
          <cell r="DA323">
            <v>0</v>
          </cell>
          <cell r="DF323">
            <v>0</v>
          </cell>
          <cell r="DG323">
            <v>0</v>
          </cell>
          <cell r="DH323">
            <v>0</v>
          </cell>
          <cell r="DI323">
            <v>0</v>
          </cell>
          <cell r="DN323">
            <v>0</v>
          </cell>
          <cell r="DO323">
            <v>0</v>
          </cell>
          <cell r="DP323">
            <v>0</v>
          </cell>
          <cell r="DQ323">
            <v>0</v>
          </cell>
          <cell r="DV323">
            <v>0</v>
          </cell>
          <cell r="DW323">
            <v>0</v>
          </cell>
          <cell r="DX323">
            <v>0</v>
          </cell>
          <cell r="DY323">
            <v>0</v>
          </cell>
        </row>
        <row r="324">
          <cell r="F324">
            <v>0</v>
          </cell>
          <cell r="G324">
            <v>38.201999999999998</v>
          </cell>
          <cell r="H324">
            <v>15.876000000000001</v>
          </cell>
          <cell r="I324">
            <v>41.558033610805722</v>
          </cell>
          <cell r="O324">
            <v>2.1219999999999999</v>
          </cell>
          <cell r="P324">
            <v>-0.53100000000000003</v>
          </cell>
          <cell r="U324">
            <v>2.653</v>
          </cell>
          <cell r="V324">
            <v>0.23799999999999999</v>
          </cell>
          <cell r="AA324">
            <v>2.653</v>
          </cell>
          <cell r="AB324">
            <v>0.77700000000000002</v>
          </cell>
          <cell r="AG324">
            <v>2.1219999999999999</v>
          </cell>
          <cell r="AH324">
            <v>0.80200000000000005</v>
          </cell>
          <cell r="AM324">
            <v>2.653</v>
          </cell>
          <cell r="AN324">
            <v>1.157</v>
          </cell>
          <cell r="AS324">
            <v>3.714</v>
          </cell>
          <cell r="AT324">
            <v>1.7569999999999999</v>
          </cell>
          <cell r="AX324">
            <v>0</v>
          </cell>
          <cell r="AY324">
            <v>15.917000000000002</v>
          </cell>
          <cell r="AZ324">
            <v>4.2</v>
          </cell>
          <cell r="BA324">
            <v>26.386881950116226</v>
          </cell>
          <cell r="BG324">
            <v>3.714</v>
          </cell>
          <cell r="BH324">
            <v>1.87</v>
          </cell>
          <cell r="BM324">
            <v>3.1840000000000002</v>
          </cell>
          <cell r="BN324">
            <v>1.62</v>
          </cell>
          <cell r="BS324">
            <v>2.653</v>
          </cell>
          <cell r="BT324">
            <v>1.387</v>
          </cell>
          <cell r="BY324">
            <v>3.1840000000000002</v>
          </cell>
          <cell r="BZ324">
            <v>1.6879999999999999</v>
          </cell>
          <cell r="CE324">
            <v>4.7750000000000004</v>
          </cell>
          <cell r="CF324">
            <v>2.544</v>
          </cell>
          <cell r="CK324">
            <v>4.7750000000000004</v>
          </cell>
          <cell r="CL324">
            <v>2.5670000000000002</v>
          </cell>
          <cell r="CP324">
            <v>0</v>
          </cell>
          <cell r="CQ324">
            <v>22.285</v>
          </cell>
          <cell r="CR324">
            <v>11.676000000000002</v>
          </cell>
          <cell r="CS324">
            <v>52.393986986762407</v>
          </cell>
          <cell r="CX324">
            <v>0</v>
          </cell>
          <cell r="CY324">
            <v>7.4280000000000008</v>
          </cell>
          <cell r="CZ324">
            <v>0.48399999999999999</v>
          </cell>
          <cell r="DA324">
            <v>6.515885837372104</v>
          </cell>
          <cell r="DF324">
            <v>0</v>
          </cell>
          <cell r="DG324">
            <v>8.4890000000000008</v>
          </cell>
          <cell r="DH324">
            <v>3.7160000000000002</v>
          </cell>
          <cell r="DI324">
            <v>43.774296147956179</v>
          </cell>
          <cell r="DN324">
            <v>0</v>
          </cell>
          <cell r="DO324">
            <v>9.5510000000000002</v>
          </cell>
          <cell r="DP324">
            <v>4.8770000000000007</v>
          </cell>
          <cell r="DQ324">
            <v>51.062715945974247</v>
          </cell>
          <cell r="DV324">
            <v>0</v>
          </cell>
          <cell r="DW324">
            <v>12.734000000000002</v>
          </cell>
          <cell r="DX324">
            <v>6.7990000000000004</v>
          </cell>
          <cell r="DY324">
            <v>53.39249253965761</v>
          </cell>
        </row>
        <row r="325">
          <cell r="F325">
            <v>0</v>
          </cell>
          <cell r="G325">
            <v>0</v>
          </cell>
          <cell r="H325">
            <v>0</v>
          </cell>
          <cell r="I325">
            <v>0</v>
          </cell>
          <cell r="N325">
            <v>0</v>
          </cell>
          <cell r="T325">
            <v>0</v>
          </cell>
          <cell r="Z325">
            <v>0</v>
          </cell>
          <cell r="AF325">
            <v>0</v>
          </cell>
          <cell r="AL325">
            <v>0</v>
          </cell>
          <cell r="AR325">
            <v>0</v>
          </cell>
          <cell r="AX325">
            <v>0</v>
          </cell>
          <cell r="AY325">
            <v>0</v>
          </cell>
          <cell r="AZ325">
            <v>0</v>
          </cell>
          <cell r="BA325">
            <v>0</v>
          </cell>
          <cell r="CP325">
            <v>0</v>
          </cell>
          <cell r="CQ325">
            <v>0</v>
          </cell>
          <cell r="CR325">
            <v>0</v>
          </cell>
          <cell r="CS325">
            <v>0</v>
          </cell>
          <cell r="CX325">
            <v>0</v>
          </cell>
          <cell r="CY325">
            <v>0</v>
          </cell>
          <cell r="CZ325">
            <v>0</v>
          </cell>
          <cell r="DA325">
            <v>0</v>
          </cell>
          <cell r="DF325">
            <v>0</v>
          </cell>
          <cell r="DG325">
            <v>0</v>
          </cell>
          <cell r="DH325">
            <v>0</v>
          </cell>
          <cell r="DI325">
            <v>0</v>
          </cell>
          <cell r="DN325">
            <v>0</v>
          </cell>
          <cell r="DO325">
            <v>0</v>
          </cell>
          <cell r="DP325">
            <v>0</v>
          </cell>
          <cell r="DQ325">
            <v>0</v>
          </cell>
          <cell r="DV325">
            <v>0</v>
          </cell>
          <cell r="DW325">
            <v>0</v>
          </cell>
          <cell r="DX325">
            <v>0</v>
          </cell>
          <cell r="DY325">
            <v>0</v>
          </cell>
        </row>
        <row r="326">
          <cell r="F326">
            <v>2195</v>
          </cell>
          <cell r="G326">
            <v>1908.3310000000001</v>
          </cell>
          <cell r="H326">
            <v>688.17599999999993</v>
          </cell>
          <cell r="I326">
            <v>36.061668547018307</v>
          </cell>
          <cell r="N326">
            <v>115</v>
          </cell>
          <cell r="O326">
            <v>103.69399999999999</v>
          </cell>
          <cell r="P326">
            <v>28.222000000000001</v>
          </cell>
          <cell r="T326">
            <v>156</v>
          </cell>
          <cell r="U326">
            <v>138.86599999999999</v>
          </cell>
          <cell r="V326">
            <v>39.790999999999997</v>
          </cell>
          <cell r="Z326">
            <v>120</v>
          </cell>
          <cell r="AA326">
            <v>108.39400000000002</v>
          </cell>
          <cell r="AB326">
            <v>31.322000000000003</v>
          </cell>
          <cell r="AF326">
            <v>140</v>
          </cell>
          <cell r="AG326">
            <v>124.16000000000001</v>
          </cell>
          <cell r="AH326">
            <v>36.942</v>
          </cell>
          <cell r="AL326">
            <v>121</v>
          </cell>
          <cell r="AM326">
            <v>110.062</v>
          </cell>
          <cell r="AN326">
            <v>36.114999999999995</v>
          </cell>
          <cell r="AR326">
            <v>175</v>
          </cell>
          <cell r="AS326">
            <v>156.83000000000001</v>
          </cell>
          <cell r="AT326">
            <v>52.495999999999995</v>
          </cell>
          <cell r="AX326">
            <v>827</v>
          </cell>
          <cell r="AY326">
            <v>742.00599999999997</v>
          </cell>
          <cell r="AZ326">
            <v>224.88799999999998</v>
          </cell>
          <cell r="BA326">
            <v>30.308110716085849</v>
          </cell>
          <cell r="BF326">
            <v>195</v>
          </cell>
          <cell r="BG326">
            <v>167.25400000000002</v>
          </cell>
          <cell r="BH326">
            <v>57.065999999999995</v>
          </cell>
          <cell r="BL326">
            <v>195</v>
          </cell>
          <cell r="BM326">
            <v>166.35400000000001</v>
          </cell>
          <cell r="BN326">
            <v>63.597999999999999</v>
          </cell>
          <cell r="BR326">
            <v>209</v>
          </cell>
          <cell r="BS326">
            <v>177.14500000000001</v>
          </cell>
          <cell r="BT326">
            <v>71.692999999999998</v>
          </cell>
          <cell r="BX326">
            <v>262</v>
          </cell>
          <cell r="BY326">
            <v>221.37300000000002</v>
          </cell>
          <cell r="BZ326">
            <v>90.320000000000007</v>
          </cell>
          <cell r="CD326">
            <v>242</v>
          </cell>
          <cell r="CE326">
            <v>207.42400000000001</v>
          </cell>
          <cell r="CF326">
            <v>85.884</v>
          </cell>
          <cell r="CJ326">
            <v>265</v>
          </cell>
          <cell r="CK326">
            <v>226.77500000000001</v>
          </cell>
          <cell r="CL326">
            <v>94.727000000000004</v>
          </cell>
          <cell r="CP326">
            <v>1368</v>
          </cell>
          <cell r="CQ326">
            <v>1166.325</v>
          </cell>
          <cell r="CR326">
            <v>463.28799999999995</v>
          </cell>
          <cell r="CS326">
            <v>39.72203288105802</v>
          </cell>
          <cell r="CX326">
            <v>391</v>
          </cell>
          <cell r="CY326">
            <v>350.95399999999995</v>
          </cell>
          <cell r="CZ326">
            <v>99.334999999999994</v>
          </cell>
          <cell r="DA326">
            <v>28.304279193284593</v>
          </cell>
          <cell r="DF326">
            <v>436</v>
          </cell>
          <cell r="DG326">
            <v>391.05199999999996</v>
          </cell>
          <cell r="DH326">
            <v>125.553</v>
          </cell>
          <cell r="DI326">
            <v>32.106471773574874</v>
          </cell>
          <cell r="DN326">
            <v>599</v>
          </cell>
          <cell r="DO326">
            <v>510.75299999999999</v>
          </cell>
          <cell r="DP326">
            <v>192.35699999999997</v>
          </cell>
          <cell r="DQ326">
            <v>37.661452796165655</v>
          </cell>
          <cell r="DV326">
            <v>769</v>
          </cell>
          <cell r="DW326">
            <v>655.57200000000012</v>
          </cell>
          <cell r="DX326">
            <v>270.93099999999993</v>
          </cell>
          <cell r="DY326">
            <v>41.327420939271335</v>
          </cell>
        </row>
        <row r="327">
          <cell r="F327">
            <v>531</v>
          </cell>
          <cell r="G327">
            <v>471.52800000000008</v>
          </cell>
          <cell r="H327">
            <v>-12.386000000000001</v>
          </cell>
          <cell r="I327">
            <v>-2.6267793216945758</v>
          </cell>
          <cell r="N327">
            <v>0</v>
          </cell>
          <cell r="O327">
            <v>0</v>
          </cell>
          <cell r="P327">
            <v>0</v>
          </cell>
          <cell r="T327">
            <v>0</v>
          </cell>
          <cell r="U327">
            <v>0</v>
          </cell>
          <cell r="V327">
            <v>0</v>
          </cell>
          <cell r="Z327">
            <v>0</v>
          </cell>
          <cell r="AA327">
            <v>0</v>
          </cell>
          <cell r="AB327">
            <v>0</v>
          </cell>
          <cell r="AF327">
            <v>0</v>
          </cell>
          <cell r="AG327">
            <v>0</v>
          </cell>
          <cell r="AH327">
            <v>0</v>
          </cell>
          <cell r="AL327">
            <v>0</v>
          </cell>
          <cell r="AM327">
            <v>0</v>
          </cell>
          <cell r="AN327">
            <v>0</v>
          </cell>
          <cell r="AR327">
            <v>0</v>
          </cell>
          <cell r="AS327">
            <v>0</v>
          </cell>
          <cell r="AT327">
            <v>0</v>
          </cell>
          <cell r="AX327">
            <v>0</v>
          </cell>
          <cell r="AY327">
            <v>0</v>
          </cell>
          <cell r="AZ327">
            <v>0</v>
          </cell>
          <cell r="BA327">
            <v>0</v>
          </cell>
          <cell r="BF327">
            <v>53</v>
          </cell>
          <cell r="BG327">
            <v>47.064</v>
          </cell>
          <cell r="BH327">
            <v>-2.1179999999999999</v>
          </cell>
          <cell r="BL327">
            <v>53</v>
          </cell>
          <cell r="BM327">
            <v>47.064</v>
          </cell>
          <cell r="BN327">
            <v>-1.151</v>
          </cell>
          <cell r="BR327">
            <v>95</v>
          </cell>
          <cell r="BS327">
            <v>84.36</v>
          </cell>
          <cell r="BT327">
            <v>-2.5110000000000001</v>
          </cell>
          <cell r="BX327">
            <v>100</v>
          </cell>
          <cell r="BY327">
            <v>88.8</v>
          </cell>
          <cell r="BZ327">
            <v>-2.569</v>
          </cell>
          <cell r="CD327">
            <v>110</v>
          </cell>
          <cell r="CE327">
            <v>97.68</v>
          </cell>
          <cell r="CF327">
            <v>-2.2429999999999999</v>
          </cell>
          <cell r="CJ327">
            <v>120</v>
          </cell>
          <cell r="CK327">
            <v>106.56</v>
          </cell>
          <cell r="CL327">
            <v>-1.794</v>
          </cell>
          <cell r="CP327">
            <v>531</v>
          </cell>
          <cell r="CQ327">
            <v>471.52800000000008</v>
          </cell>
          <cell r="CR327">
            <v>-12.386000000000001</v>
          </cell>
          <cell r="CS327">
            <v>-2.6267793216945758</v>
          </cell>
          <cell r="CX327">
            <v>0</v>
          </cell>
          <cell r="CY327">
            <v>0</v>
          </cell>
          <cell r="CZ327">
            <v>0</v>
          </cell>
          <cell r="DA327">
            <v>0</v>
          </cell>
          <cell r="DF327">
            <v>0</v>
          </cell>
          <cell r="DG327">
            <v>0</v>
          </cell>
          <cell r="DH327">
            <v>0</v>
          </cell>
          <cell r="DI327">
            <v>0</v>
          </cell>
          <cell r="DN327">
            <v>201</v>
          </cell>
          <cell r="DO327">
            <v>178.488</v>
          </cell>
          <cell r="DP327">
            <v>-5.78</v>
          </cell>
          <cell r="DQ327">
            <v>-3.2383129398054775</v>
          </cell>
          <cell r="DV327">
            <v>330</v>
          </cell>
          <cell r="DW327">
            <v>293.04000000000002</v>
          </cell>
          <cell r="DX327">
            <v>-6.6059999999999999</v>
          </cell>
          <cell r="DY327">
            <v>-2.2542997542997543</v>
          </cell>
        </row>
        <row r="328">
          <cell r="F328">
            <v>242</v>
          </cell>
          <cell r="G328">
            <v>173.541</v>
          </cell>
          <cell r="H328">
            <v>-33.323</v>
          </cell>
          <cell r="I328">
            <v>-19.201802455903795</v>
          </cell>
          <cell r="N328">
            <v>13</v>
          </cell>
          <cell r="O328">
            <v>9.4600000000000009</v>
          </cell>
          <cell r="P328">
            <v>-1.86</v>
          </cell>
          <cell r="T328">
            <v>13</v>
          </cell>
          <cell r="U328">
            <v>9.4600000000000009</v>
          </cell>
          <cell r="V328">
            <v>-2.226</v>
          </cell>
          <cell r="Z328">
            <v>13</v>
          </cell>
          <cell r="AA328">
            <v>9.4600000000000009</v>
          </cell>
          <cell r="AB328">
            <v>-2.5680000000000001</v>
          </cell>
          <cell r="AF328">
            <v>13</v>
          </cell>
          <cell r="AG328">
            <v>9.4600000000000009</v>
          </cell>
          <cell r="AH328">
            <v>-2.649</v>
          </cell>
          <cell r="AL328">
            <v>18</v>
          </cell>
          <cell r="AM328">
            <v>13.098000000000001</v>
          </cell>
          <cell r="AN328">
            <v>-3.556</v>
          </cell>
          <cell r="AR328">
            <v>24</v>
          </cell>
          <cell r="AS328">
            <v>17.463999999999999</v>
          </cell>
          <cell r="AT328">
            <v>-4.4649999999999999</v>
          </cell>
          <cell r="AX328">
            <v>94</v>
          </cell>
          <cell r="AY328">
            <v>68.402000000000001</v>
          </cell>
          <cell r="AZ328">
            <v>-17.324000000000002</v>
          </cell>
          <cell r="BA328">
            <v>-25.326744832022456</v>
          </cell>
          <cell r="BF328">
            <v>24</v>
          </cell>
          <cell r="BG328">
            <v>17.05</v>
          </cell>
          <cell r="BH328">
            <v>-3.5059999999999998</v>
          </cell>
          <cell r="BL328">
            <v>23</v>
          </cell>
          <cell r="BM328">
            <v>16.338999999999999</v>
          </cell>
          <cell r="BN328">
            <v>-2.6030000000000002</v>
          </cell>
          <cell r="BR328">
            <v>23</v>
          </cell>
          <cell r="BS328">
            <v>16.338999999999999</v>
          </cell>
          <cell r="BT328">
            <v>-2.5030000000000001</v>
          </cell>
          <cell r="BX328">
            <v>25</v>
          </cell>
          <cell r="BY328">
            <v>17.760000000000002</v>
          </cell>
          <cell r="BZ328">
            <v>-2.5329999999999999</v>
          </cell>
          <cell r="CD328">
            <v>25</v>
          </cell>
          <cell r="CE328">
            <v>17.760000000000002</v>
          </cell>
          <cell r="CF328">
            <v>-2.3639999999999999</v>
          </cell>
          <cell r="CJ328">
            <v>28</v>
          </cell>
          <cell r="CK328">
            <v>19.890999999999998</v>
          </cell>
          <cell r="CL328">
            <v>-2.4900000000000002</v>
          </cell>
          <cell r="CP328">
            <v>148</v>
          </cell>
          <cell r="CQ328">
            <v>105.139</v>
          </cell>
          <cell r="CR328">
            <v>-15.999000000000001</v>
          </cell>
          <cell r="CS328">
            <v>-15.216998449671387</v>
          </cell>
          <cell r="CX328">
            <v>39</v>
          </cell>
          <cell r="CY328">
            <v>28.380000000000003</v>
          </cell>
          <cell r="CZ328">
            <v>-6.6539999999999999</v>
          </cell>
          <cell r="DA328">
            <v>-23.446088794926002</v>
          </cell>
          <cell r="DF328">
            <v>55</v>
          </cell>
          <cell r="DG328">
            <v>40.021999999999998</v>
          </cell>
          <cell r="DH328">
            <v>-10.67</v>
          </cell>
          <cell r="DI328">
            <v>-26.66033681475189</v>
          </cell>
          <cell r="DN328">
            <v>70</v>
          </cell>
          <cell r="DO328">
            <v>49.727999999999994</v>
          </cell>
          <cell r="DP328">
            <v>-8.6120000000000001</v>
          </cell>
          <cell r="DQ328">
            <v>-17.31821106821107</v>
          </cell>
          <cell r="DV328">
            <v>78</v>
          </cell>
          <cell r="DW328">
            <v>55.411000000000001</v>
          </cell>
          <cell r="DX328">
            <v>-7.3870000000000005</v>
          </cell>
          <cell r="DY328">
            <v>-13.331288011405679</v>
          </cell>
        </row>
        <row r="329">
          <cell r="F329">
            <v>773</v>
          </cell>
          <cell r="G329">
            <v>645.06900000000007</v>
          </cell>
          <cell r="H329">
            <v>-45.709000000000003</v>
          </cell>
          <cell r="I329">
            <v>-7.0859086392308406</v>
          </cell>
          <cell r="N329">
            <v>13</v>
          </cell>
          <cell r="O329">
            <v>9.4600000000000009</v>
          </cell>
          <cell r="P329">
            <v>-1.86</v>
          </cell>
          <cell r="T329">
            <v>13</v>
          </cell>
          <cell r="U329">
            <v>9.4600000000000009</v>
          </cell>
          <cell r="V329">
            <v>-2.226</v>
          </cell>
          <cell r="Z329">
            <v>13</v>
          </cell>
          <cell r="AA329">
            <v>9.4600000000000009</v>
          </cell>
          <cell r="AB329">
            <v>-2.5680000000000001</v>
          </cell>
          <cell r="AF329">
            <v>13</v>
          </cell>
          <cell r="AG329">
            <v>9.4600000000000009</v>
          </cell>
          <cell r="AH329">
            <v>-2.649</v>
          </cell>
          <cell r="AL329">
            <v>18</v>
          </cell>
          <cell r="AM329">
            <v>13.098000000000001</v>
          </cell>
          <cell r="AN329">
            <v>-3.556</v>
          </cell>
          <cell r="AR329">
            <v>24</v>
          </cell>
          <cell r="AS329">
            <v>17.463999999999999</v>
          </cell>
          <cell r="AT329">
            <v>-4.4649999999999999</v>
          </cell>
          <cell r="AX329">
            <v>94</v>
          </cell>
          <cell r="AY329">
            <v>68.402000000000001</v>
          </cell>
          <cell r="AZ329">
            <v>-17.324000000000002</v>
          </cell>
          <cell r="BA329">
            <v>-25.326744832022456</v>
          </cell>
          <cell r="BF329">
            <v>77</v>
          </cell>
          <cell r="BG329">
            <v>64.114000000000004</v>
          </cell>
          <cell r="BH329">
            <v>-5.6239999999999997</v>
          </cell>
          <cell r="BL329">
            <v>76</v>
          </cell>
          <cell r="BM329">
            <v>63.402999999999999</v>
          </cell>
          <cell r="BN329">
            <v>-3.7540000000000004</v>
          </cell>
          <cell r="BR329">
            <v>118</v>
          </cell>
          <cell r="BS329">
            <v>100.699</v>
          </cell>
          <cell r="BT329">
            <v>-5.0140000000000002</v>
          </cell>
          <cell r="BX329">
            <v>125</v>
          </cell>
          <cell r="BY329">
            <v>106.56</v>
          </cell>
          <cell r="BZ329">
            <v>-5.1020000000000003</v>
          </cell>
          <cell r="CD329">
            <v>135</v>
          </cell>
          <cell r="CE329">
            <v>115.44000000000001</v>
          </cell>
          <cell r="CF329">
            <v>-4.6069999999999993</v>
          </cell>
          <cell r="CJ329">
            <v>148</v>
          </cell>
          <cell r="CK329">
            <v>126.45099999999999</v>
          </cell>
          <cell r="CL329">
            <v>-4.2840000000000007</v>
          </cell>
          <cell r="CP329">
            <v>679</v>
          </cell>
          <cell r="CQ329">
            <v>576.66700000000003</v>
          </cell>
          <cell r="CR329">
            <v>-28.385000000000002</v>
          </cell>
          <cell r="CS329">
            <v>-4.9222514900280405</v>
          </cell>
          <cell r="CX329">
            <v>39</v>
          </cell>
          <cell r="CY329">
            <v>28.380000000000003</v>
          </cell>
          <cell r="CZ329">
            <v>-6.6539999999999999</v>
          </cell>
          <cell r="DA329">
            <v>-23.446088794926002</v>
          </cell>
          <cell r="DF329">
            <v>55</v>
          </cell>
          <cell r="DG329">
            <v>40.021999999999998</v>
          </cell>
          <cell r="DH329">
            <v>-10.67</v>
          </cell>
          <cell r="DI329">
            <v>-26.66033681475189</v>
          </cell>
          <cell r="DN329">
            <v>271</v>
          </cell>
          <cell r="DO329">
            <v>228.21600000000001</v>
          </cell>
          <cell r="DP329">
            <v>-14.391999999999999</v>
          </cell>
          <cell r="DQ329">
            <v>-6.3063063063063058</v>
          </cell>
          <cell r="DV329">
            <v>408</v>
          </cell>
          <cell r="DW329">
            <v>348.45100000000002</v>
          </cell>
          <cell r="DX329">
            <v>-13.993</v>
          </cell>
          <cell r="DY329">
            <v>-4.0157726624403427</v>
          </cell>
        </row>
        <row r="330">
          <cell r="F330">
            <v>2968</v>
          </cell>
          <cell r="G330">
            <v>2553.4</v>
          </cell>
          <cell r="H330">
            <v>642.46699999999987</v>
          </cell>
          <cell r="I330">
            <v>25.161235999060072</v>
          </cell>
          <cell r="N330">
            <v>128</v>
          </cell>
          <cell r="O330">
            <v>113.154</v>
          </cell>
          <cell r="P330">
            <v>26.362000000000002</v>
          </cell>
          <cell r="T330">
            <v>169</v>
          </cell>
          <cell r="U330">
            <v>148.32599999999999</v>
          </cell>
          <cell r="V330">
            <v>37.564999999999998</v>
          </cell>
          <cell r="Z330">
            <v>133</v>
          </cell>
          <cell r="AA330">
            <v>117.85400000000001</v>
          </cell>
          <cell r="AB330">
            <v>28.754000000000001</v>
          </cell>
          <cell r="AF330">
            <v>153</v>
          </cell>
          <cell r="AG330">
            <v>133.62</v>
          </cell>
          <cell r="AH330">
            <v>34.292999999999999</v>
          </cell>
          <cell r="AL330">
            <v>139</v>
          </cell>
          <cell r="AM330">
            <v>123.16</v>
          </cell>
          <cell r="AN330">
            <v>32.558999999999997</v>
          </cell>
          <cell r="AR330">
            <v>199</v>
          </cell>
          <cell r="AS330">
            <v>174.29400000000001</v>
          </cell>
          <cell r="AT330">
            <v>48.030999999999992</v>
          </cell>
          <cell r="AX330">
            <v>921</v>
          </cell>
          <cell r="AY330">
            <v>810.40800000000002</v>
          </cell>
          <cell r="AZ330">
            <v>207.56399999999996</v>
          </cell>
          <cell r="BA330">
            <v>25.612284182782002</v>
          </cell>
          <cell r="BF330">
            <v>272</v>
          </cell>
          <cell r="BG330">
            <v>231.36800000000002</v>
          </cell>
          <cell r="BH330">
            <v>51.441999999999993</v>
          </cell>
          <cell r="BL330">
            <v>271</v>
          </cell>
          <cell r="BM330">
            <v>229.75700000000001</v>
          </cell>
          <cell r="BN330">
            <v>59.844000000000001</v>
          </cell>
          <cell r="BR330">
            <v>327</v>
          </cell>
          <cell r="BS330">
            <v>277.84399999999999</v>
          </cell>
          <cell r="BT330">
            <v>66.679000000000002</v>
          </cell>
          <cell r="BX330">
            <v>387</v>
          </cell>
          <cell r="BY330">
            <v>327.93299999999999</v>
          </cell>
          <cell r="BZ330">
            <v>85.218000000000004</v>
          </cell>
          <cell r="CD330">
            <v>377</v>
          </cell>
          <cell r="CE330">
            <v>322.86400000000003</v>
          </cell>
          <cell r="CF330">
            <v>81.277000000000001</v>
          </cell>
          <cell r="CJ330">
            <v>413</v>
          </cell>
          <cell r="CK330">
            <v>353.226</v>
          </cell>
          <cell r="CL330">
            <v>90.442999999999998</v>
          </cell>
          <cell r="CP330">
            <v>2047</v>
          </cell>
          <cell r="CQ330">
            <v>1742.9920000000002</v>
          </cell>
          <cell r="CR330">
            <v>434.90299999999996</v>
          </cell>
          <cell r="CS330">
            <v>24.95152014467077</v>
          </cell>
          <cell r="CX330">
            <v>430</v>
          </cell>
          <cell r="CY330">
            <v>379.33399999999995</v>
          </cell>
          <cell r="CZ330">
            <v>92.680999999999997</v>
          </cell>
          <cell r="DA330">
            <v>24.432558115012103</v>
          </cell>
          <cell r="DF330">
            <v>491</v>
          </cell>
          <cell r="DG330">
            <v>431.07399999999996</v>
          </cell>
          <cell r="DH330">
            <v>114.883</v>
          </cell>
          <cell r="DI330">
            <v>26.650412690164565</v>
          </cell>
          <cell r="DN330">
            <v>870</v>
          </cell>
          <cell r="DO330">
            <v>738.96900000000005</v>
          </cell>
          <cell r="DP330">
            <v>177.96499999999997</v>
          </cell>
          <cell r="DQ330">
            <v>24.082877630861372</v>
          </cell>
          <cell r="DV330">
            <v>1177</v>
          </cell>
          <cell r="DW330">
            <v>1004.0230000000001</v>
          </cell>
          <cell r="DX330">
            <v>256.93799999999993</v>
          </cell>
          <cell r="DY330">
            <v>25.59084801842188</v>
          </cell>
        </row>
        <row r="331">
          <cell r="F331">
            <v>42530</v>
          </cell>
          <cell r="G331">
            <v>2172.0168000000003</v>
          </cell>
          <cell r="H331">
            <v>258.928</v>
          </cell>
          <cell r="I331">
            <v>11.921086429902381</v>
          </cell>
          <cell r="N331">
            <v>2010</v>
          </cell>
          <cell r="O331">
            <v>108.9246</v>
          </cell>
          <cell r="P331">
            <v>14.507</v>
          </cell>
          <cell r="T331">
            <v>2700</v>
          </cell>
          <cell r="U331">
            <v>143.262</v>
          </cell>
          <cell r="V331">
            <v>18.954999999999998</v>
          </cell>
          <cell r="Z331">
            <v>2100</v>
          </cell>
          <cell r="AA331">
            <v>120.52200000000001</v>
          </cell>
          <cell r="AB331">
            <v>16.876999999999999</v>
          </cell>
          <cell r="AF331">
            <v>2120</v>
          </cell>
          <cell r="AG331">
            <v>122.1896</v>
          </cell>
          <cell r="AH331">
            <v>17.177</v>
          </cell>
          <cell r="AL331">
            <v>2060</v>
          </cell>
          <cell r="AM331">
            <v>110.202</v>
          </cell>
          <cell r="AN331">
            <v>14.037000000000001</v>
          </cell>
          <cell r="AR331">
            <v>2230</v>
          </cell>
          <cell r="AS331">
            <v>126.3586</v>
          </cell>
          <cell r="AT331">
            <v>17.853000000000002</v>
          </cell>
          <cell r="AX331">
            <v>13220</v>
          </cell>
          <cell r="AY331">
            <v>731.45880000000011</v>
          </cell>
          <cell r="AZ331">
            <v>99.406000000000006</v>
          </cell>
          <cell r="BA331">
            <v>13.590102409048873</v>
          </cell>
          <cell r="BF331">
            <v>4440</v>
          </cell>
          <cell r="BG331">
            <v>221.11199999999999</v>
          </cell>
          <cell r="BH331">
            <v>25.202000000000002</v>
          </cell>
          <cell r="BL331">
            <v>4050</v>
          </cell>
          <cell r="BM331">
            <v>207.57</v>
          </cell>
          <cell r="BN331">
            <v>24.439</v>
          </cell>
          <cell r="BR331">
            <v>4430</v>
          </cell>
          <cell r="BS331">
            <v>219.85399999999998</v>
          </cell>
          <cell r="BT331">
            <v>24.943000000000001</v>
          </cell>
          <cell r="BX331">
            <v>4530</v>
          </cell>
          <cell r="BY331">
            <v>223.55400000000003</v>
          </cell>
          <cell r="BZ331">
            <v>25.456</v>
          </cell>
          <cell r="CD331">
            <v>5480</v>
          </cell>
          <cell r="CE331">
            <v>263.14400000000001</v>
          </cell>
          <cell r="CF331">
            <v>27.367999999999999</v>
          </cell>
          <cell r="CJ331">
            <v>6380</v>
          </cell>
          <cell r="CK331">
            <v>305.32400000000001</v>
          </cell>
          <cell r="CL331">
            <v>32.113999999999997</v>
          </cell>
          <cell r="CP331">
            <v>29310</v>
          </cell>
          <cell r="CQ331">
            <v>1440.5580000000002</v>
          </cell>
          <cell r="CR331">
            <v>159.52199999999999</v>
          </cell>
          <cell r="CS331">
            <v>11.07362563673243</v>
          </cell>
          <cell r="CX331">
            <v>6810</v>
          </cell>
          <cell r="CY331">
            <v>372.70859999999999</v>
          </cell>
          <cell r="CZ331">
            <v>50.338999999999999</v>
          </cell>
          <cell r="DA331">
            <v>13.506261996637587</v>
          </cell>
          <cell r="DF331">
            <v>6410</v>
          </cell>
          <cell r="DG331">
            <v>358.75019999999995</v>
          </cell>
          <cell r="DH331">
            <v>49.067</v>
          </cell>
          <cell r="DI331">
            <v>13.677204918631405</v>
          </cell>
          <cell r="DN331">
            <v>12920</v>
          </cell>
          <cell r="DO331">
            <v>648.53600000000006</v>
          </cell>
          <cell r="DP331">
            <v>74.584000000000003</v>
          </cell>
          <cell r="DQ331">
            <v>11.500363896530031</v>
          </cell>
          <cell r="DV331">
            <v>16390</v>
          </cell>
          <cell r="DW331">
            <v>792.02200000000005</v>
          </cell>
          <cell r="DX331">
            <v>84.937999999999988</v>
          </cell>
          <cell r="DY331">
            <v>10.724197055132304</v>
          </cell>
        </row>
        <row r="332">
          <cell r="F332">
            <v>3642</v>
          </cell>
          <cell r="G332">
            <v>462.82092</v>
          </cell>
          <cell r="H332">
            <v>40.841999999999999</v>
          </cell>
          <cell r="I332">
            <v>8.8245794939433591</v>
          </cell>
          <cell r="N332">
            <v>230</v>
          </cell>
          <cell r="O332">
            <v>29.637799999999999</v>
          </cell>
          <cell r="P332">
            <v>2.6150000000000002</v>
          </cell>
          <cell r="T332">
            <v>224</v>
          </cell>
          <cell r="U332">
            <v>28.864640000000001</v>
          </cell>
          <cell r="V332">
            <v>2.5470000000000002</v>
          </cell>
          <cell r="Z332">
            <v>224</v>
          </cell>
          <cell r="AA332">
            <v>28.864640000000001</v>
          </cell>
          <cell r="AB332">
            <v>2.5470000000000002</v>
          </cell>
          <cell r="AF332">
            <v>240</v>
          </cell>
          <cell r="AG332">
            <v>30.926400000000001</v>
          </cell>
          <cell r="AH332">
            <v>2.7280000000000002</v>
          </cell>
          <cell r="AL332">
            <v>324</v>
          </cell>
          <cell r="AM332">
            <v>41.750639999999997</v>
          </cell>
          <cell r="AN332">
            <v>3.6840000000000002</v>
          </cell>
          <cell r="AR332">
            <v>280</v>
          </cell>
          <cell r="AS332">
            <v>36.080800000000004</v>
          </cell>
          <cell r="AT332">
            <v>3.1869999999999998</v>
          </cell>
          <cell r="AX332">
            <v>1522</v>
          </cell>
          <cell r="AY332">
            <v>196.12492</v>
          </cell>
          <cell r="AZ332">
            <v>17.308</v>
          </cell>
          <cell r="BA332">
            <v>8.8249876660242865</v>
          </cell>
          <cell r="BF332">
            <v>336</v>
          </cell>
          <cell r="BG332">
            <v>42.268799999999999</v>
          </cell>
          <cell r="BH332">
            <v>3.73</v>
          </cell>
          <cell r="BL332">
            <v>336</v>
          </cell>
          <cell r="BM332">
            <v>42.268799999999999</v>
          </cell>
          <cell r="BN332">
            <v>3.73</v>
          </cell>
          <cell r="BR332">
            <v>336</v>
          </cell>
          <cell r="BS332">
            <v>42.268799999999999</v>
          </cell>
          <cell r="BT332">
            <v>3.73</v>
          </cell>
          <cell r="BX332">
            <v>336</v>
          </cell>
          <cell r="BY332">
            <v>42.268799999999999</v>
          </cell>
          <cell r="BZ332">
            <v>3.73</v>
          </cell>
          <cell r="CD332">
            <v>390</v>
          </cell>
          <cell r="CE332">
            <v>49.061999999999998</v>
          </cell>
          <cell r="CF332">
            <v>4.3289999999999997</v>
          </cell>
          <cell r="CJ332">
            <v>386</v>
          </cell>
          <cell r="CK332">
            <v>48.558799999999998</v>
          </cell>
          <cell r="CL332">
            <v>4.2850000000000001</v>
          </cell>
          <cell r="CP332">
            <v>2120</v>
          </cell>
          <cell r="CQ332">
            <v>266.69600000000003</v>
          </cell>
          <cell r="CR332">
            <v>23.534000000000002</v>
          </cell>
          <cell r="CS332">
            <v>8.8242793292737804</v>
          </cell>
          <cell r="CX332">
            <v>678</v>
          </cell>
          <cell r="CY332">
            <v>87.367080000000001</v>
          </cell>
          <cell r="CZ332">
            <v>7.7090000000000014</v>
          </cell>
          <cell r="DA332">
            <v>8.8236896551882023</v>
          </cell>
          <cell r="DF332">
            <v>844</v>
          </cell>
          <cell r="DG332">
            <v>108.75784000000002</v>
          </cell>
          <cell r="DH332">
            <v>9.5990000000000002</v>
          </cell>
          <cell r="DI332">
            <v>8.8260303808902414</v>
          </cell>
          <cell r="DN332">
            <v>1008</v>
          </cell>
          <cell r="DO332">
            <v>126.8064</v>
          </cell>
          <cell r="DP332">
            <v>11.19</v>
          </cell>
          <cell r="DQ332">
            <v>8.8244757362404425</v>
          </cell>
          <cell r="DV332">
            <v>1112</v>
          </cell>
          <cell r="DW332">
            <v>139.8896</v>
          </cell>
          <cell r="DX332">
            <v>12.343999999999999</v>
          </cell>
          <cell r="DY332">
            <v>8.8241012913040002</v>
          </cell>
        </row>
        <row r="333">
          <cell r="F333">
            <v>0</v>
          </cell>
          <cell r="G333">
            <v>640.29880000000003</v>
          </cell>
          <cell r="H333">
            <v>92.456000000000017</v>
          </cell>
          <cell r="I333">
            <v>14.439508554443648</v>
          </cell>
          <cell r="O333">
            <v>43.206000000000003</v>
          </cell>
          <cell r="P333">
            <v>5.8389999999999969</v>
          </cell>
          <cell r="U333">
            <v>42.448</v>
          </cell>
          <cell r="V333">
            <v>5.7320000000000029</v>
          </cell>
          <cell r="AA333">
            <v>42.448</v>
          </cell>
          <cell r="AB333">
            <v>5.7360000000000007</v>
          </cell>
          <cell r="AG333">
            <v>43.206000000000003</v>
          </cell>
          <cell r="AH333">
            <v>5.835</v>
          </cell>
          <cell r="AM333">
            <v>53.200400000000002</v>
          </cell>
          <cell r="AN333">
            <v>13.388</v>
          </cell>
          <cell r="AS333">
            <v>46.086399999999998</v>
          </cell>
          <cell r="AT333">
            <v>6.27</v>
          </cell>
          <cell r="AX333">
            <v>0</v>
          </cell>
          <cell r="AY333">
            <v>270.59480000000002</v>
          </cell>
          <cell r="AZ333">
            <v>42.800000000000004</v>
          </cell>
          <cell r="BA333">
            <v>15.81700756999026</v>
          </cell>
          <cell r="BG333">
            <v>56.536000000000001</v>
          </cell>
          <cell r="BH333">
            <v>7.6239999999999988</v>
          </cell>
          <cell r="BM333">
            <v>50.32</v>
          </cell>
          <cell r="BN333">
            <v>6.6429999999999971</v>
          </cell>
          <cell r="BS333">
            <v>58.756</v>
          </cell>
          <cell r="BT333">
            <v>7.772000000000002</v>
          </cell>
          <cell r="BY333">
            <v>58.756</v>
          </cell>
          <cell r="BZ333">
            <v>7.7700000000000067</v>
          </cell>
          <cell r="CE333">
            <v>74.739999999999995</v>
          </cell>
          <cell r="CF333">
            <v>10.248999999999999</v>
          </cell>
          <cell r="CK333">
            <v>70.596000000000004</v>
          </cell>
          <cell r="CL333">
            <v>9.5980000000000061</v>
          </cell>
          <cell r="CP333">
            <v>0</v>
          </cell>
          <cell r="CQ333">
            <v>369.70400000000001</v>
          </cell>
          <cell r="CR333">
            <v>49.656000000000006</v>
          </cell>
          <cell r="CS333">
            <v>13.431285568995738</v>
          </cell>
          <cell r="CX333">
            <v>0</v>
          </cell>
          <cell r="CY333">
            <v>128.102</v>
          </cell>
          <cell r="CZ333">
            <v>17.307000000000002</v>
          </cell>
          <cell r="DA333">
            <v>13.510327707608003</v>
          </cell>
          <cell r="DF333">
            <v>0</v>
          </cell>
          <cell r="DG333">
            <v>142.49279999999999</v>
          </cell>
          <cell r="DH333">
            <v>25.492999999999999</v>
          </cell>
          <cell r="DI333">
            <v>17.89072851400211</v>
          </cell>
          <cell r="DN333">
            <v>0</v>
          </cell>
          <cell r="DO333">
            <v>165.61199999999999</v>
          </cell>
          <cell r="DP333">
            <v>22.038999999999998</v>
          </cell>
          <cell r="DQ333">
            <v>13.307610559621283</v>
          </cell>
          <cell r="DV333">
            <v>0</v>
          </cell>
          <cell r="DW333">
            <v>204.09199999999998</v>
          </cell>
          <cell r="DX333">
            <v>27.617000000000012</v>
          </cell>
          <cell r="DY333">
            <v>13.531642592556306</v>
          </cell>
        </row>
        <row r="334">
          <cell r="F334">
            <v>46172</v>
          </cell>
          <cell r="G334">
            <v>3275.1365200000005</v>
          </cell>
          <cell r="H334">
            <v>392.226</v>
          </cell>
          <cell r="I334">
            <v>11.975867192247605</v>
          </cell>
          <cell r="N334">
            <v>2240</v>
          </cell>
          <cell r="O334">
            <v>181.76839999999999</v>
          </cell>
          <cell r="P334">
            <v>22.960999999999999</v>
          </cell>
          <cell r="T334">
            <v>2924</v>
          </cell>
          <cell r="U334">
            <v>214.57464000000002</v>
          </cell>
          <cell r="V334">
            <v>27.234000000000002</v>
          </cell>
          <cell r="Z334">
            <v>2324</v>
          </cell>
          <cell r="AA334">
            <v>191.83464000000001</v>
          </cell>
          <cell r="AB334">
            <v>25.16</v>
          </cell>
          <cell r="AF334">
            <v>2360</v>
          </cell>
          <cell r="AG334">
            <v>196.322</v>
          </cell>
          <cell r="AH334">
            <v>25.740000000000002</v>
          </cell>
          <cell r="AL334">
            <v>2384</v>
          </cell>
          <cell r="AM334">
            <v>205.15304</v>
          </cell>
          <cell r="AN334">
            <v>31.109000000000002</v>
          </cell>
          <cell r="AR334">
            <v>2510</v>
          </cell>
          <cell r="AS334">
            <v>208.5258</v>
          </cell>
          <cell r="AT334">
            <v>27.310000000000002</v>
          </cell>
          <cell r="AX334">
            <v>14742</v>
          </cell>
          <cell r="AY334">
            <v>1198.1785200000002</v>
          </cell>
          <cell r="AZ334">
            <v>159.51400000000001</v>
          </cell>
          <cell r="BA334">
            <v>13.313041198568639</v>
          </cell>
          <cell r="BF334">
            <v>4776</v>
          </cell>
          <cell r="BG334">
            <v>319.91680000000002</v>
          </cell>
          <cell r="BH334">
            <v>36.555999999999997</v>
          </cell>
          <cell r="BL334">
            <v>4386</v>
          </cell>
          <cell r="BM334">
            <v>300.15879999999999</v>
          </cell>
          <cell r="BN334">
            <v>34.811999999999998</v>
          </cell>
          <cell r="BR334">
            <v>4766</v>
          </cell>
          <cell r="BS334">
            <v>320.87879999999996</v>
          </cell>
          <cell r="BT334">
            <v>36.445000000000007</v>
          </cell>
          <cell r="BX334">
            <v>4866</v>
          </cell>
          <cell r="BY334">
            <v>324.5788</v>
          </cell>
          <cell r="BZ334">
            <v>36.956000000000003</v>
          </cell>
          <cell r="CD334">
            <v>5870</v>
          </cell>
          <cell r="CE334">
            <v>386.94600000000003</v>
          </cell>
          <cell r="CF334">
            <v>41.945999999999998</v>
          </cell>
          <cell r="CJ334">
            <v>6766</v>
          </cell>
          <cell r="CK334">
            <v>424.47880000000004</v>
          </cell>
          <cell r="CL334">
            <v>45.997000000000007</v>
          </cell>
          <cell r="CP334">
            <v>31430</v>
          </cell>
          <cell r="CQ334">
            <v>2076.9580000000005</v>
          </cell>
          <cell r="CR334">
            <v>232.71199999999999</v>
          </cell>
          <cell r="CS334">
            <v>11.204463450873822</v>
          </cell>
          <cell r="CX334">
            <v>7488</v>
          </cell>
          <cell r="CY334">
            <v>588.17768000000001</v>
          </cell>
          <cell r="CZ334">
            <v>75.355000000000004</v>
          </cell>
          <cell r="DA334">
            <v>12.811604819822472</v>
          </cell>
          <cell r="DF334">
            <v>7254</v>
          </cell>
          <cell r="DG334">
            <v>610.00083999999993</v>
          </cell>
          <cell r="DH334">
            <v>84.158999999999992</v>
          </cell>
          <cell r="DI334">
            <v>13.796538378537315</v>
          </cell>
          <cell r="DN334">
            <v>13928</v>
          </cell>
          <cell r="DO334">
            <v>940.95439999999996</v>
          </cell>
          <cell r="DP334">
            <v>107.813</v>
          </cell>
          <cell r="DQ334">
            <v>11.457834726103625</v>
          </cell>
          <cell r="DV334">
            <v>17502</v>
          </cell>
          <cell r="DW334">
            <v>1136.0036</v>
          </cell>
          <cell r="DX334">
            <v>124.899</v>
          </cell>
          <cell r="DY334">
            <v>10.994595439662339</v>
          </cell>
        </row>
        <row r="335">
          <cell r="F335">
            <v>68717.804000000004</v>
          </cell>
          <cell r="G335">
            <v>10001.68352</v>
          </cell>
          <cell r="H335">
            <v>1356.1839999999997</v>
          </cell>
          <cell r="I335">
            <v>13.559557221422654</v>
          </cell>
          <cell r="N335">
            <v>3293</v>
          </cell>
          <cell r="O335">
            <v>484.08139999999997</v>
          </cell>
          <cell r="P335">
            <v>18.991000000000003</v>
          </cell>
          <cell r="T335">
            <v>4044</v>
          </cell>
          <cell r="U335">
            <v>559.54164000000003</v>
          </cell>
          <cell r="V335">
            <v>34.450000000000003</v>
          </cell>
          <cell r="Z335">
            <v>3388.806</v>
          </cell>
          <cell r="AA335">
            <v>503.56263999999999</v>
          </cell>
          <cell r="AB335">
            <v>26.3</v>
          </cell>
          <cell r="AF335">
            <v>3485.6059999999998</v>
          </cell>
          <cell r="AG335">
            <v>535.52099999999996</v>
          </cell>
          <cell r="AH335">
            <v>36.091000000000001</v>
          </cell>
          <cell r="AL335">
            <v>3460.672</v>
          </cell>
          <cell r="AM335">
            <v>526.58504000000005</v>
          </cell>
          <cell r="AN335">
            <v>54.949999999999996</v>
          </cell>
          <cell r="AR335">
            <v>3909</v>
          </cell>
          <cell r="AS335">
            <v>635.04380000000003</v>
          </cell>
          <cell r="AT335">
            <v>76.814999999999998</v>
          </cell>
          <cell r="AX335">
            <v>21581.083999999999</v>
          </cell>
          <cell r="AY335">
            <v>3244.3355200000005</v>
          </cell>
          <cell r="AZ335">
            <v>247.59699999999995</v>
          </cell>
          <cell r="BA335">
            <v>7.6316705986068891</v>
          </cell>
          <cell r="BF335">
            <v>6944.3440000000001</v>
          </cell>
          <cell r="BG335">
            <v>966.65380000000005</v>
          </cell>
          <cell r="BH335">
            <v>133.84199999999998</v>
          </cell>
          <cell r="BL335">
            <v>6872.3440000000001</v>
          </cell>
          <cell r="BM335">
            <v>1006.0758000000001</v>
          </cell>
          <cell r="BN335">
            <v>156.256</v>
          </cell>
          <cell r="BR335">
            <v>7328.3440000000001</v>
          </cell>
          <cell r="BS335">
            <v>1080.2697999999998</v>
          </cell>
          <cell r="BT335">
            <v>167.202</v>
          </cell>
          <cell r="BX335">
            <v>7563.3440000000001</v>
          </cell>
          <cell r="BY335">
            <v>1146.1727999999998</v>
          </cell>
          <cell r="BZ335">
            <v>202.81100000000004</v>
          </cell>
          <cell r="CD335">
            <v>8602.344000000001</v>
          </cell>
          <cell r="CE335">
            <v>1213.0909999999999</v>
          </cell>
          <cell r="CF335">
            <v>208.35999999999999</v>
          </cell>
          <cell r="CJ335">
            <v>9826</v>
          </cell>
          <cell r="CK335">
            <v>1345.0848000000001</v>
          </cell>
          <cell r="CL335">
            <v>240.11600000000004</v>
          </cell>
          <cell r="CP335">
            <v>47136.72</v>
          </cell>
          <cell r="CQ335">
            <v>6757.3480000000009</v>
          </cell>
          <cell r="CR335">
            <v>1108.587</v>
          </cell>
          <cell r="CS335">
            <v>16.405652039823902</v>
          </cell>
          <cell r="CX335">
            <v>10725.806</v>
          </cell>
          <cell r="CY335">
            <v>1547.18568</v>
          </cell>
          <cell r="CZ335">
            <v>79.741</v>
          </cell>
          <cell r="DA335">
            <v>5.1539386016033966</v>
          </cell>
          <cell r="DF335">
            <v>10855.278</v>
          </cell>
          <cell r="DG335">
            <v>1697.1498399999998</v>
          </cell>
          <cell r="DH335">
            <v>167.85599999999999</v>
          </cell>
          <cell r="DI335">
            <v>9.8904643564059143</v>
          </cell>
          <cell r="DN335">
            <v>21145.031999999999</v>
          </cell>
          <cell r="DO335">
            <v>3052.9994000000002</v>
          </cell>
          <cell r="DP335">
            <v>457.29999999999995</v>
          </cell>
          <cell r="DQ335">
            <v>14.978712409835387</v>
          </cell>
          <cell r="DV335">
            <v>25991.688000000002</v>
          </cell>
          <cell r="DW335">
            <v>3704.3486000000003</v>
          </cell>
          <cell r="DX335">
            <v>651.28699999999992</v>
          </cell>
          <cell r="DY335">
            <v>17.581687641384502</v>
          </cell>
        </row>
        <row r="336">
          <cell r="F336">
            <v>69037.804000000004</v>
          </cell>
          <cell r="G336">
            <v>15637.68352</v>
          </cell>
          <cell r="H336">
            <v>1637.0569999999998</v>
          </cell>
          <cell r="I336">
            <v>10.468666909048686</v>
          </cell>
          <cell r="N336">
            <v>3313</v>
          </cell>
          <cell r="O336">
            <v>832.08140000000003</v>
          </cell>
          <cell r="P336">
            <v>30.955000000000002</v>
          </cell>
          <cell r="T336">
            <v>4064</v>
          </cell>
          <cell r="U336">
            <v>907.54164000000003</v>
          </cell>
          <cell r="V336">
            <v>47.756</v>
          </cell>
          <cell r="Z336">
            <v>3410.806</v>
          </cell>
          <cell r="AA336">
            <v>887.56263999999999</v>
          </cell>
          <cell r="AB336">
            <v>37.096000000000004</v>
          </cell>
          <cell r="AF336">
            <v>3507.6059999999998</v>
          </cell>
          <cell r="AG336">
            <v>919.52099999999996</v>
          </cell>
          <cell r="AH336">
            <v>49.349000000000004</v>
          </cell>
          <cell r="AL336">
            <v>3486.672</v>
          </cell>
          <cell r="AM336">
            <v>984.58504000000005</v>
          </cell>
          <cell r="AN336">
            <v>65.42</v>
          </cell>
          <cell r="AR336">
            <v>3935</v>
          </cell>
          <cell r="AS336">
            <v>1093.0437999999999</v>
          </cell>
          <cell r="AT336">
            <v>96.325000000000003</v>
          </cell>
          <cell r="AX336">
            <v>21717.083999999999</v>
          </cell>
          <cell r="AY336">
            <v>5624.3355200000005</v>
          </cell>
          <cell r="AZ336">
            <v>326.90099999999995</v>
          </cell>
          <cell r="BA336">
            <v>5.8122599343077583</v>
          </cell>
          <cell r="BF336">
            <v>6972.3440000000001</v>
          </cell>
          <cell r="BG336">
            <v>1462.6538</v>
          </cell>
          <cell r="BH336">
            <v>162.37899999999999</v>
          </cell>
          <cell r="BL336">
            <v>6902.3440000000001</v>
          </cell>
          <cell r="BM336">
            <v>1538.0758000000001</v>
          </cell>
          <cell r="BN336">
            <v>192.14</v>
          </cell>
          <cell r="BR336">
            <v>7360.3440000000001</v>
          </cell>
          <cell r="BS336">
            <v>1648.2697999999998</v>
          </cell>
          <cell r="BT336">
            <v>204.827</v>
          </cell>
          <cell r="BX336">
            <v>7597.3440000000001</v>
          </cell>
          <cell r="BY336">
            <v>1740.1727999999998</v>
          </cell>
          <cell r="BZ336">
            <v>241.87300000000005</v>
          </cell>
          <cell r="CD336">
            <v>8634.344000000001</v>
          </cell>
          <cell r="CE336">
            <v>1783.0909999999999</v>
          </cell>
          <cell r="CF336">
            <v>241.01599999999999</v>
          </cell>
          <cell r="CJ336">
            <v>9854</v>
          </cell>
          <cell r="CK336">
            <v>1841.0848000000001</v>
          </cell>
          <cell r="CL336">
            <v>267.92100000000005</v>
          </cell>
          <cell r="CP336">
            <v>47320.72</v>
          </cell>
          <cell r="CQ336">
            <v>10013.348000000002</v>
          </cell>
          <cell r="CR336">
            <v>1310.1559999999999</v>
          </cell>
          <cell r="CS336">
            <v>13.084095349527447</v>
          </cell>
          <cell r="CX336">
            <v>10787.806</v>
          </cell>
          <cell r="CY336">
            <v>2627.18568</v>
          </cell>
          <cell r="CZ336">
            <v>115.80700000000002</v>
          </cell>
          <cell r="DA336">
            <v>4.4080249402090228</v>
          </cell>
          <cell r="DF336">
            <v>10929.278</v>
          </cell>
          <cell r="DG336">
            <v>2997.14984</v>
          </cell>
          <cell r="DH336">
            <v>211.09399999999999</v>
          </cell>
          <cell r="DI336">
            <v>7.0431580424420828</v>
          </cell>
          <cell r="DN336">
            <v>21235.031999999999</v>
          </cell>
          <cell r="DO336">
            <v>4648.9994000000006</v>
          </cell>
          <cell r="DP336">
            <v>559.346</v>
          </cell>
          <cell r="DQ336">
            <v>12.031535215943455</v>
          </cell>
          <cell r="DV336">
            <v>26085.688000000002</v>
          </cell>
          <cell r="DW336">
            <v>5364.3486000000003</v>
          </cell>
          <cell r="DX336">
            <v>750.81</v>
          </cell>
          <cell r="DY336">
            <v>13.996293976867943</v>
          </cell>
        </row>
        <row r="337">
          <cell r="F337">
            <v>120247.804</v>
          </cell>
          <cell r="G337">
            <v>52277.783519999997</v>
          </cell>
          <cell r="H337">
            <v>14514.603999999999</v>
          </cell>
          <cell r="I337">
            <v>27.764382922713477</v>
          </cell>
          <cell r="N337">
            <v>5615</v>
          </cell>
          <cell r="O337">
            <v>2761.2813999999998</v>
          </cell>
          <cell r="P337">
            <v>565.02800000000002</v>
          </cell>
          <cell r="T337">
            <v>6734</v>
          </cell>
          <cell r="U337">
            <v>3077.5416399999999</v>
          </cell>
          <cell r="V337">
            <v>646.11599999999999</v>
          </cell>
          <cell r="Z337">
            <v>6910.8060000000005</v>
          </cell>
          <cell r="AA337">
            <v>3594.7626399999999</v>
          </cell>
          <cell r="AB337">
            <v>872.94500000000005</v>
          </cell>
          <cell r="AF337">
            <v>7349.6059999999998</v>
          </cell>
          <cell r="AG337">
            <v>3948.5209999999997</v>
          </cell>
          <cell r="AH337">
            <v>1028.6289999999999</v>
          </cell>
          <cell r="AL337">
            <v>7786.6720000000005</v>
          </cell>
          <cell r="AM337">
            <v>4081.2850399999998</v>
          </cell>
          <cell r="AN337">
            <v>1112.835</v>
          </cell>
          <cell r="AR337">
            <v>8505</v>
          </cell>
          <cell r="AS337">
            <v>4241.2438000000002</v>
          </cell>
          <cell r="AT337">
            <v>1203.5440000000001</v>
          </cell>
          <cell r="AX337">
            <v>42901.084000000003</v>
          </cell>
          <cell r="AY337">
            <v>21704.63552</v>
          </cell>
          <cell r="AZ337">
            <v>5429.0969999999998</v>
          </cell>
          <cell r="BA337">
            <v>25.013536831785505</v>
          </cell>
          <cell r="BF337">
            <v>11924.344000000001</v>
          </cell>
          <cell r="BG337">
            <v>4693.0537999999997</v>
          </cell>
          <cell r="BH337">
            <v>1327.3939999999998</v>
          </cell>
          <cell r="BL337">
            <v>11172.344000000001</v>
          </cell>
          <cell r="BM337">
            <v>4503.4758000000002</v>
          </cell>
          <cell r="BN337">
            <v>1261.9959999999996</v>
          </cell>
          <cell r="BR337">
            <v>12146.344000000001</v>
          </cell>
          <cell r="BS337">
            <v>5213.1697999999997</v>
          </cell>
          <cell r="BT337">
            <v>1542.9580000000001</v>
          </cell>
          <cell r="BX337">
            <v>13361.344000000001</v>
          </cell>
          <cell r="BY337">
            <v>5579.6728000000003</v>
          </cell>
          <cell r="BZ337">
            <v>1697.5230000000001</v>
          </cell>
          <cell r="CD337">
            <v>14138.344000000001</v>
          </cell>
          <cell r="CE337">
            <v>5417.1909999999998</v>
          </cell>
          <cell r="CF337">
            <v>1639.3380000000002</v>
          </cell>
          <cell r="CJ337">
            <v>14604</v>
          </cell>
          <cell r="CK337">
            <v>5166.5848000000005</v>
          </cell>
          <cell r="CL337">
            <v>1616.298</v>
          </cell>
          <cell r="CP337">
            <v>77346.720000000001</v>
          </cell>
          <cell r="CQ337">
            <v>30573.148000000001</v>
          </cell>
          <cell r="CR337">
            <v>9085.5070000000014</v>
          </cell>
          <cell r="CS337">
            <v>29.71727674232304</v>
          </cell>
          <cell r="CX337">
            <v>19259.806</v>
          </cell>
          <cell r="CY337">
            <v>9433.5856800000001</v>
          </cell>
          <cell r="CZ337">
            <v>2084.0889999999999</v>
          </cell>
          <cell r="DA337">
            <v>22.092225275681177</v>
          </cell>
          <cell r="DF337">
            <v>23641.277999999998</v>
          </cell>
          <cell r="DG337">
            <v>12271.04984</v>
          </cell>
          <cell r="DH337">
            <v>3345.0079999999998</v>
          </cell>
          <cell r="DI337">
            <v>27.259346540149004</v>
          </cell>
          <cell r="DN337">
            <v>35243.031999999999</v>
          </cell>
          <cell r="DO337">
            <v>14409.699400000001</v>
          </cell>
          <cell r="DP337">
            <v>4132.348</v>
          </cell>
          <cell r="DQ337">
            <v>28.677544793196724</v>
          </cell>
          <cell r="DV337">
            <v>42103.688000000002</v>
          </cell>
          <cell r="DW337">
            <v>16163.4486</v>
          </cell>
          <cell r="DX337">
            <v>4953.1589999999997</v>
          </cell>
          <cell r="DY337">
            <v>30.644196808346951</v>
          </cell>
        </row>
        <row r="338">
          <cell r="F338">
            <v>0</v>
          </cell>
          <cell r="G338">
            <v>5002.9830000000002</v>
          </cell>
          <cell r="H338">
            <v>1273.4670000000001</v>
          </cell>
          <cell r="I338">
            <v>25.454154051692761</v>
          </cell>
          <cell r="O338">
            <v>304.71199999999999</v>
          </cell>
          <cell r="P338">
            <v>70.525999999999996</v>
          </cell>
          <cell r="U338">
            <v>304.71199999999999</v>
          </cell>
          <cell r="V338">
            <v>61.301000000000002</v>
          </cell>
          <cell r="AA338">
            <v>319.49200000000002</v>
          </cell>
          <cell r="AB338">
            <v>62.973999999999997</v>
          </cell>
          <cell r="AF338">
            <v>0</v>
          </cell>
          <cell r="AG338">
            <v>394.85700000000003</v>
          </cell>
          <cell r="AH338">
            <v>75.421000000000006</v>
          </cell>
          <cell r="AL338">
            <v>0</v>
          </cell>
          <cell r="AM338">
            <v>414.36200000000002</v>
          </cell>
          <cell r="AN338">
            <v>86.75</v>
          </cell>
          <cell r="AR338">
            <v>0</v>
          </cell>
          <cell r="AS338">
            <v>414.80599999999998</v>
          </cell>
          <cell r="AT338">
            <v>94.509</v>
          </cell>
          <cell r="AX338">
            <v>0</v>
          </cell>
          <cell r="AY338">
            <v>2152.9409999999998</v>
          </cell>
          <cell r="AZ338">
            <v>451.48099999999999</v>
          </cell>
          <cell r="BA338">
            <v>20.970430680636394</v>
          </cell>
          <cell r="BF338">
            <v>0</v>
          </cell>
          <cell r="BG338">
            <v>404.94200000000001</v>
          </cell>
          <cell r="BH338">
            <v>103.601</v>
          </cell>
          <cell r="BL338">
            <v>0</v>
          </cell>
          <cell r="BM338">
            <v>434.90699999999998</v>
          </cell>
          <cell r="BN338">
            <v>115.834</v>
          </cell>
          <cell r="BR338">
            <v>0</v>
          </cell>
          <cell r="BS338">
            <v>405.38900000000001</v>
          </cell>
          <cell r="BT338">
            <v>105.69799999999999</v>
          </cell>
          <cell r="BX338">
            <v>0</v>
          </cell>
          <cell r="BY338">
            <v>544.46699999999998</v>
          </cell>
          <cell r="BZ338">
            <v>163.31100000000001</v>
          </cell>
          <cell r="CD338">
            <v>0</v>
          </cell>
          <cell r="CE338">
            <v>544.36300000000006</v>
          </cell>
          <cell r="CF338">
            <v>171.14699999999999</v>
          </cell>
          <cell r="CJ338">
            <v>0</v>
          </cell>
          <cell r="CK338">
            <v>515.97400000000005</v>
          </cell>
          <cell r="CL338">
            <v>162.39500000000001</v>
          </cell>
          <cell r="CP338">
            <v>0</v>
          </cell>
          <cell r="CQ338">
            <v>2850.0420000000004</v>
          </cell>
          <cell r="CR338">
            <v>821.98599999999999</v>
          </cell>
          <cell r="CS338">
            <v>28.841189007039191</v>
          </cell>
          <cell r="CX338">
            <v>0</v>
          </cell>
          <cell r="CY338">
            <v>928.91599999999994</v>
          </cell>
          <cell r="CZ338">
            <v>194.80099999999999</v>
          </cell>
          <cell r="DA338">
            <v>20.970787455485748</v>
          </cell>
          <cell r="DF338">
            <v>0</v>
          </cell>
          <cell r="DG338">
            <v>1224.0250000000001</v>
          </cell>
          <cell r="DH338">
            <v>256.68</v>
          </cell>
          <cell r="DI338">
            <v>20.970159923204182</v>
          </cell>
          <cell r="DN338">
            <v>0</v>
          </cell>
          <cell r="DO338">
            <v>1245.2379999999998</v>
          </cell>
          <cell r="DP338">
            <v>325.13299999999998</v>
          </cell>
          <cell r="DQ338">
            <v>26.11010907151886</v>
          </cell>
          <cell r="DV338">
            <v>0</v>
          </cell>
          <cell r="DW338">
            <v>1604.8040000000001</v>
          </cell>
          <cell r="DX338">
            <v>496.85299999999995</v>
          </cell>
          <cell r="DY338">
            <v>30.960354037003889</v>
          </cell>
        </row>
        <row r="339">
          <cell r="F339">
            <v>0</v>
          </cell>
          <cell r="G339">
            <v>800.23199999999997</v>
          </cell>
          <cell r="H339">
            <v>375.14699999999999</v>
          </cell>
          <cell r="I339">
            <v>46.879779863839488</v>
          </cell>
          <cell r="O339">
            <v>69.655000000000001</v>
          </cell>
          <cell r="P339">
            <v>31.52</v>
          </cell>
          <cell r="U339">
            <v>69.655000000000001</v>
          </cell>
          <cell r="V339">
            <v>31.363</v>
          </cell>
          <cell r="AA339">
            <v>60.28</v>
          </cell>
          <cell r="AB339">
            <v>27.341999999999999</v>
          </cell>
          <cell r="AF339">
            <v>0</v>
          </cell>
          <cell r="AG339">
            <v>69.966999999999999</v>
          </cell>
          <cell r="AH339">
            <v>32.661000000000001</v>
          </cell>
          <cell r="AL339">
            <v>0</v>
          </cell>
          <cell r="AM339">
            <v>69.966999999999999</v>
          </cell>
          <cell r="AN339">
            <v>32.472000000000001</v>
          </cell>
          <cell r="AR339">
            <v>0</v>
          </cell>
          <cell r="AS339">
            <v>60.39</v>
          </cell>
          <cell r="AT339">
            <v>28.164999999999999</v>
          </cell>
          <cell r="AX339">
            <v>0</v>
          </cell>
          <cell r="AY339">
            <v>399.91399999999999</v>
          </cell>
          <cell r="AZ339">
            <v>183.523</v>
          </cell>
          <cell r="BA339">
            <v>45.890616482543749</v>
          </cell>
          <cell r="BF339">
            <v>0</v>
          </cell>
          <cell r="BG339">
            <v>69.966999999999999</v>
          </cell>
          <cell r="BH339">
            <v>32.981999999999999</v>
          </cell>
          <cell r="BL339">
            <v>0</v>
          </cell>
          <cell r="BM339">
            <v>69.856999999999999</v>
          </cell>
          <cell r="BN339">
            <v>32.969000000000001</v>
          </cell>
          <cell r="BR339">
            <v>0</v>
          </cell>
          <cell r="BS339">
            <v>60.39</v>
          </cell>
          <cell r="BT339">
            <v>28.457000000000001</v>
          </cell>
          <cell r="BX339">
            <v>0</v>
          </cell>
          <cell r="BY339">
            <v>69.856999999999999</v>
          </cell>
          <cell r="BZ339">
            <v>33.747</v>
          </cell>
          <cell r="CD339">
            <v>0</v>
          </cell>
          <cell r="CE339">
            <v>69.856999999999999</v>
          </cell>
          <cell r="CF339">
            <v>33.917000000000002</v>
          </cell>
          <cell r="CJ339">
            <v>0</v>
          </cell>
          <cell r="CK339">
            <v>60.39</v>
          </cell>
          <cell r="CL339">
            <v>29.552</v>
          </cell>
          <cell r="CP339">
            <v>0</v>
          </cell>
          <cell r="CQ339">
            <v>400.31799999999998</v>
          </cell>
          <cell r="CR339">
            <v>191.624</v>
          </cell>
          <cell r="CS339">
            <v>47.867944983737928</v>
          </cell>
          <cell r="CX339">
            <v>0</v>
          </cell>
          <cell r="CY339">
            <v>199.59</v>
          </cell>
          <cell r="CZ339">
            <v>90.224999999999994</v>
          </cell>
          <cell r="DA339">
            <v>45.205170599729442</v>
          </cell>
          <cell r="DF339">
            <v>0</v>
          </cell>
          <cell r="DG339">
            <v>200.32400000000001</v>
          </cell>
          <cell r="DH339">
            <v>93.298000000000002</v>
          </cell>
          <cell r="DI339">
            <v>46.573550847626841</v>
          </cell>
          <cell r="DN339">
            <v>0</v>
          </cell>
          <cell r="DO339">
            <v>200.214</v>
          </cell>
          <cell r="DP339">
            <v>94.407999999999987</v>
          </cell>
          <cell r="DQ339">
            <v>47.153545706094476</v>
          </cell>
          <cell r="DV339">
            <v>0</v>
          </cell>
          <cell r="DW339">
            <v>200.10399999999998</v>
          </cell>
          <cell r="DX339">
            <v>97.216000000000008</v>
          </cell>
          <cell r="DY339">
            <v>48.582736976772082</v>
          </cell>
        </row>
        <row r="340">
          <cell r="F340">
            <v>0</v>
          </cell>
          <cell r="G340">
            <v>2399.9209999999994</v>
          </cell>
          <cell r="H340">
            <v>1031.345</v>
          </cell>
          <cell r="I340">
            <v>42.97412289821208</v>
          </cell>
          <cell r="O340">
            <v>180.00200000000001</v>
          </cell>
          <cell r="P340">
            <v>61.090999999999994</v>
          </cell>
          <cell r="U340">
            <v>199.94399999999999</v>
          </cell>
          <cell r="V340">
            <v>68.974000000000004</v>
          </cell>
          <cell r="AA340">
            <v>200.28</v>
          </cell>
          <cell r="AB340">
            <v>71.405000000000001</v>
          </cell>
          <cell r="AF340">
            <v>0</v>
          </cell>
          <cell r="AG340">
            <v>209.858</v>
          </cell>
          <cell r="AH340">
            <v>80.632000000000005</v>
          </cell>
          <cell r="AL340">
            <v>0</v>
          </cell>
          <cell r="AM340">
            <v>209.72499999999999</v>
          </cell>
          <cell r="AN340">
            <v>86.757999999999996</v>
          </cell>
          <cell r="AR340">
            <v>0</v>
          </cell>
          <cell r="AS340">
            <v>190.19</v>
          </cell>
          <cell r="AT340">
            <v>79.326999999999998</v>
          </cell>
          <cell r="AX340">
            <v>0</v>
          </cell>
          <cell r="AY340">
            <v>1189.9989999999998</v>
          </cell>
          <cell r="AZ340">
            <v>448.18699999999995</v>
          </cell>
          <cell r="BA340">
            <v>37.662804758659462</v>
          </cell>
          <cell r="BF340">
            <v>0</v>
          </cell>
          <cell r="BG340">
            <v>190.10899999999998</v>
          </cell>
          <cell r="BH340">
            <v>88.475999999999999</v>
          </cell>
          <cell r="BL340">
            <v>0</v>
          </cell>
          <cell r="BM340">
            <v>189.85899999999998</v>
          </cell>
          <cell r="BN340">
            <v>92.343999999999994</v>
          </cell>
          <cell r="BR340">
            <v>0</v>
          </cell>
          <cell r="BS340">
            <v>200.267</v>
          </cell>
          <cell r="BT340">
            <v>95.759</v>
          </cell>
          <cell r="BX340">
            <v>0</v>
          </cell>
          <cell r="BY340">
            <v>219.96</v>
          </cell>
          <cell r="BZ340">
            <v>103.63800000000001</v>
          </cell>
          <cell r="CD340">
            <v>0</v>
          </cell>
          <cell r="CE340">
            <v>219.84899999999999</v>
          </cell>
          <cell r="CF340">
            <v>106.301</v>
          </cell>
          <cell r="CJ340">
            <v>0</v>
          </cell>
          <cell r="CK340">
            <v>189.87799999999999</v>
          </cell>
          <cell r="CL340">
            <v>96.64</v>
          </cell>
          <cell r="CP340">
            <v>0</v>
          </cell>
          <cell r="CQ340">
            <v>1209.9219999999998</v>
          </cell>
          <cell r="CR340">
            <v>583.15800000000002</v>
          </cell>
          <cell r="CS340">
            <v>48.197983010475063</v>
          </cell>
          <cell r="CX340">
            <v>0</v>
          </cell>
          <cell r="CY340">
            <v>580.226</v>
          </cell>
          <cell r="CZ340">
            <v>201.47</v>
          </cell>
          <cell r="DA340">
            <v>34.722677025848547</v>
          </cell>
          <cell r="DF340">
            <v>0</v>
          </cell>
          <cell r="DG340">
            <v>609.77299999999991</v>
          </cell>
          <cell r="DH340">
            <v>246.71699999999998</v>
          </cell>
          <cell r="DI340">
            <v>40.460466435870401</v>
          </cell>
          <cell r="DN340">
            <v>0</v>
          </cell>
          <cell r="DO340">
            <v>580.2349999999999</v>
          </cell>
          <cell r="DP340">
            <v>276.57900000000001</v>
          </cell>
          <cell r="DQ340">
            <v>47.666721242255299</v>
          </cell>
          <cell r="DV340">
            <v>0</v>
          </cell>
          <cell r="DW340">
            <v>629.6869999999999</v>
          </cell>
          <cell r="DX340">
            <v>306.57900000000001</v>
          </cell>
          <cell r="DY340">
            <v>48.68752253103527</v>
          </cell>
        </row>
        <row r="341">
          <cell r="F341">
            <v>0</v>
          </cell>
          <cell r="G341">
            <v>800</v>
          </cell>
          <cell r="H341">
            <v>160</v>
          </cell>
          <cell r="I341">
            <v>20</v>
          </cell>
          <cell r="O341">
            <v>70</v>
          </cell>
          <cell r="P341">
            <v>14</v>
          </cell>
          <cell r="U341">
            <v>50</v>
          </cell>
          <cell r="V341">
            <v>10</v>
          </cell>
          <cell r="AA341">
            <v>60</v>
          </cell>
          <cell r="AB341">
            <v>12</v>
          </cell>
          <cell r="AF341">
            <v>0</v>
          </cell>
          <cell r="AG341">
            <v>60</v>
          </cell>
          <cell r="AH341">
            <v>12</v>
          </cell>
          <cell r="AL341">
            <v>0</v>
          </cell>
          <cell r="AM341">
            <v>70</v>
          </cell>
          <cell r="AN341">
            <v>14</v>
          </cell>
          <cell r="AR341">
            <v>0</v>
          </cell>
          <cell r="AS341">
            <v>70</v>
          </cell>
          <cell r="AT341">
            <v>14</v>
          </cell>
          <cell r="AX341">
            <v>0</v>
          </cell>
          <cell r="AY341">
            <v>380</v>
          </cell>
          <cell r="AZ341">
            <v>76</v>
          </cell>
          <cell r="BA341">
            <v>20</v>
          </cell>
          <cell r="BF341">
            <v>0</v>
          </cell>
          <cell r="BG341">
            <v>80</v>
          </cell>
          <cell r="BH341">
            <v>16</v>
          </cell>
          <cell r="BL341">
            <v>0</v>
          </cell>
          <cell r="BM341">
            <v>80</v>
          </cell>
          <cell r="BN341">
            <v>16</v>
          </cell>
          <cell r="BR341">
            <v>0</v>
          </cell>
          <cell r="BS341">
            <v>60</v>
          </cell>
          <cell r="BT341">
            <v>12</v>
          </cell>
          <cell r="BX341">
            <v>0</v>
          </cell>
          <cell r="BY341">
            <v>60</v>
          </cell>
          <cell r="BZ341">
            <v>12</v>
          </cell>
          <cell r="CD341">
            <v>0</v>
          </cell>
          <cell r="CE341">
            <v>60</v>
          </cell>
          <cell r="CF341">
            <v>12</v>
          </cell>
          <cell r="CJ341">
            <v>0</v>
          </cell>
          <cell r="CK341">
            <v>80</v>
          </cell>
          <cell r="CL341">
            <v>16</v>
          </cell>
          <cell r="CP341">
            <v>0</v>
          </cell>
          <cell r="CQ341">
            <v>420</v>
          </cell>
          <cell r="CR341">
            <v>84</v>
          </cell>
          <cell r="CS341">
            <v>20</v>
          </cell>
          <cell r="CX341">
            <v>0</v>
          </cell>
          <cell r="CY341">
            <v>180</v>
          </cell>
          <cell r="CZ341">
            <v>36</v>
          </cell>
          <cell r="DA341">
            <v>20</v>
          </cell>
          <cell r="DF341">
            <v>0</v>
          </cell>
          <cell r="DG341">
            <v>200</v>
          </cell>
          <cell r="DH341">
            <v>40</v>
          </cell>
          <cell r="DI341">
            <v>20</v>
          </cell>
          <cell r="DN341">
            <v>0</v>
          </cell>
          <cell r="DO341">
            <v>220</v>
          </cell>
          <cell r="DP341">
            <v>44</v>
          </cell>
          <cell r="DQ341">
            <v>20</v>
          </cell>
          <cell r="DV341">
            <v>0</v>
          </cell>
          <cell r="DW341">
            <v>200</v>
          </cell>
          <cell r="DX341">
            <v>40</v>
          </cell>
          <cell r="DY341">
            <v>20</v>
          </cell>
        </row>
        <row r="342">
          <cell r="F342">
            <v>0</v>
          </cell>
          <cell r="G342">
            <v>9003.1359999999986</v>
          </cell>
          <cell r="H342">
            <v>2839.9589999999998</v>
          </cell>
          <cell r="I342">
            <v>31.544108630592721</v>
          </cell>
          <cell r="N342">
            <v>0</v>
          </cell>
          <cell r="O342">
            <v>624.36899999999991</v>
          </cell>
          <cell r="P342">
            <v>177.137</v>
          </cell>
          <cell r="T342">
            <v>0</v>
          </cell>
          <cell r="U342">
            <v>624.31099999999992</v>
          </cell>
          <cell r="V342">
            <v>171.63800000000001</v>
          </cell>
          <cell r="Z342">
            <v>0</v>
          </cell>
          <cell r="AA342">
            <v>640.05200000000002</v>
          </cell>
          <cell r="AB342">
            <v>173.721</v>
          </cell>
          <cell r="AF342">
            <v>0</v>
          </cell>
          <cell r="AG342">
            <v>734.68200000000002</v>
          </cell>
          <cell r="AH342">
            <v>200.714</v>
          </cell>
          <cell r="AL342">
            <v>0</v>
          </cell>
          <cell r="AM342">
            <v>764.05399999999997</v>
          </cell>
          <cell r="AN342">
            <v>219.98000000000002</v>
          </cell>
          <cell r="AR342">
            <v>0</v>
          </cell>
          <cell r="AS342">
            <v>735.38599999999997</v>
          </cell>
          <cell r="AT342">
            <v>216.001</v>
          </cell>
          <cell r="AX342">
            <v>0</v>
          </cell>
          <cell r="AY342">
            <v>4122.8539999999994</v>
          </cell>
          <cell r="AZ342">
            <v>1159.191</v>
          </cell>
          <cell r="BA342">
            <v>28.116227254227294</v>
          </cell>
          <cell r="BF342">
            <v>0</v>
          </cell>
          <cell r="BG342">
            <v>745.01800000000003</v>
          </cell>
          <cell r="BH342">
            <v>241.059</v>
          </cell>
          <cell r="BL342">
            <v>0</v>
          </cell>
          <cell r="BM342">
            <v>774.62300000000005</v>
          </cell>
          <cell r="BN342">
            <v>257.14699999999999</v>
          </cell>
          <cell r="BR342">
            <v>0</v>
          </cell>
          <cell r="BS342">
            <v>726.04600000000005</v>
          </cell>
          <cell r="BT342">
            <v>241.91399999999999</v>
          </cell>
          <cell r="BX342">
            <v>0</v>
          </cell>
          <cell r="BY342">
            <v>894.28399999999999</v>
          </cell>
          <cell r="BZ342">
            <v>312.69600000000003</v>
          </cell>
          <cell r="CD342">
            <v>0</v>
          </cell>
          <cell r="CE342">
            <v>894.06899999999996</v>
          </cell>
          <cell r="CF342">
            <v>323.36500000000001</v>
          </cell>
          <cell r="CJ342">
            <v>0</v>
          </cell>
          <cell r="CK342">
            <v>846.24199999999996</v>
          </cell>
          <cell r="CL342">
            <v>304.58699999999999</v>
          </cell>
          <cell r="CP342">
            <v>0</v>
          </cell>
          <cell r="CQ342">
            <v>4880.2820000000002</v>
          </cell>
          <cell r="CR342">
            <v>1680.768</v>
          </cell>
          <cell r="CS342">
            <v>34.439977034114008</v>
          </cell>
          <cell r="CX342">
            <v>0</v>
          </cell>
          <cell r="CY342">
            <v>1888.732</v>
          </cell>
          <cell r="CZ342">
            <v>522.49599999999998</v>
          </cell>
          <cell r="DA342">
            <v>27.663850668067251</v>
          </cell>
          <cell r="DF342">
            <v>0</v>
          </cell>
          <cell r="DG342">
            <v>2234.1220000000003</v>
          </cell>
          <cell r="DH342">
            <v>636.69499999999994</v>
          </cell>
          <cell r="DI342">
            <v>28.498667485481988</v>
          </cell>
          <cell r="DN342">
            <v>0</v>
          </cell>
          <cell r="DO342">
            <v>2245.6869999999999</v>
          </cell>
          <cell r="DP342">
            <v>740.11999999999989</v>
          </cell>
          <cell r="DQ342">
            <v>32.957397892048171</v>
          </cell>
          <cell r="DV342">
            <v>0</v>
          </cell>
          <cell r="DW342">
            <v>2634.5950000000003</v>
          </cell>
          <cell r="DX342">
            <v>940.64799999999991</v>
          </cell>
          <cell r="DY342">
            <v>35.703703984862948</v>
          </cell>
        </row>
        <row r="343">
          <cell r="F343">
            <v>0</v>
          </cell>
          <cell r="G343">
            <v>13502.728999999999</v>
          </cell>
          <cell r="H343">
            <v>5493.3940000000002</v>
          </cell>
          <cell r="I343">
            <v>40.683583296384015</v>
          </cell>
          <cell r="O343">
            <v>952.875</v>
          </cell>
          <cell r="P343">
            <v>382.28</v>
          </cell>
          <cell r="U343">
            <v>967.81500000000005</v>
          </cell>
          <cell r="V343">
            <v>396.95499999999998</v>
          </cell>
          <cell r="AA343">
            <v>1089.8430000000001</v>
          </cell>
          <cell r="AB343">
            <v>451.86100000000005</v>
          </cell>
          <cell r="AF343">
            <v>0</v>
          </cell>
          <cell r="AG343">
            <v>1142.0989999999999</v>
          </cell>
          <cell r="AH343">
            <v>474.65899999999999</v>
          </cell>
          <cell r="AL343">
            <v>0</v>
          </cell>
          <cell r="AM343">
            <v>1146.1610000000001</v>
          </cell>
          <cell r="AN343">
            <v>467.43099999999998</v>
          </cell>
          <cell r="AR343">
            <v>0</v>
          </cell>
          <cell r="AS343">
            <v>1151.809</v>
          </cell>
          <cell r="AT343">
            <v>455.935</v>
          </cell>
          <cell r="AX343">
            <v>0</v>
          </cell>
          <cell r="AY343">
            <v>6450.6020000000008</v>
          </cell>
          <cell r="AZ343">
            <v>2629.1210000000001</v>
          </cell>
          <cell r="BA343">
            <v>40.757761833701714</v>
          </cell>
          <cell r="BF343">
            <v>0</v>
          </cell>
          <cell r="BG343">
            <v>1164.941</v>
          </cell>
          <cell r="BH343">
            <v>468.42500000000001</v>
          </cell>
          <cell r="BL343">
            <v>0</v>
          </cell>
          <cell r="BM343">
            <v>1192.4209999999998</v>
          </cell>
          <cell r="BN343">
            <v>478.15</v>
          </cell>
          <cell r="BR343">
            <v>0</v>
          </cell>
          <cell r="BS343">
            <v>1140.298</v>
          </cell>
          <cell r="BT343">
            <v>450.548</v>
          </cell>
          <cell r="BX343">
            <v>0</v>
          </cell>
          <cell r="BY343">
            <v>1211.086</v>
          </cell>
          <cell r="BZ343">
            <v>491.34300000000002</v>
          </cell>
          <cell r="CD343">
            <v>0</v>
          </cell>
          <cell r="CE343">
            <v>1206.2169999999999</v>
          </cell>
          <cell r="CF343">
            <v>495.52499999999998</v>
          </cell>
          <cell r="CJ343">
            <v>0</v>
          </cell>
          <cell r="CK343">
            <v>1137.164</v>
          </cell>
          <cell r="CL343">
            <v>480.28199999999998</v>
          </cell>
          <cell r="CP343">
            <v>0</v>
          </cell>
          <cell r="CQ343">
            <v>7052.1269999999995</v>
          </cell>
          <cell r="CR343">
            <v>2864.2730000000001</v>
          </cell>
          <cell r="CS343">
            <v>40.615731962853197</v>
          </cell>
          <cell r="CX343">
            <v>0</v>
          </cell>
          <cell r="CY343">
            <v>3010.5330000000004</v>
          </cell>
          <cell r="CZ343">
            <v>1231.096</v>
          </cell>
          <cell r="DA343">
            <v>40.89295815724325</v>
          </cell>
          <cell r="DF343">
            <v>0</v>
          </cell>
          <cell r="DG343">
            <v>3440.0690000000004</v>
          </cell>
          <cell r="DH343">
            <v>1398.0249999999999</v>
          </cell>
          <cell r="DI343">
            <v>40.639446476218929</v>
          </cell>
          <cell r="DN343">
            <v>0</v>
          </cell>
          <cell r="DO343">
            <v>3497.66</v>
          </cell>
          <cell r="DP343">
            <v>1397.123</v>
          </cell>
          <cell r="DQ343">
            <v>39.944505755276388</v>
          </cell>
          <cell r="DV343">
            <v>0</v>
          </cell>
          <cell r="DW343">
            <v>3554.4669999999996</v>
          </cell>
          <cell r="DX343">
            <v>1467.1499999999999</v>
          </cell>
          <cell r="DY343">
            <v>41.27623072601321</v>
          </cell>
        </row>
        <row r="344">
          <cell r="F344">
            <v>0</v>
          </cell>
          <cell r="G344">
            <v>700</v>
          </cell>
          <cell r="H344">
            <v>140</v>
          </cell>
          <cell r="I344">
            <v>20</v>
          </cell>
          <cell r="O344">
            <v>60</v>
          </cell>
          <cell r="P344">
            <v>12</v>
          </cell>
          <cell r="U344">
            <v>60</v>
          </cell>
          <cell r="V344">
            <v>12</v>
          </cell>
          <cell r="AA344">
            <v>60</v>
          </cell>
          <cell r="AB344">
            <v>12</v>
          </cell>
          <cell r="AF344">
            <v>0</v>
          </cell>
          <cell r="AG344">
            <v>50</v>
          </cell>
          <cell r="AH344">
            <v>10</v>
          </cell>
          <cell r="AL344">
            <v>0</v>
          </cell>
          <cell r="AM344">
            <v>60</v>
          </cell>
          <cell r="AN344">
            <v>12</v>
          </cell>
          <cell r="AR344">
            <v>0</v>
          </cell>
          <cell r="AS344">
            <v>60</v>
          </cell>
          <cell r="AT344">
            <v>12</v>
          </cell>
          <cell r="AX344">
            <v>0</v>
          </cell>
          <cell r="AY344">
            <v>350</v>
          </cell>
          <cell r="AZ344">
            <v>70</v>
          </cell>
          <cell r="BA344">
            <v>20</v>
          </cell>
          <cell r="BF344">
            <v>0</v>
          </cell>
          <cell r="BG344">
            <v>70</v>
          </cell>
          <cell r="BH344">
            <v>14</v>
          </cell>
          <cell r="BL344">
            <v>0</v>
          </cell>
          <cell r="BM344">
            <v>50</v>
          </cell>
          <cell r="BN344">
            <v>10</v>
          </cell>
          <cell r="BR344">
            <v>0</v>
          </cell>
          <cell r="BS344">
            <v>50</v>
          </cell>
          <cell r="BT344">
            <v>10</v>
          </cell>
          <cell r="BX344">
            <v>0</v>
          </cell>
          <cell r="BY344">
            <v>50</v>
          </cell>
          <cell r="BZ344">
            <v>10</v>
          </cell>
          <cell r="CD344">
            <v>0</v>
          </cell>
          <cell r="CE344">
            <v>60</v>
          </cell>
          <cell r="CF344">
            <v>12</v>
          </cell>
          <cell r="CJ344">
            <v>0</v>
          </cell>
          <cell r="CK344">
            <v>70</v>
          </cell>
          <cell r="CL344">
            <v>14</v>
          </cell>
          <cell r="CP344">
            <v>0</v>
          </cell>
          <cell r="CQ344">
            <v>350</v>
          </cell>
          <cell r="CR344">
            <v>70</v>
          </cell>
          <cell r="CS344">
            <v>20</v>
          </cell>
          <cell r="CX344">
            <v>0</v>
          </cell>
          <cell r="CY344">
            <v>180</v>
          </cell>
          <cell r="CZ344">
            <v>36</v>
          </cell>
          <cell r="DA344">
            <v>20</v>
          </cell>
          <cell r="DF344">
            <v>0</v>
          </cell>
          <cell r="DG344">
            <v>170</v>
          </cell>
          <cell r="DH344">
            <v>34</v>
          </cell>
          <cell r="DI344">
            <v>20</v>
          </cell>
          <cell r="DN344">
            <v>0</v>
          </cell>
          <cell r="DO344">
            <v>170</v>
          </cell>
          <cell r="DP344">
            <v>34</v>
          </cell>
          <cell r="DQ344">
            <v>20</v>
          </cell>
          <cell r="DV344">
            <v>0</v>
          </cell>
          <cell r="DW344">
            <v>180</v>
          </cell>
          <cell r="DX344">
            <v>36</v>
          </cell>
          <cell r="DY344">
            <v>20</v>
          </cell>
        </row>
        <row r="345">
          <cell r="F345">
            <v>0</v>
          </cell>
          <cell r="G345">
            <v>14202.728999999999</v>
          </cell>
          <cell r="H345">
            <v>5633.3940000000002</v>
          </cell>
          <cell r="I345">
            <v>39.664165950079031</v>
          </cell>
          <cell r="N345">
            <v>0</v>
          </cell>
          <cell r="O345">
            <v>1012.875</v>
          </cell>
          <cell r="P345">
            <v>394.28</v>
          </cell>
          <cell r="T345">
            <v>0</v>
          </cell>
          <cell r="U345">
            <v>1027.8150000000001</v>
          </cell>
          <cell r="V345">
            <v>408.95499999999998</v>
          </cell>
          <cell r="Z345">
            <v>0</v>
          </cell>
          <cell r="AA345">
            <v>1149.8430000000001</v>
          </cell>
          <cell r="AB345">
            <v>463.86100000000005</v>
          </cell>
          <cell r="AF345">
            <v>0</v>
          </cell>
          <cell r="AG345">
            <v>1192.0989999999999</v>
          </cell>
          <cell r="AH345">
            <v>484.65899999999999</v>
          </cell>
          <cell r="AL345">
            <v>0</v>
          </cell>
          <cell r="AM345">
            <v>1206.1610000000001</v>
          </cell>
          <cell r="AN345">
            <v>479.43099999999998</v>
          </cell>
          <cell r="AR345">
            <v>0</v>
          </cell>
          <cell r="AS345">
            <v>1211.809</v>
          </cell>
          <cell r="AT345">
            <v>467.935</v>
          </cell>
          <cell r="AX345">
            <v>0</v>
          </cell>
          <cell r="AY345">
            <v>6800.6020000000008</v>
          </cell>
          <cell r="AZ345">
            <v>2699.1210000000001</v>
          </cell>
          <cell r="BA345">
            <v>39.689442199381759</v>
          </cell>
          <cell r="BF345">
            <v>0</v>
          </cell>
          <cell r="BG345">
            <v>1234.941</v>
          </cell>
          <cell r="BH345">
            <v>482.42500000000001</v>
          </cell>
          <cell r="BL345">
            <v>0</v>
          </cell>
          <cell r="BM345">
            <v>1242.4209999999998</v>
          </cell>
          <cell r="BN345">
            <v>488.15</v>
          </cell>
          <cell r="BR345">
            <v>0</v>
          </cell>
          <cell r="BS345">
            <v>1190.298</v>
          </cell>
          <cell r="BT345">
            <v>460.548</v>
          </cell>
          <cell r="BX345">
            <v>0</v>
          </cell>
          <cell r="BY345">
            <v>1261.086</v>
          </cell>
          <cell r="BZ345">
            <v>501.34300000000002</v>
          </cell>
          <cell r="CD345">
            <v>0</v>
          </cell>
          <cell r="CE345">
            <v>1266.2169999999999</v>
          </cell>
          <cell r="CF345">
            <v>507.52499999999998</v>
          </cell>
          <cell r="CJ345">
            <v>0</v>
          </cell>
          <cell r="CK345">
            <v>1207.164</v>
          </cell>
          <cell r="CL345">
            <v>494.28199999999998</v>
          </cell>
          <cell r="CP345">
            <v>0</v>
          </cell>
          <cell r="CQ345">
            <v>7402.1269999999995</v>
          </cell>
          <cell r="CR345">
            <v>2934.2730000000001</v>
          </cell>
          <cell r="CS345">
            <v>39.640943744953312</v>
          </cell>
          <cell r="CX345">
            <v>0</v>
          </cell>
          <cell r="CY345">
            <v>3190.5330000000004</v>
          </cell>
          <cell r="CZ345">
            <v>1267.096</v>
          </cell>
          <cell r="DA345">
            <v>39.714242103121947</v>
          </cell>
          <cell r="DF345">
            <v>0</v>
          </cell>
          <cell r="DG345">
            <v>3610.0690000000004</v>
          </cell>
          <cell r="DH345">
            <v>1432.0249999999999</v>
          </cell>
          <cell r="DI345">
            <v>39.667524360337701</v>
          </cell>
          <cell r="DN345">
            <v>0</v>
          </cell>
          <cell r="DO345">
            <v>3667.66</v>
          </cell>
          <cell r="DP345">
            <v>1431.123</v>
          </cell>
          <cell r="DQ345">
            <v>39.020056384724867</v>
          </cell>
          <cell r="DV345">
            <v>0</v>
          </cell>
          <cell r="DW345">
            <v>3734.4669999999996</v>
          </cell>
          <cell r="DX345">
            <v>1503.1499999999999</v>
          </cell>
          <cell r="DY345">
            <v>40.250723865012063</v>
          </cell>
        </row>
        <row r="346">
          <cell r="F346">
            <v>0</v>
          </cell>
          <cell r="G346">
            <v>1503</v>
          </cell>
          <cell r="H346">
            <v>424</v>
          </cell>
          <cell r="I346">
            <v>28.210246174318033</v>
          </cell>
          <cell r="O346">
            <v>91</v>
          </cell>
          <cell r="P346">
            <v>26</v>
          </cell>
          <cell r="U346">
            <v>91</v>
          </cell>
          <cell r="V346">
            <v>26</v>
          </cell>
          <cell r="AA346">
            <v>91</v>
          </cell>
          <cell r="AB346">
            <v>26</v>
          </cell>
          <cell r="AF346">
            <v>0</v>
          </cell>
          <cell r="AG346">
            <v>110</v>
          </cell>
          <cell r="AH346">
            <v>32</v>
          </cell>
          <cell r="AL346">
            <v>0</v>
          </cell>
          <cell r="AM346">
            <v>140</v>
          </cell>
          <cell r="AN346">
            <v>40</v>
          </cell>
          <cell r="AR346">
            <v>0</v>
          </cell>
          <cell r="AS346">
            <v>120</v>
          </cell>
          <cell r="AT346">
            <v>34</v>
          </cell>
          <cell r="AX346">
            <v>0</v>
          </cell>
          <cell r="AY346">
            <v>643</v>
          </cell>
          <cell r="AZ346">
            <v>184</v>
          </cell>
          <cell r="BA346">
            <v>28.615863141524105</v>
          </cell>
          <cell r="BF346">
            <v>0</v>
          </cell>
          <cell r="BG346">
            <v>150</v>
          </cell>
          <cell r="BH346">
            <v>42</v>
          </cell>
          <cell r="BL346">
            <v>0</v>
          </cell>
          <cell r="BM346">
            <v>150</v>
          </cell>
          <cell r="BN346">
            <v>42</v>
          </cell>
          <cell r="BR346">
            <v>0</v>
          </cell>
          <cell r="BS346">
            <v>130</v>
          </cell>
          <cell r="BT346">
            <v>36</v>
          </cell>
          <cell r="BX346">
            <v>0</v>
          </cell>
          <cell r="BY346">
            <v>150</v>
          </cell>
          <cell r="BZ346">
            <v>42</v>
          </cell>
          <cell r="CD346">
            <v>0</v>
          </cell>
          <cell r="CE346">
            <v>150</v>
          </cell>
          <cell r="CF346">
            <v>42</v>
          </cell>
          <cell r="CJ346">
            <v>0</v>
          </cell>
          <cell r="CK346">
            <v>130</v>
          </cell>
          <cell r="CL346">
            <v>36</v>
          </cell>
          <cell r="CP346">
            <v>0</v>
          </cell>
          <cell r="CQ346">
            <v>860</v>
          </cell>
          <cell r="CR346">
            <v>240</v>
          </cell>
          <cell r="CS346">
            <v>27.906976744186046</v>
          </cell>
          <cell r="CX346">
            <v>0</v>
          </cell>
          <cell r="CY346">
            <v>273</v>
          </cell>
          <cell r="CZ346">
            <v>78</v>
          </cell>
          <cell r="DA346">
            <v>28.571428571428569</v>
          </cell>
          <cell r="DF346">
            <v>0</v>
          </cell>
          <cell r="DG346">
            <v>370</v>
          </cell>
          <cell r="DH346">
            <v>106</v>
          </cell>
          <cell r="DI346">
            <v>28.648648648648649</v>
          </cell>
          <cell r="DN346">
            <v>0</v>
          </cell>
          <cell r="DO346">
            <v>430</v>
          </cell>
          <cell r="DP346">
            <v>120</v>
          </cell>
          <cell r="DQ346">
            <v>27.906976744186046</v>
          </cell>
          <cell r="DV346">
            <v>0</v>
          </cell>
          <cell r="DW346">
            <v>430</v>
          </cell>
          <cell r="DX346">
            <v>120</v>
          </cell>
          <cell r="DY346">
            <v>27.906976744186046</v>
          </cell>
        </row>
        <row r="347">
          <cell r="F347">
            <v>0</v>
          </cell>
          <cell r="G347">
            <v>5500.7800000000007</v>
          </cell>
          <cell r="H347">
            <v>834.02200000000005</v>
          </cell>
          <cell r="I347">
            <v>15.161886132512114</v>
          </cell>
          <cell r="O347">
            <v>320</v>
          </cell>
          <cell r="P347">
            <v>51.871000000000002</v>
          </cell>
          <cell r="U347">
            <v>340</v>
          </cell>
          <cell r="V347">
            <v>47.273000000000003</v>
          </cell>
          <cell r="AA347">
            <v>340</v>
          </cell>
          <cell r="AB347">
            <v>46.109000000000002</v>
          </cell>
          <cell r="AF347">
            <v>0</v>
          </cell>
          <cell r="AG347">
            <v>360</v>
          </cell>
          <cell r="AH347">
            <v>50.838000000000001</v>
          </cell>
          <cell r="AL347">
            <v>0</v>
          </cell>
          <cell r="AM347">
            <v>356.25</v>
          </cell>
          <cell r="AN347">
            <v>37.67</v>
          </cell>
          <cell r="AR347">
            <v>0</v>
          </cell>
          <cell r="AS347">
            <v>447.52</v>
          </cell>
          <cell r="AT347">
            <v>53.661000000000001</v>
          </cell>
          <cell r="AX347">
            <v>0</v>
          </cell>
          <cell r="AY347">
            <v>2163.77</v>
          </cell>
          <cell r="AZ347">
            <v>287.42200000000003</v>
          </cell>
          <cell r="BA347">
            <v>13.283389639379417</v>
          </cell>
          <cell r="BF347">
            <v>0</v>
          </cell>
          <cell r="BG347">
            <v>439.26</v>
          </cell>
          <cell r="BH347">
            <v>69.287000000000006</v>
          </cell>
          <cell r="BL347">
            <v>0</v>
          </cell>
          <cell r="BM347">
            <v>544.63</v>
          </cell>
          <cell r="BN347">
            <v>77.855000000000004</v>
          </cell>
          <cell r="BR347">
            <v>0</v>
          </cell>
          <cell r="BS347">
            <v>612.54</v>
          </cell>
          <cell r="BT347">
            <v>76.852000000000004</v>
          </cell>
          <cell r="BX347">
            <v>0</v>
          </cell>
          <cell r="BY347">
            <v>562.86</v>
          </cell>
          <cell r="BZ347">
            <v>98.98</v>
          </cell>
          <cell r="CD347">
            <v>0</v>
          </cell>
          <cell r="CE347">
            <v>588.86</v>
          </cell>
          <cell r="CF347">
            <v>112.34699999999999</v>
          </cell>
          <cell r="CJ347">
            <v>0</v>
          </cell>
          <cell r="CK347">
            <v>588.86</v>
          </cell>
          <cell r="CL347">
            <v>111.279</v>
          </cell>
          <cell r="CP347">
            <v>0</v>
          </cell>
          <cell r="CQ347">
            <v>3337.01</v>
          </cell>
          <cell r="CR347">
            <v>546.6</v>
          </cell>
          <cell r="CS347">
            <v>16.379932933973826</v>
          </cell>
          <cell r="CX347">
            <v>0</v>
          </cell>
          <cell r="CY347">
            <v>1000</v>
          </cell>
          <cell r="CZ347">
            <v>145.25300000000001</v>
          </cell>
          <cell r="DA347">
            <v>14.525300000000001</v>
          </cell>
          <cell r="DF347">
            <v>0</v>
          </cell>
          <cell r="DG347">
            <v>1163.77</v>
          </cell>
          <cell r="DH347">
            <v>142.16900000000001</v>
          </cell>
          <cell r="DI347">
            <v>12.216245478058381</v>
          </cell>
          <cell r="DN347">
            <v>0</v>
          </cell>
          <cell r="DO347">
            <v>1596.4299999999998</v>
          </cell>
          <cell r="DP347">
            <v>223.994</v>
          </cell>
          <cell r="DQ347">
            <v>14.030931515944953</v>
          </cell>
          <cell r="DV347">
            <v>0</v>
          </cell>
          <cell r="DW347">
            <v>1740.58</v>
          </cell>
          <cell r="DX347">
            <v>322.60599999999999</v>
          </cell>
          <cell r="DY347">
            <v>18.534396580450196</v>
          </cell>
        </row>
        <row r="348">
          <cell r="F348">
            <v>0</v>
          </cell>
          <cell r="G348">
            <v>0</v>
          </cell>
          <cell r="H348">
            <v>0</v>
          </cell>
          <cell r="I348">
            <v>0</v>
          </cell>
          <cell r="N348">
            <v>0</v>
          </cell>
          <cell r="AR348">
            <v>0</v>
          </cell>
          <cell r="AX348">
            <v>0</v>
          </cell>
          <cell r="AY348">
            <v>0</v>
          </cell>
          <cell r="AZ348">
            <v>0</v>
          </cell>
          <cell r="BA348">
            <v>0</v>
          </cell>
          <cell r="BF348">
            <v>0</v>
          </cell>
          <cell r="BL348">
            <v>0</v>
          </cell>
          <cell r="BR348">
            <v>0</v>
          </cell>
          <cell r="BX348">
            <v>0</v>
          </cell>
          <cell r="CD348">
            <v>0</v>
          </cell>
          <cell r="CJ348">
            <v>0</v>
          </cell>
          <cell r="CP348">
            <v>0</v>
          </cell>
          <cell r="CQ348">
            <v>0</v>
          </cell>
          <cell r="CR348">
            <v>0</v>
          </cell>
          <cell r="CS348">
            <v>0</v>
          </cell>
          <cell r="CX348">
            <v>0</v>
          </cell>
          <cell r="CY348">
            <v>0</v>
          </cell>
          <cell r="CZ348">
            <v>0</v>
          </cell>
          <cell r="DA348">
            <v>0</v>
          </cell>
          <cell r="DF348">
            <v>0</v>
          </cell>
          <cell r="DG348">
            <v>0</v>
          </cell>
          <cell r="DH348">
            <v>0</v>
          </cell>
          <cell r="DI348">
            <v>0</v>
          </cell>
          <cell r="DN348">
            <v>0</v>
          </cell>
          <cell r="DO348">
            <v>0</v>
          </cell>
          <cell r="DP348">
            <v>0</v>
          </cell>
          <cell r="DQ348">
            <v>0</v>
          </cell>
          <cell r="DV348">
            <v>0</v>
          </cell>
          <cell r="DW348">
            <v>0</v>
          </cell>
          <cell r="DX348">
            <v>0</v>
          </cell>
          <cell r="DY348">
            <v>0</v>
          </cell>
        </row>
        <row r="349">
          <cell r="F349">
            <v>0</v>
          </cell>
          <cell r="G349">
            <v>30209.644999999997</v>
          </cell>
          <cell r="H349">
            <v>9731.375</v>
          </cell>
          <cell r="I349">
            <v>32.212808194204207</v>
          </cell>
          <cell r="N349">
            <v>0</v>
          </cell>
          <cell r="O349">
            <v>2048.2439999999997</v>
          </cell>
          <cell r="P349">
            <v>649.2879999999999</v>
          </cell>
          <cell r="T349">
            <v>0</v>
          </cell>
          <cell r="U349">
            <v>2083.1260000000002</v>
          </cell>
          <cell r="V349">
            <v>653.86599999999999</v>
          </cell>
          <cell r="Z349">
            <v>0</v>
          </cell>
          <cell r="AA349">
            <v>2220.895</v>
          </cell>
          <cell r="AB349">
            <v>709.69100000000014</v>
          </cell>
          <cell r="AF349">
            <v>0</v>
          </cell>
          <cell r="AG349">
            <v>2396.7809999999999</v>
          </cell>
          <cell r="AH349">
            <v>768.21100000000001</v>
          </cell>
          <cell r="AL349">
            <v>0</v>
          </cell>
          <cell r="AM349">
            <v>2466.4650000000001</v>
          </cell>
          <cell r="AN349">
            <v>777.08100000000002</v>
          </cell>
          <cell r="AR349">
            <v>0</v>
          </cell>
          <cell r="AS349">
            <v>2514.7149999999997</v>
          </cell>
          <cell r="AT349">
            <v>771.59699999999998</v>
          </cell>
          <cell r="AX349">
            <v>0</v>
          </cell>
          <cell r="AY349">
            <v>13730.226000000001</v>
          </cell>
          <cell r="AZ349">
            <v>4329.7340000000004</v>
          </cell>
          <cell r="BA349">
            <v>31.534324343969285</v>
          </cell>
          <cell r="BF349">
            <v>0</v>
          </cell>
          <cell r="BG349">
            <v>2569.2190000000001</v>
          </cell>
          <cell r="BH349">
            <v>834.77100000000007</v>
          </cell>
          <cell r="BL349">
            <v>0</v>
          </cell>
          <cell r="BM349">
            <v>2711.674</v>
          </cell>
          <cell r="BN349">
            <v>865.15200000000004</v>
          </cell>
          <cell r="BR349">
            <v>0</v>
          </cell>
          <cell r="BS349">
            <v>2658.884</v>
          </cell>
          <cell r="BT349">
            <v>815.31399999999996</v>
          </cell>
          <cell r="BX349">
            <v>0</v>
          </cell>
          <cell r="BY349">
            <v>2868.23</v>
          </cell>
          <cell r="BZ349">
            <v>955.01900000000001</v>
          </cell>
          <cell r="CD349">
            <v>0</v>
          </cell>
          <cell r="CE349">
            <v>2899.1460000000002</v>
          </cell>
          <cell r="CF349">
            <v>985.23699999999997</v>
          </cell>
          <cell r="CJ349">
            <v>0</v>
          </cell>
          <cell r="CK349">
            <v>2772.2660000000001</v>
          </cell>
          <cell r="CL349">
            <v>946.14799999999991</v>
          </cell>
          <cell r="CP349">
            <v>0</v>
          </cell>
          <cell r="CQ349">
            <v>16479.419000000002</v>
          </cell>
          <cell r="CR349">
            <v>5401.6410000000005</v>
          </cell>
          <cell r="CS349">
            <v>32.778103402795935</v>
          </cell>
          <cell r="CX349">
            <v>0</v>
          </cell>
          <cell r="CY349">
            <v>6352.2650000000003</v>
          </cell>
          <cell r="CZ349">
            <v>2012.845</v>
          </cell>
          <cell r="DA349">
            <v>31.687043912683109</v>
          </cell>
          <cell r="DF349">
            <v>0</v>
          </cell>
          <cell r="DG349">
            <v>7377.9610000000011</v>
          </cell>
          <cell r="DH349">
            <v>2316.8889999999997</v>
          </cell>
          <cell r="DI349">
            <v>31.402836095230096</v>
          </cell>
          <cell r="DN349">
            <v>0</v>
          </cell>
          <cell r="DO349">
            <v>7939.777</v>
          </cell>
          <cell r="DP349">
            <v>2515.2370000000001</v>
          </cell>
          <cell r="DQ349">
            <v>31.678937582251997</v>
          </cell>
          <cell r="DV349">
            <v>0</v>
          </cell>
          <cell r="DW349">
            <v>8539.6419999999998</v>
          </cell>
          <cell r="DX349">
            <v>2886.4039999999995</v>
          </cell>
          <cell r="DY349">
            <v>33.800058597304186</v>
          </cell>
        </row>
        <row r="350">
          <cell r="F350">
            <v>0</v>
          </cell>
          <cell r="G350">
            <v>1500</v>
          </cell>
          <cell r="H350">
            <v>300</v>
          </cell>
          <cell r="I350">
            <v>20</v>
          </cell>
          <cell r="N350">
            <v>0</v>
          </cell>
          <cell r="O350">
            <v>130</v>
          </cell>
          <cell r="P350">
            <v>26</v>
          </cell>
          <cell r="T350">
            <v>0</v>
          </cell>
          <cell r="U350">
            <v>110</v>
          </cell>
          <cell r="V350">
            <v>22</v>
          </cell>
          <cell r="Z350">
            <v>0</v>
          </cell>
          <cell r="AA350">
            <v>120</v>
          </cell>
          <cell r="AB350">
            <v>24</v>
          </cell>
          <cell r="AF350">
            <v>0</v>
          </cell>
          <cell r="AG350">
            <v>110</v>
          </cell>
          <cell r="AH350">
            <v>22</v>
          </cell>
          <cell r="AL350">
            <v>0</v>
          </cell>
          <cell r="AM350">
            <v>130</v>
          </cell>
          <cell r="AN350">
            <v>26</v>
          </cell>
          <cell r="AR350">
            <v>0</v>
          </cell>
          <cell r="AS350">
            <v>130</v>
          </cell>
          <cell r="AT350">
            <v>26</v>
          </cell>
          <cell r="AX350">
            <v>0</v>
          </cell>
          <cell r="AY350">
            <v>730</v>
          </cell>
          <cell r="AZ350">
            <v>146</v>
          </cell>
          <cell r="BA350">
            <v>20</v>
          </cell>
          <cell r="BF350">
            <v>0</v>
          </cell>
          <cell r="BG350">
            <v>150</v>
          </cell>
          <cell r="BH350">
            <v>30</v>
          </cell>
          <cell r="BL350">
            <v>0</v>
          </cell>
          <cell r="BM350">
            <v>130</v>
          </cell>
          <cell r="BN350">
            <v>26</v>
          </cell>
          <cell r="BR350">
            <v>0</v>
          </cell>
          <cell r="BS350">
            <v>110</v>
          </cell>
          <cell r="BT350">
            <v>22</v>
          </cell>
          <cell r="BX350">
            <v>0</v>
          </cell>
          <cell r="BY350">
            <v>110</v>
          </cell>
          <cell r="BZ350">
            <v>22</v>
          </cell>
          <cell r="CD350">
            <v>0</v>
          </cell>
          <cell r="CE350">
            <v>120</v>
          </cell>
          <cell r="CF350">
            <v>24</v>
          </cell>
          <cell r="CJ350">
            <v>0</v>
          </cell>
          <cell r="CK350">
            <v>150</v>
          </cell>
          <cell r="CL350">
            <v>30</v>
          </cell>
          <cell r="CP350">
            <v>0</v>
          </cell>
          <cell r="CQ350">
            <v>770</v>
          </cell>
          <cell r="CR350">
            <v>154</v>
          </cell>
          <cell r="CS350">
            <v>20</v>
          </cell>
          <cell r="CX350">
            <v>0</v>
          </cell>
          <cell r="CY350">
            <v>360</v>
          </cell>
          <cell r="CZ350">
            <v>72</v>
          </cell>
          <cell r="DA350">
            <v>20</v>
          </cell>
          <cell r="DF350">
            <v>0</v>
          </cell>
          <cell r="DG350">
            <v>370</v>
          </cell>
          <cell r="DH350">
            <v>74</v>
          </cell>
          <cell r="DI350">
            <v>20</v>
          </cell>
          <cell r="DN350">
            <v>0</v>
          </cell>
          <cell r="DO350">
            <v>390</v>
          </cell>
          <cell r="DP350">
            <v>78</v>
          </cell>
          <cell r="DQ350">
            <v>20</v>
          </cell>
          <cell r="DV350">
            <v>0</v>
          </cell>
          <cell r="DW350">
            <v>380</v>
          </cell>
          <cell r="DX350">
            <v>76</v>
          </cell>
          <cell r="DY350">
            <v>20</v>
          </cell>
        </row>
        <row r="351">
          <cell r="F351">
            <v>0</v>
          </cell>
          <cell r="G351">
            <v>1871.473</v>
          </cell>
          <cell r="H351">
            <v>78.224999999999994</v>
          </cell>
          <cell r="I351">
            <v>4.179862600208498</v>
          </cell>
          <cell r="O351">
            <v>132.41</v>
          </cell>
          <cell r="P351">
            <v>-0.437</v>
          </cell>
          <cell r="U351">
            <v>127.63200000000001</v>
          </cell>
          <cell r="V351">
            <v>-0.63600000000000001</v>
          </cell>
          <cell r="AA351">
            <v>174.64400000000001</v>
          </cell>
          <cell r="AB351">
            <v>-2.5529999999999999</v>
          </cell>
          <cell r="AF351">
            <v>0</v>
          </cell>
          <cell r="AG351">
            <v>189.047</v>
          </cell>
          <cell r="AH351">
            <v>11.587</v>
          </cell>
          <cell r="AL351">
            <v>0</v>
          </cell>
          <cell r="AM351">
            <v>169.416</v>
          </cell>
          <cell r="AN351">
            <v>1.3049999999999999</v>
          </cell>
          <cell r="AR351">
            <v>0</v>
          </cell>
          <cell r="AS351">
            <v>149.845</v>
          </cell>
          <cell r="AT351">
            <v>3.4009999999999998</v>
          </cell>
          <cell r="AX351">
            <v>0</v>
          </cell>
          <cell r="AY351">
            <v>942.99400000000003</v>
          </cell>
          <cell r="AZ351">
            <v>12.667</v>
          </cell>
          <cell r="BA351">
            <v>1.3432747186090261</v>
          </cell>
          <cell r="BF351">
            <v>0</v>
          </cell>
          <cell r="BG351">
            <v>162.922</v>
          </cell>
          <cell r="BH351">
            <v>6.351</v>
          </cell>
          <cell r="BL351">
            <v>0</v>
          </cell>
          <cell r="BM351">
            <v>140.16399999999999</v>
          </cell>
          <cell r="BN351">
            <v>7.3780000000000001</v>
          </cell>
          <cell r="BR351">
            <v>0</v>
          </cell>
          <cell r="BS351">
            <v>163.92099999999999</v>
          </cell>
          <cell r="BT351">
            <v>7.6959999999999997</v>
          </cell>
          <cell r="BX351">
            <v>0</v>
          </cell>
          <cell r="BY351">
            <v>158.904</v>
          </cell>
          <cell r="BZ351">
            <v>12.958</v>
          </cell>
          <cell r="CD351">
            <v>0</v>
          </cell>
          <cell r="CE351">
            <v>162.64400000000001</v>
          </cell>
          <cell r="CF351">
            <v>15.981999999999999</v>
          </cell>
          <cell r="CJ351">
            <v>0</v>
          </cell>
          <cell r="CK351">
            <v>139.92400000000001</v>
          </cell>
          <cell r="CL351">
            <v>15.193</v>
          </cell>
          <cell r="CP351">
            <v>0</v>
          </cell>
          <cell r="CQ351">
            <v>928.47900000000004</v>
          </cell>
          <cell r="CR351">
            <v>65.557999999999993</v>
          </cell>
          <cell r="CS351">
            <v>7.0607951283766237</v>
          </cell>
          <cell r="CX351">
            <v>0</v>
          </cell>
          <cell r="CY351">
            <v>434.68600000000004</v>
          </cell>
          <cell r="CZ351">
            <v>-3.6259999999999999</v>
          </cell>
          <cell r="DA351">
            <v>-0.83416535154111227</v>
          </cell>
          <cell r="DF351">
            <v>0</v>
          </cell>
          <cell r="DG351">
            <v>508.30799999999999</v>
          </cell>
          <cell r="DH351">
            <v>16.292999999999999</v>
          </cell>
          <cell r="DI351">
            <v>3.2053400694067378</v>
          </cell>
          <cell r="DN351">
            <v>0</v>
          </cell>
          <cell r="DO351">
            <v>467.00700000000001</v>
          </cell>
          <cell r="DP351">
            <v>21.424999999999997</v>
          </cell>
          <cell r="DQ351">
            <v>4.5877256657823109</v>
          </cell>
          <cell r="DV351">
            <v>0</v>
          </cell>
          <cell r="DW351">
            <v>461.47199999999998</v>
          </cell>
          <cell r="DX351">
            <v>44.132999999999996</v>
          </cell>
          <cell r="DY351">
            <v>9.5635271479092978</v>
          </cell>
        </row>
        <row r="352">
          <cell r="F352">
            <v>0</v>
          </cell>
          <cell r="G352">
            <v>128.02799999999999</v>
          </cell>
          <cell r="H352">
            <v>-69.781000000000006</v>
          </cell>
          <cell r="I352">
            <v>-54.50448339425752</v>
          </cell>
          <cell r="O352">
            <v>7.8259999999999996</v>
          </cell>
          <cell r="P352">
            <v>-7.7030000000000003</v>
          </cell>
          <cell r="U352">
            <v>7.8259999999999996</v>
          </cell>
          <cell r="V352">
            <v>-9.1039999999999992</v>
          </cell>
          <cell r="AA352">
            <v>7.8259999999999996</v>
          </cell>
          <cell r="AB352">
            <v>-8.9339999999999993</v>
          </cell>
          <cell r="AF352">
            <v>0</v>
          </cell>
          <cell r="AG352">
            <v>7.8259999999999996</v>
          </cell>
          <cell r="AH352">
            <v>-8.4819999999999993</v>
          </cell>
          <cell r="AL352">
            <v>0</v>
          </cell>
          <cell r="AM352">
            <v>7.8259999999999996</v>
          </cell>
          <cell r="AN352">
            <v>-7.2119999999999997</v>
          </cell>
          <cell r="AR352">
            <v>0</v>
          </cell>
          <cell r="AS352">
            <v>7.8259999999999996</v>
          </cell>
          <cell r="AT352">
            <v>-6.3760000000000003</v>
          </cell>
          <cell r="AX352">
            <v>0</v>
          </cell>
          <cell r="AY352">
            <v>46.955999999999996</v>
          </cell>
          <cell r="AZ352">
            <v>-47.811</v>
          </cell>
          <cell r="BA352">
            <v>-101.82085356503963</v>
          </cell>
          <cell r="BF352">
            <v>0</v>
          </cell>
          <cell r="BG352">
            <v>20.911999999999999</v>
          </cell>
          <cell r="BH352">
            <v>-3.9810000000000003</v>
          </cell>
          <cell r="BL352">
            <v>0</v>
          </cell>
          <cell r="BM352">
            <v>6.1120000000000001</v>
          </cell>
          <cell r="BN352">
            <v>-4.6619999999999999</v>
          </cell>
          <cell r="BR352">
            <v>0</v>
          </cell>
          <cell r="BS352">
            <v>20.911999999999999</v>
          </cell>
          <cell r="BT352">
            <v>-5.8009999999999993</v>
          </cell>
          <cell r="BX352">
            <v>0</v>
          </cell>
          <cell r="BY352">
            <v>6.1120000000000001</v>
          </cell>
          <cell r="BZ352">
            <v>-3.5819999999999999</v>
          </cell>
          <cell r="CD352">
            <v>0</v>
          </cell>
          <cell r="CE352">
            <v>20.911999999999999</v>
          </cell>
          <cell r="CF352">
            <v>-0.2110000000000003</v>
          </cell>
          <cell r="CJ352">
            <v>0</v>
          </cell>
          <cell r="CK352">
            <v>6.1120000000000001</v>
          </cell>
          <cell r="CL352">
            <v>-3.7330000000000001</v>
          </cell>
          <cell r="CP352">
            <v>0</v>
          </cell>
          <cell r="CQ352">
            <v>81.072000000000003</v>
          </cell>
          <cell r="CR352">
            <v>-21.97</v>
          </cell>
          <cell r="CS352">
            <v>-27.099368462601142</v>
          </cell>
          <cell r="CX352">
            <v>0</v>
          </cell>
          <cell r="CY352">
            <v>23.477999999999998</v>
          </cell>
          <cell r="CZ352">
            <v>-25.741</v>
          </cell>
          <cell r="DA352">
            <v>-109.63881080160152</v>
          </cell>
          <cell r="DF352">
            <v>0</v>
          </cell>
          <cell r="DG352">
            <v>23.477999999999998</v>
          </cell>
          <cell r="DH352">
            <v>-22.07</v>
          </cell>
          <cell r="DI352">
            <v>-94.002896328477732</v>
          </cell>
          <cell r="DN352">
            <v>0</v>
          </cell>
          <cell r="DO352">
            <v>47.936</v>
          </cell>
          <cell r="DP352">
            <v>-14.443999999999999</v>
          </cell>
          <cell r="DQ352">
            <v>-30.131842456608808</v>
          </cell>
          <cell r="DV352">
            <v>0</v>
          </cell>
          <cell r="DW352">
            <v>33.136000000000003</v>
          </cell>
          <cell r="DX352">
            <v>-7.5259999999999998</v>
          </cell>
          <cell r="DY352">
            <v>-22.712457749879285</v>
          </cell>
        </row>
        <row r="353">
          <cell r="F353">
            <v>0</v>
          </cell>
          <cell r="G353">
            <v>1999.501</v>
          </cell>
          <cell r="H353">
            <v>8.4439999999999884</v>
          </cell>
          <cell r="I353">
            <v>0.42230536518861395</v>
          </cell>
          <cell r="N353">
            <v>0</v>
          </cell>
          <cell r="O353">
            <v>140.23599999999999</v>
          </cell>
          <cell r="P353">
            <v>-8.14</v>
          </cell>
          <cell r="T353">
            <v>0</v>
          </cell>
          <cell r="U353">
            <v>135.458</v>
          </cell>
          <cell r="V353">
            <v>-9.7399999999999984</v>
          </cell>
          <cell r="Z353">
            <v>0</v>
          </cell>
          <cell r="AA353">
            <v>182.47</v>
          </cell>
          <cell r="AB353">
            <v>-11.486999999999998</v>
          </cell>
          <cell r="AF353">
            <v>0</v>
          </cell>
          <cell r="AG353">
            <v>196.87299999999999</v>
          </cell>
          <cell r="AH353">
            <v>3.1050000000000004</v>
          </cell>
          <cell r="AL353">
            <v>0</v>
          </cell>
          <cell r="AM353">
            <v>177.24199999999999</v>
          </cell>
          <cell r="AN353">
            <v>-5.907</v>
          </cell>
          <cell r="AR353">
            <v>0</v>
          </cell>
          <cell r="AS353">
            <v>157.67099999999999</v>
          </cell>
          <cell r="AT353">
            <v>-2.9750000000000005</v>
          </cell>
          <cell r="AX353">
            <v>0</v>
          </cell>
          <cell r="AY353">
            <v>989.95</v>
          </cell>
          <cell r="AZ353">
            <v>-35.143999999999998</v>
          </cell>
          <cell r="BA353">
            <v>-3.5500782867821599</v>
          </cell>
          <cell r="BF353">
            <v>0</v>
          </cell>
          <cell r="BG353">
            <v>183.834</v>
          </cell>
          <cell r="BH353">
            <v>2.3699999999999997</v>
          </cell>
          <cell r="BL353">
            <v>0</v>
          </cell>
          <cell r="BM353">
            <v>146.27599999999998</v>
          </cell>
          <cell r="BN353">
            <v>2.7160000000000002</v>
          </cell>
          <cell r="BR353">
            <v>0</v>
          </cell>
          <cell r="BS353">
            <v>184.833</v>
          </cell>
          <cell r="BT353">
            <v>1.8950000000000005</v>
          </cell>
          <cell r="BX353">
            <v>0</v>
          </cell>
          <cell r="BY353">
            <v>165.01599999999999</v>
          </cell>
          <cell r="BZ353">
            <v>9.3760000000000012</v>
          </cell>
          <cell r="CD353">
            <v>0</v>
          </cell>
          <cell r="CE353">
            <v>183.55600000000001</v>
          </cell>
          <cell r="CF353">
            <v>15.770999999999999</v>
          </cell>
          <cell r="CJ353">
            <v>0</v>
          </cell>
          <cell r="CK353">
            <v>146.036</v>
          </cell>
          <cell r="CL353">
            <v>11.459999999999999</v>
          </cell>
          <cell r="CP353">
            <v>0</v>
          </cell>
          <cell r="CQ353">
            <v>1009.551</v>
          </cell>
          <cell r="CR353">
            <v>43.587999999999994</v>
          </cell>
          <cell r="CS353">
            <v>4.3175629562052826</v>
          </cell>
          <cell r="CX353">
            <v>0</v>
          </cell>
          <cell r="CY353">
            <v>458.16400000000004</v>
          </cell>
          <cell r="CZ353">
            <v>-29.367000000000001</v>
          </cell>
          <cell r="DA353">
            <v>-6.4097135523524322</v>
          </cell>
          <cell r="DF353">
            <v>0</v>
          </cell>
          <cell r="DG353">
            <v>531.78599999999994</v>
          </cell>
          <cell r="DH353">
            <v>-5.777000000000001</v>
          </cell>
          <cell r="DI353">
            <v>-1.086339241725055</v>
          </cell>
          <cell r="DN353">
            <v>0</v>
          </cell>
          <cell r="DO353">
            <v>514.94299999999998</v>
          </cell>
          <cell r="DP353">
            <v>6.9809999999999981</v>
          </cell>
          <cell r="DQ353">
            <v>1.3556840271641712</v>
          </cell>
          <cell r="DV353">
            <v>0</v>
          </cell>
          <cell r="DW353">
            <v>494.608</v>
          </cell>
          <cell r="DX353">
            <v>36.606999999999999</v>
          </cell>
          <cell r="DY353">
            <v>7.401214699317439</v>
          </cell>
        </row>
        <row r="354">
          <cell r="F354">
            <v>0</v>
          </cell>
          <cell r="G354">
            <v>32209.145999999997</v>
          </cell>
          <cell r="H354">
            <v>9739.8189999999995</v>
          </cell>
          <cell r="I354">
            <v>30.239296006171664</v>
          </cell>
          <cell r="N354">
            <v>0</v>
          </cell>
          <cell r="O354">
            <v>2188.4799999999996</v>
          </cell>
          <cell r="P354">
            <v>641.14799999999991</v>
          </cell>
          <cell r="T354">
            <v>0</v>
          </cell>
          <cell r="U354">
            <v>2218.5840000000003</v>
          </cell>
          <cell r="V354">
            <v>644.12599999999998</v>
          </cell>
          <cell r="Z354">
            <v>0</v>
          </cell>
          <cell r="AA354">
            <v>2403.3649999999998</v>
          </cell>
          <cell r="AB354">
            <v>698.20400000000018</v>
          </cell>
          <cell r="AF354">
            <v>0</v>
          </cell>
          <cell r="AG354">
            <v>2593.654</v>
          </cell>
          <cell r="AH354">
            <v>771.31600000000003</v>
          </cell>
          <cell r="AL354">
            <v>0</v>
          </cell>
          <cell r="AM354">
            <v>2643.7070000000003</v>
          </cell>
          <cell r="AN354">
            <v>771.17399999999998</v>
          </cell>
          <cell r="AR354">
            <v>0</v>
          </cell>
          <cell r="AS354">
            <v>2672.3859999999995</v>
          </cell>
          <cell r="AT354">
            <v>768.62199999999996</v>
          </cell>
          <cell r="AX354">
            <v>0</v>
          </cell>
          <cell r="AY354">
            <v>14720.176000000001</v>
          </cell>
          <cell r="AZ354">
            <v>4294.59</v>
          </cell>
          <cell r="BA354">
            <v>29.174854974560084</v>
          </cell>
          <cell r="BF354">
            <v>0</v>
          </cell>
          <cell r="BG354">
            <v>2753.0529999999999</v>
          </cell>
          <cell r="BH354">
            <v>837.14100000000008</v>
          </cell>
          <cell r="BL354">
            <v>0</v>
          </cell>
          <cell r="BM354">
            <v>2857.95</v>
          </cell>
          <cell r="BN354">
            <v>867.86800000000005</v>
          </cell>
          <cell r="BR354">
            <v>0</v>
          </cell>
          <cell r="BS354">
            <v>2843.7170000000001</v>
          </cell>
          <cell r="BT354">
            <v>817.20899999999995</v>
          </cell>
          <cell r="BX354">
            <v>0</v>
          </cell>
          <cell r="BY354">
            <v>3033.2460000000001</v>
          </cell>
          <cell r="BZ354">
            <v>964.39499999999998</v>
          </cell>
          <cell r="CD354">
            <v>0</v>
          </cell>
          <cell r="CE354">
            <v>3082.7020000000002</v>
          </cell>
          <cell r="CF354">
            <v>1001.0079999999999</v>
          </cell>
          <cell r="CJ354">
            <v>0</v>
          </cell>
          <cell r="CK354">
            <v>2918.3020000000001</v>
          </cell>
          <cell r="CL354">
            <v>957.60799999999995</v>
          </cell>
          <cell r="CP354">
            <v>0</v>
          </cell>
          <cell r="CQ354">
            <v>17488.97</v>
          </cell>
          <cell r="CR354">
            <v>5445.2290000000003</v>
          </cell>
          <cell r="CS354">
            <v>31.135218369063473</v>
          </cell>
          <cell r="CX354">
            <v>0</v>
          </cell>
          <cell r="CY354">
            <v>6810.4290000000001</v>
          </cell>
          <cell r="CZ354">
            <v>1983.4780000000001</v>
          </cell>
          <cell r="DA354">
            <v>29.124127129142675</v>
          </cell>
          <cell r="DF354">
            <v>0</v>
          </cell>
          <cell r="DG354">
            <v>7909.7470000000012</v>
          </cell>
          <cell r="DH354">
            <v>2311.1119999999996</v>
          </cell>
          <cell r="DI354">
            <v>29.218532527020137</v>
          </cell>
          <cell r="DN354">
            <v>0</v>
          </cell>
          <cell r="DO354">
            <v>8454.7199999999993</v>
          </cell>
          <cell r="DP354">
            <v>2522.2180000000003</v>
          </cell>
          <cell r="DQ354">
            <v>29.832070133605846</v>
          </cell>
          <cell r="DV354">
            <v>0</v>
          </cell>
          <cell r="DW354">
            <v>9034.25</v>
          </cell>
          <cell r="DX354">
            <v>2923.0109999999995</v>
          </cell>
          <cell r="DY354">
            <v>32.35477211722057</v>
          </cell>
        </row>
        <row r="355">
          <cell r="F355">
            <v>120247.804</v>
          </cell>
          <cell r="G355">
            <v>84486.929519999991</v>
          </cell>
          <cell r="H355">
            <v>24254.422999999999</v>
          </cell>
          <cell r="I355">
            <v>28.707899716320522</v>
          </cell>
          <cell r="N355">
            <v>5615</v>
          </cell>
          <cell r="O355">
            <v>4949.7613999999994</v>
          </cell>
          <cell r="P355">
            <v>1206.1759999999999</v>
          </cell>
          <cell r="T355">
            <v>6734</v>
          </cell>
          <cell r="U355">
            <v>5296.1256400000002</v>
          </cell>
          <cell r="V355">
            <v>1290.242</v>
          </cell>
          <cell r="Z355">
            <v>6910.8060000000005</v>
          </cell>
          <cell r="AA355">
            <v>5998.1276399999997</v>
          </cell>
          <cell r="AB355">
            <v>1571.1490000000003</v>
          </cell>
          <cell r="AF355">
            <v>7349.6059999999998</v>
          </cell>
          <cell r="AG355">
            <v>6542.1749999999993</v>
          </cell>
          <cell r="AH355">
            <v>1799.9449999999999</v>
          </cell>
          <cell r="AL355">
            <v>7786.6720000000005</v>
          </cell>
          <cell r="AM355">
            <v>6724.9920400000001</v>
          </cell>
          <cell r="AN355">
            <v>1884.009</v>
          </cell>
          <cell r="AR355">
            <v>8505</v>
          </cell>
          <cell r="AS355">
            <v>6913.6297999999997</v>
          </cell>
          <cell r="AT355">
            <v>1972.1660000000002</v>
          </cell>
          <cell r="AX355">
            <v>42901.084000000003</v>
          </cell>
          <cell r="AY355">
            <v>36424.811520000003</v>
          </cell>
          <cell r="AZ355">
            <v>9723.6869999999999</v>
          </cell>
          <cell r="BA355">
            <v>26.695229417071804</v>
          </cell>
          <cell r="BF355">
            <v>11924.344000000001</v>
          </cell>
          <cell r="BG355">
            <v>7446.1067999999996</v>
          </cell>
          <cell r="BH355">
            <v>2164.5349999999999</v>
          </cell>
          <cell r="BL355">
            <v>11172.344000000001</v>
          </cell>
          <cell r="BM355">
            <v>7361.4258</v>
          </cell>
          <cell r="BN355">
            <v>2129.8639999999996</v>
          </cell>
          <cell r="BR355">
            <v>12146.344000000001</v>
          </cell>
          <cell r="BS355">
            <v>8056.8868000000002</v>
          </cell>
          <cell r="BT355">
            <v>2360.1669999999999</v>
          </cell>
          <cell r="BX355">
            <v>13361.344000000001</v>
          </cell>
          <cell r="BY355">
            <v>8612.9187999999995</v>
          </cell>
          <cell r="BZ355">
            <v>2661.9180000000001</v>
          </cell>
          <cell r="CD355">
            <v>14138.344000000001</v>
          </cell>
          <cell r="CE355">
            <v>8499.893</v>
          </cell>
          <cell r="CF355">
            <v>2640.346</v>
          </cell>
          <cell r="CJ355">
            <v>14604</v>
          </cell>
          <cell r="CK355">
            <v>8084.8868000000002</v>
          </cell>
          <cell r="CL355">
            <v>2573.9059999999999</v>
          </cell>
          <cell r="CP355">
            <v>77346.720000000001</v>
          </cell>
          <cell r="CQ355">
            <v>48062.118000000002</v>
          </cell>
          <cell r="CR355">
            <v>14530.736000000001</v>
          </cell>
          <cell r="CS355">
            <v>30.233241073562343</v>
          </cell>
          <cell r="CX355">
            <v>19259.806</v>
          </cell>
          <cell r="CY355">
            <v>16244.01468</v>
          </cell>
          <cell r="CZ355">
            <v>4067.567</v>
          </cell>
          <cell r="DA355">
            <v>25.040404605199484</v>
          </cell>
          <cell r="DF355">
            <v>23641.277999999998</v>
          </cell>
          <cell r="DG355">
            <v>20180.796840000003</v>
          </cell>
          <cell r="DH355">
            <v>5656.119999999999</v>
          </cell>
          <cell r="DI355">
            <v>28.027238195020637</v>
          </cell>
          <cell r="DN355">
            <v>35243.031999999999</v>
          </cell>
          <cell r="DO355">
            <v>22864.419399999999</v>
          </cell>
          <cell r="DP355">
            <v>6654.5660000000007</v>
          </cell>
          <cell r="DQ355">
            <v>29.10446088125903</v>
          </cell>
          <cell r="DV355">
            <v>42103.688000000002</v>
          </cell>
          <cell r="DW355">
            <v>25197.6986</v>
          </cell>
          <cell r="DX355">
            <v>7876.1699999999992</v>
          </cell>
          <cell r="DY355">
            <v>31.257497460502204</v>
          </cell>
        </row>
        <row r="356">
          <cell r="F356">
            <v>2166225.804</v>
          </cell>
          <cell r="G356">
            <v>325670.62290099997</v>
          </cell>
          <cell r="H356">
            <v>80451.419000000009</v>
          </cell>
          <cell r="I356">
            <v>24.703308601603986</v>
          </cell>
          <cell r="N356">
            <v>134931</v>
          </cell>
          <cell r="O356">
            <v>20032.020338300001</v>
          </cell>
          <cell r="P356">
            <v>3889.8119999999999</v>
          </cell>
          <cell r="T356">
            <v>157560</v>
          </cell>
          <cell r="U356">
            <v>23106.948534299998</v>
          </cell>
          <cell r="V356">
            <v>5328.4709999999995</v>
          </cell>
          <cell r="Z356">
            <v>165476.80600000001</v>
          </cell>
          <cell r="AA356">
            <v>24572.146308599997</v>
          </cell>
          <cell r="AB356">
            <v>5705.6940000000004</v>
          </cell>
          <cell r="AF356">
            <v>153855.606</v>
          </cell>
          <cell r="AG356">
            <v>24397.263252599998</v>
          </cell>
          <cell r="AH356">
            <v>6056.8010000000004</v>
          </cell>
          <cell r="AL356">
            <v>160442.67199999999</v>
          </cell>
          <cell r="AM356">
            <v>25365.4826526</v>
          </cell>
          <cell r="AN356">
            <v>6462.7330000000002</v>
          </cell>
          <cell r="AR356">
            <v>166731</v>
          </cell>
          <cell r="AS356">
            <v>26644.7679446</v>
          </cell>
          <cell r="AT356">
            <v>6716.1439999999993</v>
          </cell>
          <cell r="AX356">
            <v>938997.08400000003</v>
          </cell>
          <cell r="AY356">
            <v>144118.62903100002</v>
          </cell>
          <cell r="AZ356">
            <v>34159.654999999999</v>
          </cell>
          <cell r="BA356">
            <v>23.70245625404349</v>
          </cell>
          <cell r="BF356">
            <v>185655.34400000001</v>
          </cell>
          <cell r="BG356">
            <v>28133.125036500001</v>
          </cell>
          <cell r="BH356">
            <v>6950.3320000000003</v>
          </cell>
          <cell r="BL356">
            <v>194538.34400000001</v>
          </cell>
          <cell r="BM356">
            <v>28620.512516499999</v>
          </cell>
          <cell r="BN356">
            <v>7161.6049999999996</v>
          </cell>
          <cell r="BR356">
            <v>212228.34400000001</v>
          </cell>
          <cell r="BS356">
            <v>31198.732698699998</v>
          </cell>
          <cell r="BT356">
            <v>7803.0020000000004</v>
          </cell>
          <cell r="BX356">
            <v>230038.34400000001</v>
          </cell>
          <cell r="BY356">
            <v>33578.698147499992</v>
          </cell>
          <cell r="BZ356">
            <v>8831.612000000001</v>
          </cell>
          <cell r="CD356">
            <v>205316.34400000001</v>
          </cell>
          <cell r="CE356">
            <v>30720.201759800002</v>
          </cell>
          <cell r="CF356">
            <v>8126.6229999999996</v>
          </cell>
          <cell r="CJ356">
            <v>199452</v>
          </cell>
          <cell r="CK356">
            <v>29300.723711000002</v>
          </cell>
          <cell r="CL356">
            <v>7418.5899999999992</v>
          </cell>
          <cell r="CP356">
            <v>1227228.72</v>
          </cell>
          <cell r="CQ356">
            <v>181551.99387000001</v>
          </cell>
          <cell r="CR356">
            <v>46291.76400000001</v>
          </cell>
          <cell r="CS356">
            <v>25.497799838622072</v>
          </cell>
          <cell r="CX356">
            <v>457967.80599999998</v>
          </cell>
          <cell r="CY356">
            <v>67711.115181200003</v>
          </cell>
          <cell r="CZ356">
            <v>14923.976999999999</v>
          </cell>
          <cell r="DA356">
            <v>22.040660473634681</v>
          </cell>
          <cell r="DF356">
            <v>481029.27799999999</v>
          </cell>
          <cell r="DG356">
            <v>76407.513849799987</v>
          </cell>
          <cell r="DH356">
            <v>19235.678</v>
          </cell>
          <cell r="DI356">
            <v>25.175113062588352</v>
          </cell>
          <cell r="DN356">
            <v>592422.03200000001</v>
          </cell>
          <cell r="DO356">
            <v>87952.370251700006</v>
          </cell>
          <cell r="DP356">
            <v>21914.938999999998</v>
          </cell>
          <cell r="DQ356">
            <v>24.916825933495989</v>
          </cell>
          <cell r="DV356">
            <v>634806.68799999997</v>
          </cell>
          <cell r="DW356">
            <v>93599.6236183</v>
          </cell>
          <cell r="DX356">
            <v>24376.825000000001</v>
          </cell>
          <cell r="DY356">
            <v>26.043721179274058</v>
          </cell>
        </row>
        <row r="357">
          <cell r="F357">
            <v>481188</v>
          </cell>
          <cell r="G357">
            <v>147912.14499999999</v>
          </cell>
          <cell r="H357">
            <v>62927.58</v>
          </cell>
          <cell r="I357">
            <v>42.543889820541786</v>
          </cell>
          <cell r="N357">
            <v>30912</v>
          </cell>
          <cell r="O357">
            <v>9057.6440000000002</v>
          </cell>
          <cell r="P357">
            <v>3590.8599999999997</v>
          </cell>
          <cell r="T357">
            <v>42530</v>
          </cell>
          <cell r="U357">
            <v>11233.126</v>
          </cell>
          <cell r="V357">
            <v>4698.2459999999992</v>
          </cell>
          <cell r="Z357">
            <v>39370</v>
          </cell>
          <cell r="AA357">
            <v>11408.095000000001</v>
          </cell>
          <cell r="AB357">
            <v>4748.1289999999999</v>
          </cell>
          <cell r="AF357">
            <v>42162</v>
          </cell>
          <cell r="AG357">
            <v>12407.780999999999</v>
          </cell>
          <cell r="AH357">
            <v>5211.0060000000003</v>
          </cell>
          <cell r="AL357">
            <v>45870</v>
          </cell>
          <cell r="AM357">
            <v>13145.165000000001</v>
          </cell>
          <cell r="AN357">
            <v>5627.4709999999995</v>
          </cell>
          <cell r="AR357">
            <v>42340</v>
          </cell>
          <cell r="AS357">
            <v>12574.915000000001</v>
          </cell>
          <cell r="AT357">
            <v>5339.9529999999995</v>
          </cell>
          <cell r="AX357">
            <v>243184</v>
          </cell>
          <cell r="AY357">
            <v>69826.725999999995</v>
          </cell>
          <cell r="AZ357">
            <v>29215.664999999997</v>
          </cell>
          <cell r="BA357">
            <v>41.840233208127216</v>
          </cell>
          <cell r="BF357">
            <v>42452</v>
          </cell>
          <cell r="BG357">
            <v>13009.819</v>
          </cell>
          <cell r="BH357">
            <v>5562.0680000000002</v>
          </cell>
          <cell r="BL357">
            <v>39045</v>
          </cell>
          <cell r="BM357">
            <v>12487.074000000001</v>
          </cell>
          <cell r="BN357">
            <v>5324.6309999999994</v>
          </cell>
          <cell r="BR357">
            <v>40563</v>
          </cell>
          <cell r="BS357">
            <v>13133.784</v>
          </cell>
          <cell r="BT357">
            <v>5604.56</v>
          </cell>
          <cell r="BX357">
            <v>41490</v>
          </cell>
          <cell r="BY357">
            <v>13717.73</v>
          </cell>
          <cell r="BZ357">
            <v>5970.027</v>
          </cell>
          <cell r="CD357">
            <v>38430</v>
          </cell>
          <cell r="CE357">
            <v>13149.246000000001</v>
          </cell>
          <cell r="CF357">
            <v>5744.7300000000005</v>
          </cell>
          <cell r="CJ357">
            <v>36024</v>
          </cell>
          <cell r="CK357">
            <v>12587.766</v>
          </cell>
          <cell r="CL357">
            <v>5505.8990000000003</v>
          </cell>
          <cell r="CP357">
            <v>238004</v>
          </cell>
          <cell r="CQ357">
            <v>78085.418999999994</v>
          </cell>
          <cell r="CR357">
            <v>33711.915000000008</v>
          </cell>
          <cell r="CS357">
            <v>43.173124293538095</v>
          </cell>
          <cell r="CX357">
            <v>112812</v>
          </cell>
          <cell r="CY357">
            <v>31698.864999999998</v>
          </cell>
          <cell r="CZ357">
            <v>13037.234999999999</v>
          </cell>
          <cell r="DA357">
            <v>41.128396868468322</v>
          </cell>
          <cell r="DF357">
            <v>130372</v>
          </cell>
          <cell r="DG357">
            <v>38127.861000000004</v>
          </cell>
          <cell r="DH357">
            <v>16178.429999999997</v>
          </cell>
          <cell r="DI357">
            <v>42.432042017778009</v>
          </cell>
          <cell r="DN357">
            <v>122060</v>
          </cell>
          <cell r="DO357">
            <v>38630.677000000003</v>
          </cell>
          <cell r="DP357">
            <v>16491.258999999998</v>
          </cell>
          <cell r="DQ357">
            <v>42.689541785664268</v>
          </cell>
          <cell r="DV357">
            <v>115944</v>
          </cell>
          <cell r="DW357">
            <v>39454.741999999998</v>
          </cell>
          <cell r="DX357">
            <v>17220.656000000003</v>
          </cell>
          <cell r="DY357">
            <v>43.646606534646722</v>
          </cell>
        </row>
        <row r="358">
          <cell r="F358">
            <v>1685037.804</v>
          </cell>
          <cell r="G358">
            <v>177758.47790099998</v>
          </cell>
          <cell r="H358">
            <v>17523.839</v>
          </cell>
          <cell r="I358">
            <v>9.8582296647249912</v>
          </cell>
          <cell r="N358">
            <v>104019</v>
          </cell>
          <cell r="O358">
            <v>10974.3763383</v>
          </cell>
          <cell r="P358">
            <v>298.952</v>
          </cell>
          <cell r="T358">
            <v>115030</v>
          </cell>
          <cell r="U358">
            <v>11873.822534299998</v>
          </cell>
          <cell r="V358">
            <v>630.22500000000002</v>
          </cell>
          <cell r="Z358">
            <v>126106.806</v>
          </cell>
          <cell r="AA358">
            <v>13164.051308599997</v>
          </cell>
          <cell r="AB358">
            <v>957.56500000000005</v>
          </cell>
          <cell r="AF358">
            <v>111693.606</v>
          </cell>
          <cell r="AG358">
            <v>11989.482252600001</v>
          </cell>
          <cell r="AH358">
            <v>845.79500000000007</v>
          </cell>
          <cell r="AL358">
            <v>114572.67200000001</v>
          </cell>
          <cell r="AM358">
            <v>12220.317652600001</v>
          </cell>
          <cell r="AN358">
            <v>835.26199999999994</v>
          </cell>
          <cell r="AR358">
            <v>124391</v>
          </cell>
          <cell r="AS358">
            <v>14069.852944599999</v>
          </cell>
          <cell r="AT358">
            <v>1376.191</v>
          </cell>
          <cell r="AX358">
            <v>695813.08400000003</v>
          </cell>
          <cell r="AY358">
            <v>74291.903031000009</v>
          </cell>
          <cell r="AZ358">
            <v>4943.99</v>
          </cell>
          <cell r="BA358">
            <v>6.654816740845912</v>
          </cell>
          <cell r="BF358">
            <v>143203.34400000001</v>
          </cell>
          <cell r="BG358">
            <v>15123.3060365</v>
          </cell>
          <cell r="BH358">
            <v>1388.2639999999997</v>
          </cell>
          <cell r="BL358">
            <v>155493.34400000001</v>
          </cell>
          <cell r="BM358">
            <v>16133.438516499999</v>
          </cell>
          <cell r="BN358">
            <v>1836.9739999999997</v>
          </cell>
          <cell r="BR358">
            <v>171665.34400000001</v>
          </cell>
          <cell r="BS358">
            <v>18064.948698699998</v>
          </cell>
          <cell r="BT358">
            <v>2198.442</v>
          </cell>
          <cell r="BX358">
            <v>188548.34400000001</v>
          </cell>
          <cell r="BY358">
            <v>19860.968147499996</v>
          </cell>
          <cell r="BZ358">
            <v>2861.5850000000005</v>
          </cell>
          <cell r="CD358">
            <v>166886.34400000001</v>
          </cell>
          <cell r="CE358">
            <v>17570.955759800003</v>
          </cell>
          <cell r="CF358">
            <v>2381.893</v>
          </cell>
          <cell r="CJ358">
            <v>163428</v>
          </cell>
          <cell r="CK358">
            <v>16712.957711000003</v>
          </cell>
          <cell r="CL358">
            <v>1912.691</v>
          </cell>
          <cell r="CP358">
            <v>989224.72</v>
          </cell>
          <cell r="CQ358">
            <v>103466.57487000001</v>
          </cell>
          <cell r="CR358">
            <v>12579.849000000002</v>
          </cell>
          <cell r="CS358">
            <v>12.158370000945602</v>
          </cell>
          <cell r="CX358">
            <v>345155.80599999998</v>
          </cell>
          <cell r="CY358">
            <v>36012.250181199997</v>
          </cell>
          <cell r="CZ358">
            <v>1886.7420000000002</v>
          </cell>
          <cell r="DA358">
            <v>5.2391672014568087</v>
          </cell>
          <cell r="DF358">
            <v>350657.27799999999</v>
          </cell>
          <cell r="DG358">
            <v>38279.65284979999</v>
          </cell>
          <cell r="DH358">
            <v>3057.248</v>
          </cell>
          <cell r="DI358">
            <v>7.9866137030967721</v>
          </cell>
          <cell r="DN358">
            <v>470362.03200000001</v>
          </cell>
          <cell r="DO358">
            <v>49321.693251700002</v>
          </cell>
          <cell r="DP358">
            <v>5423.6799999999985</v>
          </cell>
          <cell r="DQ358">
            <v>10.996540553305227</v>
          </cell>
          <cell r="DV358">
            <v>518862.68800000002</v>
          </cell>
          <cell r="DW358">
            <v>54144.881618299994</v>
          </cell>
          <cell r="DX358">
            <v>7156.1689999999999</v>
          </cell>
          <cell r="DY358">
            <v>13.216704490090425</v>
          </cell>
        </row>
        <row r="359">
          <cell r="F359">
            <v>0</v>
          </cell>
          <cell r="G359">
            <v>42213.704601999998</v>
          </cell>
          <cell r="H359">
            <v>7263</v>
          </cell>
          <cell r="I359">
            <v>17.205312986569517</v>
          </cell>
          <cell r="O359">
            <v>3290.3767309999998</v>
          </cell>
          <cell r="P359">
            <v>245</v>
          </cell>
          <cell r="U359">
            <v>3288.269491</v>
          </cell>
          <cell r="V359">
            <v>397</v>
          </cell>
          <cell r="AA359">
            <v>3353.6497199999999</v>
          </cell>
          <cell r="AB359">
            <v>437</v>
          </cell>
          <cell r="AG359">
            <v>3289.4451490000001</v>
          </cell>
          <cell r="AH359">
            <v>454</v>
          </cell>
          <cell r="AM359">
            <v>3331.5775180000001</v>
          </cell>
          <cell r="AN359">
            <v>436</v>
          </cell>
          <cell r="AS359">
            <v>3302.0203689999998</v>
          </cell>
          <cell r="AT359">
            <v>458</v>
          </cell>
          <cell r="AX359">
            <v>0</v>
          </cell>
          <cell r="AY359">
            <v>19855.338978</v>
          </cell>
          <cell r="AZ359">
            <v>2427</v>
          </cell>
          <cell r="BA359">
            <v>12.223412567718691</v>
          </cell>
          <cell r="BG359">
            <v>3717.8698159999999</v>
          </cell>
          <cell r="BH359">
            <v>754</v>
          </cell>
          <cell r="BM359">
            <v>3723.789816</v>
          </cell>
          <cell r="BN359">
            <v>813</v>
          </cell>
          <cell r="BS359">
            <v>3724.5250799999999</v>
          </cell>
          <cell r="BT359">
            <v>793</v>
          </cell>
          <cell r="BY359">
            <v>3732.4478159999999</v>
          </cell>
          <cell r="BZ359">
            <v>831</v>
          </cell>
          <cell r="CE359">
            <v>3734.690016</v>
          </cell>
          <cell r="CF359">
            <v>826</v>
          </cell>
          <cell r="CK359">
            <v>3725.0430799999999</v>
          </cell>
          <cell r="CL359">
            <v>819</v>
          </cell>
          <cell r="CP359">
            <v>0</v>
          </cell>
          <cell r="CQ359">
            <v>22358.365623999998</v>
          </cell>
          <cell r="CR359">
            <v>4836</v>
          </cell>
          <cell r="CS359">
            <v>21.629487956887704</v>
          </cell>
          <cell r="CX359">
            <v>0</v>
          </cell>
          <cell r="CY359">
            <v>9932.2959419999988</v>
          </cell>
          <cell r="CZ359">
            <v>1079</v>
          </cell>
          <cell r="DA359">
            <v>10.863550646304333</v>
          </cell>
          <cell r="DF359">
            <v>0</v>
          </cell>
          <cell r="DG359">
            <v>9923.0430359999991</v>
          </cell>
          <cell r="DH359">
            <v>1348</v>
          </cell>
          <cell r="DI359">
            <v>13.584542514927778</v>
          </cell>
          <cell r="DN359">
            <v>0</v>
          </cell>
          <cell r="DO359">
            <v>11166.184712</v>
          </cell>
          <cell r="DP359">
            <v>2360</v>
          </cell>
          <cell r="DQ359">
            <v>21.135240557715036</v>
          </cell>
          <cell r="DV359">
            <v>0</v>
          </cell>
          <cell r="DW359">
            <v>11192.180912</v>
          </cell>
          <cell r="DX359">
            <v>2476</v>
          </cell>
          <cell r="DY359">
            <v>22.12258736226547</v>
          </cell>
        </row>
        <row r="360">
          <cell r="F360">
            <v>0</v>
          </cell>
          <cell r="G360">
            <v>56877.313567999998</v>
          </cell>
          <cell r="H360">
            <v>8762</v>
          </cell>
          <cell r="I360">
            <v>15.405087635731144</v>
          </cell>
          <cell r="O360">
            <v>3854.1757670000002</v>
          </cell>
          <cell r="P360">
            <v>214</v>
          </cell>
          <cell r="U360">
            <v>4039.2237289999998</v>
          </cell>
          <cell r="V360">
            <v>247</v>
          </cell>
          <cell r="AA360">
            <v>4015.9096199999999</v>
          </cell>
          <cell r="AB360">
            <v>231</v>
          </cell>
          <cell r="AG360">
            <v>4513.3876730000002</v>
          </cell>
          <cell r="AH360">
            <v>353</v>
          </cell>
          <cell r="AM360">
            <v>4596.4201300000004</v>
          </cell>
          <cell r="AN360">
            <v>460</v>
          </cell>
          <cell r="AS360">
            <v>4790.9392269999998</v>
          </cell>
          <cell r="AT360">
            <v>648</v>
          </cell>
          <cell r="AX360">
            <v>0</v>
          </cell>
          <cell r="AY360">
            <v>25810.056146000003</v>
          </cell>
          <cell r="AZ360">
            <v>2153</v>
          </cell>
          <cell r="BA360">
            <v>8.3417098661897651</v>
          </cell>
          <cell r="BG360">
            <v>4990.6468759999998</v>
          </cell>
          <cell r="BH360">
            <v>822</v>
          </cell>
          <cell r="BM360">
            <v>5329.7758519999998</v>
          </cell>
          <cell r="BN360">
            <v>1021</v>
          </cell>
          <cell r="BS360">
            <v>5179.402376</v>
          </cell>
          <cell r="BT360">
            <v>964</v>
          </cell>
          <cell r="BY360">
            <v>5398.439934</v>
          </cell>
          <cell r="BZ360">
            <v>1305</v>
          </cell>
          <cell r="CE360">
            <v>5104.1202519999997</v>
          </cell>
          <cell r="CF360">
            <v>1212</v>
          </cell>
          <cell r="CK360">
            <v>5064.8721320000004</v>
          </cell>
          <cell r="CL360">
            <v>1285</v>
          </cell>
          <cell r="CP360">
            <v>0</v>
          </cell>
          <cell r="CQ360">
            <v>31067.257421999999</v>
          </cell>
          <cell r="CR360">
            <v>6609</v>
          </cell>
          <cell r="CS360">
            <v>21.273200624783495</v>
          </cell>
          <cell r="CX360">
            <v>0</v>
          </cell>
          <cell r="CY360">
            <v>11909.309116</v>
          </cell>
          <cell r="CZ360">
            <v>692</v>
          </cell>
          <cell r="DA360">
            <v>5.8105805572743687</v>
          </cell>
          <cell r="DF360">
            <v>0</v>
          </cell>
          <cell r="DG360">
            <v>13900.747029999999</v>
          </cell>
          <cell r="DH360">
            <v>1461</v>
          </cell>
          <cell r="DI360">
            <v>10.510226514063827</v>
          </cell>
          <cell r="DN360">
            <v>0</v>
          </cell>
          <cell r="DO360">
            <v>15499.825104</v>
          </cell>
          <cell r="DP360">
            <v>2807</v>
          </cell>
          <cell r="DQ360">
            <v>18.109881764250389</v>
          </cell>
          <cell r="DV360">
            <v>0</v>
          </cell>
          <cell r="DW360">
            <v>15567.432317999999</v>
          </cell>
          <cell r="DX360">
            <v>3802</v>
          </cell>
          <cell r="DY360">
            <v>24.422781627281587</v>
          </cell>
        </row>
        <row r="361">
          <cell r="F361">
            <v>0</v>
          </cell>
          <cell r="G361">
            <v>99091.018169999996</v>
          </cell>
          <cell r="H361">
            <v>16025</v>
          </cell>
          <cell r="I361">
            <v>16.172000546515324</v>
          </cell>
          <cell r="N361">
            <v>0</v>
          </cell>
          <cell r="O361">
            <v>7144.552498</v>
          </cell>
          <cell r="P361">
            <v>459</v>
          </cell>
          <cell r="T361">
            <v>0</v>
          </cell>
          <cell r="U361">
            <v>7327.4932200000003</v>
          </cell>
          <cell r="V361">
            <v>644</v>
          </cell>
          <cell r="Z361">
            <v>0</v>
          </cell>
          <cell r="AA361">
            <v>7369.5593399999998</v>
          </cell>
          <cell r="AB361">
            <v>668</v>
          </cell>
          <cell r="AF361">
            <v>0</v>
          </cell>
          <cell r="AG361">
            <v>7802.8328220000003</v>
          </cell>
          <cell r="AH361">
            <v>807</v>
          </cell>
          <cell r="AL361">
            <v>0</v>
          </cell>
          <cell r="AM361">
            <v>7927.9976480000005</v>
          </cell>
          <cell r="AN361">
            <v>896</v>
          </cell>
          <cell r="AR361">
            <v>0</v>
          </cell>
          <cell r="AS361">
            <v>8092.9595959999997</v>
          </cell>
          <cell r="AT361">
            <v>1106</v>
          </cell>
          <cell r="AX361">
            <v>0</v>
          </cell>
          <cell r="AY361">
            <v>45665.395124000002</v>
          </cell>
          <cell r="AZ361">
            <v>4580</v>
          </cell>
          <cell r="BA361">
            <v>10.029476341031209</v>
          </cell>
          <cell r="BF361">
            <v>0</v>
          </cell>
          <cell r="BG361">
            <v>8708.5166919999992</v>
          </cell>
          <cell r="BH361">
            <v>1576</v>
          </cell>
          <cell r="BL361">
            <v>0</v>
          </cell>
          <cell r="BM361">
            <v>9053.5656679999993</v>
          </cell>
          <cell r="BN361">
            <v>1834</v>
          </cell>
          <cell r="BR361">
            <v>0</v>
          </cell>
          <cell r="BS361">
            <v>8903.9274559999994</v>
          </cell>
          <cell r="BT361">
            <v>1757</v>
          </cell>
          <cell r="BX361">
            <v>0</v>
          </cell>
          <cell r="BY361">
            <v>9130.8877499999999</v>
          </cell>
          <cell r="BZ361">
            <v>2136</v>
          </cell>
          <cell r="CD361">
            <v>0</v>
          </cell>
          <cell r="CE361">
            <v>8838.8102679999993</v>
          </cell>
          <cell r="CF361">
            <v>2038</v>
          </cell>
          <cell r="CJ361">
            <v>0</v>
          </cell>
          <cell r="CK361">
            <v>8789.9152119999999</v>
          </cell>
          <cell r="CL361">
            <v>2104</v>
          </cell>
          <cell r="CP361">
            <v>0</v>
          </cell>
          <cell r="CQ361">
            <v>53425.623045999993</v>
          </cell>
          <cell r="CR361">
            <v>11445</v>
          </cell>
          <cell r="CS361">
            <v>21.422305155235609</v>
          </cell>
          <cell r="CX361">
            <v>0</v>
          </cell>
          <cell r="CY361">
            <v>21841.605058000001</v>
          </cell>
          <cell r="CZ361">
            <v>1771</v>
          </cell>
          <cell r="DA361">
            <v>8.1083784607273159</v>
          </cell>
          <cell r="DF361">
            <v>0</v>
          </cell>
          <cell r="DG361">
            <v>23823.790065999998</v>
          </cell>
          <cell r="DH361">
            <v>2809</v>
          </cell>
          <cell r="DI361">
            <v>11.790735194602181</v>
          </cell>
          <cell r="DN361">
            <v>0</v>
          </cell>
          <cell r="DO361">
            <v>26666.009815999998</v>
          </cell>
          <cell r="DP361">
            <v>5167</v>
          </cell>
          <cell r="DQ361">
            <v>19.376727285608826</v>
          </cell>
          <cell r="DV361">
            <v>0</v>
          </cell>
          <cell r="DW361">
            <v>26759.613229999999</v>
          </cell>
          <cell r="DX361">
            <v>6278</v>
          </cell>
          <cell r="DY361">
            <v>23.460727724426832</v>
          </cell>
        </row>
        <row r="362">
          <cell r="F362">
            <v>0</v>
          </cell>
          <cell r="G362">
            <v>24308.676200000002</v>
          </cell>
          <cell r="H362">
            <v>5221</v>
          </cell>
          <cell r="I362">
            <v>21.477928115229901</v>
          </cell>
          <cell r="O362">
            <v>1847.81071</v>
          </cell>
          <cell r="P362">
            <v>305</v>
          </cell>
          <cell r="U362">
            <v>1920.3551</v>
          </cell>
          <cell r="V362">
            <v>347</v>
          </cell>
          <cell r="AA362">
            <v>1924.9372100000001</v>
          </cell>
          <cell r="AB362">
            <v>314</v>
          </cell>
          <cell r="AG362">
            <v>1916.9986759999999</v>
          </cell>
          <cell r="AH362">
            <v>265</v>
          </cell>
          <cell r="AM362">
            <v>1949.585096</v>
          </cell>
          <cell r="AN362">
            <v>328</v>
          </cell>
          <cell r="AS362">
            <v>1951.0283280000001</v>
          </cell>
          <cell r="AT362">
            <v>334</v>
          </cell>
          <cell r="AX362">
            <v>0</v>
          </cell>
          <cell r="AY362">
            <v>11510.715120000001</v>
          </cell>
          <cell r="AZ362">
            <v>1893</v>
          </cell>
          <cell r="BA362">
            <v>16.445546434477304</v>
          </cell>
          <cell r="BG362">
            <v>1872.30656</v>
          </cell>
          <cell r="BH362">
            <v>324</v>
          </cell>
          <cell r="BM362">
            <v>2156.7418400000001</v>
          </cell>
          <cell r="BN362">
            <v>559</v>
          </cell>
          <cell r="BS362">
            <v>2108.9230400000001</v>
          </cell>
          <cell r="BT362">
            <v>504</v>
          </cell>
          <cell r="BY362">
            <v>2197.8932399999999</v>
          </cell>
          <cell r="BZ362">
            <v>613</v>
          </cell>
          <cell r="CE362">
            <v>2277.9538400000001</v>
          </cell>
          <cell r="CF362">
            <v>702</v>
          </cell>
          <cell r="CK362">
            <v>2184.1425599999998</v>
          </cell>
          <cell r="CL362">
            <v>626</v>
          </cell>
          <cell r="CP362">
            <v>0</v>
          </cell>
          <cell r="CQ362">
            <v>12797.961080000001</v>
          </cell>
          <cell r="CR362">
            <v>3328</v>
          </cell>
          <cell r="CS362">
            <v>26.004142216066185</v>
          </cell>
          <cell r="CX362">
            <v>0</v>
          </cell>
          <cell r="CY362">
            <v>5693.1030200000005</v>
          </cell>
          <cell r="CZ362">
            <v>966</v>
          </cell>
          <cell r="DA362">
            <v>16.967899519935262</v>
          </cell>
          <cell r="DF362">
            <v>0</v>
          </cell>
          <cell r="DG362">
            <v>5817.6121000000003</v>
          </cell>
          <cell r="DH362">
            <v>927</v>
          </cell>
          <cell r="DI362">
            <v>15.934372798763945</v>
          </cell>
          <cell r="DN362">
            <v>0</v>
          </cell>
          <cell r="DO362">
            <v>6137.9714400000003</v>
          </cell>
          <cell r="DP362">
            <v>1387</v>
          </cell>
          <cell r="DQ362">
            <v>22.597042256684073</v>
          </cell>
          <cell r="DV362">
            <v>0</v>
          </cell>
          <cell r="DW362">
            <v>6659.9896399999998</v>
          </cell>
          <cell r="DX362">
            <v>1941</v>
          </cell>
          <cell r="DY362">
            <v>29.144189479550004</v>
          </cell>
        </row>
        <row r="363">
          <cell r="F363">
            <v>0</v>
          </cell>
          <cell r="G363">
            <v>21169.887500000001</v>
          </cell>
          <cell r="H363">
            <v>4714</v>
          </cell>
          <cell r="I363">
            <v>22.267477803082325</v>
          </cell>
          <cell r="O363">
            <v>563.952</v>
          </cell>
          <cell r="P363">
            <v>-96</v>
          </cell>
          <cell r="U363">
            <v>690.72749999999996</v>
          </cell>
          <cell r="V363">
            <v>-91</v>
          </cell>
          <cell r="AA363">
            <v>773.91800000000001</v>
          </cell>
          <cell r="AB363">
            <v>-102</v>
          </cell>
          <cell r="AG363">
            <v>856.91899999999998</v>
          </cell>
          <cell r="AH363">
            <v>-127</v>
          </cell>
          <cell r="AM363">
            <v>949.774</v>
          </cell>
          <cell r="AN363">
            <v>-177</v>
          </cell>
          <cell r="AS363">
            <v>1086.972</v>
          </cell>
          <cell r="AT363">
            <v>-31</v>
          </cell>
          <cell r="AX363">
            <v>0</v>
          </cell>
          <cell r="AY363">
            <v>4922.2624999999998</v>
          </cell>
          <cell r="AZ363">
            <v>-624</v>
          </cell>
          <cell r="BA363">
            <v>-12.677097168222948</v>
          </cell>
          <cell r="BG363">
            <v>1381.58</v>
          </cell>
          <cell r="BH363">
            <v>138</v>
          </cell>
          <cell r="BM363">
            <v>1827.06</v>
          </cell>
          <cell r="BN363">
            <v>389</v>
          </cell>
          <cell r="BS363">
            <v>2325.8200000000002</v>
          </cell>
          <cell r="BT363">
            <v>604</v>
          </cell>
          <cell r="BY363">
            <v>2976.28</v>
          </cell>
          <cell r="BZ363">
            <v>1047</v>
          </cell>
          <cell r="CE363">
            <v>3579.9349999999999</v>
          </cell>
          <cell r="CF363">
            <v>1406</v>
          </cell>
          <cell r="CK363">
            <v>4156.95</v>
          </cell>
          <cell r="CL363">
            <v>1754</v>
          </cell>
          <cell r="CP363">
            <v>0</v>
          </cell>
          <cell r="CQ363">
            <v>16247.625</v>
          </cell>
          <cell r="CR363">
            <v>5338</v>
          </cell>
          <cell r="CS363">
            <v>32.854032512444128</v>
          </cell>
          <cell r="CX363">
            <v>0</v>
          </cell>
          <cell r="CY363">
            <v>2028.5974999999999</v>
          </cell>
          <cell r="CZ363">
            <v>-289</v>
          </cell>
          <cell r="DA363">
            <v>-14.246295778240881</v>
          </cell>
          <cell r="DF363">
            <v>0</v>
          </cell>
          <cell r="DG363">
            <v>2893.665</v>
          </cell>
          <cell r="DH363">
            <v>-335</v>
          </cell>
          <cell r="DI363">
            <v>-11.577013925247048</v>
          </cell>
          <cell r="DN363">
            <v>0</v>
          </cell>
          <cell r="DO363">
            <v>5534.46</v>
          </cell>
          <cell r="DP363">
            <v>1131</v>
          </cell>
          <cell r="DQ363">
            <v>20.435598052926572</v>
          </cell>
          <cell r="DV363">
            <v>0</v>
          </cell>
          <cell r="DW363">
            <v>10713.165000000001</v>
          </cell>
          <cell r="DX363">
            <v>4207</v>
          </cell>
          <cell r="DY363">
            <v>39.269440916853235</v>
          </cell>
        </row>
        <row r="364">
          <cell r="F364">
            <v>0</v>
          </cell>
          <cell r="G364">
            <v>2546</v>
          </cell>
          <cell r="H364">
            <v>240.92000000000002</v>
          </cell>
          <cell r="I364">
            <v>9.4626865671641802</v>
          </cell>
          <cell r="O364">
            <v>216</v>
          </cell>
          <cell r="P364">
            <v>-184</v>
          </cell>
          <cell r="U364">
            <v>166</v>
          </cell>
          <cell r="V364">
            <v>-87.68</v>
          </cell>
          <cell r="AA364">
            <v>170</v>
          </cell>
          <cell r="AB364">
            <v>-87</v>
          </cell>
          <cell r="AG364">
            <v>410</v>
          </cell>
          <cell r="AH364">
            <v>295</v>
          </cell>
          <cell r="AM364">
            <v>345</v>
          </cell>
          <cell r="AN364">
            <v>93</v>
          </cell>
          <cell r="AS364">
            <v>184</v>
          </cell>
          <cell r="AT364">
            <v>-4.4000000000000004</v>
          </cell>
          <cell r="AX364">
            <v>0</v>
          </cell>
          <cell r="AY364">
            <v>1491</v>
          </cell>
          <cell r="AZ364">
            <v>24.920000000000016</v>
          </cell>
          <cell r="BA364">
            <v>1.6713615023474189</v>
          </cell>
          <cell r="BG364">
            <v>226</v>
          </cell>
          <cell r="BH364">
            <v>31</v>
          </cell>
          <cell r="BM364">
            <v>224</v>
          </cell>
          <cell r="BN364">
            <v>25</v>
          </cell>
          <cell r="BS364">
            <v>120</v>
          </cell>
          <cell r="BT364">
            <v>27</v>
          </cell>
          <cell r="BY364">
            <v>110</v>
          </cell>
          <cell r="BZ364">
            <v>22</v>
          </cell>
          <cell r="CE364">
            <v>115</v>
          </cell>
          <cell r="CF364">
            <v>-4</v>
          </cell>
          <cell r="CK364">
            <v>260</v>
          </cell>
          <cell r="CL364">
            <v>115</v>
          </cell>
          <cell r="CP364">
            <v>0</v>
          </cell>
          <cell r="CQ364">
            <v>1055</v>
          </cell>
          <cell r="CR364">
            <v>216</v>
          </cell>
          <cell r="CS364">
            <v>20.473933649289101</v>
          </cell>
          <cell r="CX364">
            <v>0</v>
          </cell>
          <cell r="CY364">
            <v>552</v>
          </cell>
          <cell r="CZ364">
            <v>-358.68</v>
          </cell>
          <cell r="DA364">
            <v>-64.978260869565219</v>
          </cell>
          <cell r="DF364">
            <v>0</v>
          </cell>
          <cell r="DG364">
            <v>939</v>
          </cell>
          <cell r="DH364">
            <v>383.6</v>
          </cell>
          <cell r="DI364">
            <v>40.851970181043669</v>
          </cell>
          <cell r="DN364">
            <v>0</v>
          </cell>
          <cell r="DO364">
            <v>570</v>
          </cell>
          <cell r="DP364">
            <v>83</v>
          </cell>
          <cell r="DQ364">
            <v>14.561403508771932</v>
          </cell>
          <cell r="DV364">
            <v>0</v>
          </cell>
          <cell r="DW364">
            <v>485</v>
          </cell>
          <cell r="DX364">
            <v>133</v>
          </cell>
          <cell r="DY364">
            <v>27.422680412371136</v>
          </cell>
        </row>
        <row r="365">
          <cell r="F365">
            <v>0</v>
          </cell>
          <cell r="G365">
            <v>0</v>
          </cell>
          <cell r="H365">
            <v>4000</v>
          </cell>
          <cell r="I365">
            <v>0</v>
          </cell>
          <cell r="N365">
            <v>0</v>
          </cell>
          <cell r="O365">
            <v>0</v>
          </cell>
          <cell r="P365">
            <v>300</v>
          </cell>
          <cell r="T365">
            <v>0</v>
          </cell>
          <cell r="U365">
            <v>0</v>
          </cell>
          <cell r="V365">
            <v>400</v>
          </cell>
          <cell r="Z365">
            <v>0</v>
          </cell>
          <cell r="AA365">
            <v>0</v>
          </cell>
          <cell r="AB365">
            <v>300</v>
          </cell>
          <cell r="AF365">
            <v>0</v>
          </cell>
          <cell r="AG365">
            <v>0</v>
          </cell>
          <cell r="AH365">
            <v>400</v>
          </cell>
          <cell r="AL365">
            <v>0</v>
          </cell>
          <cell r="AM365">
            <v>0</v>
          </cell>
          <cell r="AN365">
            <v>300</v>
          </cell>
          <cell r="AR365">
            <v>0</v>
          </cell>
          <cell r="AS365">
            <v>0</v>
          </cell>
          <cell r="AT365">
            <v>300</v>
          </cell>
          <cell r="AX365">
            <v>0</v>
          </cell>
          <cell r="AY365">
            <v>0</v>
          </cell>
          <cell r="AZ365">
            <v>2000</v>
          </cell>
          <cell r="BA365">
            <v>0</v>
          </cell>
          <cell r="BF365">
            <v>0</v>
          </cell>
          <cell r="BG365">
            <v>0</v>
          </cell>
          <cell r="BH365">
            <v>300</v>
          </cell>
          <cell r="BL365">
            <v>0</v>
          </cell>
          <cell r="BM365">
            <v>0</v>
          </cell>
          <cell r="BN365">
            <v>400</v>
          </cell>
          <cell r="BR365">
            <v>0</v>
          </cell>
          <cell r="BS365">
            <v>0</v>
          </cell>
          <cell r="BT365">
            <v>300</v>
          </cell>
          <cell r="BX365">
            <v>0</v>
          </cell>
          <cell r="BY365">
            <v>0</v>
          </cell>
          <cell r="BZ365">
            <v>400</v>
          </cell>
          <cell r="CD365">
            <v>0</v>
          </cell>
          <cell r="CE365">
            <v>0</v>
          </cell>
          <cell r="CF365">
            <v>300</v>
          </cell>
          <cell r="CJ365">
            <v>0</v>
          </cell>
          <cell r="CK365">
            <v>0</v>
          </cell>
          <cell r="CL365">
            <v>300</v>
          </cell>
          <cell r="CP365">
            <v>0</v>
          </cell>
          <cell r="CQ365">
            <v>0</v>
          </cell>
          <cell r="CR365">
            <v>2000</v>
          </cell>
          <cell r="CS365">
            <v>0</v>
          </cell>
          <cell r="CX365">
            <v>0</v>
          </cell>
          <cell r="CY365">
            <v>0</v>
          </cell>
          <cell r="CZ365">
            <v>1000</v>
          </cell>
          <cell r="DA365">
            <v>0</v>
          </cell>
          <cell r="DF365">
            <v>0</v>
          </cell>
          <cell r="DG365">
            <v>0</v>
          </cell>
          <cell r="DH365">
            <v>1000</v>
          </cell>
          <cell r="DI365">
            <v>0</v>
          </cell>
          <cell r="DN365">
            <v>0</v>
          </cell>
          <cell r="DO365">
            <v>0</v>
          </cell>
          <cell r="DP365">
            <v>1000</v>
          </cell>
          <cell r="DQ365">
            <v>0</v>
          </cell>
          <cell r="DV365">
            <v>0</v>
          </cell>
          <cell r="DW365">
            <v>0</v>
          </cell>
          <cell r="DX365">
            <v>1000</v>
          </cell>
          <cell r="DY365">
            <v>0</v>
          </cell>
        </row>
        <row r="366">
          <cell r="F366">
            <v>0</v>
          </cell>
          <cell r="G366">
            <v>2546</v>
          </cell>
          <cell r="H366">
            <v>4240.92</v>
          </cell>
          <cell r="I366">
            <v>166.57187745483111</v>
          </cell>
          <cell r="N366">
            <v>0</v>
          </cell>
          <cell r="O366">
            <v>216</v>
          </cell>
          <cell r="P366">
            <v>116</v>
          </cell>
          <cell r="T366">
            <v>0</v>
          </cell>
          <cell r="U366">
            <v>166</v>
          </cell>
          <cell r="V366">
            <v>312.32</v>
          </cell>
          <cell r="Z366">
            <v>0</v>
          </cell>
          <cell r="AA366">
            <v>170</v>
          </cell>
          <cell r="AB366">
            <v>213</v>
          </cell>
          <cell r="AF366">
            <v>0</v>
          </cell>
          <cell r="AG366">
            <v>410</v>
          </cell>
          <cell r="AH366">
            <v>695</v>
          </cell>
          <cell r="AL366">
            <v>0</v>
          </cell>
          <cell r="AM366">
            <v>345</v>
          </cell>
          <cell r="AN366">
            <v>393</v>
          </cell>
          <cell r="AR366">
            <v>0</v>
          </cell>
          <cell r="AS366">
            <v>184</v>
          </cell>
          <cell r="AT366">
            <v>295.60000000000002</v>
          </cell>
          <cell r="AX366">
            <v>0</v>
          </cell>
          <cell r="AY366">
            <v>1491</v>
          </cell>
          <cell r="AZ366">
            <v>2024.92</v>
          </cell>
          <cell r="BA366">
            <v>135.80952380952382</v>
          </cell>
          <cell r="BF366">
            <v>0</v>
          </cell>
          <cell r="BG366">
            <v>226</v>
          </cell>
          <cell r="BH366">
            <v>331</v>
          </cell>
          <cell r="BL366">
            <v>0</v>
          </cell>
          <cell r="BM366">
            <v>224</v>
          </cell>
          <cell r="BN366">
            <v>425</v>
          </cell>
          <cell r="BR366">
            <v>0</v>
          </cell>
          <cell r="BS366">
            <v>120</v>
          </cell>
          <cell r="BT366">
            <v>327</v>
          </cell>
          <cell r="BX366">
            <v>0</v>
          </cell>
          <cell r="BY366">
            <v>110</v>
          </cell>
          <cell r="BZ366">
            <v>422</v>
          </cell>
          <cell r="CD366">
            <v>0</v>
          </cell>
          <cell r="CE366">
            <v>115</v>
          </cell>
          <cell r="CF366">
            <v>296</v>
          </cell>
          <cell r="CJ366">
            <v>0</v>
          </cell>
          <cell r="CK366">
            <v>260</v>
          </cell>
          <cell r="CL366">
            <v>415</v>
          </cell>
          <cell r="CP366">
            <v>0</v>
          </cell>
          <cell r="CQ366">
            <v>1055</v>
          </cell>
          <cell r="CR366">
            <v>2216</v>
          </cell>
          <cell r="CS366">
            <v>210.04739336492889</v>
          </cell>
          <cell r="CX366">
            <v>0</v>
          </cell>
          <cell r="CY366">
            <v>552</v>
          </cell>
          <cell r="CZ366">
            <v>641.31999999999994</v>
          </cell>
          <cell r="DA366">
            <v>116.18115942028983</v>
          </cell>
          <cell r="DF366">
            <v>0</v>
          </cell>
          <cell r="DG366">
            <v>939</v>
          </cell>
          <cell r="DH366">
            <v>1383.6</v>
          </cell>
          <cell r="DI366">
            <v>147.34824281150159</v>
          </cell>
          <cell r="DN366">
            <v>0</v>
          </cell>
          <cell r="DO366">
            <v>570</v>
          </cell>
          <cell r="DP366">
            <v>1083</v>
          </cell>
          <cell r="DQ366">
            <v>190</v>
          </cell>
          <cell r="DV366">
            <v>0</v>
          </cell>
          <cell r="DW366">
            <v>485</v>
          </cell>
          <cell r="DX366">
            <v>1133</v>
          </cell>
          <cell r="DY366">
            <v>233.60824742268042</v>
          </cell>
        </row>
        <row r="367">
          <cell r="F367">
            <v>0</v>
          </cell>
          <cell r="G367">
            <v>12000</v>
          </cell>
          <cell r="H367">
            <v>9491</v>
          </cell>
          <cell r="I367">
            <v>79.091666666666669</v>
          </cell>
          <cell r="N367">
            <v>0</v>
          </cell>
          <cell r="O367">
            <v>0</v>
          </cell>
          <cell r="P367">
            <v>0</v>
          </cell>
          <cell r="T367">
            <v>0</v>
          </cell>
          <cell r="U367">
            <v>0</v>
          </cell>
          <cell r="V367">
            <v>0</v>
          </cell>
          <cell r="Z367">
            <v>0</v>
          </cell>
          <cell r="AA367">
            <v>0</v>
          </cell>
          <cell r="AB367">
            <v>0</v>
          </cell>
          <cell r="AF367">
            <v>0</v>
          </cell>
          <cell r="AG367">
            <v>0</v>
          </cell>
          <cell r="AH367">
            <v>0</v>
          </cell>
          <cell r="AL367">
            <v>0</v>
          </cell>
          <cell r="AM367">
            <v>2000</v>
          </cell>
          <cell r="AN367">
            <v>1582</v>
          </cell>
          <cell r="AR367">
            <v>0</v>
          </cell>
          <cell r="AS367">
            <v>2000</v>
          </cell>
          <cell r="AT367">
            <v>1582</v>
          </cell>
          <cell r="AX367">
            <v>0</v>
          </cell>
          <cell r="AY367">
            <v>4000</v>
          </cell>
          <cell r="AZ367">
            <v>3164</v>
          </cell>
          <cell r="BA367">
            <v>79.100000000000009</v>
          </cell>
          <cell r="BF367">
            <v>0</v>
          </cell>
          <cell r="BG367">
            <v>2000</v>
          </cell>
          <cell r="BH367">
            <v>1582</v>
          </cell>
          <cell r="BL367">
            <v>0</v>
          </cell>
          <cell r="BM367">
            <v>1200</v>
          </cell>
          <cell r="BN367">
            <v>949</v>
          </cell>
          <cell r="BR367">
            <v>0</v>
          </cell>
          <cell r="BS367">
            <v>1200</v>
          </cell>
          <cell r="BT367">
            <v>949</v>
          </cell>
          <cell r="BX367">
            <v>0</v>
          </cell>
          <cell r="BY367">
            <v>1200</v>
          </cell>
          <cell r="BZ367">
            <v>949</v>
          </cell>
          <cell r="CD367">
            <v>0</v>
          </cell>
          <cell r="CE367">
            <v>1200</v>
          </cell>
          <cell r="CF367">
            <v>949</v>
          </cell>
          <cell r="CJ367">
            <v>0</v>
          </cell>
          <cell r="CK367">
            <v>1200</v>
          </cell>
          <cell r="CL367">
            <v>949</v>
          </cell>
          <cell r="CP367">
            <v>0</v>
          </cell>
          <cell r="CQ367">
            <v>8000</v>
          </cell>
          <cell r="CR367">
            <v>6327</v>
          </cell>
          <cell r="CS367">
            <v>79.087500000000006</v>
          </cell>
          <cell r="CX367">
            <v>0</v>
          </cell>
          <cell r="CY367">
            <v>0</v>
          </cell>
          <cell r="CZ367">
            <v>0</v>
          </cell>
          <cell r="DA367">
            <v>0</v>
          </cell>
          <cell r="DF367">
            <v>0</v>
          </cell>
          <cell r="DG367">
            <v>4000</v>
          </cell>
          <cell r="DH367">
            <v>3164</v>
          </cell>
          <cell r="DI367">
            <v>79.100000000000009</v>
          </cell>
          <cell r="DN367">
            <v>0</v>
          </cell>
          <cell r="DO367">
            <v>4400</v>
          </cell>
          <cell r="DP367">
            <v>3480</v>
          </cell>
          <cell r="DQ367">
            <v>79.090909090909093</v>
          </cell>
          <cell r="DV367">
            <v>0</v>
          </cell>
          <cell r="DW367">
            <v>3600</v>
          </cell>
          <cell r="DX367">
            <v>2847</v>
          </cell>
          <cell r="DY367">
            <v>79.083333333333343</v>
          </cell>
        </row>
        <row r="368">
          <cell r="F368">
            <v>0</v>
          </cell>
          <cell r="G368">
            <v>0</v>
          </cell>
          <cell r="H368">
            <v>0</v>
          </cell>
          <cell r="I368">
            <v>0</v>
          </cell>
          <cell r="N368">
            <v>0</v>
          </cell>
          <cell r="O368">
            <v>0</v>
          </cell>
          <cell r="P368">
            <v>0</v>
          </cell>
          <cell r="T368">
            <v>0</v>
          </cell>
          <cell r="U368">
            <v>0</v>
          </cell>
          <cell r="V368">
            <v>0</v>
          </cell>
          <cell r="Z368">
            <v>0</v>
          </cell>
          <cell r="AA368">
            <v>0</v>
          </cell>
          <cell r="AB368">
            <v>0</v>
          </cell>
          <cell r="AF368">
            <v>0</v>
          </cell>
          <cell r="AG368">
            <v>0</v>
          </cell>
          <cell r="AH368">
            <v>0</v>
          </cell>
          <cell r="AL368">
            <v>0</v>
          </cell>
          <cell r="AR368">
            <v>0</v>
          </cell>
          <cell r="AX368">
            <v>0</v>
          </cell>
          <cell r="AY368">
            <v>0</v>
          </cell>
          <cell r="AZ368">
            <v>0</v>
          </cell>
          <cell r="BA368">
            <v>0</v>
          </cell>
          <cell r="BF368">
            <v>0</v>
          </cell>
          <cell r="BL368">
            <v>0</v>
          </cell>
          <cell r="BR368">
            <v>0</v>
          </cell>
          <cell r="BX368">
            <v>0</v>
          </cell>
          <cell r="CD368">
            <v>0</v>
          </cell>
          <cell r="CJ368">
            <v>0</v>
          </cell>
          <cell r="CP368">
            <v>0</v>
          </cell>
          <cell r="CQ368">
            <v>0</v>
          </cell>
          <cell r="CR368">
            <v>0</v>
          </cell>
          <cell r="CS368">
            <v>0</v>
          </cell>
          <cell r="CX368">
            <v>0</v>
          </cell>
          <cell r="CY368">
            <v>0</v>
          </cell>
          <cell r="CZ368">
            <v>0</v>
          </cell>
          <cell r="DA368">
            <v>0</v>
          </cell>
          <cell r="DF368">
            <v>0</v>
          </cell>
          <cell r="DG368">
            <v>0</v>
          </cell>
          <cell r="DH368">
            <v>0</v>
          </cell>
          <cell r="DI368">
            <v>0</v>
          </cell>
          <cell r="DN368">
            <v>0</v>
          </cell>
          <cell r="DO368">
            <v>0</v>
          </cell>
          <cell r="DP368">
            <v>0</v>
          </cell>
          <cell r="DQ368">
            <v>0</v>
          </cell>
          <cell r="DV368">
            <v>0</v>
          </cell>
          <cell r="DW368">
            <v>0</v>
          </cell>
          <cell r="DX368">
            <v>0</v>
          </cell>
          <cell r="DY368">
            <v>0</v>
          </cell>
        </row>
        <row r="369">
          <cell r="F369">
            <v>0</v>
          </cell>
          <cell r="G369">
            <v>159115.58186999999</v>
          </cell>
          <cell r="H369">
            <v>39691.919999999998</v>
          </cell>
          <cell r="I369">
            <v>24.945338183427531</v>
          </cell>
          <cell r="N369">
            <v>0</v>
          </cell>
          <cell r="O369">
            <v>9772.315208</v>
          </cell>
          <cell r="P369">
            <v>784</v>
          </cell>
          <cell r="T369">
            <v>0</v>
          </cell>
          <cell r="U369">
            <v>10104.57582</v>
          </cell>
          <cell r="V369">
            <v>1212.32</v>
          </cell>
          <cell r="Z369">
            <v>0</v>
          </cell>
          <cell r="AA369">
            <v>10238.41455</v>
          </cell>
          <cell r="AB369">
            <v>1093</v>
          </cell>
          <cell r="AF369">
            <v>0</v>
          </cell>
          <cell r="AG369">
            <v>10986.750498000001</v>
          </cell>
          <cell r="AH369">
            <v>1640</v>
          </cell>
          <cell r="AL369">
            <v>0</v>
          </cell>
          <cell r="AM369">
            <v>13172.356744000001</v>
          </cell>
          <cell r="AN369">
            <v>3022</v>
          </cell>
          <cell r="AR369">
            <v>0</v>
          </cell>
          <cell r="AS369">
            <v>13314.959923999999</v>
          </cell>
          <cell r="AT369">
            <v>3286.6</v>
          </cell>
          <cell r="AX369">
            <v>0</v>
          </cell>
          <cell r="AY369">
            <v>67589.372744000008</v>
          </cell>
          <cell r="AZ369">
            <v>11037.92</v>
          </cell>
          <cell r="BA369">
            <v>16.330851362990124</v>
          </cell>
          <cell r="BF369">
            <v>0</v>
          </cell>
          <cell r="BG369">
            <v>14188.403252</v>
          </cell>
          <cell r="BH369">
            <v>3951</v>
          </cell>
          <cell r="BL369">
            <v>0</v>
          </cell>
          <cell r="BM369">
            <v>14461.367507999999</v>
          </cell>
          <cell r="BN369">
            <v>4156</v>
          </cell>
          <cell r="BR369">
            <v>0</v>
          </cell>
          <cell r="BS369">
            <v>14658.670495999999</v>
          </cell>
          <cell r="BT369">
            <v>4141</v>
          </cell>
          <cell r="BX369">
            <v>0</v>
          </cell>
          <cell r="BY369">
            <v>15615.06099</v>
          </cell>
          <cell r="BZ369">
            <v>5167</v>
          </cell>
          <cell r="CD369">
            <v>0</v>
          </cell>
          <cell r="CE369">
            <v>16011.699107999999</v>
          </cell>
          <cell r="CF369">
            <v>5391</v>
          </cell>
          <cell r="CJ369">
            <v>0</v>
          </cell>
          <cell r="CK369">
            <v>16591.007771999997</v>
          </cell>
          <cell r="CL369">
            <v>5848</v>
          </cell>
          <cell r="CP369">
            <v>0</v>
          </cell>
          <cell r="CQ369">
            <v>91526.209126000002</v>
          </cell>
          <cell r="CR369">
            <v>28654</v>
          </cell>
          <cell r="CS369">
            <v>31.306879497820489</v>
          </cell>
          <cell r="CX369">
            <v>0</v>
          </cell>
          <cell r="CY369">
            <v>30115.305578</v>
          </cell>
          <cell r="CZ369">
            <v>3089.3199999999997</v>
          </cell>
          <cell r="DA369">
            <v>10.258305339119078</v>
          </cell>
          <cell r="DF369">
            <v>0</v>
          </cell>
          <cell r="DG369">
            <v>37474.067165999993</v>
          </cell>
          <cell r="DH369">
            <v>7948.6</v>
          </cell>
          <cell r="DI369">
            <v>21.210934924116589</v>
          </cell>
          <cell r="DN369">
            <v>0</v>
          </cell>
          <cell r="DO369">
            <v>43308.441255999998</v>
          </cell>
          <cell r="DP369">
            <v>12248</v>
          </cell>
          <cell r="DQ369">
            <v>28.280860831727921</v>
          </cell>
          <cell r="DV369">
            <v>0</v>
          </cell>
          <cell r="DW369">
            <v>48217.767869999996</v>
          </cell>
          <cell r="DX369">
            <v>16406</v>
          </cell>
          <cell r="DY369">
            <v>34.024801903381849</v>
          </cell>
        </row>
        <row r="370">
          <cell r="F370">
            <v>0</v>
          </cell>
          <cell r="G370">
            <v>147115.58186999999</v>
          </cell>
          <cell r="H370">
            <v>30200.92</v>
          </cell>
          <cell r="I370">
            <v>20.528702409434313</v>
          </cell>
          <cell r="N370">
            <v>0</v>
          </cell>
          <cell r="O370">
            <v>9772.315208</v>
          </cell>
          <cell r="P370">
            <v>784</v>
          </cell>
          <cell r="T370">
            <v>0</v>
          </cell>
          <cell r="U370">
            <v>10104.57582</v>
          </cell>
          <cell r="V370">
            <v>1212.32</v>
          </cell>
          <cell r="Z370">
            <v>0</v>
          </cell>
          <cell r="AA370">
            <v>10238.41455</v>
          </cell>
          <cell r="AB370">
            <v>1093</v>
          </cell>
          <cell r="AF370">
            <v>0</v>
          </cell>
          <cell r="AG370">
            <v>10986.750498000001</v>
          </cell>
          <cell r="AH370">
            <v>1640</v>
          </cell>
          <cell r="AL370">
            <v>0</v>
          </cell>
          <cell r="AM370">
            <v>11172.356744000001</v>
          </cell>
          <cell r="AN370">
            <v>1440</v>
          </cell>
          <cell r="AR370">
            <v>0</v>
          </cell>
          <cell r="AS370">
            <v>11314.959923999999</v>
          </cell>
          <cell r="AT370">
            <v>1704.6</v>
          </cell>
          <cell r="AX370">
            <v>0</v>
          </cell>
          <cell r="AY370">
            <v>63589.372744000008</v>
          </cell>
          <cell r="AZ370">
            <v>7873.92</v>
          </cell>
          <cell r="BA370">
            <v>12.382446406098488</v>
          </cell>
          <cell r="BF370">
            <v>0</v>
          </cell>
          <cell r="BG370">
            <v>12188.403252</v>
          </cell>
          <cell r="BH370">
            <v>2369</v>
          </cell>
          <cell r="BL370">
            <v>0</v>
          </cell>
          <cell r="BM370">
            <v>13261.367507999999</v>
          </cell>
          <cell r="BN370">
            <v>3207</v>
          </cell>
          <cell r="BR370">
            <v>0</v>
          </cell>
          <cell r="BS370">
            <v>13458.670495999999</v>
          </cell>
          <cell r="BT370">
            <v>3192</v>
          </cell>
          <cell r="BX370">
            <v>0</v>
          </cell>
          <cell r="BY370">
            <v>14415.06099</v>
          </cell>
          <cell r="BZ370">
            <v>4218</v>
          </cell>
          <cell r="CD370">
            <v>0</v>
          </cell>
          <cell r="CE370">
            <v>14811.699107999999</v>
          </cell>
          <cell r="CF370">
            <v>4442</v>
          </cell>
          <cell r="CJ370">
            <v>0</v>
          </cell>
          <cell r="CK370">
            <v>15391.007771999997</v>
          </cell>
          <cell r="CL370">
            <v>4899</v>
          </cell>
          <cell r="CP370">
            <v>0</v>
          </cell>
          <cell r="CQ370">
            <v>83526.209126000002</v>
          </cell>
          <cell r="CR370">
            <v>22327</v>
          </cell>
          <cell r="CS370">
            <v>26.730531929588146</v>
          </cell>
          <cell r="CX370">
            <v>0</v>
          </cell>
          <cell r="CY370">
            <v>30115.305578</v>
          </cell>
          <cell r="CZ370">
            <v>3089.3199999999997</v>
          </cell>
          <cell r="DA370">
            <v>10.258305339119078</v>
          </cell>
          <cell r="DF370">
            <v>0</v>
          </cell>
          <cell r="DG370">
            <v>33474.067165999993</v>
          </cell>
          <cell r="DH370">
            <v>4784.6000000000004</v>
          </cell>
          <cell r="DI370">
            <v>14.293452828044078</v>
          </cell>
          <cell r="DN370">
            <v>0</v>
          </cell>
          <cell r="DO370">
            <v>38908.441255999998</v>
          </cell>
          <cell r="DP370">
            <v>8768</v>
          </cell>
          <cell r="DQ370">
            <v>22.534955698457601</v>
          </cell>
          <cell r="DV370">
            <v>0</v>
          </cell>
          <cell r="DW370">
            <v>44617.767869999996</v>
          </cell>
          <cell r="DX370">
            <v>13559</v>
          </cell>
          <cell r="DY370">
            <v>30.389238743421704</v>
          </cell>
        </row>
        <row r="371">
          <cell r="F371">
            <v>2166225.804</v>
          </cell>
          <cell r="G371">
            <v>484786.20477099996</v>
          </cell>
          <cell r="H371">
            <v>120143.33899999999</v>
          </cell>
          <cell r="I371">
            <v>24.782747078529699</v>
          </cell>
          <cell r="N371">
            <v>134931</v>
          </cell>
          <cell r="O371">
            <v>29804.335546300001</v>
          </cell>
          <cell r="P371">
            <v>4673.8119999999999</v>
          </cell>
          <cell r="T371">
            <v>157560</v>
          </cell>
          <cell r="U371">
            <v>33211.524354299996</v>
          </cell>
          <cell r="V371">
            <v>6540.7909999999993</v>
          </cell>
          <cell r="Z371">
            <v>165476.80599999998</v>
          </cell>
          <cell r="AA371">
            <v>34810.560858600002</v>
          </cell>
          <cell r="AB371">
            <v>6798.6939999999995</v>
          </cell>
          <cell r="AF371">
            <v>153855.606</v>
          </cell>
          <cell r="AG371">
            <v>35384.013750600003</v>
          </cell>
          <cell r="AH371">
            <v>7696.8010000000004</v>
          </cell>
          <cell r="AL371">
            <v>160442.67200000002</v>
          </cell>
          <cell r="AM371">
            <v>38537.8393966</v>
          </cell>
          <cell r="AN371">
            <v>9484.7330000000002</v>
          </cell>
          <cell r="AR371">
            <v>166731</v>
          </cell>
          <cell r="AS371">
            <v>39959.727868599999</v>
          </cell>
          <cell r="AT371">
            <v>10002.743999999999</v>
          </cell>
          <cell r="AX371">
            <v>938997.08400000003</v>
          </cell>
          <cell r="AY371">
            <v>211708.00177500001</v>
          </cell>
          <cell r="AZ371">
            <v>45197.574999999997</v>
          </cell>
          <cell r="BA371">
            <v>21.349015918649723</v>
          </cell>
          <cell r="BF371">
            <v>185655.34400000001</v>
          </cell>
          <cell r="BG371">
            <v>42321.528288500005</v>
          </cell>
          <cell r="BH371">
            <v>10901.332</v>
          </cell>
          <cell r="BL371">
            <v>194538.34400000001</v>
          </cell>
          <cell r="BM371">
            <v>43081.880024500002</v>
          </cell>
          <cell r="BN371">
            <v>11317.605</v>
          </cell>
          <cell r="BR371">
            <v>212228.34400000001</v>
          </cell>
          <cell r="BS371">
            <v>45857.403194699997</v>
          </cell>
          <cell r="BT371">
            <v>11944.002</v>
          </cell>
          <cell r="BX371">
            <v>230038.34400000001</v>
          </cell>
          <cell r="BY371">
            <v>49193.75913749999</v>
          </cell>
          <cell r="BZ371">
            <v>13998.612000000001</v>
          </cell>
          <cell r="CD371">
            <v>205316.34400000001</v>
          </cell>
          <cell r="CE371">
            <v>46731.900867800003</v>
          </cell>
          <cell r="CF371">
            <v>13517.623</v>
          </cell>
          <cell r="CJ371">
            <v>199452</v>
          </cell>
          <cell r="CK371">
            <v>45891.731482999996</v>
          </cell>
          <cell r="CL371">
            <v>13266.59</v>
          </cell>
          <cell r="CP371">
            <v>1227228.72</v>
          </cell>
          <cell r="CQ371">
            <v>273078.20299600001</v>
          </cell>
          <cell r="CR371">
            <v>74945.76400000001</v>
          </cell>
          <cell r="CS371">
            <v>27.444799027441164</v>
          </cell>
          <cell r="CX371">
            <v>457967.80599999998</v>
          </cell>
          <cell r="CY371">
            <v>97826.420759200002</v>
          </cell>
          <cell r="CZ371">
            <v>18013.296999999999</v>
          </cell>
          <cell r="DA371">
            <v>18.413529658148057</v>
          </cell>
          <cell r="DF371">
            <v>481029.27799999999</v>
          </cell>
          <cell r="DG371">
            <v>113881.58101579998</v>
          </cell>
          <cell r="DH371">
            <v>27184.277999999998</v>
          </cell>
          <cell r="DI371">
            <v>23.870653847199787</v>
          </cell>
          <cell r="DN371">
            <v>592422.03200000001</v>
          </cell>
          <cell r="DO371">
            <v>131260.81150770001</v>
          </cell>
          <cell r="DP371">
            <v>34162.938999999998</v>
          </cell>
          <cell r="DQ371">
            <v>26.026761992093839</v>
          </cell>
          <cell r="DV371">
            <v>634806.68800000008</v>
          </cell>
          <cell r="DW371">
            <v>141817.3914883</v>
          </cell>
          <cell r="DX371">
            <v>40782.825000000004</v>
          </cell>
          <cell r="DY371">
            <v>28.757280451999151</v>
          </cell>
        </row>
        <row r="372">
          <cell r="F372">
            <v>481188</v>
          </cell>
          <cell r="G372">
            <v>162458.14499999999</v>
          </cell>
          <cell r="H372">
            <v>76659.5</v>
          </cell>
          <cell r="I372">
            <v>47.18723090184244</v>
          </cell>
          <cell r="N372">
            <v>30912</v>
          </cell>
          <cell r="O372">
            <v>9273.6440000000002</v>
          </cell>
          <cell r="P372">
            <v>3706.8599999999997</v>
          </cell>
          <cell r="T372">
            <v>42530</v>
          </cell>
          <cell r="U372">
            <v>11399.126</v>
          </cell>
          <cell r="V372">
            <v>5010.5659999999989</v>
          </cell>
          <cell r="Z372">
            <v>39370</v>
          </cell>
          <cell r="AA372">
            <v>11578.095000000001</v>
          </cell>
          <cell r="AB372">
            <v>4961.1289999999999</v>
          </cell>
          <cell r="AF372">
            <v>42162</v>
          </cell>
          <cell r="AG372">
            <v>12817.780999999999</v>
          </cell>
          <cell r="AH372">
            <v>5906.0060000000003</v>
          </cell>
          <cell r="AL372">
            <v>45870</v>
          </cell>
          <cell r="AM372">
            <v>15490.165000000001</v>
          </cell>
          <cell r="AN372">
            <v>7602.4709999999995</v>
          </cell>
          <cell r="AR372">
            <v>42340</v>
          </cell>
          <cell r="AS372">
            <v>14758.915000000001</v>
          </cell>
          <cell r="AT372">
            <v>7217.5529999999999</v>
          </cell>
          <cell r="AX372">
            <v>243184</v>
          </cell>
          <cell r="AY372">
            <v>75317.725999999995</v>
          </cell>
          <cell r="AZ372">
            <v>34404.584999999999</v>
          </cell>
          <cell r="BA372">
            <v>45.679266790396724</v>
          </cell>
          <cell r="BF372">
            <v>42452</v>
          </cell>
          <cell r="BG372">
            <v>15235.819</v>
          </cell>
          <cell r="BH372">
            <v>7475.0680000000002</v>
          </cell>
          <cell r="BL372">
            <v>39045</v>
          </cell>
          <cell r="BM372">
            <v>13911.074000000001</v>
          </cell>
          <cell r="BN372">
            <v>6698.6309999999994</v>
          </cell>
          <cell r="BR372">
            <v>40563</v>
          </cell>
          <cell r="BS372">
            <v>14453.784</v>
          </cell>
          <cell r="BT372">
            <v>6880.56</v>
          </cell>
          <cell r="BX372">
            <v>41490</v>
          </cell>
          <cell r="BY372">
            <v>15027.73</v>
          </cell>
          <cell r="BZ372">
            <v>7341.027</v>
          </cell>
          <cell r="CD372">
            <v>38430</v>
          </cell>
          <cell r="CE372">
            <v>14464.246000000001</v>
          </cell>
          <cell r="CF372">
            <v>6989.7300000000005</v>
          </cell>
          <cell r="CJ372">
            <v>36024</v>
          </cell>
          <cell r="CK372">
            <v>14047.766</v>
          </cell>
          <cell r="CL372">
            <v>6869.8990000000003</v>
          </cell>
          <cell r="CP372">
            <v>238004</v>
          </cell>
          <cell r="CQ372">
            <v>87140.418999999994</v>
          </cell>
          <cell r="CR372">
            <v>42254.915000000008</v>
          </cell>
          <cell r="CS372">
            <v>48.49060342480108</v>
          </cell>
          <cell r="CX372">
            <v>112812</v>
          </cell>
          <cell r="CY372">
            <v>32250.864999999998</v>
          </cell>
          <cell r="CZ372">
            <v>13678.554999999998</v>
          </cell>
          <cell r="DA372">
            <v>42.412986442379143</v>
          </cell>
          <cell r="DF372">
            <v>130372</v>
          </cell>
          <cell r="DG372">
            <v>43066.861000000004</v>
          </cell>
          <cell r="DH372">
            <v>20726.029999999995</v>
          </cell>
          <cell r="DI372">
            <v>48.125239496790797</v>
          </cell>
          <cell r="DN372">
            <v>122060</v>
          </cell>
          <cell r="DO372">
            <v>43600.677000000003</v>
          </cell>
          <cell r="DP372">
            <v>21054.258999999998</v>
          </cell>
          <cell r="DQ372">
            <v>48.288835056391434</v>
          </cell>
          <cell r="DV372">
            <v>115944</v>
          </cell>
          <cell r="DW372">
            <v>43539.741999999998</v>
          </cell>
          <cell r="DX372">
            <v>21200.656000000003</v>
          </cell>
          <cell r="DY372">
            <v>48.692654173283813</v>
          </cell>
        </row>
        <row r="373">
          <cell r="F373">
            <v>1685037.804</v>
          </cell>
          <cell r="G373">
            <v>322328.05977099994</v>
          </cell>
          <cell r="H373">
            <v>43483.838999999993</v>
          </cell>
          <cell r="I373">
            <v>13.490553391750431</v>
          </cell>
          <cell r="N373">
            <v>104019</v>
          </cell>
          <cell r="O373">
            <v>20530.6915463</v>
          </cell>
          <cell r="P373">
            <v>966.95200000000023</v>
          </cell>
          <cell r="T373">
            <v>115030</v>
          </cell>
          <cell r="U373">
            <v>21812.398354299996</v>
          </cell>
          <cell r="V373">
            <v>1530.2250000000004</v>
          </cell>
          <cell r="Z373">
            <v>126106.80599999998</v>
          </cell>
          <cell r="AA373">
            <v>23232.465858600001</v>
          </cell>
          <cell r="AB373">
            <v>1837.5649999999996</v>
          </cell>
          <cell r="AF373">
            <v>111693.606</v>
          </cell>
          <cell r="AG373">
            <v>22566.232750600004</v>
          </cell>
          <cell r="AH373">
            <v>1790.7950000000001</v>
          </cell>
          <cell r="AL373">
            <v>114572.67200000002</v>
          </cell>
          <cell r="AM373">
            <v>23047.674396599999</v>
          </cell>
          <cell r="AN373">
            <v>1882.2620000000006</v>
          </cell>
          <cell r="AR373">
            <v>124391</v>
          </cell>
          <cell r="AS373">
            <v>25200.812868599998</v>
          </cell>
          <cell r="AT373">
            <v>2785.1909999999989</v>
          </cell>
          <cell r="AX373">
            <v>695813.08400000003</v>
          </cell>
          <cell r="AY373">
            <v>136390.27577500002</v>
          </cell>
          <cell r="AZ373">
            <v>10792.989999999998</v>
          </cell>
          <cell r="BA373">
            <v>7.913313422582231</v>
          </cell>
          <cell r="BF373">
            <v>143203.34400000001</v>
          </cell>
          <cell r="BG373">
            <v>27085.709288500006</v>
          </cell>
          <cell r="BH373">
            <v>3426.2640000000001</v>
          </cell>
          <cell r="BL373">
            <v>155493.34400000001</v>
          </cell>
          <cell r="BM373">
            <v>29170.806024500002</v>
          </cell>
          <cell r="BN373">
            <v>4618.9740000000002</v>
          </cell>
          <cell r="BR373">
            <v>171665.34400000001</v>
          </cell>
          <cell r="BS373">
            <v>31403.619194699997</v>
          </cell>
          <cell r="BT373">
            <v>5063.442</v>
          </cell>
          <cell r="BX373">
            <v>188548.34400000001</v>
          </cell>
          <cell r="BY373">
            <v>34166.029137499994</v>
          </cell>
          <cell r="BZ373">
            <v>6657.5850000000009</v>
          </cell>
          <cell r="CD373">
            <v>166886.34400000001</v>
          </cell>
          <cell r="CE373">
            <v>32267.654867800004</v>
          </cell>
          <cell r="CF373">
            <v>6527.8929999999991</v>
          </cell>
          <cell r="CJ373">
            <v>163428</v>
          </cell>
          <cell r="CK373">
            <v>31843.965482999996</v>
          </cell>
          <cell r="CL373">
            <v>6396.6909999999998</v>
          </cell>
          <cell r="CP373">
            <v>989224.72</v>
          </cell>
          <cell r="CQ373">
            <v>185937.78399600001</v>
          </cell>
          <cell r="CR373">
            <v>32690.849000000002</v>
          </cell>
          <cell r="CS373">
            <v>17.58160622195178</v>
          </cell>
          <cell r="CX373">
            <v>345155.80599999998</v>
          </cell>
          <cell r="CY373">
            <v>65575.555759200011</v>
          </cell>
          <cell r="CZ373">
            <v>4334.7420000000002</v>
          </cell>
          <cell r="DA373">
            <v>6.6103015823725615</v>
          </cell>
          <cell r="DF373">
            <v>350657.27799999999</v>
          </cell>
          <cell r="DG373">
            <v>70814.720015799976</v>
          </cell>
          <cell r="DH373">
            <v>6458.2480000000032</v>
          </cell>
          <cell r="DI373">
            <v>9.1199230874019648</v>
          </cell>
          <cell r="DN373">
            <v>470362.03200000001</v>
          </cell>
          <cell r="DO373">
            <v>87660.134507700015</v>
          </cell>
          <cell r="DP373">
            <v>13108.68</v>
          </cell>
          <cell r="DQ373">
            <v>14.953981161012866</v>
          </cell>
          <cell r="DV373">
            <v>518862.68800000008</v>
          </cell>
          <cell r="DW373">
            <v>98277.649488299998</v>
          </cell>
          <cell r="DX373">
            <v>19582.169000000002</v>
          </cell>
          <cell r="DY373">
            <v>19.925353426702852</v>
          </cell>
        </row>
        <row r="374">
          <cell r="F374">
            <v>0</v>
          </cell>
          <cell r="G374">
            <v>62924</v>
          </cell>
          <cell r="H374">
            <v>15746.122000000001</v>
          </cell>
          <cell r="I374">
            <v>25.024032165787304</v>
          </cell>
          <cell r="O374">
            <v>94</v>
          </cell>
          <cell r="P374">
            <v>20.962</v>
          </cell>
          <cell r="U374">
            <v>0</v>
          </cell>
          <cell r="V374">
            <v>0</v>
          </cell>
          <cell r="AA374">
            <v>5130</v>
          </cell>
          <cell r="AB374">
            <v>1379.97</v>
          </cell>
          <cell r="AG374">
            <v>2000</v>
          </cell>
          <cell r="AH374">
            <v>500</v>
          </cell>
          <cell r="AM374">
            <v>9500</v>
          </cell>
          <cell r="AN374">
            <v>1520</v>
          </cell>
          <cell r="AS374">
            <v>5000</v>
          </cell>
          <cell r="AT374">
            <v>1197.5</v>
          </cell>
          <cell r="AX374">
            <v>0</v>
          </cell>
          <cell r="AY374">
            <v>21724</v>
          </cell>
          <cell r="AZ374">
            <v>4618.4320000000007</v>
          </cell>
          <cell r="BA374">
            <v>21.259583870373781</v>
          </cell>
          <cell r="BG374">
            <v>0</v>
          </cell>
          <cell r="BH374">
            <v>0</v>
          </cell>
          <cell r="BM374">
            <v>9700</v>
          </cell>
          <cell r="BN374">
            <v>1880.5</v>
          </cell>
          <cell r="BS374">
            <v>4900</v>
          </cell>
          <cell r="BT374">
            <v>1297.2</v>
          </cell>
          <cell r="BY374">
            <v>10000</v>
          </cell>
          <cell r="BZ374">
            <v>2000</v>
          </cell>
          <cell r="CE374">
            <v>6600</v>
          </cell>
          <cell r="CF374">
            <v>1287</v>
          </cell>
          <cell r="CK374">
            <v>10000</v>
          </cell>
          <cell r="CL374">
            <v>4662.99</v>
          </cell>
          <cell r="CP374">
            <v>0</v>
          </cell>
          <cell r="CQ374">
            <v>41200</v>
          </cell>
          <cell r="CR374">
            <v>11127.69</v>
          </cell>
          <cell r="CS374">
            <v>27.008956310679611</v>
          </cell>
          <cell r="CX374">
            <v>0</v>
          </cell>
          <cell r="CY374">
            <v>5224</v>
          </cell>
          <cell r="CZ374">
            <v>1400.932</v>
          </cell>
          <cell r="DA374">
            <v>26.817228177641656</v>
          </cell>
          <cell r="DF374">
            <v>0</v>
          </cell>
          <cell r="DG374">
            <v>16500</v>
          </cell>
          <cell r="DH374">
            <v>3217.5</v>
          </cell>
          <cell r="DI374">
            <v>19.5</v>
          </cell>
          <cell r="DN374">
            <v>0</v>
          </cell>
          <cell r="DO374">
            <v>14600</v>
          </cell>
          <cell r="DP374">
            <v>3177.7</v>
          </cell>
          <cell r="DQ374">
            <v>21.765068493150682</v>
          </cell>
          <cell r="DV374">
            <v>0</v>
          </cell>
          <cell r="DW374">
            <v>26600</v>
          </cell>
          <cell r="DX374">
            <v>7949.99</v>
          </cell>
          <cell r="DY374">
            <v>29.887180451127822</v>
          </cell>
        </row>
        <row r="375">
          <cell r="F375">
            <v>0</v>
          </cell>
          <cell r="G375">
            <v>4020</v>
          </cell>
          <cell r="H375">
            <v>834</v>
          </cell>
          <cell r="I375">
            <v>20.746268656716417</v>
          </cell>
          <cell r="O375">
            <v>0</v>
          </cell>
          <cell r="P375">
            <v>0</v>
          </cell>
          <cell r="U375">
            <v>0</v>
          </cell>
          <cell r="V375">
            <v>0</v>
          </cell>
          <cell r="AA375">
            <v>320</v>
          </cell>
          <cell r="AB375">
            <v>64</v>
          </cell>
          <cell r="AG375">
            <v>560</v>
          </cell>
          <cell r="AH375">
            <v>112</v>
          </cell>
          <cell r="AM375">
            <v>400</v>
          </cell>
          <cell r="AN375">
            <v>110</v>
          </cell>
          <cell r="AS375">
            <v>1140</v>
          </cell>
          <cell r="AT375">
            <v>228</v>
          </cell>
          <cell r="AX375">
            <v>0</v>
          </cell>
          <cell r="AY375">
            <v>2420</v>
          </cell>
          <cell r="AZ375">
            <v>514</v>
          </cell>
          <cell r="BA375">
            <v>21.239669421487601</v>
          </cell>
          <cell r="BG375">
            <v>0</v>
          </cell>
          <cell r="BH375">
            <v>0</v>
          </cell>
          <cell r="BM375">
            <v>0</v>
          </cell>
          <cell r="BN375">
            <v>0</v>
          </cell>
          <cell r="BS375">
            <v>800</v>
          </cell>
          <cell r="BT375">
            <v>160</v>
          </cell>
          <cell r="BY375">
            <v>0</v>
          </cell>
          <cell r="BZ375">
            <v>0</v>
          </cell>
          <cell r="CE375">
            <v>200</v>
          </cell>
          <cell r="CF375">
            <v>40</v>
          </cell>
          <cell r="CK375">
            <v>600</v>
          </cell>
          <cell r="CL375">
            <v>120</v>
          </cell>
          <cell r="CP375">
            <v>0</v>
          </cell>
          <cell r="CQ375">
            <v>1600</v>
          </cell>
          <cell r="CR375">
            <v>320</v>
          </cell>
          <cell r="CS375">
            <v>20</v>
          </cell>
          <cell r="CX375">
            <v>0</v>
          </cell>
          <cell r="CY375">
            <v>320</v>
          </cell>
          <cell r="CZ375">
            <v>64</v>
          </cell>
          <cell r="DA375">
            <v>20</v>
          </cell>
          <cell r="DF375">
            <v>0</v>
          </cell>
          <cell r="DG375">
            <v>2100</v>
          </cell>
          <cell r="DH375">
            <v>450</v>
          </cell>
          <cell r="DI375">
            <v>21.428571428571427</v>
          </cell>
          <cell r="DN375">
            <v>0</v>
          </cell>
          <cell r="DO375">
            <v>800</v>
          </cell>
          <cell r="DP375">
            <v>160</v>
          </cell>
          <cell r="DQ375">
            <v>20</v>
          </cell>
          <cell r="DV375">
            <v>0</v>
          </cell>
          <cell r="DW375">
            <v>800</v>
          </cell>
          <cell r="DX375">
            <v>160</v>
          </cell>
          <cell r="DY375">
            <v>20</v>
          </cell>
        </row>
        <row r="376">
          <cell r="F376">
            <v>0</v>
          </cell>
          <cell r="G376">
            <v>3500</v>
          </cell>
          <cell r="H376">
            <v>826</v>
          </cell>
          <cell r="I376">
            <v>23.599999999999998</v>
          </cell>
          <cell r="O376">
            <v>0</v>
          </cell>
          <cell r="P376">
            <v>0</v>
          </cell>
          <cell r="U376">
            <v>0</v>
          </cell>
          <cell r="V376">
            <v>0</v>
          </cell>
          <cell r="AA376">
            <v>0</v>
          </cell>
          <cell r="AB376">
            <v>0</v>
          </cell>
          <cell r="AG376">
            <v>0</v>
          </cell>
          <cell r="AH376">
            <v>0</v>
          </cell>
          <cell r="AM376">
            <v>700</v>
          </cell>
          <cell r="AN376">
            <v>266</v>
          </cell>
          <cell r="AS376">
            <v>0</v>
          </cell>
          <cell r="AT376">
            <v>0</v>
          </cell>
          <cell r="AX376">
            <v>0</v>
          </cell>
          <cell r="AY376">
            <v>700</v>
          </cell>
          <cell r="AZ376">
            <v>266</v>
          </cell>
          <cell r="BA376">
            <v>38</v>
          </cell>
          <cell r="BG376">
            <v>0</v>
          </cell>
          <cell r="BH376">
            <v>0</v>
          </cell>
          <cell r="BM376">
            <v>0</v>
          </cell>
          <cell r="BN376">
            <v>0</v>
          </cell>
          <cell r="BS376">
            <v>150</v>
          </cell>
          <cell r="BT376">
            <v>30</v>
          </cell>
          <cell r="BY376">
            <v>400</v>
          </cell>
          <cell r="BZ376">
            <v>80</v>
          </cell>
          <cell r="CE376">
            <v>1100</v>
          </cell>
          <cell r="CF376">
            <v>220</v>
          </cell>
          <cell r="CK376">
            <v>1150</v>
          </cell>
          <cell r="CL376">
            <v>230</v>
          </cell>
          <cell r="CP376">
            <v>0</v>
          </cell>
          <cell r="CQ376">
            <v>2800</v>
          </cell>
          <cell r="CR376">
            <v>560</v>
          </cell>
          <cell r="CS376">
            <v>20</v>
          </cell>
          <cell r="CX376">
            <v>0</v>
          </cell>
          <cell r="CY376">
            <v>0</v>
          </cell>
          <cell r="CZ376">
            <v>0</v>
          </cell>
          <cell r="DA376">
            <v>0</v>
          </cell>
          <cell r="DF376">
            <v>0</v>
          </cell>
          <cell r="DG376">
            <v>700</v>
          </cell>
          <cell r="DH376">
            <v>266</v>
          </cell>
          <cell r="DI376">
            <v>38</v>
          </cell>
          <cell r="DN376">
            <v>0</v>
          </cell>
          <cell r="DO376">
            <v>150</v>
          </cell>
          <cell r="DP376">
            <v>30</v>
          </cell>
          <cell r="DQ376">
            <v>20</v>
          </cell>
          <cell r="DV376">
            <v>0</v>
          </cell>
          <cell r="DW376">
            <v>2650</v>
          </cell>
          <cell r="DX376">
            <v>530</v>
          </cell>
          <cell r="DY376">
            <v>20</v>
          </cell>
        </row>
        <row r="377">
          <cell r="F377">
            <v>0</v>
          </cell>
          <cell r="G377">
            <v>0</v>
          </cell>
          <cell r="H377">
            <v>0</v>
          </cell>
          <cell r="I377">
            <v>0</v>
          </cell>
          <cell r="AA377">
            <v>0</v>
          </cell>
          <cell r="AB377">
            <v>0</v>
          </cell>
          <cell r="AG377">
            <v>0</v>
          </cell>
          <cell r="AH377">
            <v>0</v>
          </cell>
          <cell r="AM377">
            <v>0</v>
          </cell>
          <cell r="AN377">
            <v>0</v>
          </cell>
          <cell r="AX377">
            <v>0</v>
          </cell>
          <cell r="AY377">
            <v>0</v>
          </cell>
          <cell r="AZ377">
            <v>0</v>
          </cell>
          <cell r="BA377">
            <v>0</v>
          </cell>
          <cell r="BM377">
            <v>0</v>
          </cell>
          <cell r="BN377">
            <v>0</v>
          </cell>
          <cell r="BS377">
            <v>0</v>
          </cell>
          <cell r="BT377">
            <v>0</v>
          </cell>
          <cell r="CP377">
            <v>0</v>
          </cell>
          <cell r="CQ377">
            <v>0</v>
          </cell>
          <cell r="CR377">
            <v>0</v>
          </cell>
          <cell r="CS377">
            <v>0</v>
          </cell>
          <cell r="CX377">
            <v>0</v>
          </cell>
          <cell r="CY377">
            <v>0</v>
          </cell>
          <cell r="CZ377">
            <v>0</v>
          </cell>
          <cell r="DA377">
            <v>0</v>
          </cell>
          <cell r="DF377">
            <v>0</v>
          </cell>
          <cell r="DG377">
            <v>0</v>
          </cell>
          <cell r="DH377">
            <v>0</v>
          </cell>
          <cell r="DI377">
            <v>0</v>
          </cell>
          <cell r="DN377">
            <v>0</v>
          </cell>
          <cell r="DO377">
            <v>0</v>
          </cell>
          <cell r="DP377">
            <v>0</v>
          </cell>
          <cell r="DQ377">
            <v>0</v>
          </cell>
          <cell r="DV377">
            <v>0</v>
          </cell>
          <cell r="DW377">
            <v>0</v>
          </cell>
          <cell r="DX377">
            <v>0</v>
          </cell>
          <cell r="DY377">
            <v>0</v>
          </cell>
        </row>
        <row r="378">
          <cell r="F378">
            <v>0</v>
          </cell>
          <cell r="G378">
            <v>7908</v>
          </cell>
          <cell r="H378">
            <v>521.04330000000004</v>
          </cell>
          <cell r="I378">
            <v>6.5888125948406682</v>
          </cell>
          <cell r="O378">
            <v>154</v>
          </cell>
          <cell r="P378">
            <v>7.7</v>
          </cell>
          <cell r="U378">
            <v>617</v>
          </cell>
          <cell r="V378">
            <v>30.85</v>
          </cell>
          <cell r="AA378">
            <v>0</v>
          </cell>
          <cell r="AB378">
            <v>0</v>
          </cell>
          <cell r="AG378">
            <v>0</v>
          </cell>
          <cell r="AH378">
            <v>0</v>
          </cell>
          <cell r="AM378">
            <v>0</v>
          </cell>
          <cell r="AN378">
            <v>0</v>
          </cell>
          <cell r="AS378">
            <v>323</v>
          </cell>
          <cell r="AT378">
            <v>16.149999999999999</v>
          </cell>
          <cell r="AX378">
            <v>0</v>
          </cell>
          <cell r="AY378">
            <v>1094</v>
          </cell>
          <cell r="AZ378">
            <v>54.7</v>
          </cell>
          <cell r="BA378">
            <v>5</v>
          </cell>
          <cell r="BG378">
            <v>246</v>
          </cell>
          <cell r="BH378">
            <v>12.3</v>
          </cell>
          <cell r="BM378">
            <v>0</v>
          </cell>
          <cell r="BN378">
            <v>0</v>
          </cell>
          <cell r="BS378">
            <v>0</v>
          </cell>
          <cell r="BT378">
            <v>0</v>
          </cell>
          <cell r="BY378">
            <v>3627</v>
          </cell>
          <cell r="BZ378">
            <v>248.131</v>
          </cell>
          <cell r="CE378">
            <v>378</v>
          </cell>
          <cell r="CF378">
            <v>18.899999999999999</v>
          </cell>
          <cell r="CK378">
            <v>2563</v>
          </cell>
          <cell r="CL378">
            <v>187.01229999999998</v>
          </cell>
          <cell r="CP378">
            <v>0</v>
          </cell>
          <cell r="CQ378">
            <v>6814</v>
          </cell>
          <cell r="CR378">
            <v>466.3433</v>
          </cell>
          <cell r="CS378">
            <v>6.8438993249192839</v>
          </cell>
          <cell r="CX378">
            <v>0</v>
          </cell>
          <cell r="CY378">
            <v>771</v>
          </cell>
          <cell r="CZ378">
            <v>38.550000000000004</v>
          </cell>
          <cell r="DA378">
            <v>5</v>
          </cell>
          <cell r="DF378">
            <v>0</v>
          </cell>
          <cell r="DG378">
            <v>323</v>
          </cell>
          <cell r="DH378">
            <v>16.149999999999999</v>
          </cell>
          <cell r="DI378">
            <v>5</v>
          </cell>
          <cell r="DN378">
            <v>0</v>
          </cell>
          <cell r="DO378">
            <v>246</v>
          </cell>
          <cell r="DP378">
            <v>12.3</v>
          </cell>
          <cell r="DQ378">
            <v>5</v>
          </cell>
          <cell r="DV378">
            <v>0</v>
          </cell>
          <cell r="DW378">
            <v>6568</v>
          </cell>
          <cell r="DX378">
            <v>454.04329999999999</v>
          </cell>
          <cell r="DY378">
            <v>6.9129613276492083</v>
          </cell>
        </row>
        <row r="379">
          <cell r="F379">
            <v>0</v>
          </cell>
          <cell r="G379">
            <v>8928</v>
          </cell>
          <cell r="H379">
            <v>1785.1</v>
          </cell>
          <cell r="I379">
            <v>19.994399641577061</v>
          </cell>
          <cell r="O379">
            <v>0</v>
          </cell>
          <cell r="P379">
            <v>0</v>
          </cell>
          <cell r="U379">
            <v>48</v>
          </cell>
          <cell r="V379">
            <v>9.6</v>
          </cell>
          <cell r="AA379">
            <v>230</v>
          </cell>
          <cell r="AB379">
            <v>39.5</v>
          </cell>
          <cell r="AG379">
            <v>150</v>
          </cell>
          <cell r="AH379">
            <v>30</v>
          </cell>
          <cell r="AM379">
            <v>570</v>
          </cell>
          <cell r="AN379">
            <v>120</v>
          </cell>
          <cell r="AS379">
            <v>880</v>
          </cell>
          <cell r="AT379">
            <v>176</v>
          </cell>
          <cell r="AX379">
            <v>0</v>
          </cell>
          <cell r="AY379">
            <v>1878</v>
          </cell>
          <cell r="AZ379">
            <v>375.1</v>
          </cell>
          <cell r="BA379">
            <v>19.973375931842384</v>
          </cell>
          <cell r="BG379">
            <v>2320</v>
          </cell>
          <cell r="BH379">
            <v>464</v>
          </cell>
          <cell r="BM379">
            <v>380</v>
          </cell>
          <cell r="BN379">
            <v>76</v>
          </cell>
          <cell r="BS379">
            <v>500</v>
          </cell>
          <cell r="BT379">
            <v>100</v>
          </cell>
          <cell r="BY379">
            <v>250</v>
          </cell>
          <cell r="BZ379">
            <v>50</v>
          </cell>
          <cell r="CE379">
            <v>1400</v>
          </cell>
          <cell r="CF379">
            <v>280</v>
          </cell>
          <cell r="CK379">
            <v>2200</v>
          </cell>
          <cell r="CL379">
            <v>440</v>
          </cell>
          <cell r="CP379">
            <v>0</v>
          </cell>
          <cell r="CQ379">
            <v>7050</v>
          </cell>
          <cell r="CR379">
            <v>1410</v>
          </cell>
          <cell r="CS379">
            <v>20</v>
          </cell>
          <cell r="CX379">
            <v>0</v>
          </cell>
          <cell r="CY379">
            <v>278</v>
          </cell>
          <cell r="CZ379">
            <v>49.1</v>
          </cell>
          <cell r="DA379">
            <v>17.661870503597125</v>
          </cell>
          <cell r="DF379">
            <v>0</v>
          </cell>
          <cell r="DG379">
            <v>1600</v>
          </cell>
          <cell r="DH379">
            <v>326</v>
          </cell>
          <cell r="DI379">
            <v>20.375</v>
          </cell>
          <cell r="DN379">
            <v>0</v>
          </cell>
          <cell r="DO379">
            <v>3200</v>
          </cell>
          <cell r="DP379">
            <v>640</v>
          </cell>
          <cell r="DQ379">
            <v>20</v>
          </cell>
          <cell r="DV379">
            <v>0</v>
          </cell>
          <cell r="DW379">
            <v>3850</v>
          </cell>
          <cell r="DX379">
            <v>770</v>
          </cell>
          <cell r="DY379">
            <v>20</v>
          </cell>
        </row>
        <row r="380">
          <cell r="F380">
            <v>0</v>
          </cell>
          <cell r="G380">
            <v>7267</v>
          </cell>
          <cell r="H380">
            <v>1315.327</v>
          </cell>
          <cell r="I380">
            <v>18.099999999999998</v>
          </cell>
          <cell r="O380">
            <v>78</v>
          </cell>
          <cell r="P380">
            <v>14.118000000000002</v>
          </cell>
          <cell r="U380">
            <v>90</v>
          </cell>
          <cell r="V380">
            <v>16.29</v>
          </cell>
          <cell r="AA380">
            <v>159</v>
          </cell>
          <cell r="AB380">
            <v>28.779000000000003</v>
          </cell>
          <cell r="AG380">
            <v>800</v>
          </cell>
          <cell r="AH380">
            <v>144.80000000000001</v>
          </cell>
          <cell r="AM380">
            <v>650</v>
          </cell>
          <cell r="AN380">
            <v>117.65</v>
          </cell>
          <cell r="AS380">
            <v>640</v>
          </cell>
          <cell r="AT380">
            <v>115.84</v>
          </cell>
          <cell r="AX380">
            <v>0</v>
          </cell>
          <cell r="AY380">
            <v>2417</v>
          </cell>
          <cell r="AZ380">
            <v>437.47700000000003</v>
          </cell>
          <cell r="BA380">
            <v>18.100000000000001</v>
          </cell>
          <cell r="BG380">
            <v>420</v>
          </cell>
          <cell r="BH380">
            <v>76.02</v>
          </cell>
          <cell r="BM380">
            <v>470</v>
          </cell>
          <cell r="BN380">
            <v>85.07</v>
          </cell>
          <cell r="BS380">
            <v>610</v>
          </cell>
          <cell r="BT380">
            <v>110.41</v>
          </cell>
          <cell r="BY380">
            <v>710</v>
          </cell>
          <cell r="BZ380">
            <v>128.51</v>
          </cell>
          <cell r="CE380">
            <v>800</v>
          </cell>
          <cell r="CF380">
            <v>144.80000000000001</v>
          </cell>
          <cell r="CK380">
            <v>1840</v>
          </cell>
          <cell r="CL380">
            <v>333.04</v>
          </cell>
          <cell r="CP380">
            <v>0</v>
          </cell>
          <cell r="CQ380">
            <v>4850</v>
          </cell>
          <cell r="CR380">
            <v>877.84999999999991</v>
          </cell>
          <cell r="CS380">
            <v>18.099999999999998</v>
          </cell>
          <cell r="CX380">
            <v>0</v>
          </cell>
          <cell r="CY380">
            <v>327</v>
          </cell>
          <cell r="CZ380">
            <v>59.187000000000005</v>
          </cell>
          <cell r="DA380">
            <v>18.100000000000001</v>
          </cell>
          <cell r="DF380">
            <v>0</v>
          </cell>
          <cell r="DG380">
            <v>2090</v>
          </cell>
          <cell r="DH380">
            <v>378.29000000000008</v>
          </cell>
          <cell r="DI380">
            <v>18.100000000000005</v>
          </cell>
          <cell r="DN380">
            <v>0</v>
          </cell>
          <cell r="DO380">
            <v>1500</v>
          </cell>
          <cell r="DP380">
            <v>271.5</v>
          </cell>
          <cell r="DQ380">
            <v>18.099999999999998</v>
          </cell>
          <cell r="DV380">
            <v>0</v>
          </cell>
          <cell r="DW380">
            <v>3350</v>
          </cell>
          <cell r="DX380">
            <v>606.35</v>
          </cell>
          <cell r="DY380">
            <v>18.099999999999998</v>
          </cell>
        </row>
        <row r="381">
          <cell r="F381">
            <v>0</v>
          </cell>
          <cell r="G381">
            <v>2597</v>
          </cell>
          <cell r="H381">
            <v>519.4</v>
          </cell>
          <cell r="I381">
            <v>20</v>
          </cell>
          <cell r="O381">
            <v>0</v>
          </cell>
          <cell r="P381">
            <v>0</v>
          </cell>
          <cell r="U381">
            <v>0</v>
          </cell>
          <cell r="V381">
            <v>0</v>
          </cell>
          <cell r="AA381">
            <v>201</v>
          </cell>
          <cell r="AB381">
            <v>40.200000000000003</v>
          </cell>
          <cell r="AG381">
            <v>185</v>
          </cell>
          <cell r="AH381">
            <v>37</v>
          </cell>
          <cell r="AM381">
            <v>361</v>
          </cell>
          <cell r="AN381">
            <v>72.2</v>
          </cell>
          <cell r="AS381">
            <v>500</v>
          </cell>
          <cell r="AT381">
            <v>100</v>
          </cell>
          <cell r="AX381">
            <v>0</v>
          </cell>
          <cell r="AY381">
            <v>1247</v>
          </cell>
          <cell r="AZ381">
            <v>249.39999999999998</v>
          </cell>
          <cell r="BA381">
            <v>20</v>
          </cell>
          <cell r="BG381">
            <v>350</v>
          </cell>
          <cell r="BH381">
            <v>70</v>
          </cell>
          <cell r="BM381">
            <v>400</v>
          </cell>
          <cell r="BN381">
            <v>80</v>
          </cell>
          <cell r="BS381">
            <v>300</v>
          </cell>
          <cell r="BT381">
            <v>60</v>
          </cell>
          <cell r="BY381">
            <v>0</v>
          </cell>
          <cell r="BZ381">
            <v>0</v>
          </cell>
          <cell r="CE381">
            <v>100</v>
          </cell>
          <cell r="CF381">
            <v>20</v>
          </cell>
          <cell r="CK381">
            <v>200</v>
          </cell>
          <cell r="CL381">
            <v>40</v>
          </cell>
          <cell r="CP381">
            <v>0</v>
          </cell>
          <cell r="CQ381">
            <v>1350</v>
          </cell>
          <cell r="CR381">
            <v>270</v>
          </cell>
          <cell r="CS381">
            <v>20</v>
          </cell>
          <cell r="CX381">
            <v>0</v>
          </cell>
          <cell r="CY381">
            <v>201</v>
          </cell>
          <cell r="CZ381">
            <v>40.200000000000003</v>
          </cell>
          <cell r="DA381">
            <v>20</v>
          </cell>
          <cell r="DF381">
            <v>0</v>
          </cell>
          <cell r="DG381">
            <v>1046</v>
          </cell>
          <cell r="DH381">
            <v>209.2</v>
          </cell>
          <cell r="DI381">
            <v>20</v>
          </cell>
          <cell r="DN381">
            <v>0</v>
          </cell>
          <cell r="DO381">
            <v>1050</v>
          </cell>
          <cell r="DP381">
            <v>210</v>
          </cell>
          <cell r="DQ381">
            <v>20</v>
          </cell>
          <cell r="DV381">
            <v>0</v>
          </cell>
          <cell r="DW381">
            <v>300</v>
          </cell>
          <cell r="DX381">
            <v>60</v>
          </cell>
          <cell r="DY381">
            <v>20</v>
          </cell>
        </row>
        <row r="382">
          <cell r="F382">
            <v>0</v>
          </cell>
          <cell r="G382">
            <v>6000</v>
          </cell>
          <cell r="H382">
            <v>1437.559</v>
          </cell>
          <cell r="I382">
            <v>23.959316666666666</v>
          </cell>
          <cell r="O382">
            <v>13</v>
          </cell>
          <cell r="P382">
            <v>4.03</v>
          </cell>
          <cell r="U382">
            <v>690</v>
          </cell>
          <cell r="V382">
            <v>149.99400000000003</v>
          </cell>
          <cell r="AA382">
            <v>1672</v>
          </cell>
          <cell r="AB382">
            <v>401.78</v>
          </cell>
          <cell r="AG382">
            <v>327</v>
          </cell>
          <cell r="AH382">
            <v>61.443000000000012</v>
          </cell>
          <cell r="AM382">
            <v>872</v>
          </cell>
          <cell r="AN382">
            <v>286.846</v>
          </cell>
          <cell r="AS382">
            <v>140</v>
          </cell>
          <cell r="AT382">
            <v>28.98</v>
          </cell>
          <cell r="AX382">
            <v>0</v>
          </cell>
          <cell r="AY382">
            <v>3714</v>
          </cell>
          <cell r="AZ382">
            <v>933.07299999999998</v>
          </cell>
          <cell r="BA382">
            <v>25.123128702207865</v>
          </cell>
          <cell r="BG382">
            <v>525</v>
          </cell>
          <cell r="BH382">
            <v>108.675</v>
          </cell>
          <cell r="BM382">
            <v>993</v>
          </cell>
          <cell r="BN382">
            <v>236.83500000000001</v>
          </cell>
          <cell r="BS382">
            <v>0</v>
          </cell>
          <cell r="BT382">
            <v>0</v>
          </cell>
          <cell r="BY382">
            <v>345</v>
          </cell>
          <cell r="BZ382">
            <v>71.415000000000006</v>
          </cell>
          <cell r="CE382">
            <v>248</v>
          </cell>
          <cell r="CF382">
            <v>51.335999999999999</v>
          </cell>
          <cell r="CK382">
            <v>175</v>
          </cell>
          <cell r="CL382">
            <v>36.225000000000001</v>
          </cell>
          <cell r="CP382">
            <v>0</v>
          </cell>
          <cell r="CQ382">
            <v>2286</v>
          </cell>
          <cell r="CR382">
            <v>504.48600000000005</v>
          </cell>
          <cell r="CS382">
            <v>22.068503937007875</v>
          </cell>
          <cell r="CX382">
            <v>0</v>
          </cell>
          <cell r="CY382">
            <v>2375</v>
          </cell>
          <cell r="CZ382">
            <v>555.80399999999997</v>
          </cell>
          <cell r="DA382">
            <v>23.402273684210524</v>
          </cell>
          <cell r="DF382">
            <v>0</v>
          </cell>
          <cell r="DG382">
            <v>1339</v>
          </cell>
          <cell r="DH382">
            <v>377.26900000000001</v>
          </cell>
          <cell r="DI382">
            <v>28.175429424943989</v>
          </cell>
          <cell r="DN382">
            <v>0</v>
          </cell>
          <cell r="DO382">
            <v>1518</v>
          </cell>
          <cell r="DP382">
            <v>345.51</v>
          </cell>
          <cell r="DQ382">
            <v>22.760869565217391</v>
          </cell>
          <cell r="DV382">
            <v>0</v>
          </cell>
          <cell r="DW382">
            <v>768</v>
          </cell>
          <cell r="DX382">
            <v>158.976</v>
          </cell>
          <cell r="DY382">
            <v>20.7</v>
          </cell>
        </row>
        <row r="383">
          <cell r="F383">
            <v>0</v>
          </cell>
          <cell r="G383">
            <v>3009</v>
          </cell>
          <cell r="H383">
            <v>300.90000000000003</v>
          </cell>
          <cell r="I383">
            <v>10</v>
          </cell>
          <cell r="O383">
            <v>0</v>
          </cell>
          <cell r="P383">
            <v>0</v>
          </cell>
          <cell r="U383">
            <v>0</v>
          </cell>
          <cell r="V383">
            <v>0</v>
          </cell>
          <cell r="AA383">
            <v>0</v>
          </cell>
          <cell r="AB383">
            <v>0</v>
          </cell>
          <cell r="AG383">
            <v>0</v>
          </cell>
          <cell r="AH383">
            <v>0</v>
          </cell>
          <cell r="AM383">
            <v>1938</v>
          </cell>
          <cell r="AN383">
            <v>193.8</v>
          </cell>
          <cell r="AS383">
            <v>0</v>
          </cell>
          <cell r="AT383">
            <v>0</v>
          </cell>
          <cell r="AX383">
            <v>0</v>
          </cell>
          <cell r="AY383">
            <v>1938</v>
          </cell>
          <cell r="AZ383">
            <v>193.8</v>
          </cell>
          <cell r="BA383">
            <v>10</v>
          </cell>
          <cell r="BG383">
            <v>109</v>
          </cell>
          <cell r="BH383">
            <v>10.9</v>
          </cell>
          <cell r="BM383">
            <v>0</v>
          </cell>
          <cell r="BN383">
            <v>0</v>
          </cell>
          <cell r="BS383">
            <v>0</v>
          </cell>
          <cell r="BT383">
            <v>0</v>
          </cell>
          <cell r="BY383">
            <v>962</v>
          </cell>
          <cell r="BZ383">
            <v>96.2</v>
          </cell>
          <cell r="CE383">
            <v>0</v>
          </cell>
          <cell r="CF383">
            <v>0</v>
          </cell>
          <cell r="CK383">
            <v>0</v>
          </cell>
          <cell r="CL383">
            <v>0</v>
          </cell>
          <cell r="CP383">
            <v>0</v>
          </cell>
          <cell r="CQ383">
            <v>1071</v>
          </cell>
          <cell r="CR383">
            <v>107.10000000000001</v>
          </cell>
          <cell r="CS383">
            <v>10</v>
          </cell>
          <cell r="CX383">
            <v>0</v>
          </cell>
          <cell r="CY383">
            <v>0</v>
          </cell>
          <cell r="CZ383">
            <v>0</v>
          </cell>
          <cell r="DA383">
            <v>0</v>
          </cell>
          <cell r="DF383">
            <v>0</v>
          </cell>
          <cell r="DG383">
            <v>1938</v>
          </cell>
          <cell r="DH383">
            <v>193.8</v>
          </cell>
          <cell r="DI383">
            <v>10</v>
          </cell>
          <cell r="DN383">
            <v>0</v>
          </cell>
          <cell r="DO383">
            <v>109</v>
          </cell>
          <cell r="DP383">
            <v>10.9</v>
          </cell>
          <cell r="DQ383">
            <v>10</v>
          </cell>
          <cell r="DV383">
            <v>0</v>
          </cell>
          <cell r="DW383">
            <v>962</v>
          </cell>
          <cell r="DX383">
            <v>96.2</v>
          </cell>
          <cell r="DY383">
            <v>10</v>
          </cell>
        </row>
        <row r="384">
          <cell r="F384">
            <v>0</v>
          </cell>
          <cell r="G384">
            <v>106153</v>
          </cell>
          <cell r="H384">
            <v>23285.451300000008</v>
          </cell>
          <cell r="I384">
            <v>21.935744915358029</v>
          </cell>
          <cell r="N384">
            <v>0</v>
          </cell>
          <cell r="O384">
            <v>339</v>
          </cell>
          <cell r="P384">
            <v>46.81</v>
          </cell>
          <cell r="T384">
            <v>0</v>
          </cell>
          <cell r="U384">
            <v>1445</v>
          </cell>
          <cell r="V384">
            <v>206.73400000000004</v>
          </cell>
          <cell r="Z384">
            <v>0</v>
          </cell>
          <cell r="AA384">
            <v>7712</v>
          </cell>
          <cell r="AB384">
            <v>1954.229</v>
          </cell>
          <cell r="AF384">
            <v>0</v>
          </cell>
          <cell r="AG384">
            <v>4022</v>
          </cell>
          <cell r="AH384">
            <v>885.24299999999994</v>
          </cell>
          <cell r="AL384">
            <v>0</v>
          </cell>
          <cell r="AM384">
            <v>14991</v>
          </cell>
          <cell r="AN384">
            <v>2686.4960000000001</v>
          </cell>
          <cell r="AR384">
            <v>0</v>
          </cell>
          <cell r="AS384">
            <v>8623</v>
          </cell>
          <cell r="AT384">
            <v>1862.47</v>
          </cell>
          <cell r="AX384">
            <v>0</v>
          </cell>
          <cell r="AY384">
            <v>37132</v>
          </cell>
          <cell r="AZ384">
            <v>7641.9820000000009</v>
          </cell>
          <cell r="BA384">
            <v>20.580582785737374</v>
          </cell>
          <cell r="BF384">
            <v>0</v>
          </cell>
          <cell r="BG384">
            <v>3970</v>
          </cell>
          <cell r="BH384">
            <v>741.89499999999998</v>
          </cell>
          <cell r="BL384">
            <v>0</v>
          </cell>
          <cell r="BM384">
            <v>11943</v>
          </cell>
          <cell r="BN384">
            <v>2358.4049999999997</v>
          </cell>
          <cell r="BR384">
            <v>0</v>
          </cell>
          <cell r="BS384">
            <v>7260</v>
          </cell>
          <cell r="BT384">
            <v>1757.6100000000001</v>
          </cell>
          <cell r="BX384">
            <v>0</v>
          </cell>
          <cell r="BY384">
            <v>16294</v>
          </cell>
          <cell r="BZ384">
            <v>2674.2559999999994</v>
          </cell>
          <cell r="CD384">
            <v>0</v>
          </cell>
          <cell r="CE384">
            <v>10826</v>
          </cell>
          <cell r="CF384">
            <v>2062.0360000000001</v>
          </cell>
          <cell r="CJ384">
            <v>0</v>
          </cell>
          <cell r="CK384">
            <v>18728</v>
          </cell>
          <cell r="CL384">
            <v>6049.2673000000004</v>
          </cell>
          <cell r="CP384">
            <v>0</v>
          </cell>
          <cell r="CQ384">
            <v>69021</v>
          </cell>
          <cell r="CR384">
            <v>15643.469300000002</v>
          </cell>
          <cell r="CS384">
            <v>22.664796656090182</v>
          </cell>
          <cell r="CX384">
            <v>0</v>
          </cell>
          <cell r="CY384">
            <v>9496</v>
          </cell>
          <cell r="CZ384">
            <v>2207.7729999999997</v>
          </cell>
          <cell r="DA384">
            <v>23.249505054759894</v>
          </cell>
          <cell r="DF384">
            <v>0</v>
          </cell>
          <cell r="DG384">
            <v>27636</v>
          </cell>
          <cell r="DH384">
            <v>5434.2089999999998</v>
          </cell>
          <cell r="DI384">
            <v>19.66351498046027</v>
          </cell>
          <cell r="DN384">
            <v>0</v>
          </cell>
          <cell r="DO384">
            <v>23173</v>
          </cell>
          <cell r="DP384">
            <v>4857.91</v>
          </cell>
          <cell r="DQ384">
            <v>20.963664609675053</v>
          </cell>
          <cell r="DV384">
            <v>0</v>
          </cell>
          <cell r="DW384">
            <v>45848</v>
          </cell>
          <cell r="DX384">
            <v>10785.559300000001</v>
          </cell>
          <cell r="DY384">
            <v>23.524601509335199</v>
          </cell>
        </row>
        <row r="385">
          <cell r="F385">
            <v>0</v>
          </cell>
          <cell r="G385">
            <v>8133</v>
          </cell>
          <cell r="H385">
            <v>590</v>
          </cell>
          <cell r="I385">
            <v>7.2543956719537688</v>
          </cell>
          <cell r="O385">
            <v>154</v>
          </cell>
          <cell r="P385">
            <v>8</v>
          </cell>
          <cell r="U385">
            <v>617</v>
          </cell>
          <cell r="V385">
            <v>31</v>
          </cell>
          <cell r="AA385">
            <v>140</v>
          </cell>
          <cell r="AB385">
            <v>44</v>
          </cell>
          <cell r="AG385">
            <v>85</v>
          </cell>
          <cell r="AH385">
            <v>25</v>
          </cell>
          <cell r="AS385">
            <v>323</v>
          </cell>
          <cell r="AT385">
            <v>16</v>
          </cell>
          <cell r="AX385">
            <v>0</v>
          </cell>
          <cell r="AY385">
            <v>1319</v>
          </cell>
          <cell r="AZ385">
            <v>124</v>
          </cell>
          <cell r="BA385">
            <v>9.4010614101592118</v>
          </cell>
          <cell r="BG385">
            <v>246</v>
          </cell>
          <cell r="BH385">
            <v>12</v>
          </cell>
          <cell r="BY385">
            <v>3627</v>
          </cell>
          <cell r="BZ385">
            <v>248</v>
          </cell>
          <cell r="CE385">
            <v>378</v>
          </cell>
          <cell r="CF385">
            <v>19</v>
          </cell>
          <cell r="CK385">
            <v>2563</v>
          </cell>
          <cell r="CL385">
            <v>187</v>
          </cell>
          <cell r="CP385">
            <v>0</v>
          </cell>
          <cell r="CQ385">
            <v>6814</v>
          </cell>
          <cell r="CR385">
            <v>466</v>
          </cell>
          <cell r="CS385">
            <v>6.8388611681831524</v>
          </cell>
          <cell r="CX385">
            <v>0</v>
          </cell>
          <cell r="CY385">
            <v>911</v>
          </cell>
          <cell r="CZ385">
            <v>83</v>
          </cell>
          <cell r="DA385">
            <v>9.1108671789242592</v>
          </cell>
          <cell r="DF385">
            <v>0</v>
          </cell>
          <cell r="DG385">
            <v>408</v>
          </cell>
          <cell r="DH385">
            <v>41</v>
          </cell>
          <cell r="DI385">
            <v>10.049019607843137</v>
          </cell>
          <cell r="DN385">
            <v>0</v>
          </cell>
          <cell r="DO385">
            <v>246</v>
          </cell>
          <cell r="DP385">
            <v>12</v>
          </cell>
          <cell r="DQ385">
            <v>4.8780487804878048</v>
          </cell>
          <cell r="DV385">
            <v>0</v>
          </cell>
          <cell r="DW385">
            <v>6568</v>
          </cell>
          <cell r="DX385">
            <v>454</v>
          </cell>
          <cell r="DY385">
            <v>6.9123020706455538</v>
          </cell>
        </row>
        <row r="386">
          <cell r="F386">
            <v>0</v>
          </cell>
          <cell r="G386">
            <v>17200</v>
          </cell>
          <cell r="H386">
            <v>2210.0360000000001</v>
          </cell>
          <cell r="I386">
            <v>12.849046511627908</v>
          </cell>
          <cell r="O386">
            <v>10</v>
          </cell>
          <cell r="P386">
            <v>3.79</v>
          </cell>
          <cell r="U386">
            <v>720</v>
          </cell>
          <cell r="V386">
            <v>139.25</v>
          </cell>
          <cell r="AA386">
            <v>2123</v>
          </cell>
          <cell r="AB386">
            <v>126.84100000000001</v>
          </cell>
          <cell r="AG386">
            <v>1424</v>
          </cell>
          <cell r="AH386">
            <v>271.95999999999998</v>
          </cell>
          <cell r="AM386">
            <v>580</v>
          </cell>
          <cell r="AN386">
            <v>108</v>
          </cell>
          <cell r="AS386">
            <v>3809</v>
          </cell>
          <cell r="AT386">
            <v>311.983</v>
          </cell>
          <cell r="AX386">
            <v>0</v>
          </cell>
          <cell r="AY386">
            <v>8666</v>
          </cell>
          <cell r="AZ386">
            <v>961.82399999999996</v>
          </cell>
          <cell r="BA386">
            <v>11.098822986383567</v>
          </cell>
          <cell r="BG386">
            <v>500</v>
          </cell>
          <cell r="BH386">
            <v>89</v>
          </cell>
          <cell r="BM386">
            <v>1048</v>
          </cell>
          <cell r="BN386">
            <v>168.67199999999997</v>
          </cell>
          <cell r="BS386">
            <v>2660</v>
          </cell>
          <cell r="BT386">
            <v>268.83999999999997</v>
          </cell>
          <cell r="BY386">
            <v>1580</v>
          </cell>
          <cell r="BZ386">
            <v>206.64</v>
          </cell>
          <cell r="CE386">
            <v>1150</v>
          </cell>
          <cell r="CF386">
            <v>246</v>
          </cell>
          <cell r="CK386">
            <v>1596</v>
          </cell>
          <cell r="CL386">
            <v>269.06</v>
          </cell>
          <cell r="CP386">
            <v>0</v>
          </cell>
          <cell r="CQ386">
            <v>8534</v>
          </cell>
          <cell r="CR386">
            <v>1248.212</v>
          </cell>
          <cell r="CS386">
            <v>14.626341692055309</v>
          </cell>
          <cell r="CX386">
            <v>0</v>
          </cell>
          <cell r="CY386">
            <v>2853</v>
          </cell>
          <cell r="CZ386">
            <v>269.88099999999997</v>
          </cell>
          <cell r="DA386">
            <v>9.4595513494567118</v>
          </cell>
          <cell r="DF386">
            <v>0</v>
          </cell>
          <cell r="DG386">
            <v>5813</v>
          </cell>
          <cell r="DH386">
            <v>691.94299999999998</v>
          </cell>
          <cell r="DI386">
            <v>11.903371752967487</v>
          </cell>
          <cell r="DN386">
            <v>0</v>
          </cell>
          <cell r="DO386">
            <v>4208</v>
          </cell>
          <cell r="DP386">
            <v>526.51199999999994</v>
          </cell>
          <cell r="DQ386">
            <v>12.512167300380227</v>
          </cell>
          <cell r="DV386">
            <v>0</v>
          </cell>
          <cell r="DW386">
            <v>4326</v>
          </cell>
          <cell r="DX386">
            <v>721.7</v>
          </cell>
          <cell r="DY386">
            <v>16.68284789644013</v>
          </cell>
        </row>
        <row r="387">
          <cell r="F387">
            <v>0</v>
          </cell>
          <cell r="G387">
            <v>12650</v>
          </cell>
          <cell r="H387">
            <v>2372.3330000000001</v>
          </cell>
          <cell r="I387">
            <v>18.753620553359685</v>
          </cell>
          <cell r="O387">
            <v>7</v>
          </cell>
          <cell r="P387">
            <v>1.968</v>
          </cell>
          <cell r="U387">
            <v>89</v>
          </cell>
          <cell r="V387">
            <v>11.013</v>
          </cell>
          <cell r="AA387">
            <v>769</v>
          </cell>
          <cell r="AB387">
            <v>134.161</v>
          </cell>
          <cell r="AG387">
            <v>609</v>
          </cell>
          <cell r="AH387">
            <v>123.35299999999999</v>
          </cell>
          <cell r="AM387">
            <v>1603</v>
          </cell>
          <cell r="AN387">
            <v>274.40100000000001</v>
          </cell>
          <cell r="AS387">
            <v>534</v>
          </cell>
          <cell r="AT387">
            <v>112.568</v>
          </cell>
          <cell r="AX387">
            <v>0</v>
          </cell>
          <cell r="AY387">
            <v>3611</v>
          </cell>
          <cell r="AZ387">
            <v>657.46399999999994</v>
          </cell>
          <cell r="BA387">
            <v>18.207255607864855</v>
          </cell>
          <cell r="BG387">
            <v>493</v>
          </cell>
          <cell r="BH387">
            <v>102.001</v>
          </cell>
          <cell r="BM387">
            <v>1374</v>
          </cell>
          <cell r="BN387">
            <v>250.16800000000003</v>
          </cell>
          <cell r="BS387">
            <v>590</v>
          </cell>
          <cell r="BT387">
            <v>114.2</v>
          </cell>
          <cell r="BY387">
            <v>1490</v>
          </cell>
          <cell r="BZ387">
            <v>251.3</v>
          </cell>
          <cell r="CE387">
            <v>3290</v>
          </cell>
          <cell r="CF387">
            <v>713.2</v>
          </cell>
          <cell r="CK387">
            <v>1802</v>
          </cell>
          <cell r="CL387">
            <v>284</v>
          </cell>
          <cell r="CP387">
            <v>0</v>
          </cell>
          <cell r="CQ387">
            <v>9039</v>
          </cell>
          <cell r="CR387">
            <v>1714.8690000000001</v>
          </cell>
          <cell r="CS387">
            <v>18.971888483239301</v>
          </cell>
          <cell r="CX387">
            <v>0</v>
          </cell>
          <cell r="CY387">
            <v>865</v>
          </cell>
          <cell r="CZ387">
            <v>147.142</v>
          </cell>
          <cell r="DA387">
            <v>17.010635838150289</v>
          </cell>
          <cell r="DF387">
            <v>0</v>
          </cell>
          <cell r="DG387">
            <v>2746</v>
          </cell>
          <cell r="DH387">
            <v>510.322</v>
          </cell>
          <cell r="DI387">
            <v>18.584195193008014</v>
          </cell>
          <cell r="DN387">
            <v>0</v>
          </cell>
          <cell r="DO387">
            <v>2457</v>
          </cell>
          <cell r="DP387">
            <v>466.36900000000003</v>
          </cell>
          <cell r="DQ387">
            <v>18.981237281237281</v>
          </cell>
          <cell r="DV387">
            <v>0</v>
          </cell>
          <cell r="DW387">
            <v>6582</v>
          </cell>
          <cell r="DX387">
            <v>1248.5</v>
          </cell>
          <cell r="DY387">
            <v>18.968398663020359</v>
          </cell>
        </row>
        <row r="388">
          <cell r="F388">
            <v>0</v>
          </cell>
          <cell r="G388">
            <v>7850</v>
          </cell>
          <cell r="H388">
            <v>1482.6560000000002</v>
          </cell>
          <cell r="I388">
            <v>18.887337579617835</v>
          </cell>
          <cell r="O388">
            <v>2</v>
          </cell>
          <cell r="P388">
            <v>1.42</v>
          </cell>
          <cell r="U388">
            <v>3</v>
          </cell>
          <cell r="V388">
            <v>2.13</v>
          </cell>
          <cell r="AA388">
            <v>0</v>
          </cell>
          <cell r="AB388">
            <v>0</v>
          </cell>
          <cell r="AG388">
            <v>198</v>
          </cell>
          <cell r="AH388">
            <v>29.7</v>
          </cell>
          <cell r="AM388">
            <v>22</v>
          </cell>
          <cell r="AN388">
            <v>3.3</v>
          </cell>
          <cell r="AS388">
            <v>1526</v>
          </cell>
          <cell r="AT388">
            <v>198.37599999999998</v>
          </cell>
          <cell r="AX388">
            <v>0</v>
          </cell>
          <cell r="AY388">
            <v>1751</v>
          </cell>
          <cell r="AZ388">
            <v>234.92599999999996</v>
          </cell>
          <cell r="BA388">
            <v>13.416676185037119</v>
          </cell>
          <cell r="BG388">
            <v>330</v>
          </cell>
          <cell r="BH388">
            <v>42.9</v>
          </cell>
          <cell r="BM388">
            <v>370</v>
          </cell>
          <cell r="BN388">
            <v>202.2</v>
          </cell>
          <cell r="BS388">
            <v>792</v>
          </cell>
          <cell r="BT388">
            <v>277.5</v>
          </cell>
          <cell r="BY388">
            <v>1277</v>
          </cell>
          <cell r="BZ388">
            <v>140.31</v>
          </cell>
          <cell r="CE388">
            <v>533</v>
          </cell>
          <cell r="CF388">
            <v>111.39</v>
          </cell>
          <cell r="CK388">
            <v>2797</v>
          </cell>
          <cell r="CL388">
            <v>473.43</v>
          </cell>
          <cell r="CP388">
            <v>0</v>
          </cell>
          <cell r="CQ388">
            <v>6099</v>
          </cell>
          <cell r="CR388">
            <v>1247.7300000000002</v>
          </cell>
          <cell r="CS388">
            <v>20.45794392523365</v>
          </cell>
          <cell r="CX388">
            <v>0</v>
          </cell>
          <cell r="CY388">
            <v>5</v>
          </cell>
          <cell r="CZ388">
            <v>3.55</v>
          </cell>
          <cell r="DA388">
            <v>71</v>
          </cell>
          <cell r="DF388">
            <v>0</v>
          </cell>
          <cell r="DG388">
            <v>1746</v>
          </cell>
          <cell r="DH388">
            <v>231.37599999999998</v>
          </cell>
          <cell r="DI388">
            <v>13.251775486827032</v>
          </cell>
          <cell r="DN388">
            <v>0</v>
          </cell>
          <cell r="DO388">
            <v>1492</v>
          </cell>
          <cell r="DP388">
            <v>522.6</v>
          </cell>
          <cell r="DQ388">
            <v>35.026809651474537</v>
          </cell>
          <cell r="DV388">
            <v>0</v>
          </cell>
          <cell r="DW388">
            <v>4607</v>
          </cell>
          <cell r="DX388">
            <v>725.13</v>
          </cell>
          <cell r="DY388">
            <v>15.739743868026915</v>
          </cell>
        </row>
        <row r="389">
          <cell r="F389">
            <v>0</v>
          </cell>
          <cell r="G389">
            <v>11020</v>
          </cell>
          <cell r="H389">
            <v>1602.71</v>
          </cell>
          <cell r="I389">
            <v>14.543647912885662</v>
          </cell>
          <cell r="O389">
            <v>0</v>
          </cell>
          <cell r="P389">
            <v>0</v>
          </cell>
          <cell r="U389">
            <v>1120</v>
          </cell>
          <cell r="V389">
            <v>123.08</v>
          </cell>
          <cell r="AA389">
            <v>0</v>
          </cell>
          <cell r="AB389">
            <v>0</v>
          </cell>
          <cell r="AG389">
            <v>1130</v>
          </cell>
          <cell r="AH389">
            <v>129.38</v>
          </cell>
          <cell r="AM389">
            <v>5</v>
          </cell>
          <cell r="AN389">
            <v>5</v>
          </cell>
          <cell r="AS389">
            <v>605</v>
          </cell>
          <cell r="AT389">
            <v>65</v>
          </cell>
          <cell r="AX389">
            <v>0</v>
          </cell>
          <cell r="AY389">
            <v>2860</v>
          </cell>
          <cell r="AZ389">
            <v>322.45999999999998</v>
          </cell>
          <cell r="BA389">
            <v>11.274825174825175</v>
          </cell>
          <cell r="BG389">
            <v>35</v>
          </cell>
          <cell r="BH389">
            <v>29</v>
          </cell>
          <cell r="BM389">
            <v>1005</v>
          </cell>
          <cell r="BN389">
            <v>117</v>
          </cell>
          <cell r="BS389">
            <v>1405</v>
          </cell>
          <cell r="BT389">
            <v>187</v>
          </cell>
          <cell r="BY389">
            <v>1530</v>
          </cell>
          <cell r="BZ389">
            <v>193.5</v>
          </cell>
          <cell r="CE389">
            <v>1655</v>
          </cell>
          <cell r="CF389">
            <v>387</v>
          </cell>
          <cell r="CK389">
            <v>2530</v>
          </cell>
          <cell r="CL389">
            <v>366.75</v>
          </cell>
          <cell r="CP389">
            <v>0</v>
          </cell>
          <cell r="CQ389">
            <v>8160</v>
          </cell>
          <cell r="CR389">
            <v>1280.25</v>
          </cell>
          <cell r="CS389">
            <v>15.689338235294118</v>
          </cell>
          <cell r="CX389">
            <v>0</v>
          </cell>
          <cell r="CY389">
            <v>1120</v>
          </cell>
          <cell r="CZ389">
            <v>123.08</v>
          </cell>
          <cell r="DA389">
            <v>10.989285714285714</v>
          </cell>
          <cell r="DF389">
            <v>0</v>
          </cell>
          <cell r="DG389">
            <v>1740</v>
          </cell>
          <cell r="DH389">
            <v>199.38</v>
          </cell>
          <cell r="DI389">
            <v>11.458620689655172</v>
          </cell>
          <cell r="DN389">
            <v>0</v>
          </cell>
          <cell r="DO389">
            <v>2445</v>
          </cell>
          <cell r="DP389">
            <v>333</v>
          </cell>
          <cell r="DQ389">
            <v>13.61963190184049</v>
          </cell>
          <cell r="DV389">
            <v>0</v>
          </cell>
          <cell r="DW389">
            <v>5715</v>
          </cell>
          <cell r="DX389">
            <v>947.25</v>
          </cell>
          <cell r="DY389">
            <v>16.5748031496063</v>
          </cell>
        </row>
        <row r="390">
          <cell r="F390">
            <v>0</v>
          </cell>
          <cell r="G390">
            <v>15280</v>
          </cell>
          <cell r="H390">
            <v>2678.79</v>
          </cell>
          <cell r="I390">
            <v>17.531348167539267</v>
          </cell>
          <cell r="O390">
            <v>8</v>
          </cell>
          <cell r="P390">
            <v>6.8</v>
          </cell>
          <cell r="U390">
            <v>10</v>
          </cell>
          <cell r="V390">
            <v>8.8000000000000007</v>
          </cell>
          <cell r="AA390">
            <v>715</v>
          </cell>
          <cell r="AB390">
            <v>83.8</v>
          </cell>
          <cell r="AG390">
            <v>1658</v>
          </cell>
          <cell r="AH390">
            <v>299</v>
          </cell>
          <cell r="AM390">
            <v>16</v>
          </cell>
          <cell r="AN390">
            <v>14.5</v>
          </cell>
          <cell r="AS390">
            <v>3016</v>
          </cell>
          <cell r="AT390">
            <v>504.2</v>
          </cell>
          <cell r="AX390">
            <v>0</v>
          </cell>
          <cell r="AY390">
            <v>5423</v>
          </cell>
          <cell r="AZ390">
            <v>917.09999999999991</v>
          </cell>
          <cell r="BA390">
            <v>16.91130370643555</v>
          </cell>
          <cell r="BG390">
            <v>517</v>
          </cell>
          <cell r="BH390">
            <v>97</v>
          </cell>
          <cell r="BM390">
            <v>2566</v>
          </cell>
          <cell r="BN390">
            <v>494.2</v>
          </cell>
          <cell r="BS390">
            <v>973</v>
          </cell>
          <cell r="BT390">
            <v>207.09</v>
          </cell>
          <cell r="BY390">
            <v>2916</v>
          </cell>
          <cell r="BZ390">
            <v>421.2</v>
          </cell>
          <cell r="CE390">
            <v>468</v>
          </cell>
          <cell r="CF390">
            <v>122</v>
          </cell>
          <cell r="CK390">
            <v>2417</v>
          </cell>
          <cell r="CL390">
            <v>420.2</v>
          </cell>
          <cell r="CP390">
            <v>0</v>
          </cell>
          <cell r="CQ390">
            <v>9857</v>
          </cell>
          <cell r="CR390">
            <v>1761.69</v>
          </cell>
          <cell r="CS390">
            <v>17.872476412701634</v>
          </cell>
          <cell r="CX390">
            <v>0</v>
          </cell>
          <cell r="CY390">
            <v>733</v>
          </cell>
          <cell r="CZ390">
            <v>99.4</v>
          </cell>
          <cell r="DA390">
            <v>13.560709413369715</v>
          </cell>
          <cell r="DF390">
            <v>0</v>
          </cell>
          <cell r="DG390">
            <v>4690</v>
          </cell>
          <cell r="DH390">
            <v>817.7</v>
          </cell>
          <cell r="DI390">
            <v>17.434968017057571</v>
          </cell>
          <cell r="DN390">
            <v>0</v>
          </cell>
          <cell r="DO390">
            <v>4056</v>
          </cell>
          <cell r="DP390">
            <v>798.29000000000008</v>
          </cell>
          <cell r="DQ390">
            <v>19.681706114398423</v>
          </cell>
          <cell r="DV390">
            <v>0</v>
          </cell>
          <cell r="DW390">
            <v>5801</v>
          </cell>
          <cell r="DX390">
            <v>963.40000000000009</v>
          </cell>
          <cell r="DY390">
            <v>16.607481468712294</v>
          </cell>
        </row>
        <row r="391">
          <cell r="F391">
            <v>0</v>
          </cell>
          <cell r="G391">
            <v>1000</v>
          </cell>
          <cell r="H391">
            <v>100</v>
          </cell>
          <cell r="I391">
            <v>10</v>
          </cell>
          <cell r="O391">
            <v>0</v>
          </cell>
          <cell r="P391">
            <v>0</v>
          </cell>
          <cell r="U391">
            <v>0</v>
          </cell>
          <cell r="V391">
            <v>0</v>
          </cell>
          <cell r="AA391">
            <v>0</v>
          </cell>
          <cell r="AB391">
            <v>0</v>
          </cell>
          <cell r="AG391">
            <v>0</v>
          </cell>
          <cell r="AH391">
            <v>0</v>
          </cell>
          <cell r="AM391">
            <v>0</v>
          </cell>
          <cell r="AN391">
            <v>0</v>
          </cell>
          <cell r="AS391">
            <v>0</v>
          </cell>
          <cell r="AT391">
            <v>0</v>
          </cell>
          <cell r="AX391">
            <v>0</v>
          </cell>
          <cell r="AY391">
            <v>0</v>
          </cell>
          <cell r="AZ391">
            <v>0</v>
          </cell>
          <cell r="BA391">
            <v>0</v>
          </cell>
          <cell r="BG391">
            <v>0</v>
          </cell>
          <cell r="BH391">
            <v>0</v>
          </cell>
          <cell r="BM391">
            <v>0</v>
          </cell>
          <cell r="BN391">
            <v>0</v>
          </cell>
          <cell r="BS391">
            <v>0</v>
          </cell>
          <cell r="BT391">
            <v>0</v>
          </cell>
          <cell r="BY391">
            <v>0</v>
          </cell>
          <cell r="BZ391">
            <v>0</v>
          </cell>
          <cell r="CE391">
            <v>0</v>
          </cell>
          <cell r="CF391">
            <v>0</v>
          </cell>
          <cell r="CK391">
            <v>1000</v>
          </cell>
          <cell r="CL391">
            <v>100</v>
          </cell>
          <cell r="CP391">
            <v>0</v>
          </cell>
          <cell r="CQ391">
            <v>1000</v>
          </cell>
          <cell r="CR391">
            <v>100</v>
          </cell>
          <cell r="CS391">
            <v>10</v>
          </cell>
          <cell r="CX391">
            <v>0</v>
          </cell>
          <cell r="CY391">
            <v>0</v>
          </cell>
          <cell r="CZ391">
            <v>0</v>
          </cell>
          <cell r="DA391">
            <v>0</v>
          </cell>
          <cell r="DF391">
            <v>0</v>
          </cell>
          <cell r="DG391">
            <v>0</v>
          </cell>
          <cell r="DH391">
            <v>0</v>
          </cell>
          <cell r="DI391">
            <v>0</v>
          </cell>
          <cell r="DN391">
            <v>0</v>
          </cell>
          <cell r="DO391">
            <v>0</v>
          </cell>
          <cell r="DP391">
            <v>0</v>
          </cell>
          <cell r="DQ391">
            <v>0</v>
          </cell>
          <cell r="DV391">
            <v>0</v>
          </cell>
          <cell r="DW391">
            <v>1000</v>
          </cell>
          <cell r="DX391">
            <v>100</v>
          </cell>
          <cell r="DY391">
            <v>10</v>
          </cell>
        </row>
        <row r="392">
          <cell r="F392">
            <v>0</v>
          </cell>
          <cell r="G392">
            <v>9000</v>
          </cell>
          <cell r="H392">
            <v>1198.9009999999998</v>
          </cell>
          <cell r="I392">
            <v>13.32112222222222</v>
          </cell>
          <cell r="O392">
            <v>0</v>
          </cell>
          <cell r="P392">
            <v>0</v>
          </cell>
          <cell r="U392">
            <v>0</v>
          </cell>
          <cell r="V392">
            <v>0</v>
          </cell>
          <cell r="AA392">
            <v>0</v>
          </cell>
          <cell r="AB392">
            <v>0</v>
          </cell>
          <cell r="AG392">
            <v>0</v>
          </cell>
          <cell r="AH392">
            <v>0</v>
          </cell>
          <cell r="AM392">
            <v>5178</v>
          </cell>
          <cell r="AN392">
            <v>678.31799999999998</v>
          </cell>
          <cell r="AS392">
            <v>0</v>
          </cell>
          <cell r="AT392">
            <v>0</v>
          </cell>
          <cell r="AX392">
            <v>0</v>
          </cell>
          <cell r="AY392">
            <v>5178</v>
          </cell>
          <cell r="AZ392">
            <v>678.31799999999998</v>
          </cell>
          <cell r="BA392">
            <v>13.100000000000001</v>
          </cell>
          <cell r="BG392">
            <v>0</v>
          </cell>
          <cell r="BH392">
            <v>0</v>
          </cell>
          <cell r="BM392">
            <v>0</v>
          </cell>
          <cell r="BN392">
            <v>0</v>
          </cell>
          <cell r="BS392">
            <v>0</v>
          </cell>
          <cell r="BT392">
            <v>0</v>
          </cell>
          <cell r="BY392">
            <v>0</v>
          </cell>
          <cell r="BZ392">
            <v>0</v>
          </cell>
          <cell r="CE392">
            <v>1200</v>
          </cell>
          <cell r="CF392">
            <v>149</v>
          </cell>
          <cell r="CK392">
            <v>2622</v>
          </cell>
          <cell r="CL392">
            <v>371.58299999999997</v>
          </cell>
          <cell r="CP392">
            <v>0</v>
          </cell>
          <cell r="CQ392">
            <v>3822</v>
          </cell>
          <cell r="CR392">
            <v>520.58299999999997</v>
          </cell>
          <cell r="CS392">
            <v>13.620695970695969</v>
          </cell>
          <cell r="CX392">
            <v>0</v>
          </cell>
          <cell r="CY392">
            <v>0</v>
          </cell>
          <cell r="CZ392">
            <v>0</v>
          </cell>
          <cell r="DA392">
            <v>0</v>
          </cell>
          <cell r="DF392">
            <v>0</v>
          </cell>
          <cell r="DG392">
            <v>5178</v>
          </cell>
          <cell r="DH392">
            <v>678.31799999999998</v>
          </cell>
          <cell r="DI392">
            <v>13.100000000000001</v>
          </cell>
          <cell r="DN392">
            <v>0</v>
          </cell>
          <cell r="DO392">
            <v>0</v>
          </cell>
          <cell r="DP392">
            <v>0</v>
          </cell>
          <cell r="DQ392">
            <v>0</v>
          </cell>
          <cell r="DV392">
            <v>0</v>
          </cell>
          <cell r="DW392">
            <v>3822</v>
          </cell>
          <cell r="DX392">
            <v>520.58299999999997</v>
          </cell>
          <cell r="DY392">
            <v>13.620695970695969</v>
          </cell>
        </row>
        <row r="393">
          <cell r="F393">
            <v>0</v>
          </cell>
          <cell r="G393">
            <v>74000</v>
          </cell>
          <cell r="H393">
            <v>11645.426000000001</v>
          </cell>
          <cell r="I393">
            <v>15.737062162162163</v>
          </cell>
          <cell r="N393">
            <v>0</v>
          </cell>
          <cell r="O393">
            <v>27</v>
          </cell>
          <cell r="P393">
            <v>13.978</v>
          </cell>
          <cell r="T393">
            <v>0</v>
          </cell>
          <cell r="U393">
            <v>1942</v>
          </cell>
          <cell r="V393">
            <v>284.27300000000002</v>
          </cell>
          <cell r="Z393">
            <v>0</v>
          </cell>
          <cell r="AA393">
            <v>3607</v>
          </cell>
          <cell r="AB393">
            <v>344.80200000000002</v>
          </cell>
          <cell r="AF393">
            <v>0</v>
          </cell>
          <cell r="AG393">
            <v>5019</v>
          </cell>
          <cell r="AH393">
            <v>853.39300000000003</v>
          </cell>
          <cell r="AL393">
            <v>0</v>
          </cell>
          <cell r="AM393">
            <v>7404</v>
          </cell>
          <cell r="AN393">
            <v>1083.519</v>
          </cell>
          <cell r="AR393">
            <v>0</v>
          </cell>
          <cell r="AS393">
            <v>9490</v>
          </cell>
          <cell r="AT393">
            <v>1192.127</v>
          </cell>
          <cell r="AX393">
            <v>0</v>
          </cell>
          <cell r="AY393">
            <v>27489</v>
          </cell>
          <cell r="AZ393">
            <v>3772.0919999999996</v>
          </cell>
          <cell r="BA393">
            <v>13.722187056640836</v>
          </cell>
          <cell r="BF393">
            <v>0</v>
          </cell>
          <cell r="BG393">
            <v>1875</v>
          </cell>
          <cell r="BH393">
            <v>359.90100000000001</v>
          </cell>
          <cell r="BL393">
            <v>0</v>
          </cell>
          <cell r="BM393">
            <v>6363</v>
          </cell>
          <cell r="BN393">
            <v>1232.24</v>
          </cell>
          <cell r="BR393">
            <v>0</v>
          </cell>
          <cell r="BS393">
            <v>6420</v>
          </cell>
          <cell r="BT393">
            <v>1054.6299999999999</v>
          </cell>
          <cell r="BX393">
            <v>0</v>
          </cell>
          <cell r="BY393">
            <v>8793</v>
          </cell>
          <cell r="BZ393">
            <v>1212.95</v>
          </cell>
          <cell r="CD393">
            <v>0</v>
          </cell>
          <cell r="CE393">
            <v>8296</v>
          </cell>
          <cell r="CF393">
            <v>1728.5900000000001</v>
          </cell>
          <cell r="CJ393">
            <v>0</v>
          </cell>
          <cell r="CK393">
            <v>14764</v>
          </cell>
          <cell r="CL393">
            <v>2285.0230000000001</v>
          </cell>
          <cell r="CP393">
            <v>0</v>
          </cell>
          <cell r="CQ393">
            <v>46511</v>
          </cell>
          <cell r="CR393">
            <v>7873.3339999999998</v>
          </cell>
          <cell r="CS393">
            <v>111.23868471921998</v>
          </cell>
          <cell r="CX393">
            <v>0</v>
          </cell>
          <cell r="CY393">
            <v>5576</v>
          </cell>
          <cell r="CZ393">
            <v>643.053</v>
          </cell>
          <cell r="DA393">
            <v>11.532514347202296</v>
          </cell>
          <cell r="DF393">
            <v>0</v>
          </cell>
          <cell r="DG393">
            <v>21913</v>
          </cell>
          <cell r="DH393">
            <v>3129.0389999999998</v>
          </cell>
          <cell r="DI393">
            <v>14.279372974946378</v>
          </cell>
          <cell r="DN393">
            <v>0</v>
          </cell>
          <cell r="DO393">
            <v>14658</v>
          </cell>
          <cell r="DP393">
            <v>2646.7710000000002</v>
          </cell>
          <cell r="DQ393">
            <v>18.056835857552191</v>
          </cell>
          <cell r="DV393">
            <v>0</v>
          </cell>
          <cell r="DW393">
            <v>31853</v>
          </cell>
          <cell r="DX393">
            <v>5226.5629999999992</v>
          </cell>
          <cell r="DY393">
            <v>16.408385395410164</v>
          </cell>
        </row>
        <row r="394">
          <cell r="F394">
            <v>0</v>
          </cell>
          <cell r="G394">
            <v>0</v>
          </cell>
          <cell r="H394">
            <v>0</v>
          </cell>
          <cell r="I394">
            <v>0</v>
          </cell>
          <cell r="O394">
            <v>0</v>
          </cell>
          <cell r="P394">
            <v>0</v>
          </cell>
          <cell r="U394">
            <v>0</v>
          </cell>
          <cell r="V394">
            <v>0</v>
          </cell>
          <cell r="AA394">
            <v>0</v>
          </cell>
          <cell r="AB394">
            <v>0</v>
          </cell>
          <cell r="AG394">
            <v>0</v>
          </cell>
          <cell r="AH394">
            <v>0</v>
          </cell>
          <cell r="AS394">
            <v>0</v>
          </cell>
          <cell r="AT394">
            <v>0</v>
          </cell>
          <cell r="AX394">
            <v>0</v>
          </cell>
          <cell r="AY394">
            <v>0</v>
          </cell>
          <cell r="AZ394">
            <v>0</v>
          </cell>
          <cell r="BA394">
            <v>0</v>
          </cell>
          <cell r="CP394">
            <v>0</v>
          </cell>
          <cell r="CQ394">
            <v>0</v>
          </cell>
          <cell r="CR394">
            <v>0</v>
          </cell>
          <cell r="CS394">
            <v>0</v>
          </cell>
          <cell r="CX394">
            <v>0</v>
          </cell>
          <cell r="CY394">
            <v>0</v>
          </cell>
          <cell r="CZ394">
            <v>0</v>
          </cell>
          <cell r="DA394">
            <v>0</v>
          </cell>
          <cell r="DF394">
            <v>0</v>
          </cell>
          <cell r="DG394">
            <v>0</v>
          </cell>
          <cell r="DH394">
            <v>0</v>
          </cell>
          <cell r="DI394">
            <v>0</v>
          </cell>
          <cell r="DN394">
            <v>0</v>
          </cell>
          <cell r="DO394">
            <v>0</v>
          </cell>
          <cell r="DP394">
            <v>0</v>
          </cell>
          <cell r="DQ394">
            <v>0</v>
          </cell>
          <cell r="DV394">
            <v>0</v>
          </cell>
          <cell r="DW394">
            <v>0</v>
          </cell>
          <cell r="DX394">
            <v>0</v>
          </cell>
          <cell r="DY394">
            <v>0</v>
          </cell>
        </row>
        <row r="395">
          <cell r="F395">
            <v>0</v>
          </cell>
          <cell r="G395">
            <v>180153</v>
          </cell>
          <cell r="H395">
            <v>34930.877300000007</v>
          </cell>
          <cell r="I395">
            <v>19.389561816900084</v>
          </cell>
          <cell r="N395">
            <v>0</v>
          </cell>
          <cell r="O395">
            <v>366</v>
          </cell>
          <cell r="P395">
            <v>60.788000000000004</v>
          </cell>
          <cell r="T395">
            <v>0</v>
          </cell>
          <cell r="U395">
            <v>3387</v>
          </cell>
          <cell r="V395">
            <v>491.00700000000006</v>
          </cell>
          <cell r="Z395">
            <v>0</v>
          </cell>
          <cell r="AA395">
            <v>11319</v>
          </cell>
          <cell r="AB395">
            <v>2299.0309999999999</v>
          </cell>
          <cell r="AF395">
            <v>0</v>
          </cell>
          <cell r="AG395">
            <v>9041</v>
          </cell>
          <cell r="AH395">
            <v>1738.636</v>
          </cell>
          <cell r="AL395">
            <v>0</v>
          </cell>
          <cell r="AM395">
            <v>22395</v>
          </cell>
          <cell r="AN395">
            <v>3770.0150000000003</v>
          </cell>
          <cell r="AR395">
            <v>0</v>
          </cell>
          <cell r="AS395">
            <v>18113</v>
          </cell>
          <cell r="AT395">
            <v>3054.5969999999998</v>
          </cell>
          <cell r="AX395">
            <v>0</v>
          </cell>
          <cell r="AY395">
            <v>64621</v>
          </cell>
          <cell r="AZ395">
            <v>11414.074000000001</v>
          </cell>
          <cell r="BA395">
            <v>17.663103325544331</v>
          </cell>
          <cell r="BF395">
            <v>0</v>
          </cell>
          <cell r="BG395">
            <v>5845</v>
          </cell>
          <cell r="BH395">
            <v>1101.796</v>
          </cell>
          <cell r="BL395">
            <v>0</v>
          </cell>
          <cell r="BM395">
            <v>18306</v>
          </cell>
          <cell r="BN395">
            <v>3590.6449999999995</v>
          </cell>
          <cell r="BR395">
            <v>0</v>
          </cell>
          <cell r="BS395">
            <v>13680</v>
          </cell>
          <cell r="BT395">
            <v>2812.24</v>
          </cell>
          <cell r="BX395">
            <v>0</v>
          </cell>
          <cell r="BY395">
            <v>25087</v>
          </cell>
          <cell r="BZ395">
            <v>3887.2059999999992</v>
          </cell>
          <cell r="CD395">
            <v>0</v>
          </cell>
          <cell r="CE395">
            <v>19122</v>
          </cell>
          <cell r="CF395">
            <v>3790.6260000000002</v>
          </cell>
          <cell r="CJ395">
            <v>0</v>
          </cell>
          <cell r="CK395">
            <v>33492</v>
          </cell>
          <cell r="CL395">
            <v>8334.2903000000006</v>
          </cell>
          <cell r="CP395">
            <v>0</v>
          </cell>
          <cell r="CQ395">
            <v>115532</v>
          </cell>
          <cell r="CR395">
            <v>23516.803300000003</v>
          </cell>
          <cell r="CS395">
            <v>20.355229114011706</v>
          </cell>
          <cell r="CX395">
            <v>0</v>
          </cell>
          <cell r="CY395">
            <v>15072</v>
          </cell>
          <cell r="CZ395">
            <v>2850.8259999999996</v>
          </cell>
          <cell r="DA395">
            <v>18.914716029723987</v>
          </cell>
          <cell r="DF395">
            <v>0</v>
          </cell>
          <cell r="DG395">
            <v>49549</v>
          </cell>
          <cell r="DH395">
            <v>8563.2479999999996</v>
          </cell>
          <cell r="DI395">
            <v>17.282383095521602</v>
          </cell>
          <cell r="DN395">
            <v>0</v>
          </cell>
          <cell r="DO395">
            <v>37831</v>
          </cell>
          <cell r="DP395">
            <v>7504.6810000000005</v>
          </cell>
          <cell r="DQ395">
            <v>19.837384684517989</v>
          </cell>
          <cell r="DV395">
            <v>0</v>
          </cell>
          <cell r="DW395">
            <v>77701</v>
          </cell>
          <cell r="DX395">
            <v>16012.122299999999</v>
          </cell>
          <cell r="DY395">
            <v>20.60735679077489</v>
          </cell>
        </row>
        <row r="396">
          <cell r="F396">
            <v>0</v>
          </cell>
          <cell r="G396">
            <v>8133</v>
          </cell>
          <cell r="H396">
            <v>590</v>
          </cell>
          <cell r="I396">
            <v>7.2543956719537688</v>
          </cell>
          <cell r="N396">
            <v>0</v>
          </cell>
          <cell r="O396">
            <v>154</v>
          </cell>
          <cell r="P396">
            <v>8</v>
          </cell>
          <cell r="T396">
            <v>0</v>
          </cell>
          <cell r="U396">
            <v>617</v>
          </cell>
          <cell r="V396">
            <v>31</v>
          </cell>
          <cell r="Z396">
            <v>0</v>
          </cell>
          <cell r="AA396">
            <v>140</v>
          </cell>
          <cell r="AB396">
            <v>44</v>
          </cell>
          <cell r="AF396">
            <v>0</v>
          </cell>
          <cell r="AG396">
            <v>85</v>
          </cell>
          <cell r="AH396">
            <v>25</v>
          </cell>
          <cell r="AL396">
            <v>0</v>
          </cell>
          <cell r="AM396">
            <v>0</v>
          </cell>
          <cell r="AN396">
            <v>0</v>
          </cell>
          <cell r="AR396">
            <v>0</v>
          </cell>
          <cell r="AS396">
            <v>323</v>
          </cell>
          <cell r="AT396">
            <v>16</v>
          </cell>
          <cell r="AX396">
            <v>0</v>
          </cell>
          <cell r="AY396">
            <v>1319</v>
          </cell>
          <cell r="AZ396">
            <v>124</v>
          </cell>
          <cell r="BA396">
            <v>9.4010614101592118</v>
          </cell>
          <cell r="BF396">
            <v>0</v>
          </cell>
          <cell r="BG396">
            <v>246</v>
          </cell>
          <cell r="BH396">
            <v>12</v>
          </cell>
          <cell r="BL396">
            <v>0</v>
          </cell>
          <cell r="BM396">
            <v>0</v>
          </cell>
          <cell r="BN396">
            <v>0</v>
          </cell>
          <cell r="BR396">
            <v>0</v>
          </cell>
          <cell r="BS396">
            <v>0</v>
          </cell>
          <cell r="BT396">
            <v>0</v>
          </cell>
          <cell r="BX396">
            <v>0</v>
          </cell>
          <cell r="BY396">
            <v>3627</v>
          </cell>
          <cell r="BZ396">
            <v>248</v>
          </cell>
          <cell r="CD396">
            <v>0</v>
          </cell>
          <cell r="CE396">
            <v>378</v>
          </cell>
          <cell r="CF396">
            <v>19</v>
          </cell>
          <cell r="CJ396">
            <v>0</v>
          </cell>
          <cell r="CK396">
            <v>2563</v>
          </cell>
          <cell r="CL396">
            <v>187</v>
          </cell>
          <cell r="CP396">
            <v>0</v>
          </cell>
          <cell r="CQ396">
            <v>6814</v>
          </cell>
          <cell r="CR396">
            <v>466</v>
          </cell>
          <cell r="CS396">
            <v>6.8388611681831524</v>
          </cell>
          <cell r="CX396">
            <v>0</v>
          </cell>
          <cell r="CY396">
            <v>911</v>
          </cell>
          <cell r="CZ396">
            <v>83</v>
          </cell>
          <cell r="DA396">
            <v>9.1108671789242592</v>
          </cell>
          <cell r="DF396">
            <v>0</v>
          </cell>
          <cell r="DG396">
            <v>408</v>
          </cell>
          <cell r="DH396">
            <v>41</v>
          </cell>
          <cell r="DI396">
            <v>10.049019607843137</v>
          </cell>
          <cell r="DN396">
            <v>0</v>
          </cell>
          <cell r="DO396">
            <v>246</v>
          </cell>
          <cell r="DP396">
            <v>12</v>
          </cell>
          <cell r="DQ396">
            <v>4.8780487804878048</v>
          </cell>
          <cell r="DV396">
            <v>0</v>
          </cell>
          <cell r="DW396">
            <v>6568</v>
          </cell>
          <cell r="DX396">
            <v>454</v>
          </cell>
          <cell r="DY396">
            <v>6.9123020706455538</v>
          </cell>
        </row>
        <row r="397">
          <cell r="F397">
            <v>0</v>
          </cell>
          <cell r="G397">
            <v>29000</v>
          </cell>
          <cell r="H397">
            <v>2697</v>
          </cell>
          <cell r="I397">
            <v>9.3000000000000007</v>
          </cell>
          <cell r="O397">
            <v>0</v>
          </cell>
          <cell r="P397">
            <v>0</v>
          </cell>
          <cell r="U397">
            <v>0</v>
          </cell>
          <cell r="V397">
            <v>0</v>
          </cell>
          <cell r="AA397">
            <v>0</v>
          </cell>
          <cell r="AB397">
            <v>0</v>
          </cell>
          <cell r="AG397">
            <v>0</v>
          </cell>
          <cell r="AH397">
            <v>0</v>
          </cell>
          <cell r="AS397">
            <v>0</v>
          </cell>
          <cell r="AT397">
            <v>0</v>
          </cell>
          <cell r="AX397">
            <v>0</v>
          </cell>
          <cell r="AY397">
            <v>0</v>
          </cell>
          <cell r="AZ397">
            <v>0</v>
          </cell>
          <cell r="BA397">
            <v>0</v>
          </cell>
          <cell r="BG397">
            <v>0</v>
          </cell>
          <cell r="BH397">
            <v>0</v>
          </cell>
          <cell r="BM397">
            <v>0</v>
          </cell>
          <cell r="BN397">
            <v>0</v>
          </cell>
          <cell r="BS397">
            <v>0</v>
          </cell>
          <cell r="BT397">
            <v>0</v>
          </cell>
          <cell r="BY397">
            <v>21350</v>
          </cell>
          <cell r="BZ397">
            <v>1986</v>
          </cell>
          <cell r="CE397">
            <v>7650</v>
          </cell>
          <cell r="CF397">
            <v>711</v>
          </cell>
          <cell r="CK397">
            <v>0</v>
          </cell>
          <cell r="CL397">
            <v>0</v>
          </cell>
          <cell r="CP397">
            <v>0</v>
          </cell>
          <cell r="CQ397">
            <v>29000</v>
          </cell>
          <cell r="CR397">
            <v>2697</v>
          </cell>
          <cell r="CS397">
            <v>9.3000000000000007</v>
          </cell>
          <cell r="CX397">
            <v>0</v>
          </cell>
          <cell r="CY397">
            <v>0</v>
          </cell>
          <cell r="CZ397">
            <v>0</v>
          </cell>
          <cell r="DA397">
            <v>0</v>
          </cell>
          <cell r="DF397">
            <v>0</v>
          </cell>
          <cell r="DG397">
            <v>0</v>
          </cell>
          <cell r="DH397">
            <v>0</v>
          </cell>
          <cell r="DI397">
            <v>0</v>
          </cell>
          <cell r="DN397">
            <v>0</v>
          </cell>
          <cell r="DO397">
            <v>0</v>
          </cell>
          <cell r="DP397">
            <v>0</v>
          </cell>
          <cell r="DQ397">
            <v>0</v>
          </cell>
          <cell r="DV397">
            <v>0</v>
          </cell>
          <cell r="DW397">
            <v>29000</v>
          </cell>
          <cell r="DX397">
            <v>2697</v>
          </cell>
          <cell r="DY397">
            <v>9.3000000000000007</v>
          </cell>
        </row>
        <row r="398">
          <cell r="F398">
            <v>0</v>
          </cell>
          <cell r="G398">
            <v>9506</v>
          </cell>
          <cell r="H398">
            <v>930</v>
          </cell>
          <cell r="I398">
            <v>9.7832947612034502</v>
          </cell>
          <cell r="O398">
            <v>0</v>
          </cell>
          <cell r="P398">
            <v>0</v>
          </cell>
          <cell r="U398">
            <v>0</v>
          </cell>
          <cell r="V398">
            <v>0</v>
          </cell>
          <cell r="AA398">
            <v>0</v>
          </cell>
          <cell r="AB398">
            <v>0</v>
          </cell>
          <cell r="AG398">
            <v>0</v>
          </cell>
          <cell r="AH398">
            <v>0</v>
          </cell>
          <cell r="AM398">
            <v>506</v>
          </cell>
          <cell r="AN398">
            <v>30</v>
          </cell>
          <cell r="AS398">
            <v>0</v>
          </cell>
          <cell r="AT398">
            <v>0</v>
          </cell>
          <cell r="AX398">
            <v>0</v>
          </cell>
          <cell r="AY398">
            <v>506</v>
          </cell>
          <cell r="AZ398">
            <v>30</v>
          </cell>
          <cell r="BA398">
            <v>5.928853754940711</v>
          </cell>
          <cell r="BM398">
            <v>0</v>
          </cell>
          <cell r="BN398">
            <v>0</v>
          </cell>
          <cell r="BS398">
            <v>0</v>
          </cell>
          <cell r="BT398">
            <v>0</v>
          </cell>
          <cell r="BY398">
            <v>9000</v>
          </cell>
          <cell r="BZ398">
            <v>900</v>
          </cell>
          <cell r="CE398">
            <v>0</v>
          </cell>
          <cell r="CF398">
            <v>0</v>
          </cell>
          <cell r="CK398">
            <v>0</v>
          </cell>
          <cell r="CL398">
            <v>0</v>
          </cell>
          <cell r="CP398">
            <v>0</v>
          </cell>
          <cell r="CQ398">
            <v>9000</v>
          </cell>
          <cell r="CR398">
            <v>900</v>
          </cell>
          <cell r="CS398">
            <v>10</v>
          </cell>
          <cell r="CX398">
            <v>0</v>
          </cell>
          <cell r="CY398">
            <v>0</v>
          </cell>
          <cell r="CZ398">
            <v>0</v>
          </cell>
          <cell r="DA398">
            <v>0</v>
          </cell>
          <cell r="DF398">
            <v>0</v>
          </cell>
          <cell r="DG398">
            <v>506</v>
          </cell>
          <cell r="DH398">
            <v>30</v>
          </cell>
          <cell r="DI398">
            <v>5.928853754940711</v>
          </cell>
          <cell r="DN398">
            <v>0</v>
          </cell>
          <cell r="DO398">
            <v>0</v>
          </cell>
          <cell r="DP398">
            <v>0</v>
          </cell>
          <cell r="DQ398">
            <v>0</v>
          </cell>
          <cell r="DV398">
            <v>0</v>
          </cell>
          <cell r="DW398">
            <v>9000</v>
          </cell>
          <cell r="DX398">
            <v>900</v>
          </cell>
          <cell r="DY398">
            <v>10</v>
          </cell>
        </row>
        <row r="399">
          <cell r="F399">
            <v>0</v>
          </cell>
          <cell r="G399">
            <v>38506</v>
          </cell>
          <cell r="H399">
            <v>3627</v>
          </cell>
          <cell r="I399">
            <v>9.4193112761647537</v>
          </cell>
          <cell r="N399">
            <v>0</v>
          </cell>
          <cell r="O399">
            <v>0</v>
          </cell>
          <cell r="P399">
            <v>0</v>
          </cell>
          <cell r="T399">
            <v>0</v>
          </cell>
          <cell r="U399">
            <v>0</v>
          </cell>
          <cell r="V399">
            <v>0</v>
          </cell>
          <cell r="Z399">
            <v>0</v>
          </cell>
          <cell r="AA399">
            <v>0</v>
          </cell>
          <cell r="AB399">
            <v>0</v>
          </cell>
          <cell r="AF399">
            <v>0</v>
          </cell>
          <cell r="AG399">
            <v>0</v>
          </cell>
          <cell r="AH399">
            <v>0</v>
          </cell>
          <cell r="AL399">
            <v>0</v>
          </cell>
          <cell r="AM399">
            <v>506</v>
          </cell>
          <cell r="AN399">
            <v>30</v>
          </cell>
          <cell r="AR399">
            <v>0</v>
          </cell>
          <cell r="AS399">
            <v>0</v>
          </cell>
          <cell r="AT399">
            <v>0</v>
          </cell>
          <cell r="AX399">
            <v>0</v>
          </cell>
          <cell r="AY399">
            <v>506</v>
          </cell>
          <cell r="AZ399">
            <v>30</v>
          </cell>
          <cell r="BA399">
            <v>5.928853754940711</v>
          </cell>
          <cell r="BF399">
            <v>0</v>
          </cell>
          <cell r="BG399">
            <v>0</v>
          </cell>
          <cell r="BH399">
            <v>0</v>
          </cell>
          <cell r="BL399">
            <v>0</v>
          </cell>
          <cell r="BM399">
            <v>0</v>
          </cell>
          <cell r="BN399">
            <v>0</v>
          </cell>
          <cell r="BR399">
            <v>0</v>
          </cell>
          <cell r="BS399">
            <v>0</v>
          </cell>
          <cell r="BT399">
            <v>0</v>
          </cell>
          <cell r="BX399">
            <v>0</v>
          </cell>
          <cell r="BY399">
            <v>30350</v>
          </cell>
          <cell r="BZ399">
            <v>2886</v>
          </cell>
          <cell r="CD399">
            <v>0</v>
          </cell>
          <cell r="CE399">
            <v>7650</v>
          </cell>
          <cell r="CF399">
            <v>711</v>
          </cell>
          <cell r="CJ399">
            <v>0</v>
          </cell>
          <cell r="CK399">
            <v>0</v>
          </cell>
          <cell r="CL399">
            <v>0</v>
          </cell>
          <cell r="CP399">
            <v>0</v>
          </cell>
          <cell r="CQ399">
            <v>38000</v>
          </cell>
          <cell r="CR399">
            <v>3597</v>
          </cell>
          <cell r="CS399">
            <v>9.465789473684211</v>
          </cell>
          <cell r="CX399">
            <v>0</v>
          </cell>
          <cell r="CY399">
            <v>0</v>
          </cell>
          <cell r="CZ399">
            <v>0</v>
          </cell>
          <cell r="DA399">
            <v>0</v>
          </cell>
          <cell r="DF399">
            <v>0</v>
          </cell>
          <cell r="DG399">
            <v>506</v>
          </cell>
          <cell r="DH399">
            <v>30</v>
          </cell>
          <cell r="DI399">
            <v>5.928853754940711</v>
          </cell>
          <cell r="DN399">
            <v>0</v>
          </cell>
          <cell r="DO399">
            <v>0</v>
          </cell>
          <cell r="DP399">
            <v>0</v>
          </cell>
          <cell r="DQ399">
            <v>0</v>
          </cell>
          <cell r="DV399">
            <v>0</v>
          </cell>
          <cell r="DW399">
            <v>38000</v>
          </cell>
          <cell r="DX399">
            <v>3597</v>
          </cell>
          <cell r="DY399">
            <v>9.465789473684211</v>
          </cell>
        </row>
        <row r="400">
          <cell r="F400">
            <v>0</v>
          </cell>
          <cell r="G400">
            <v>0</v>
          </cell>
          <cell r="H400">
            <v>0</v>
          </cell>
          <cell r="I400">
            <v>0</v>
          </cell>
          <cell r="AX400">
            <v>0</v>
          </cell>
          <cell r="AY400">
            <v>0</v>
          </cell>
          <cell r="AZ400">
            <v>0</v>
          </cell>
          <cell r="BA400">
            <v>0</v>
          </cell>
          <cell r="CP400">
            <v>0</v>
          </cell>
          <cell r="CQ400">
            <v>0</v>
          </cell>
          <cell r="CR400">
            <v>0</v>
          </cell>
          <cell r="CS400">
            <v>0</v>
          </cell>
          <cell r="CX400">
            <v>0</v>
          </cell>
          <cell r="CY400">
            <v>0</v>
          </cell>
          <cell r="CZ400">
            <v>0</v>
          </cell>
          <cell r="DA400">
            <v>0</v>
          </cell>
          <cell r="DF400">
            <v>0</v>
          </cell>
          <cell r="DG400">
            <v>0</v>
          </cell>
          <cell r="DH400">
            <v>0</v>
          </cell>
          <cell r="DI400">
            <v>0</v>
          </cell>
          <cell r="DN400">
            <v>0</v>
          </cell>
          <cell r="DO400">
            <v>0</v>
          </cell>
          <cell r="DP400">
            <v>0</v>
          </cell>
          <cell r="DQ400">
            <v>0</v>
          </cell>
          <cell r="DV400">
            <v>0</v>
          </cell>
          <cell r="DW400">
            <v>0</v>
          </cell>
          <cell r="DX400">
            <v>0</v>
          </cell>
          <cell r="DY400">
            <v>0</v>
          </cell>
        </row>
        <row r="401">
          <cell r="F401">
            <v>0</v>
          </cell>
          <cell r="G401">
            <v>15019</v>
          </cell>
          <cell r="H401">
            <v>4053</v>
          </cell>
          <cell r="I401">
            <v>26.985817963912378</v>
          </cell>
          <cell r="O401">
            <v>447</v>
          </cell>
          <cell r="P401">
            <v>107</v>
          </cell>
          <cell r="U401">
            <v>1359</v>
          </cell>
          <cell r="V401">
            <v>379</v>
          </cell>
          <cell r="AA401">
            <v>916</v>
          </cell>
          <cell r="AB401">
            <v>220</v>
          </cell>
          <cell r="AG401">
            <v>851</v>
          </cell>
          <cell r="AH401">
            <v>195</v>
          </cell>
          <cell r="AM401">
            <v>875</v>
          </cell>
          <cell r="AN401">
            <v>191</v>
          </cell>
          <cell r="AS401">
            <v>1029</v>
          </cell>
          <cell r="AT401">
            <v>239</v>
          </cell>
          <cell r="AX401">
            <v>0</v>
          </cell>
          <cell r="AY401">
            <v>5477</v>
          </cell>
          <cell r="AZ401">
            <v>1331</v>
          </cell>
          <cell r="BA401">
            <v>24.301624977177287</v>
          </cell>
          <cell r="BG401">
            <v>1593</v>
          </cell>
          <cell r="BH401">
            <v>382</v>
          </cell>
          <cell r="BM401">
            <v>785</v>
          </cell>
          <cell r="BN401">
            <v>202</v>
          </cell>
          <cell r="BS401">
            <v>867</v>
          </cell>
          <cell r="BT401">
            <v>224</v>
          </cell>
          <cell r="BY401">
            <v>960</v>
          </cell>
          <cell r="BZ401">
            <v>257</v>
          </cell>
          <cell r="CE401">
            <v>1262</v>
          </cell>
          <cell r="CF401">
            <v>365</v>
          </cell>
          <cell r="CK401">
            <v>4075</v>
          </cell>
          <cell r="CL401">
            <v>1292</v>
          </cell>
          <cell r="CP401">
            <v>0</v>
          </cell>
          <cell r="CQ401">
            <v>9542</v>
          </cell>
          <cell r="CR401">
            <v>2722</v>
          </cell>
          <cell r="CS401">
            <v>28.526514357577028</v>
          </cell>
          <cell r="CX401">
            <v>0</v>
          </cell>
          <cell r="CY401">
            <v>2722</v>
          </cell>
          <cell r="CZ401">
            <v>706</v>
          </cell>
          <cell r="DA401">
            <v>25.936811168258632</v>
          </cell>
          <cell r="DF401">
            <v>0</v>
          </cell>
          <cell r="DG401">
            <v>2755</v>
          </cell>
          <cell r="DH401">
            <v>625</v>
          </cell>
          <cell r="DI401">
            <v>22.686025408348456</v>
          </cell>
          <cell r="DN401">
            <v>0</v>
          </cell>
          <cell r="DO401">
            <v>3245</v>
          </cell>
          <cell r="DP401">
            <v>808</v>
          </cell>
          <cell r="DQ401">
            <v>24.899845916795069</v>
          </cell>
          <cell r="DV401">
            <v>0</v>
          </cell>
          <cell r="DW401">
            <v>6297</v>
          </cell>
          <cell r="DX401">
            <v>1914</v>
          </cell>
          <cell r="DY401">
            <v>30.395426393520726</v>
          </cell>
        </row>
        <row r="402">
          <cell r="F402">
            <v>0</v>
          </cell>
          <cell r="G402">
            <v>8180</v>
          </cell>
          <cell r="H402">
            <v>-236</v>
          </cell>
          <cell r="I402">
            <v>-2.8850855745721269</v>
          </cell>
          <cell r="O402">
            <v>100</v>
          </cell>
          <cell r="P402">
            <v>-51</v>
          </cell>
          <cell r="U402">
            <v>780</v>
          </cell>
          <cell r="V402">
            <v>-380</v>
          </cell>
          <cell r="AA402">
            <v>360</v>
          </cell>
          <cell r="AB402">
            <v>-24</v>
          </cell>
          <cell r="AG402">
            <v>720</v>
          </cell>
          <cell r="AH402">
            <v>-39</v>
          </cell>
          <cell r="AM402">
            <v>720</v>
          </cell>
          <cell r="AN402">
            <v>-36</v>
          </cell>
          <cell r="AS402">
            <v>720</v>
          </cell>
          <cell r="AT402">
            <v>-26</v>
          </cell>
          <cell r="AX402">
            <v>0</v>
          </cell>
          <cell r="AY402">
            <v>3400</v>
          </cell>
          <cell r="AZ402">
            <v>-556</v>
          </cell>
          <cell r="BA402">
            <v>-16.352941176470591</v>
          </cell>
          <cell r="BG402">
            <v>580</v>
          </cell>
          <cell r="BH402">
            <v>-12</v>
          </cell>
          <cell r="BM402">
            <v>580</v>
          </cell>
          <cell r="BN402">
            <v>-4</v>
          </cell>
          <cell r="BS402">
            <v>1230</v>
          </cell>
          <cell r="BT402">
            <v>156</v>
          </cell>
          <cell r="BY402">
            <v>580</v>
          </cell>
          <cell r="BZ402">
            <v>-6</v>
          </cell>
          <cell r="CE402">
            <v>1230</v>
          </cell>
          <cell r="CF402">
            <v>186</v>
          </cell>
          <cell r="CK402">
            <v>580</v>
          </cell>
          <cell r="CL402">
            <v>0</v>
          </cell>
          <cell r="CP402">
            <v>0</v>
          </cell>
          <cell r="CQ402">
            <v>4780</v>
          </cell>
          <cell r="CR402">
            <v>320</v>
          </cell>
          <cell r="CS402">
            <v>6.6945606694560666</v>
          </cell>
          <cell r="CX402">
            <v>0</v>
          </cell>
          <cell r="CY402">
            <v>1240</v>
          </cell>
          <cell r="CZ402">
            <v>-455</v>
          </cell>
          <cell r="DA402">
            <v>-36.693548387096776</v>
          </cell>
          <cell r="DF402">
            <v>0</v>
          </cell>
          <cell r="DG402">
            <v>2160</v>
          </cell>
          <cell r="DH402">
            <v>-101</v>
          </cell>
          <cell r="DI402">
            <v>-4.6759259259259256</v>
          </cell>
          <cell r="DN402">
            <v>0</v>
          </cell>
          <cell r="DO402">
            <v>2390</v>
          </cell>
          <cell r="DP402">
            <v>140</v>
          </cell>
          <cell r="DQ402">
            <v>5.8577405857740583</v>
          </cell>
          <cell r="DV402">
            <v>0</v>
          </cell>
          <cell r="DW402">
            <v>2390</v>
          </cell>
          <cell r="DX402">
            <v>180</v>
          </cell>
          <cell r="DY402">
            <v>7.5313807531380759</v>
          </cell>
        </row>
        <row r="403">
          <cell r="F403">
            <v>0</v>
          </cell>
          <cell r="G403">
            <v>7000</v>
          </cell>
          <cell r="H403">
            <v>2366</v>
          </cell>
          <cell r="I403">
            <v>33.800000000000004</v>
          </cell>
          <cell r="O403">
            <v>358</v>
          </cell>
          <cell r="P403">
            <v>33</v>
          </cell>
          <cell r="U403">
            <v>280</v>
          </cell>
          <cell r="V403">
            <v>83</v>
          </cell>
          <cell r="AA403">
            <v>265</v>
          </cell>
          <cell r="AB403">
            <v>22</v>
          </cell>
          <cell r="AG403">
            <v>388</v>
          </cell>
          <cell r="AH403">
            <v>132</v>
          </cell>
          <cell r="AM403">
            <v>453</v>
          </cell>
          <cell r="AN403">
            <v>90</v>
          </cell>
          <cell r="AS403">
            <v>465</v>
          </cell>
          <cell r="AT403">
            <v>146</v>
          </cell>
          <cell r="AX403">
            <v>0</v>
          </cell>
          <cell r="AY403">
            <v>2209</v>
          </cell>
          <cell r="AZ403">
            <v>506</v>
          </cell>
          <cell r="BA403">
            <v>22.90629244001811</v>
          </cell>
          <cell r="BG403">
            <v>645</v>
          </cell>
          <cell r="BH403">
            <v>222</v>
          </cell>
          <cell r="BM403">
            <v>598</v>
          </cell>
          <cell r="BN403">
            <v>262</v>
          </cell>
          <cell r="BS403">
            <v>785</v>
          </cell>
          <cell r="BT403">
            <v>305</v>
          </cell>
          <cell r="BY403">
            <v>833</v>
          </cell>
          <cell r="BZ403">
            <v>332</v>
          </cell>
          <cell r="CE403">
            <v>1013</v>
          </cell>
          <cell r="CF403">
            <v>423</v>
          </cell>
          <cell r="CK403">
            <v>917</v>
          </cell>
          <cell r="CL403">
            <v>316</v>
          </cell>
          <cell r="CP403">
            <v>0</v>
          </cell>
          <cell r="CQ403">
            <v>4791</v>
          </cell>
          <cell r="CR403">
            <v>1860</v>
          </cell>
          <cell r="CS403">
            <v>38.822792736380713</v>
          </cell>
          <cell r="CX403">
            <v>0</v>
          </cell>
          <cell r="CY403">
            <v>903</v>
          </cell>
          <cell r="CZ403">
            <v>138</v>
          </cell>
          <cell r="DA403">
            <v>15.282392026578073</v>
          </cell>
          <cell r="DF403">
            <v>0</v>
          </cell>
          <cell r="DG403">
            <v>1306</v>
          </cell>
          <cell r="DH403">
            <v>368</v>
          </cell>
          <cell r="DI403">
            <v>28.177641653905056</v>
          </cell>
          <cell r="DN403">
            <v>0</v>
          </cell>
          <cell r="DO403">
            <v>2028</v>
          </cell>
          <cell r="DP403">
            <v>789</v>
          </cell>
          <cell r="DQ403">
            <v>38.905325443786978</v>
          </cell>
          <cell r="DV403">
            <v>0</v>
          </cell>
          <cell r="DW403">
            <v>2763</v>
          </cell>
          <cell r="DX403">
            <v>1071</v>
          </cell>
          <cell r="DY403">
            <v>38.762214983713356</v>
          </cell>
        </row>
        <row r="404">
          <cell r="F404">
            <v>0</v>
          </cell>
          <cell r="G404">
            <v>1820</v>
          </cell>
          <cell r="H404">
            <v>1572</v>
          </cell>
          <cell r="I404">
            <v>86.373626373626379</v>
          </cell>
          <cell r="O404">
            <v>0</v>
          </cell>
          <cell r="P404">
            <v>0</v>
          </cell>
          <cell r="U404">
            <v>0</v>
          </cell>
          <cell r="V404">
            <v>0</v>
          </cell>
          <cell r="AA404">
            <v>0</v>
          </cell>
          <cell r="AB404">
            <v>0</v>
          </cell>
          <cell r="AG404">
            <v>0</v>
          </cell>
          <cell r="AH404">
            <v>0</v>
          </cell>
          <cell r="AM404">
            <v>0</v>
          </cell>
          <cell r="AN404">
            <v>0</v>
          </cell>
          <cell r="AS404">
            <v>0</v>
          </cell>
          <cell r="AT404">
            <v>0</v>
          </cell>
          <cell r="AX404">
            <v>0</v>
          </cell>
          <cell r="AY404">
            <v>0</v>
          </cell>
          <cell r="AZ404">
            <v>0</v>
          </cell>
          <cell r="BA404">
            <v>0</v>
          </cell>
          <cell r="BG404">
            <v>0</v>
          </cell>
          <cell r="BH404">
            <v>0</v>
          </cell>
          <cell r="BM404">
            <v>60</v>
          </cell>
          <cell r="BN404">
            <v>12</v>
          </cell>
          <cell r="BS404">
            <v>60</v>
          </cell>
          <cell r="BT404">
            <v>12</v>
          </cell>
          <cell r="BY404">
            <v>100</v>
          </cell>
          <cell r="BZ404">
            <v>20</v>
          </cell>
          <cell r="CE404">
            <v>1600</v>
          </cell>
          <cell r="CF404">
            <v>1528</v>
          </cell>
          <cell r="CK404">
            <v>0</v>
          </cell>
          <cell r="CL404">
            <v>0</v>
          </cell>
          <cell r="CP404">
            <v>0</v>
          </cell>
          <cell r="CQ404">
            <v>1820</v>
          </cell>
          <cell r="CR404">
            <v>1572</v>
          </cell>
          <cell r="CS404">
            <v>86.373626373626379</v>
          </cell>
          <cell r="CX404">
            <v>0</v>
          </cell>
          <cell r="CY404">
            <v>0</v>
          </cell>
          <cell r="CZ404">
            <v>0</v>
          </cell>
          <cell r="DA404">
            <v>0</v>
          </cell>
          <cell r="DF404">
            <v>0</v>
          </cell>
          <cell r="DG404">
            <v>0</v>
          </cell>
          <cell r="DH404">
            <v>0</v>
          </cell>
          <cell r="DI404">
            <v>0</v>
          </cell>
          <cell r="DN404">
            <v>0</v>
          </cell>
          <cell r="DO404">
            <v>120</v>
          </cell>
          <cell r="DP404">
            <v>24</v>
          </cell>
          <cell r="DQ404">
            <v>20</v>
          </cell>
          <cell r="DV404">
            <v>0</v>
          </cell>
          <cell r="DW404">
            <v>1700</v>
          </cell>
          <cell r="DX404">
            <v>1548</v>
          </cell>
          <cell r="DY404">
            <v>91.058823529411768</v>
          </cell>
        </row>
        <row r="405">
          <cell r="F405">
            <v>0</v>
          </cell>
          <cell r="G405">
            <v>0</v>
          </cell>
          <cell r="H405">
            <v>0</v>
          </cell>
          <cell r="I405">
            <v>0</v>
          </cell>
          <cell r="O405">
            <v>0</v>
          </cell>
          <cell r="P405">
            <v>0</v>
          </cell>
          <cell r="U405">
            <v>0</v>
          </cell>
          <cell r="V405">
            <v>0</v>
          </cell>
          <cell r="AA405">
            <v>0</v>
          </cell>
          <cell r="AB405">
            <v>0</v>
          </cell>
          <cell r="AG405">
            <v>0</v>
          </cell>
          <cell r="AH405">
            <v>0</v>
          </cell>
          <cell r="AM405">
            <v>0</v>
          </cell>
          <cell r="AN405">
            <v>0</v>
          </cell>
          <cell r="AS405">
            <v>0</v>
          </cell>
          <cell r="AT405">
            <v>0</v>
          </cell>
          <cell r="AX405">
            <v>0</v>
          </cell>
          <cell r="AY405">
            <v>0</v>
          </cell>
          <cell r="AZ405">
            <v>0</v>
          </cell>
          <cell r="BA405">
            <v>0</v>
          </cell>
          <cell r="BG405">
            <v>0</v>
          </cell>
          <cell r="BH405">
            <v>0</v>
          </cell>
          <cell r="CK405">
            <v>0</v>
          </cell>
          <cell r="CL405">
            <v>0</v>
          </cell>
          <cell r="CP405">
            <v>0</v>
          </cell>
          <cell r="CQ405">
            <v>0</v>
          </cell>
          <cell r="CR405">
            <v>0</v>
          </cell>
          <cell r="CS405">
            <v>0</v>
          </cell>
          <cell r="CX405">
            <v>0</v>
          </cell>
          <cell r="CY405">
            <v>0</v>
          </cell>
          <cell r="CZ405">
            <v>0</v>
          </cell>
          <cell r="DA405">
            <v>0</v>
          </cell>
          <cell r="DF405">
            <v>0</v>
          </cell>
          <cell r="DG405">
            <v>0</v>
          </cell>
          <cell r="DH405">
            <v>0</v>
          </cell>
          <cell r="DI405">
            <v>0</v>
          </cell>
          <cell r="DN405">
            <v>0</v>
          </cell>
          <cell r="DO405">
            <v>0</v>
          </cell>
          <cell r="DP405">
            <v>0</v>
          </cell>
          <cell r="DQ405">
            <v>0</v>
          </cell>
          <cell r="DV405">
            <v>0</v>
          </cell>
          <cell r="DW405">
            <v>0</v>
          </cell>
          <cell r="DX405">
            <v>0</v>
          </cell>
          <cell r="DY405">
            <v>0</v>
          </cell>
        </row>
        <row r="406">
          <cell r="F406">
            <v>0</v>
          </cell>
          <cell r="G406">
            <v>32019</v>
          </cell>
          <cell r="H406">
            <v>7755</v>
          </cell>
          <cell r="I406">
            <v>24.219994378337862</v>
          </cell>
          <cell r="N406">
            <v>0</v>
          </cell>
          <cell r="O406">
            <v>905</v>
          </cell>
          <cell r="P406">
            <v>89</v>
          </cell>
          <cell r="T406">
            <v>0</v>
          </cell>
          <cell r="U406">
            <v>2419</v>
          </cell>
          <cell r="V406">
            <v>82</v>
          </cell>
          <cell r="Z406">
            <v>0</v>
          </cell>
          <cell r="AA406">
            <v>1541</v>
          </cell>
          <cell r="AB406">
            <v>218</v>
          </cell>
          <cell r="AF406">
            <v>0</v>
          </cell>
          <cell r="AG406">
            <v>1959</v>
          </cell>
          <cell r="AH406">
            <v>288</v>
          </cell>
          <cell r="AL406">
            <v>0</v>
          </cell>
          <cell r="AM406">
            <v>2048</v>
          </cell>
          <cell r="AN406">
            <v>245</v>
          </cell>
          <cell r="AR406">
            <v>0</v>
          </cell>
          <cell r="AS406">
            <v>2214</v>
          </cell>
          <cell r="AT406">
            <v>359</v>
          </cell>
          <cell r="AX406">
            <v>0</v>
          </cell>
          <cell r="AY406">
            <v>11086</v>
          </cell>
          <cell r="AZ406">
            <v>1281</v>
          </cell>
          <cell r="BA406">
            <v>11.555114558903121</v>
          </cell>
          <cell r="BF406">
            <v>0</v>
          </cell>
          <cell r="BG406">
            <v>2818</v>
          </cell>
          <cell r="BH406">
            <v>592</v>
          </cell>
          <cell r="BL406">
            <v>0</v>
          </cell>
          <cell r="BM406">
            <v>2023</v>
          </cell>
          <cell r="BN406">
            <v>472</v>
          </cell>
          <cell r="BR406">
            <v>0</v>
          </cell>
          <cell r="BS406">
            <v>2942</v>
          </cell>
          <cell r="BT406">
            <v>697</v>
          </cell>
          <cell r="BX406">
            <v>0</v>
          </cell>
          <cell r="BY406">
            <v>2473</v>
          </cell>
          <cell r="BZ406">
            <v>603</v>
          </cell>
          <cell r="CD406">
            <v>0</v>
          </cell>
          <cell r="CE406">
            <v>5105</v>
          </cell>
          <cell r="CF406">
            <v>2502</v>
          </cell>
          <cell r="CJ406">
            <v>0</v>
          </cell>
          <cell r="CK406">
            <v>5572</v>
          </cell>
          <cell r="CL406">
            <v>1608</v>
          </cell>
          <cell r="CP406">
            <v>0</v>
          </cell>
          <cell r="CQ406">
            <v>20933</v>
          </cell>
          <cell r="CR406">
            <v>6474</v>
          </cell>
          <cell r="CS406">
            <v>30.927244064395932</v>
          </cell>
          <cell r="CX406">
            <v>0</v>
          </cell>
          <cell r="CY406">
            <v>4865</v>
          </cell>
          <cell r="CZ406">
            <v>389</v>
          </cell>
          <cell r="DA406">
            <v>7.9958890030832483</v>
          </cell>
          <cell r="DF406">
            <v>0</v>
          </cell>
          <cell r="DG406">
            <v>6221</v>
          </cell>
          <cell r="DH406">
            <v>892</v>
          </cell>
          <cell r="DI406">
            <v>14.338530782832343</v>
          </cell>
          <cell r="DN406">
            <v>0</v>
          </cell>
          <cell r="DO406">
            <v>7783</v>
          </cell>
          <cell r="DP406">
            <v>1761</v>
          </cell>
          <cell r="DQ406">
            <v>22.626236669664653</v>
          </cell>
          <cell r="DV406">
            <v>0</v>
          </cell>
          <cell r="DW406">
            <v>13150</v>
          </cell>
          <cell r="DX406">
            <v>4713</v>
          </cell>
          <cell r="DY406">
            <v>35.840304182509506</v>
          </cell>
        </row>
        <row r="407">
          <cell r="F407">
            <v>0</v>
          </cell>
          <cell r="G407">
            <v>0</v>
          </cell>
          <cell r="H407">
            <v>0</v>
          </cell>
          <cell r="I407">
            <v>0</v>
          </cell>
          <cell r="O407">
            <v>0</v>
          </cell>
          <cell r="P407">
            <v>0</v>
          </cell>
          <cell r="U407">
            <v>0</v>
          </cell>
          <cell r="V407">
            <v>0</v>
          </cell>
          <cell r="AA407">
            <v>0</v>
          </cell>
          <cell r="AB407">
            <v>0</v>
          </cell>
          <cell r="AG407">
            <v>0</v>
          </cell>
          <cell r="AH407">
            <v>0</v>
          </cell>
          <cell r="AS407">
            <v>0</v>
          </cell>
          <cell r="AT407">
            <v>0</v>
          </cell>
          <cell r="AX407">
            <v>0</v>
          </cell>
          <cell r="AY407">
            <v>0</v>
          </cell>
          <cell r="AZ407">
            <v>0</v>
          </cell>
          <cell r="BA407">
            <v>0</v>
          </cell>
          <cell r="CP407">
            <v>0</v>
          </cell>
          <cell r="CQ407">
            <v>0</v>
          </cell>
          <cell r="CR407">
            <v>0</v>
          </cell>
          <cell r="CS407">
            <v>0</v>
          </cell>
          <cell r="CX407">
            <v>0</v>
          </cell>
          <cell r="CY407">
            <v>0</v>
          </cell>
          <cell r="CZ407">
            <v>0</v>
          </cell>
          <cell r="DA407">
            <v>0</v>
          </cell>
          <cell r="DF407">
            <v>0</v>
          </cell>
          <cell r="DG407">
            <v>0</v>
          </cell>
          <cell r="DH407">
            <v>0</v>
          </cell>
          <cell r="DI407">
            <v>0</v>
          </cell>
          <cell r="DN407">
            <v>0</v>
          </cell>
          <cell r="DO407">
            <v>0</v>
          </cell>
          <cell r="DP407">
            <v>0</v>
          </cell>
          <cell r="DQ407">
            <v>0</v>
          </cell>
          <cell r="DV407">
            <v>0</v>
          </cell>
          <cell r="DW407">
            <v>0</v>
          </cell>
          <cell r="DX407">
            <v>0</v>
          </cell>
          <cell r="DY407">
            <v>0</v>
          </cell>
        </row>
        <row r="408">
          <cell r="F408">
            <v>0</v>
          </cell>
          <cell r="G408">
            <v>6000</v>
          </cell>
          <cell r="H408">
            <v>970</v>
          </cell>
          <cell r="I408">
            <v>16.166666666666664</v>
          </cell>
          <cell r="O408">
            <v>0</v>
          </cell>
          <cell r="P408">
            <v>0</v>
          </cell>
          <cell r="U408">
            <v>240</v>
          </cell>
          <cell r="V408">
            <v>38</v>
          </cell>
          <cell r="AA408">
            <v>510</v>
          </cell>
          <cell r="AB408">
            <v>82</v>
          </cell>
          <cell r="AG408">
            <v>240</v>
          </cell>
          <cell r="AH408">
            <v>38</v>
          </cell>
          <cell r="AM408">
            <v>500</v>
          </cell>
          <cell r="AN408">
            <v>80</v>
          </cell>
          <cell r="AS408">
            <v>560</v>
          </cell>
          <cell r="AT408">
            <v>90</v>
          </cell>
          <cell r="AX408">
            <v>0</v>
          </cell>
          <cell r="AY408">
            <v>2050</v>
          </cell>
          <cell r="AZ408">
            <v>328</v>
          </cell>
          <cell r="BA408">
            <v>16</v>
          </cell>
          <cell r="BG408">
            <v>500</v>
          </cell>
          <cell r="BH408">
            <v>80</v>
          </cell>
          <cell r="BM408">
            <v>260</v>
          </cell>
          <cell r="BN408">
            <v>42</v>
          </cell>
          <cell r="BS408">
            <v>680</v>
          </cell>
          <cell r="BT408">
            <v>109</v>
          </cell>
          <cell r="BY408">
            <v>1010</v>
          </cell>
          <cell r="BZ408">
            <v>162</v>
          </cell>
          <cell r="CE408">
            <v>680</v>
          </cell>
          <cell r="CF408">
            <v>109</v>
          </cell>
          <cell r="CK408">
            <v>820</v>
          </cell>
          <cell r="CL408">
            <v>140</v>
          </cell>
          <cell r="CP408">
            <v>0</v>
          </cell>
          <cell r="CQ408">
            <v>3950</v>
          </cell>
          <cell r="CR408">
            <v>642</v>
          </cell>
          <cell r="CS408">
            <v>16.253164556962023</v>
          </cell>
          <cell r="CX408">
            <v>0</v>
          </cell>
          <cell r="CY408">
            <v>750</v>
          </cell>
          <cell r="CZ408">
            <v>120</v>
          </cell>
          <cell r="DA408">
            <v>16</v>
          </cell>
          <cell r="DF408">
            <v>0</v>
          </cell>
          <cell r="DG408">
            <v>1300</v>
          </cell>
          <cell r="DH408">
            <v>208</v>
          </cell>
          <cell r="DI408">
            <v>16</v>
          </cell>
          <cell r="DN408">
            <v>0</v>
          </cell>
          <cell r="DO408">
            <v>1440</v>
          </cell>
          <cell r="DP408">
            <v>231</v>
          </cell>
          <cell r="DQ408">
            <v>16.041666666666668</v>
          </cell>
          <cell r="DV408">
            <v>0</v>
          </cell>
          <cell r="DW408">
            <v>2510</v>
          </cell>
          <cell r="DX408">
            <v>411</v>
          </cell>
          <cell r="DY408">
            <v>16.374501992031874</v>
          </cell>
        </row>
        <row r="409">
          <cell r="F409">
            <v>0</v>
          </cell>
          <cell r="G409">
            <v>30047</v>
          </cell>
          <cell r="H409">
            <v>-1325</v>
          </cell>
          <cell r="I409">
            <v>-4.4097580457283589</v>
          </cell>
          <cell r="O409">
            <v>1726</v>
          </cell>
          <cell r="P409">
            <v>-134</v>
          </cell>
          <cell r="U409">
            <v>1983</v>
          </cell>
          <cell r="V409">
            <v>-147</v>
          </cell>
          <cell r="AA409">
            <v>1981</v>
          </cell>
          <cell r="AB409">
            <v>-130</v>
          </cell>
          <cell r="AG409">
            <v>2161</v>
          </cell>
          <cell r="AH409">
            <v>-167</v>
          </cell>
          <cell r="AM409">
            <v>2775</v>
          </cell>
          <cell r="AN409">
            <v>-262</v>
          </cell>
          <cell r="AS409">
            <v>2063</v>
          </cell>
          <cell r="AT409">
            <v>-91</v>
          </cell>
          <cell r="AX409">
            <v>0</v>
          </cell>
          <cell r="AY409">
            <v>12689</v>
          </cell>
          <cell r="AZ409">
            <v>-931</v>
          </cell>
          <cell r="BA409">
            <v>-7.3370635983923087</v>
          </cell>
          <cell r="BG409">
            <v>2156</v>
          </cell>
          <cell r="BH409">
            <v>-150</v>
          </cell>
          <cell r="BM409">
            <v>2786</v>
          </cell>
          <cell r="BN409">
            <v>-17</v>
          </cell>
          <cell r="BS409">
            <v>2969</v>
          </cell>
          <cell r="BT409">
            <v>-106</v>
          </cell>
          <cell r="BY409">
            <v>2483</v>
          </cell>
          <cell r="BZ409">
            <v>24</v>
          </cell>
          <cell r="CE409">
            <v>3670</v>
          </cell>
          <cell r="CF409">
            <v>-81</v>
          </cell>
          <cell r="CK409">
            <v>3294</v>
          </cell>
          <cell r="CL409">
            <v>-64</v>
          </cell>
          <cell r="CP409">
            <v>0</v>
          </cell>
          <cell r="CQ409">
            <v>17358</v>
          </cell>
          <cell r="CR409">
            <v>-394</v>
          </cell>
          <cell r="CS409">
            <v>-2.2698467565387714</v>
          </cell>
          <cell r="CX409">
            <v>0</v>
          </cell>
          <cell r="CY409">
            <v>5690</v>
          </cell>
          <cell r="CZ409">
            <v>-411</v>
          </cell>
          <cell r="DA409">
            <v>-7.2231985940246046</v>
          </cell>
          <cell r="DF409">
            <v>0</v>
          </cell>
          <cell r="DG409">
            <v>6999</v>
          </cell>
          <cell r="DH409">
            <v>-520</v>
          </cell>
          <cell r="DI409">
            <v>-7.429632804686384</v>
          </cell>
          <cell r="DN409">
            <v>0</v>
          </cell>
          <cell r="DO409">
            <v>7911</v>
          </cell>
          <cell r="DP409">
            <v>-273</v>
          </cell>
          <cell r="DQ409">
            <v>-3.4508911642017441</v>
          </cell>
          <cell r="DV409">
            <v>0</v>
          </cell>
          <cell r="DW409">
            <v>9447</v>
          </cell>
          <cell r="DX409">
            <v>-121</v>
          </cell>
          <cell r="DY409">
            <v>-1.2808298930877526</v>
          </cell>
        </row>
        <row r="410">
          <cell r="F410">
            <v>0</v>
          </cell>
          <cell r="G410">
            <v>11978</v>
          </cell>
          <cell r="H410">
            <v>2357</v>
          </cell>
          <cell r="I410">
            <v>19.677742527967943</v>
          </cell>
          <cell r="O410">
            <v>0</v>
          </cell>
          <cell r="P410">
            <v>0</v>
          </cell>
          <cell r="U410">
            <v>0</v>
          </cell>
          <cell r="V410">
            <v>0</v>
          </cell>
          <cell r="AA410">
            <v>0</v>
          </cell>
          <cell r="AB410">
            <v>0</v>
          </cell>
          <cell r="AG410">
            <v>0</v>
          </cell>
          <cell r="AH410">
            <v>0</v>
          </cell>
          <cell r="AM410">
            <v>0</v>
          </cell>
          <cell r="AN410">
            <v>0</v>
          </cell>
          <cell r="AS410">
            <v>1564</v>
          </cell>
          <cell r="AT410">
            <v>516</v>
          </cell>
          <cell r="AX410">
            <v>0</v>
          </cell>
          <cell r="AY410">
            <v>1564</v>
          </cell>
          <cell r="AZ410">
            <v>516</v>
          </cell>
          <cell r="BA410">
            <v>32.992327365728904</v>
          </cell>
          <cell r="BG410">
            <v>3000</v>
          </cell>
          <cell r="BH410">
            <v>683</v>
          </cell>
          <cell r="BM410">
            <v>2800</v>
          </cell>
          <cell r="BN410">
            <v>955</v>
          </cell>
          <cell r="BS410">
            <v>3114</v>
          </cell>
          <cell r="BT410">
            <v>-325</v>
          </cell>
          <cell r="BY410">
            <v>1500</v>
          </cell>
          <cell r="BZ410">
            <v>528</v>
          </cell>
          <cell r="CE410">
            <v>0</v>
          </cell>
          <cell r="CF410">
            <v>0</v>
          </cell>
          <cell r="CK410">
            <v>0</v>
          </cell>
          <cell r="CL410">
            <v>0</v>
          </cell>
          <cell r="CP410">
            <v>0</v>
          </cell>
          <cell r="CQ410">
            <v>10414</v>
          </cell>
          <cell r="CR410">
            <v>1841</v>
          </cell>
          <cell r="CS410">
            <v>17.678125600153638</v>
          </cell>
          <cell r="CX410">
            <v>0</v>
          </cell>
          <cell r="CY410">
            <v>0</v>
          </cell>
          <cell r="CZ410">
            <v>0</v>
          </cell>
          <cell r="DA410">
            <v>0</v>
          </cell>
          <cell r="DF410">
            <v>0</v>
          </cell>
          <cell r="DG410">
            <v>1564</v>
          </cell>
          <cell r="DH410">
            <v>516</v>
          </cell>
          <cell r="DI410">
            <v>32.992327365728904</v>
          </cell>
          <cell r="DN410">
            <v>0</v>
          </cell>
          <cell r="DO410">
            <v>8914</v>
          </cell>
          <cell r="DP410">
            <v>1313</v>
          </cell>
          <cell r="DQ410">
            <v>14.729638770473413</v>
          </cell>
          <cell r="DV410">
            <v>0</v>
          </cell>
          <cell r="DW410">
            <v>1500</v>
          </cell>
          <cell r="DX410">
            <v>528</v>
          </cell>
          <cell r="DY410">
            <v>35.199999999999996</v>
          </cell>
        </row>
        <row r="411">
          <cell r="F411">
            <v>0</v>
          </cell>
          <cell r="G411">
            <v>0</v>
          </cell>
          <cell r="H411">
            <v>0</v>
          </cell>
          <cell r="I411">
            <v>0</v>
          </cell>
          <cell r="AF411">
            <v>0</v>
          </cell>
          <cell r="AG411">
            <v>0</v>
          </cell>
          <cell r="AH411">
            <v>0</v>
          </cell>
          <cell r="AL411">
            <v>0</v>
          </cell>
          <cell r="AR411">
            <v>0</v>
          </cell>
          <cell r="AX411">
            <v>0</v>
          </cell>
          <cell r="BA411">
            <v>0</v>
          </cell>
          <cell r="CP411">
            <v>0</v>
          </cell>
          <cell r="CQ411">
            <v>0</v>
          </cell>
          <cell r="CR411">
            <v>0</v>
          </cell>
          <cell r="CS411">
            <v>0</v>
          </cell>
          <cell r="CX411">
            <v>0</v>
          </cell>
          <cell r="CY411">
            <v>0</v>
          </cell>
          <cell r="CZ411">
            <v>0</v>
          </cell>
          <cell r="DA411">
            <v>0</v>
          </cell>
          <cell r="DF411">
            <v>0</v>
          </cell>
          <cell r="DG411">
            <v>0</v>
          </cell>
          <cell r="DH411">
            <v>0</v>
          </cell>
          <cell r="DI411">
            <v>0</v>
          </cell>
          <cell r="DN411">
            <v>0</v>
          </cell>
          <cell r="DO411">
            <v>0</v>
          </cell>
          <cell r="DP411">
            <v>0</v>
          </cell>
          <cell r="DQ411">
            <v>0</v>
          </cell>
          <cell r="DV411">
            <v>0</v>
          </cell>
          <cell r="DW411">
            <v>0</v>
          </cell>
          <cell r="DX411">
            <v>0</v>
          </cell>
          <cell r="DY411">
            <v>0</v>
          </cell>
        </row>
        <row r="412">
          <cell r="F412">
            <v>0</v>
          </cell>
          <cell r="G412">
            <v>48025</v>
          </cell>
          <cell r="H412">
            <v>2002</v>
          </cell>
          <cell r="I412">
            <v>4.1686621551275378</v>
          </cell>
          <cell r="N412">
            <v>0</v>
          </cell>
          <cell r="O412">
            <v>1726</v>
          </cell>
          <cell r="P412">
            <v>-134</v>
          </cell>
          <cell r="T412">
            <v>0</v>
          </cell>
          <cell r="U412">
            <v>2223</v>
          </cell>
          <cell r="V412">
            <v>-109</v>
          </cell>
          <cell r="Z412">
            <v>0</v>
          </cell>
          <cell r="AA412">
            <v>2491</v>
          </cell>
          <cell r="AB412">
            <v>-48</v>
          </cell>
          <cell r="AF412">
            <v>0</v>
          </cell>
          <cell r="AG412">
            <v>2401</v>
          </cell>
          <cell r="AH412">
            <v>-129</v>
          </cell>
          <cell r="AL412">
            <v>0</v>
          </cell>
          <cell r="AM412">
            <v>3275</v>
          </cell>
          <cell r="AN412">
            <v>-182</v>
          </cell>
          <cell r="AR412">
            <v>0</v>
          </cell>
          <cell r="AS412">
            <v>4187</v>
          </cell>
          <cell r="AT412">
            <v>515</v>
          </cell>
          <cell r="AX412">
            <v>0</v>
          </cell>
          <cell r="AY412">
            <v>16303</v>
          </cell>
          <cell r="AZ412">
            <v>-87</v>
          </cell>
          <cell r="BA412">
            <v>-0.53364411458013861</v>
          </cell>
          <cell r="BF412">
            <v>0</v>
          </cell>
          <cell r="BG412">
            <v>5656</v>
          </cell>
          <cell r="BH412">
            <v>613</v>
          </cell>
          <cell r="BL412">
            <v>0</v>
          </cell>
          <cell r="BM412">
            <v>5846</v>
          </cell>
          <cell r="BN412">
            <v>980</v>
          </cell>
          <cell r="BR412">
            <v>0</v>
          </cell>
          <cell r="BS412">
            <v>6763</v>
          </cell>
          <cell r="BT412">
            <v>-322</v>
          </cell>
          <cell r="BX412">
            <v>0</v>
          </cell>
          <cell r="BY412">
            <v>4993</v>
          </cell>
          <cell r="BZ412">
            <v>714</v>
          </cell>
          <cell r="CD412">
            <v>0</v>
          </cell>
          <cell r="CE412">
            <v>4350</v>
          </cell>
          <cell r="CF412">
            <v>28</v>
          </cell>
          <cell r="CJ412">
            <v>0</v>
          </cell>
          <cell r="CK412">
            <v>4114</v>
          </cell>
          <cell r="CL412">
            <v>76</v>
          </cell>
          <cell r="CP412">
            <v>0</v>
          </cell>
          <cell r="CQ412">
            <v>31722</v>
          </cell>
          <cell r="CR412">
            <v>2089</v>
          </cell>
          <cell r="CS412">
            <v>6.5853350986696926</v>
          </cell>
          <cell r="CX412">
            <v>0</v>
          </cell>
          <cell r="CY412">
            <v>6440</v>
          </cell>
          <cell r="CZ412">
            <v>-291</v>
          </cell>
          <cell r="DA412">
            <v>-4.5186335403726705</v>
          </cell>
          <cell r="DF412">
            <v>0</v>
          </cell>
          <cell r="DG412">
            <v>9863</v>
          </cell>
          <cell r="DH412">
            <v>204</v>
          </cell>
          <cell r="DI412">
            <v>2.0683362060225083</v>
          </cell>
          <cell r="DN412">
            <v>0</v>
          </cell>
          <cell r="DO412">
            <v>18265</v>
          </cell>
          <cell r="DP412">
            <v>1271</v>
          </cell>
          <cell r="DQ412">
            <v>6.9586641116890222</v>
          </cell>
          <cell r="DV412">
            <v>0</v>
          </cell>
          <cell r="DW412">
            <v>13457</v>
          </cell>
          <cell r="DX412">
            <v>818</v>
          </cell>
          <cell r="DY412">
            <v>6.0786207921527824</v>
          </cell>
        </row>
        <row r="413">
          <cell r="F413">
            <v>0</v>
          </cell>
          <cell r="G413">
            <v>0</v>
          </cell>
          <cell r="H413">
            <v>0</v>
          </cell>
          <cell r="I413">
            <v>0</v>
          </cell>
          <cell r="O413">
            <v>0</v>
          </cell>
          <cell r="P413">
            <v>0</v>
          </cell>
          <cell r="U413">
            <v>0</v>
          </cell>
          <cell r="V413">
            <v>0</v>
          </cell>
          <cell r="AA413">
            <v>0</v>
          </cell>
          <cell r="AB413">
            <v>0</v>
          </cell>
          <cell r="AG413">
            <v>0</v>
          </cell>
          <cell r="AH413">
            <v>0</v>
          </cell>
          <cell r="AS413">
            <v>0</v>
          </cell>
          <cell r="AT413">
            <v>0</v>
          </cell>
          <cell r="AX413">
            <v>0</v>
          </cell>
          <cell r="AY413">
            <v>0</v>
          </cell>
          <cell r="AZ413">
            <v>0</v>
          </cell>
          <cell r="BA413">
            <v>0</v>
          </cell>
          <cell r="CP413">
            <v>0</v>
          </cell>
          <cell r="CQ413">
            <v>0</v>
          </cell>
          <cell r="CR413">
            <v>0</v>
          </cell>
          <cell r="CS413">
            <v>0</v>
          </cell>
          <cell r="CX413">
            <v>0</v>
          </cell>
          <cell r="CY413">
            <v>0</v>
          </cell>
          <cell r="CZ413">
            <v>0</v>
          </cell>
          <cell r="DA413">
            <v>0</v>
          </cell>
          <cell r="DF413">
            <v>0</v>
          </cell>
          <cell r="DG413">
            <v>0</v>
          </cell>
          <cell r="DH413">
            <v>0</v>
          </cell>
          <cell r="DI413">
            <v>0</v>
          </cell>
          <cell r="DN413">
            <v>0</v>
          </cell>
          <cell r="DO413">
            <v>0</v>
          </cell>
          <cell r="DP413">
            <v>0</v>
          </cell>
          <cell r="DQ413">
            <v>0</v>
          </cell>
          <cell r="DV413">
            <v>0</v>
          </cell>
          <cell r="DW413">
            <v>0</v>
          </cell>
          <cell r="DX413">
            <v>0</v>
          </cell>
          <cell r="DY413">
            <v>0</v>
          </cell>
        </row>
        <row r="414">
          <cell r="F414">
            <v>0</v>
          </cell>
          <cell r="G414">
            <v>15071</v>
          </cell>
          <cell r="H414">
            <v>-645</v>
          </cell>
          <cell r="I414">
            <v>-4.2797425519209078</v>
          </cell>
          <cell r="O414">
            <v>0</v>
          </cell>
          <cell r="P414">
            <v>0</v>
          </cell>
          <cell r="U414">
            <v>0</v>
          </cell>
          <cell r="V414">
            <v>0</v>
          </cell>
          <cell r="AA414">
            <v>0</v>
          </cell>
          <cell r="AB414">
            <v>0</v>
          </cell>
          <cell r="AG414">
            <v>0</v>
          </cell>
          <cell r="AH414">
            <v>0</v>
          </cell>
          <cell r="AS414">
            <v>4807</v>
          </cell>
          <cell r="AT414">
            <v>-272</v>
          </cell>
          <cell r="AX414">
            <v>0</v>
          </cell>
          <cell r="AY414">
            <v>4807</v>
          </cell>
          <cell r="AZ414">
            <v>-272</v>
          </cell>
          <cell r="BA414">
            <v>-5.6584148117328894</v>
          </cell>
          <cell r="BG414">
            <v>2091</v>
          </cell>
          <cell r="BH414">
            <v>-227</v>
          </cell>
          <cell r="BM414">
            <v>1526</v>
          </cell>
          <cell r="BN414">
            <v>79</v>
          </cell>
          <cell r="BS414">
            <v>814</v>
          </cell>
          <cell r="BT414">
            <v>-146</v>
          </cell>
          <cell r="BY414">
            <v>1372</v>
          </cell>
          <cell r="BZ414">
            <v>-11</v>
          </cell>
          <cell r="CE414">
            <v>908</v>
          </cell>
          <cell r="CF414">
            <v>2</v>
          </cell>
          <cell r="CK414">
            <v>3553</v>
          </cell>
          <cell r="CL414">
            <v>-70</v>
          </cell>
          <cell r="CP414">
            <v>0</v>
          </cell>
          <cell r="CQ414">
            <v>10264</v>
          </cell>
          <cell r="CR414">
            <v>-373</v>
          </cell>
          <cell r="CS414">
            <v>-3.6340607950116914</v>
          </cell>
          <cell r="CX414">
            <v>0</v>
          </cell>
          <cell r="CY414">
            <v>0</v>
          </cell>
          <cell r="CZ414">
            <v>0</v>
          </cell>
          <cell r="DA414">
            <v>0</v>
          </cell>
          <cell r="DF414">
            <v>0</v>
          </cell>
          <cell r="DG414">
            <v>4807</v>
          </cell>
          <cell r="DH414">
            <v>-272</v>
          </cell>
          <cell r="DI414">
            <v>-5.6584148117328894</v>
          </cell>
          <cell r="DN414">
            <v>0</v>
          </cell>
          <cell r="DO414">
            <v>4431</v>
          </cell>
          <cell r="DP414">
            <v>-294</v>
          </cell>
          <cell r="DQ414">
            <v>-6.6350710900473935</v>
          </cell>
          <cell r="DV414">
            <v>0</v>
          </cell>
          <cell r="DW414">
            <v>5833</v>
          </cell>
          <cell r="DX414">
            <v>-79</v>
          </cell>
          <cell r="DY414">
            <v>-1.3543631064632264</v>
          </cell>
        </row>
        <row r="415">
          <cell r="F415">
            <v>0</v>
          </cell>
          <cell r="G415">
            <v>13333</v>
          </cell>
          <cell r="H415">
            <v>0</v>
          </cell>
          <cell r="I415">
            <v>0</v>
          </cell>
          <cell r="O415">
            <v>0</v>
          </cell>
          <cell r="P415">
            <v>0</v>
          </cell>
          <cell r="U415">
            <v>0</v>
          </cell>
          <cell r="V415">
            <v>0</v>
          </cell>
          <cell r="AA415">
            <v>0</v>
          </cell>
          <cell r="AB415">
            <v>0</v>
          </cell>
          <cell r="AX415">
            <v>0</v>
          </cell>
          <cell r="AY415">
            <v>0</v>
          </cell>
          <cell r="AZ415">
            <v>0</v>
          </cell>
          <cell r="BA415">
            <v>0</v>
          </cell>
          <cell r="BM415">
            <v>1636</v>
          </cell>
          <cell r="BS415">
            <v>3614</v>
          </cell>
          <cell r="BY415">
            <v>306</v>
          </cell>
          <cell r="CE415">
            <v>1161</v>
          </cell>
          <cell r="CK415">
            <v>6616</v>
          </cell>
          <cell r="CP415">
            <v>0</v>
          </cell>
          <cell r="CQ415">
            <v>13333</v>
          </cell>
          <cell r="CR415">
            <v>0</v>
          </cell>
          <cell r="CS415">
            <v>0</v>
          </cell>
          <cell r="CX415">
            <v>0</v>
          </cell>
          <cell r="CY415">
            <v>0</v>
          </cell>
          <cell r="CZ415">
            <v>0</v>
          </cell>
          <cell r="DA415">
            <v>0</v>
          </cell>
          <cell r="DF415">
            <v>0</v>
          </cell>
          <cell r="DG415">
            <v>0</v>
          </cell>
          <cell r="DH415">
            <v>0</v>
          </cell>
          <cell r="DI415">
            <v>0</v>
          </cell>
          <cell r="DN415">
            <v>0</v>
          </cell>
          <cell r="DO415">
            <v>5250</v>
          </cell>
          <cell r="DP415">
            <v>0</v>
          </cell>
          <cell r="DQ415">
            <v>0</v>
          </cell>
          <cell r="DV415">
            <v>0</v>
          </cell>
          <cell r="DW415">
            <v>8083</v>
          </cell>
          <cell r="DX415">
            <v>0</v>
          </cell>
          <cell r="DY415">
            <v>0</v>
          </cell>
        </row>
        <row r="416">
          <cell r="F416">
            <v>0</v>
          </cell>
          <cell r="G416">
            <v>28404</v>
          </cell>
          <cell r="H416">
            <v>-645</v>
          </cell>
          <cell r="I416">
            <v>-2.2708069286016057</v>
          </cell>
          <cell r="N416">
            <v>0</v>
          </cell>
          <cell r="O416">
            <v>0</v>
          </cell>
          <cell r="P416">
            <v>0</v>
          </cell>
          <cell r="T416">
            <v>0</v>
          </cell>
          <cell r="U416">
            <v>0</v>
          </cell>
          <cell r="V416">
            <v>0</v>
          </cell>
          <cell r="Z416">
            <v>0</v>
          </cell>
          <cell r="AA416">
            <v>0</v>
          </cell>
          <cell r="AB416">
            <v>0</v>
          </cell>
          <cell r="AF416">
            <v>0</v>
          </cell>
          <cell r="AG416">
            <v>0</v>
          </cell>
          <cell r="AH416">
            <v>0</v>
          </cell>
          <cell r="AL416">
            <v>0</v>
          </cell>
          <cell r="AM416">
            <v>0</v>
          </cell>
          <cell r="AN416">
            <v>0</v>
          </cell>
          <cell r="AR416">
            <v>0</v>
          </cell>
          <cell r="AS416">
            <v>4807</v>
          </cell>
          <cell r="AT416">
            <v>-272</v>
          </cell>
          <cell r="AX416">
            <v>0</v>
          </cell>
          <cell r="AY416">
            <v>4807</v>
          </cell>
          <cell r="AZ416">
            <v>-272</v>
          </cell>
          <cell r="BA416">
            <v>-5.6584148117328894</v>
          </cell>
          <cell r="BF416">
            <v>0</v>
          </cell>
          <cell r="BG416">
            <v>2091</v>
          </cell>
          <cell r="BH416">
            <v>-227</v>
          </cell>
          <cell r="BL416">
            <v>0</v>
          </cell>
          <cell r="BM416">
            <v>3162</v>
          </cell>
          <cell r="BN416">
            <v>79</v>
          </cell>
          <cell r="BR416">
            <v>0</v>
          </cell>
          <cell r="BS416">
            <v>4428</v>
          </cell>
          <cell r="BT416">
            <v>-146</v>
          </cell>
          <cell r="BX416">
            <v>0</v>
          </cell>
          <cell r="BY416">
            <v>1678</v>
          </cell>
          <cell r="BZ416">
            <v>-11</v>
          </cell>
          <cell r="CD416">
            <v>0</v>
          </cell>
          <cell r="CE416">
            <v>2069</v>
          </cell>
          <cell r="CF416">
            <v>2</v>
          </cell>
          <cell r="CJ416">
            <v>0</v>
          </cell>
          <cell r="CK416">
            <v>10169</v>
          </cell>
          <cell r="CL416">
            <v>-70</v>
          </cell>
          <cell r="CP416">
            <v>0</v>
          </cell>
          <cell r="CQ416">
            <v>23597</v>
          </cell>
          <cell r="CR416">
            <v>-373</v>
          </cell>
          <cell r="CS416">
            <v>-1.5807094122134169</v>
          </cell>
          <cell r="CX416">
            <v>0</v>
          </cell>
          <cell r="CY416">
            <v>0</v>
          </cell>
          <cell r="CZ416">
            <v>0</v>
          </cell>
          <cell r="DA416">
            <v>0</v>
          </cell>
          <cell r="DF416">
            <v>0</v>
          </cell>
          <cell r="DG416">
            <v>4807</v>
          </cell>
          <cell r="DH416">
            <v>-272</v>
          </cell>
          <cell r="DI416">
            <v>-5.6584148117328894</v>
          </cell>
          <cell r="DN416">
            <v>0</v>
          </cell>
          <cell r="DO416">
            <v>9681</v>
          </cell>
          <cell r="DP416">
            <v>-294</v>
          </cell>
          <cell r="DQ416">
            <v>-3.0368763557483729</v>
          </cell>
          <cell r="DV416">
            <v>0</v>
          </cell>
          <cell r="DW416">
            <v>13916</v>
          </cell>
          <cell r="DX416">
            <v>-79</v>
          </cell>
          <cell r="DY416">
            <v>-0.56769186547858574</v>
          </cell>
        </row>
        <row r="417">
          <cell r="F417">
            <v>0</v>
          </cell>
          <cell r="G417">
            <v>0</v>
          </cell>
          <cell r="H417">
            <v>0</v>
          </cell>
          <cell r="I417">
            <v>0</v>
          </cell>
          <cell r="O417">
            <v>0</v>
          </cell>
          <cell r="P417">
            <v>0</v>
          </cell>
          <cell r="U417">
            <v>0</v>
          </cell>
          <cell r="V417">
            <v>0</v>
          </cell>
          <cell r="AA417">
            <v>0</v>
          </cell>
          <cell r="AB417">
            <v>0</v>
          </cell>
          <cell r="AG417">
            <v>0</v>
          </cell>
          <cell r="AH417">
            <v>0</v>
          </cell>
          <cell r="AS417">
            <v>0</v>
          </cell>
          <cell r="AT417">
            <v>0</v>
          </cell>
          <cell r="AX417">
            <v>0</v>
          </cell>
          <cell r="AY417">
            <v>0</v>
          </cell>
          <cell r="AZ417">
            <v>0</v>
          </cell>
          <cell r="BA417">
            <v>0</v>
          </cell>
          <cell r="CP417">
            <v>0</v>
          </cell>
          <cell r="CQ417">
            <v>0</v>
          </cell>
          <cell r="CR417">
            <v>0</v>
          </cell>
          <cell r="CS417">
            <v>0</v>
          </cell>
          <cell r="CX417">
            <v>0</v>
          </cell>
          <cell r="CY417">
            <v>0</v>
          </cell>
          <cell r="CZ417">
            <v>0</v>
          </cell>
          <cell r="DA417">
            <v>0</v>
          </cell>
          <cell r="DF417">
            <v>0</v>
          </cell>
          <cell r="DG417">
            <v>0</v>
          </cell>
          <cell r="DH417">
            <v>0</v>
          </cell>
          <cell r="DI417">
            <v>0</v>
          </cell>
          <cell r="DN417">
            <v>0</v>
          </cell>
          <cell r="DO417">
            <v>0</v>
          </cell>
          <cell r="DP417">
            <v>0</v>
          </cell>
          <cell r="DQ417">
            <v>0</v>
          </cell>
          <cell r="DV417">
            <v>0</v>
          </cell>
          <cell r="DW417">
            <v>0</v>
          </cell>
          <cell r="DX417">
            <v>0</v>
          </cell>
          <cell r="DY417">
            <v>0</v>
          </cell>
        </row>
        <row r="418">
          <cell r="F418">
            <v>0</v>
          </cell>
          <cell r="G418">
            <v>108448</v>
          </cell>
          <cell r="H418">
            <v>9112</v>
          </cell>
          <cell r="I418">
            <v>8.402183534966067</v>
          </cell>
          <cell r="N418">
            <v>0</v>
          </cell>
          <cell r="O418">
            <v>2631</v>
          </cell>
          <cell r="P418">
            <v>-45</v>
          </cell>
          <cell r="T418">
            <v>0</v>
          </cell>
          <cell r="U418">
            <v>4642</v>
          </cell>
          <cell r="V418">
            <v>-27</v>
          </cell>
          <cell r="Z418">
            <v>0</v>
          </cell>
          <cell r="AA418">
            <v>4032</v>
          </cell>
          <cell r="AB418">
            <v>170</v>
          </cell>
          <cell r="AF418">
            <v>0</v>
          </cell>
          <cell r="AG418">
            <v>4360</v>
          </cell>
          <cell r="AH418">
            <v>159</v>
          </cell>
          <cell r="AL418">
            <v>0</v>
          </cell>
          <cell r="AM418">
            <v>5323</v>
          </cell>
          <cell r="AN418">
            <v>63</v>
          </cell>
          <cell r="AR418">
            <v>0</v>
          </cell>
          <cell r="AS418">
            <v>11208</v>
          </cell>
          <cell r="AT418">
            <v>602</v>
          </cell>
          <cell r="AX418">
            <v>0</v>
          </cell>
          <cell r="AY418">
            <v>32196</v>
          </cell>
          <cell r="AZ418">
            <v>922</v>
          </cell>
          <cell r="BA418">
            <v>2.8637097776121259</v>
          </cell>
          <cell r="BF418">
            <v>0</v>
          </cell>
          <cell r="BG418">
            <v>10565</v>
          </cell>
          <cell r="BH418">
            <v>978</v>
          </cell>
          <cell r="BL418">
            <v>0</v>
          </cell>
          <cell r="BM418">
            <v>11031</v>
          </cell>
          <cell r="BN418">
            <v>1531</v>
          </cell>
          <cell r="BR418">
            <v>0</v>
          </cell>
          <cell r="BS418">
            <v>14133</v>
          </cell>
          <cell r="BT418">
            <v>229</v>
          </cell>
          <cell r="BX418">
            <v>0</v>
          </cell>
          <cell r="BY418">
            <v>9144</v>
          </cell>
          <cell r="BZ418">
            <v>1306</v>
          </cell>
          <cell r="CD418">
            <v>0</v>
          </cell>
          <cell r="CE418">
            <v>11524</v>
          </cell>
          <cell r="CF418">
            <v>2532</v>
          </cell>
          <cell r="CJ418">
            <v>0</v>
          </cell>
          <cell r="CK418">
            <v>19855</v>
          </cell>
          <cell r="CL418">
            <v>1614</v>
          </cell>
          <cell r="CP418">
            <v>0</v>
          </cell>
          <cell r="CQ418">
            <v>76252</v>
          </cell>
          <cell r="CR418">
            <v>8190</v>
          </cell>
          <cell r="CS418">
            <v>10.740701883229292</v>
          </cell>
          <cell r="CX418">
            <v>0</v>
          </cell>
          <cell r="CY418">
            <v>11305</v>
          </cell>
          <cell r="CZ418">
            <v>98</v>
          </cell>
          <cell r="DA418">
            <v>0.86687306501547989</v>
          </cell>
          <cell r="DF418">
            <v>0</v>
          </cell>
          <cell r="DG418">
            <v>20891</v>
          </cell>
          <cell r="DH418">
            <v>824</v>
          </cell>
          <cell r="DI418">
            <v>3.9442822267962279</v>
          </cell>
          <cell r="DN418">
            <v>0</v>
          </cell>
          <cell r="DO418">
            <v>35729</v>
          </cell>
          <cell r="DP418">
            <v>2738</v>
          </cell>
          <cell r="DQ418">
            <v>7.6632427439894766</v>
          </cell>
          <cell r="DV418">
            <v>0</v>
          </cell>
          <cell r="DW418">
            <v>40523</v>
          </cell>
          <cell r="DX418">
            <v>5452</v>
          </cell>
          <cell r="DY418">
            <v>13.454087801988992</v>
          </cell>
        </row>
        <row r="419">
          <cell r="F419">
            <v>0</v>
          </cell>
          <cell r="G419">
            <v>0</v>
          </cell>
          <cell r="H419">
            <v>0</v>
          </cell>
          <cell r="I419">
            <v>0</v>
          </cell>
          <cell r="N419">
            <v>0</v>
          </cell>
          <cell r="O419">
            <v>0</v>
          </cell>
          <cell r="P419">
            <v>0</v>
          </cell>
          <cell r="T419">
            <v>0</v>
          </cell>
          <cell r="U419">
            <v>0</v>
          </cell>
          <cell r="V419">
            <v>0</v>
          </cell>
          <cell r="Z419">
            <v>0</v>
          </cell>
          <cell r="AA419">
            <v>0</v>
          </cell>
          <cell r="AB419">
            <v>0</v>
          </cell>
          <cell r="AF419">
            <v>0</v>
          </cell>
          <cell r="AG419">
            <v>0</v>
          </cell>
          <cell r="AH419">
            <v>0</v>
          </cell>
          <cell r="AL419">
            <v>0</v>
          </cell>
          <cell r="AM419">
            <v>0</v>
          </cell>
          <cell r="AN419">
            <v>0</v>
          </cell>
          <cell r="AR419">
            <v>0</v>
          </cell>
          <cell r="AS419">
            <v>0</v>
          </cell>
          <cell r="AT419">
            <v>0</v>
          </cell>
          <cell r="AX419">
            <v>0</v>
          </cell>
          <cell r="AY419">
            <v>0</v>
          </cell>
          <cell r="AZ419">
            <v>0</v>
          </cell>
          <cell r="BA419">
            <v>0</v>
          </cell>
          <cell r="BF419">
            <v>0</v>
          </cell>
          <cell r="BG419">
            <v>0</v>
          </cell>
          <cell r="BH419">
            <v>0</v>
          </cell>
          <cell r="BL419">
            <v>0</v>
          </cell>
          <cell r="BM419">
            <v>0</v>
          </cell>
          <cell r="BN419">
            <v>0</v>
          </cell>
          <cell r="BR419">
            <v>0</v>
          </cell>
          <cell r="BS419">
            <v>0</v>
          </cell>
          <cell r="BT419">
            <v>0</v>
          </cell>
          <cell r="BX419">
            <v>0</v>
          </cell>
          <cell r="BY419">
            <v>0</v>
          </cell>
          <cell r="BZ419">
            <v>0</v>
          </cell>
          <cell r="CD419">
            <v>0</v>
          </cell>
          <cell r="CE419">
            <v>0</v>
          </cell>
          <cell r="CF419">
            <v>0</v>
          </cell>
          <cell r="CJ419">
            <v>0</v>
          </cell>
          <cell r="CK419">
            <v>0</v>
          </cell>
          <cell r="CL419">
            <v>0</v>
          </cell>
          <cell r="CP419">
            <v>0</v>
          </cell>
          <cell r="CQ419">
            <v>0</v>
          </cell>
          <cell r="CR419">
            <v>0</v>
          </cell>
          <cell r="CS419">
            <v>0</v>
          </cell>
          <cell r="CX419">
            <v>0</v>
          </cell>
          <cell r="CY419">
            <v>0</v>
          </cell>
          <cell r="CZ419">
            <v>0</v>
          </cell>
          <cell r="DA419">
            <v>0</v>
          </cell>
          <cell r="DF419">
            <v>0</v>
          </cell>
          <cell r="DG419">
            <v>0</v>
          </cell>
          <cell r="DH419">
            <v>0</v>
          </cell>
          <cell r="DI419">
            <v>0</v>
          </cell>
          <cell r="DN419">
            <v>0</v>
          </cell>
          <cell r="DO419">
            <v>0</v>
          </cell>
          <cell r="DP419">
            <v>0</v>
          </cell>
          <cell r="DQ419">
            <v>0</v>
          </cell>
          <cell r="DV419">
            <v>0</v>
          </cell>
          <cell r="DW419">
            <v>0</v>
          </cell>
          <cell r="DX419">
            <v>0</v>
          </cell>
          <cell r="DY419">
            <v>0</v>
          </cell>
        </row>
        <row r="420">
          <cell r="F420">
            <v>0</v>
          </cell>
          <cell r="G420">
            <v>327107</v>
          </cell>
          <cell r="H420">
            <v>47669.877300000007</v>
          </cell>
          <cell r="I420">
            <v>14.573175535833844</v>
          </cell>
          <cell r="N420">
            <v>0</v>
          </cell>
          <cell r="O420">
            <v>2997</v>
          </cell>
          <cell r="P420">
            <v>15.788000000000004</v>
          </cell>
          <cell r="T420">
            <v>0</v>
          </cell>
          <cell r="U420">
            <v>8029</v>
          </cell>
          <cell r="V420">
            <v>464.00700000000006</v>
          </cell>
          <cell r="Z420">
            <v>0</v>
          </cell>
          <cell r="AA420">
            <v>15351</v>
          </cell>
          <cell r="AB420">
            <v>2469.0309999999999</v>
          </cell>
          <cell r="AF420">
            <v>0</v>
          </cell>
          <cell r="AG420">
            <v>13401</v>
          </cell>
          <cell r="AH420">
            <v>1897.636</v>
          </cell>
          <cell r="AL420">
            <v>0</v>
          </cell>
          <cell r="AM420">
            <v>28224</v>
          </cell>
          <cell r="AN420">
            <v>3863.0150000000003</v>
          </cell>
          <cell r="AR420">
            <v>0</v>
          </cell>
          <cell r="AS420">
            <v>29321</v>
          </cell>
          <cell r="AT420">
            <v>3656.5969999999998</v>
          </cell>
          <cell r="AX420">
            <v>0</v>
          </cell>
          <cell r="AY420">
            <v>97323</v>
          </cell>
          <cell r="AZ420">
            <v>12366.074000000001</v>
          </cell>
          <cell r="BA420">
            <v>12.706219495905389</v>
          </cell>
          <cell r="BF420">
            <v>0</v>
          </cell>
          <cell r="BG420">
            <v>16410</v>
          </cell>
          <cell r="BH420">
            <v>2079.7960000000003</v>
          </cell>
          <cell r="BL420">
            <v>0</v>
          </cell>
          <cell r="BM420">
            <v>29337</v>
          </cell>
          <cell r="BN420">
            <v>5121.6449999999995</v>
          </cell>
          <cell r="BR420">
            <v>0</v>
          </cell>
          <cell r="BS420">
            <v>27813</v>
          </cell>
          <cell r="BT420">
            <v>3041.24</v>
          </cell>
          <cell r="BX420">
            <v>0</v>
          </cell>
          <cell r="BY420">
            <v>64581</v>
          </cell>
          <cell r="BZ420">
            <v>8079.2059999999992</v>
          </cell>
          <cell r="CD420">
            <v>0</v>
          </cell>
          <cell r="CE420">
            <v>38296</v>
          </cell>
          <cell r="CF420">
            <v>7033.6260000000002</v>
          </cell>
          <cell r="CJ420">
            <v>0</v>
          </cell>
          <cell r="CK420">
            <v>53347</v>
          </cell>
          <cell r="CL420">
            <v>9948.2903000000006</v>
          </cell>
          <cell r="CP420">
            <v>0</v>
          </cell>
          <cell r="CQ420">
            <v>229784</v>
          </cell>
          <cell r="CR420">
            <v>35303.8033</v>
          </cell>
          <cell r="CS420">
            <v>15.363908409636876</v>
          </cell>
          <cell r="CX420">
            <v>0</v>
          </cell>
          <cell r="CY420">
            <v>26377</v>
          </cell>
          <cell r="CZ420">
            <v>2948.8259999999996</v>
          </cell>
          <cell r="DA420">
            <v>11.179535201122189</v>
          </cell>
          <cell r="DF420">
            <v>0</v>
          </cell>
          <cell r="DG420">
            <v>70946</v>
          </cell>
          <cell r="DH420">
            <v>9417.2479999999996</v>
          </cell>
          <cell r="DI420">
            <v>13.273825162799877</v>
          </cell>
          <cell r="DN420">
            <v>0</v>
          </cell>
          <cell r="DO420">
            <v>73560</v>
          </cell>
          <cell r="DP420">
            <v>10242.681</v>
          </cell>
          <cell r="DQ420">
            <v>13.924253670473083</v>
          </cell>
          <cell r="DV420">
            <v>0</v>
          </cell>
          <cell r="DW420">
            <v>156224</v>
          </cell>
          <cell r="DX420">
            <v>25061.122299999999</v>
          </cell>
          <cell r="DY420">
            <v>16.041787625460877</v>
          </cell>
        </row>
        <row r="421">
          <cell r="F421">
            <v>0</v>
          </cell>
          <cell r="G421">
            <v>308098</v>
          </cell>
          <cell r="H421">
            <v>43804.076300000008</v>
          </cell>
          <cell r="I421">
            <v>14.217578919694384</v>
          </cell>
          <cell r="N421">
            <v>0</v>
          </cell>
          <cell r="O421">
            <v>2639</v>
          </cell>
          <cell r="P421">
            <v>-17.211999999999996</v>
          </cell>
          <cell r="T421">
            <v>0</v>
          </cell>
          <cell r="U421">
            <v>7749</v>
          </cell>
          <cell r="V421">
            <v>381.00700000000006</v>
          </cell>
          <cell r="Z421">
            <v>0</v>
          </cell>
          <cell r="AA421">
            <v>15086</v>
          </cell>
          <cell r="AB421">
            <v>2447.0309999999999</v>
          </cell>
          <cell r="AF421">
            <v>0</v>
          </cell>
          <cell r="AG421">
            <v>13013</v>
          </cell>
          <cell r="AH421">
            <v>1765.636</v>
          </cell>
          <cell r="AL421">
            <v>0</v>
          </cell>
          <cell r="AM421">
            <v>20655</v>
          </cell>
          <cell r="AN421">
            <v>2900.8970000000004</v>
          </cell>
          <cell r="AR421">
            <v>0</v>
          </cell>
          <cell r="AS421">
            <v>28856</v>
          </cell>
          <cell r="AT421">
            <v>3510.5969999999998</v>
          </cell>
          <cell r="AX421">
            <v>0</v>
          </cell>
          <cell r="AY421">
            <v>87998</v>
          </cell>
          <cell r="AZ421">
            <v>10987.956</v>
          </cell>
          <cell r="BA421">
            <v>12.486597422668696</v>
          </cell>
          <cell r="BF421">
            <v>0</v>
          </cell>
          <cell r="BG421">
            <v>15656</v>
          </cell>
          <cell r="BH421">
            <v>1846.8960000000002</v>
          </cell>
          <cell r="BL421">
            <v>0</v>
          </cell>
          <cell r="BM421">
            <v>28739</v>
          </cell>
          <cell r="BN421">
            <v>4859.6449999999995</v>
          </cell>
          <cell r="BR421">
            <v>0</v>
          </cell>
          <cell r="BS421">
            <v>27028</v>
          </cell>
          <cell r="BT421">
            <v>2736.24</v>
          </cell>
          <cell r="BX421">
            <v>0</v>
          </cell>
          <cell r="BY421">
            <v>62786</v>
          </cell>
          <cell r="BZ421">
            <v>7651.0059999999994</v>
          </cell>
          <cell r="CD421">
            <v>0</v>
          </cell>
          <cell r="CE421">
            <v>36083</v>
          </cell>
          <cell r="CF421">
            <v>6461.6260000000002</v>
          </cell>
          <cell r="CJ421">
            <v>0</v>
          </cell>
          <cell r="CK421">
            <v>49808</v>
          </cell>
          <cell r="CL421">
            <v>9260.7073</v>
          </cell>
          <cell r="CP421">
            <v>0</v>
          </cell>
          <cell r="CQ421">
            <v>220100</v>
          </cell>
          <cell r="CR421">
            <v>32816.120300000002</v>
          </cell>
          <cell r="CS421">
            <v>14.909641208541574</v>
          </cell>
          <cell r="CX421">
            <v>0</v>
          </cell>
          <cell r="CY421">
            <v>25474</v>
          </cell>
          <cell r="CZ421">
            <v>2810.8259999999996</v>
          </cell>
          <cell r="DA421">
            <v>11.034097511187877</v>
          </cell>
          <cell r="DF421">
            <v>0</v>
          </cell>
          <cell r="DG421">
            <v>62524</v>
          </cell>
          <cell r="DH421">
            <v>8177.1299999999992</v>
          </cell>
          <cell r="DI421">
            <v>13.078385899814471</v>
          </cell>
          <cell r="DN421">
            <v>0</v>
          </cell>
          <cell r="DO421">
            <v>71423</v>
          </cell>
          <cell r="DP421">
            <v>9442.7810000000009</v>
          </cell>
          <cell r="DQ421">
            <v>13.220924632121307</v>
          </cell>
          <cell r="DV421">
            <v>0</v>
          </cell>
          <cell r="DW421">
            <v>148677</v>
          </cell>
          <cell r="DX421">
            <v>23373.3393</v>
          </cell>
          <cell r="DY421">
            <v>15.720884400411631</v>
          </cell>
        </row>
        <row r="422">
          <cell r="F422">
            <v>0</v>
          </cell>
          <cell r="G422">
            <v>19009</v>
          </cell>
          <cell r="H422">
            <v>3865.8009999999999</v>
          </cell>
          <cell r="I422">
            <v>20.336687884686199</v>
          </cell>
          <cell r="N422">
            <v>0</v>
          </cell>
          <cell r="O422">
            <v>358</v>
          </cell>
          <cell r="P422">
            <v>33</v>
          </cell>
          <cell r="T422">
            <v>0</v>
          </cell>
          <cell r="U422">
            <v>280</v>
          </cell>
          <cell r="V422">
            <v>83</v>
          </cell>
          <cell r="Z422">
            <v>0</v>
          </cell>
          <cell r="AA422">
            <v>265</v>
          </cell>
          <cell r="AB422">
            <v>22</v>
          </cell>
          <cell r="AF422">
            <v>0</v>
          </cell>
          <cell r="AG422">
            <v>388</v>
          </cell>
          <cell r="AH422">
            <v>132</v>
          </cell>
          <cell r="AL422">
            <v>0</v>
          </cell>
          <cell r="AM422">
            <v>7569</v>
          </cell>
          <cell r="AN422">
            <v>962.11799999999994</v>
          </cell>
          <cell r="AR422">
            <v>0</v>
          </cell>
          <cell r="AS422">
            <v>465</v>
          </cell>
          <cell r="AT422">
            <v>146</v>
          </cell>
          <cell r="AX422">
            <v>0</v>
          </cell>
          <cell r="AY422">
            <v>9325</v>
          </cell>
          <cell r="AZ422">
            <v>1378.1179999999999</v>
          </cell>
          <cell r="BA422">
            <v>14.778745308310992</v>
          </cell>
          <cell r="BF422">
            <v>0</v>
          </cell>
          <cell r="BG422">
            <v>754</v>
          </cell>
          <cell r="BH422">
            <v>232.9</v>
          </cell>
          <cell r="BL422">
            <v>0</v>
          </cell>
          <cell r="BM422">
            <v>598</v>
          </cell>
          <cell r="BN422">
            <v>262</v>
          </cell>
          <cell r="BR422">
            <v>0</v>
          </cell>
          <cell r="BS422">
            <v>785</v>
          </cell>
          <cell r="BT422">
            <v>305</v>
          </cell>
          <cell r="BX422">
            <v>0</v>
          </cell>
          <cell r="BY422">
            <v>1795</v>
          </cell>
          <cell r="BZ422">
            <v>428.2</v>
          </cell>
          <cell r="CD422">
            <v>0</v>
          </cell>
          <cell r="CE422">
            <v>2213</v>
          </cell>
          <cell r="CF422">
            <v>572</v>
          </cell>
          <cell r="CJ422">
            <v>0</v>
          </cell>
          <cell r="CK422">
            <v>3539</v>
          </cell>
          <cell r="CL422">
            <v>687.58299999999997</v>
          </cell>
          <cell r="CP422">
            <v>0</v>
          </cell>
          <cell r="CQ422">
            <v>9684</v>
          </cell>
          <cell r="CR422">
            <v>2487.683</v>
          </cell>
          <cell r="CS422">
            <v>25.688589425857085</v>
          </cell>
          <cell r="CX422">
            <v>0</v>
          </cell>
          <cell r="CY422">
            <v>903</v>
          </cell>
          <cell r="CZ422">
            <v>138</v>
          </cell>
          <cell r="DA422">
            <v>15.282392026578073</v>
          </cell>
          <cell r="DF422">
            <v>0</v>
          </cell>
          <cell r="DG422">
            <v>8422</v>
          </cell>
          <cell r="DH422">
            <v>1240.1179999999999</v>
          </cell>
          <cell r="DI422">
            <v>14.724744716219423</v>
          </cell>
          <cell r="DN422">
            <v>0</v>
          </cell>
          <cell r="DO422">
            <v>2137</v>
          </cell>
          <cell r="DP422">
            <v>799.9</v>
          </cell>
          <cell r="DQ422">
            <v>37.430978006551243</v>
          </cell>
          <cell r="DV422">
            <v>0</v>
          </cell>
          <cell r="DW422">
            <v>7547</v>
          </cell>
          <cell r="DX422">
            <v>1687.7829999999999</v>
          </cell>
          <cell r="DY422">
            <v>22.363627931628461</v>
          </cell>
        </row>
        <row r="423">
          <cell r="F423">
            <v>2166225.804</v>
          </cell>
          <cell r="G423">
            <v>811893.20477099996</v>
          </cell>
          <cell r="H423">
            <v>167813.2163</v>
          </cell>
          <cell r="I423">
            <v>20.669370714505842</v>
          </cell>
          <cell r="N423">
            <v>134931</v>
          </cell>
          <cell r="O423">
            <v>32801.335546300004</v>
          </cell>
          <cell r="P423">
            <v>4689.5999999999995</v>
          </cell>
          <cell r="T423">
            <v>157560</v>
          </cell>
          <cell r="U423">
            <v>41240.524354299996</v>
          </cell>
          <cell r="V423">
            <v>7004.7979999999989</v>
          </cell>
          <cell r="Z423">
            <v>165476.80599999998</v>
          </cell>
          <cell r="AA423">
            <v>50161.560858600002</v>
          </cell>
          <cell r="AB423">
            <v>9267.7249999999985</v>
          </cell>
          <cell r="AF423">
            <v>153855.606</v>
          </cell>
          <cell r="AG423">
            <v>48785.013750600003</v>
          </cell>
          <cell r="AH423">
            <v>9594.4369999999999</v>
          </cell>
          <cell r="AL423">
            <v>160442.67200000002</v>
          </cell>
          <cell r="AM423">
            <v>66761.8393966</v>
          </cell>
          <cell r="AN423">
            <v>13347.748</v>
          </cell>
          <cell r="AR423">
            <v>166731</v>
          </cell>
          <cell r="AS423">
            <v>69280.727868599992</v>
          </cell>
          <cell r="AT423">
            <v>13659.340999999999</v>
          </cell>
          <cell r="AX423">
            <v>938997.08400000003</v>
          </cell>
          <cell r="AY423">
            <v>309031.00177500001</v>
          </cell>
          <cell r="AZ423">
            <v>57563.648999999998</v>
          </cell>
          <cell r="BA423">
            <v>18.627143771779593</v>
          </cell>
          <cell r="BF423">
            <v>185655.34400000001</v>
          </cell>
          <cell r="BG423">
            <v>58731.528288500005</v>
          </cell>
          <cell r="BH423">
            <v>12981.128000000001</v>
          </cell>
          <cell r="BL423">
            <v>194538.34400000001</v>
          </cell>
          <cell r="BM423">
            <v>72418.880024500002</v>
          </cell>
          <cell r="BN423">
            <v>16439.25</v>
          </cell>
          <cell r="BR423">
            <v>212228.34400000001</v>
          </cell>
          <cell r="BS423">
            <v>73670.403194699989</v>
          </cell>
          <cell r="BT423">
            <v>14985.242</v>
          </cell>
          <cell r="BX423">
            <v>230038.34400000001</v>
          </cell>
          <cell r="BY423">
            <v>113774.75913749999</v>
          </cell>
          <cell r="BZ423">
            <v>22077.817999999999</v>
          </cell>
          <cell r="CD423">
            <v>205316.34400000001</v>
          </cell>
          <cell r="CE423">
            <v>85027.900867799995</v>
          </cell>
          <cell r="CF423">
            <v>20551.249</v>
          </cell>
          <cell r="CJ423">
            <v>199452</v>
          </cell>
          <cell r="CK423">
            <v>99238.731482999996</v>
          </cell>
          <cell r="CL423">
            <v>23214.880300000001</v>
          </cell>
          <cell r="CP423">
            <v>1227228.72</v>
          </cell>
          <cell r="CQ423">
            <v>502862.20299600001</v>
          </cell>
          <cell r="CR423">
            <v>110249.56730000001</v>
          </cell>
          <cell r="CS423">
            <v>21.92440924037335</v>
          </cell>
          <cell r="CX423">
            <v>457967.80599999998</v>
          </cell>
          <cell r="CY423">
            <v>124203.4207592</v>
          </cell>
          <cell r="CZ423">
            <v>20962.123</v>
          </cell>
          <cell r="DA423">
            <v>16.877250941936953</v>
          </cell>
          <cell r="DF423">
            <v>481029.27799999999</v>
          </cell>
          <cell r="DG423">
            <v>184827.58101579998</v>
          </cell>
          <cell r="DH423">
            <v>36601.525999999998</v>
          </cell>
          <cell r="DI423">
            <v>19.803064996490498</v>
          </cell>
          <cell r="DN423">
            <v>592422.03200000001</v>
          </cell>
          <cell r="DO423">
            <v>204820.81150770001</v>
          </cell>
          <cell r="DP423">
            <v>44405.619999999995</v>
          </cell>
          <cell r="DQ423">
            <v>21.680228524204736</v>
          </cell>
          <cell r="DV423">
            <v>634806.68800000008</v>
          </cell>
          <cell r="DW423">
            <v>298041.3914883</v>
          </cell>
          <cell r="DX423">
            <v>65843.9473</v>
          </cell>
          <cell r="DY423">
            <v>22.092215772850057</v>
          </cell>
        </row>
        <row r="424">
          <cell r="F424">
            <v>481188</v>
          </cell>
          <cell r="G424">
            <v>470556.14500000002</v>
          </cell>
          <cell r="H424">
            <v>120463.57630000002</v>
          </cell>
          <cell r="I424">
            <v>25.600255693186202</v>
          </cell>
          <cell r="N424">
            <v>30912</v>
          </cell>
          <cell r="O424">
            <v>11912.644000000004</v>
          </cell>
          <cell r="P424">
            <v>3689.6479999999992</v>
          </cell>
          <cell r="T424">
            <v>42530</v>
          </cell>
          <cell r="U424">
            <v>19148.126</v>
          </cell>
          <cell r="V424">
            <v>5391.5729999999985</v>
          </cell>
          <cell r="Z424">
            <v>39370</v>
          </cell>
          <cell r="AA424">
            <v>26664.095000000001</v>
          </cell>
          <cell r="AB424">
            <v>7408.1599999999989</v>
          </cell>
          <cell r="AF424">
            <v>42162</v>
          </cell>
          <cell r="AG424">
            <v>25830.780999999999</v>
          </cell>
          <cell r="AH424">
            <v>7671.6419999999998</v>
          </cell>
          <cell r="AL424">
            <v>45870</v>
          </cell>
          <cell r="AM424">
            <v>36145.165000000001</v>
          </cell>
          <cell r="AN424">
            <v>10503.367999999999</v>
          </cell>
          <cell r="AR424">
            <v>42340</v>
          </cell>
          <cell r="AS424">
            <v>43614.914999999994</v>
          </cell>
          <cell r="AT424">
            <v>10728.15</v>
          </cell>
          <cell r="AX424">
            <v>243184</v>
          </cell>
          <cell r="AY424">
            <v>163315.726</v>
          </cell>
          <cell r="AZ424">
            <v>45392.540999999997</v>
          </cell>
          <cell r="BA424">
            <v>27.79434786335273</v>
          </cell>
          <cell r="BF424">
            <v>42452</v>
          </cell>
          <cell r="BG424">
            <v>30891.819</v>
          </cell>
          <cell r="BH424">
            <v>9321.9639999999999</v>
          </cell>
          <cell r="BL424">
            <v>39045</v>
          </cell>
          <cell r="BM424">
            <v>42650.074000000001</v>
          </cell>
          <cell r="BN424">
            <v>11558.276</v>
          </cell>
          <cell r="BR424">
            <v>40563</v>
          </cell>
          <cell r="BS424">
            <v>41481.783999999992</v>
          </cell>
          <cell r="BT424">
            <v>9616.7999999999993</v>
          </cell>
          <cell r="BX424">
            <v>41490</v>
          </cell>
          <cell r="BY424">
            <v>77813.73</v>
          </cell>
          <cell r="BZ424">
            <v>14992.032999999999</v>
          </cell>
          <cell r="CD424">
            <v>38430</v>
          </cell>
          <cell r="CE424">
            <v>50547.245999999992</v>
          </cell>
          <cell r="CF424">
            <v>13451.356</v>
          </cell>
          <cell r="CJ424">
            <v>36024</v>
          </cell>
          <cell r="CK424">
            <v>63855.766000000003</v>
          </cell>
          <cell r="CL424">
            <v>16130.606300000001</v>
          </cell>
          <cell r="CP424">
            <v>238004</v>
          </cell>
          <cell r="CQ424">
            <v>307240.41899999999</v>
          </cell>
          <cell r="CR424">
            <v>75071.035300000018</v>
          </cell>
          <cell r="CS424">
            <v>24.433971137111364</v>
          </cell>
          <cell r="CX424">
            <v>112812</v>
          </cell>
          <cell r="CY424">
            <v>57724.864999999991</v>
          </cell>
          <cell r="CZ424">
            <v>16489.381000000001</v>
          </cell>
          <cell r="DA424">
            <v>28.565473474905488</v>
          </cell>
          <cell r="DF424">
            <v>130372</v>
          </cell>
          <cell r="DG424">
            <v>105590.861</v>
          </cell>
          <cell r="DH424">
            <v>28903.159999999996</v>
          </cell>
          <cell r="DI424">
            <v>27.372785604996626</v>
          </cell>
          <cell r="DN424">
            <v>122060</v>
          </cell>
          <cell r="DO424">
            <v>115023.677</v>
          </cell>
          <cell r="DP424">
            <v>30497.039999999994</v>
          </cell>
          <cell r="DQ424">
            <v>26.51370639107633</v>
          </cell>
          <cell r="DV424">
            <v>115944</v>
          </cell>
          <cell r="DW424">
            <v>192216.742</v>
          </cell>
          <cell r="DX424">
            <v>44573.995299999995</v>
          </cell>
          <cell r="DY424">
            <v>23.189444809131139</v>
          </cell>
        </row>
        <row r="425">
          <cell r="F425">
            <v>1685037.804</v>
          </cell>
          <cell r="G425">
            <v>341337.05977099994</v>
          </cell>
          <cell r="H425">
            <v>47349.639999999992</v>
          </cell>
          <cell r="I425">
            <v>70.611675613972665</v>
          </cell>
          <cell r="N425">
            <v>104019</v>
          </cell>
          <cell r="O425">
            <v>20888.6915463</v>
          </cell>
          <cell r="P425">
            <v>999.95200000000023</v>
          </cell>
          <cell r="T425">
            <v>115030</v>
          </cell>
          <cell r="U425">
            <v>22092.398354299996</v>
          </cell>
          <cell r="V425">
            <v>1613.2250000000004</v>
          </cell>
          <cell r="Z425">
            <v>126106.80599999998</v>
          </cell>
          <cell r="AA425">
            <v>23497.465858600001</v>
          </cell>
          <cell r="AB425">
            <v>1859.5649999999996</v>
          </cell>
          <cell r="AF425">
            <v>111693.606</v>
          </cell>
          <cell r="AG425">
            <v>22954.232750600004</v>
          </cell>
          <cell r="AH425">
            <v>1922.7950000000001</v>
          </cell>
          <cell r="AL425">
            <v>114572.67200000002</v>
          </cell>
          <cell r="AM425">
            <v>30616.674396599999</v>
          </cell>
          <cell r="AN425">
            <v>2844.3800000000006</v>
          </cell>
          <cell r="AR425">
            <v>124391</v>
          </cell>
          <cell r="AS425">
            <v>25665.812868599998</v>
          </cell>
          <cell r="AT425">
            <v>2931.1909999999989</v>
          </cell>
          <cell r="AX425">
            <v>695813.08400000003</v>
          </cell>
          <cell r="AY425">
            <v>145715.27577500002</v>
          </cell>
          <cell r="AZ425">
            <v>12171.107999999998</v>
          </cell>
          <cell r="BA425">
            <v>53.919605862600342</v>
          </cell>
          <cell r="BF425">
            <v>143203.34400000001</v>
          </cell>
          <cell r="BG425">
            <v>27839.709288500006</v>
          </cell>
          <cell r="BH425">
            <v>3659.1640000000002</v>
          </cell>
          <cell r="BL425">
            <v>155493.34400000001</v>
          </cell>
          <cell r="BM425">
            <v>29768.806024500002</v>
          </cell>
          <cell r="BN425">
            <v>4880.9740000000002</v>
          </cell>
          <cell r="BR425">
            <v>171665.34400000001</v>
          </cell>
          <cell r="BS425">
            <v>32188.619194699997</v>
          </cell>
          <cell r="BT425">
            <v>5368.442</v>
          </cell>
          <cell r="BX425">
            <v>188548.34400000001</v>
          </cell>
          <cell r="BY425">
            <v>35961.029137499994</v>
          </cell>
          <cell r="BZ425">
            <v>7085.7850000000008</v>
          </cell>
          <cell r="CD425">
            <v>166886.34400000001</v>
          </cell>
          <cell r="CE425">
            <v>34480.654867800004</v>
          </cell>
          <cell r="CF425">
            <v>7099.8929999999991</v>
          </cell>
          <cell r="CJ425">
            <v>163428</v>
          </cell>
          <cell r="CK425">
            <v>35382.965482999993</v>
          </cell>
          <cell r="CL425">
            <v>7084.2739999999994</v>
          </cell>
          <cell r="CP425">
            <v>989224.72</v>
          </cell>
          <cell r="CQ425">
            <v>195621.78399600001</v>
          </cell>
          <cell r="CR425">
            <v>35178.531999999999</v>
          </cell>
          <cell r="CS425">
            <v>80.025094929028455</v>
          </cell>
          <cell r="CX425">
            <v>345155.80599999998</v>
          </cell>
          <cell r="CY425">
            <v>66478.555759200011</v>
          </cell>
          <cell r="CZ425">
            <v>4472.7420000000002</v>
          </cell>
          <cell r="DA425">
            <v>21.892693608950633</v>
          </cell>
          <cell r="DF425">
            <v>350657.27799999999</v>
          </cell>
          <cell r="DG425">
            <v>79236.720015799976</v>
          </cell>
          <cell r="DH425">
            <v>7698.3660000000036</v>
          </cell>
          <cell r="DI425">
            <v>60.397564741307022</v>
          </cell>
          <cell r="DN425">
            <v>470362.03200000001</v>
          </cell>
          <cell r="DO425">
            <v>89797.134507700015</v>
          </cell>
          <cell r="DP425">
            <v>13908.58</v>
          </cell>
          <cell r="DQ425">
            <v>63.859306604799841</v>
          </cell>
          <cell r="DV425">
            <v>518862.68800000008</v>
          </cell>
          <cell r="DW425">
            <v>105824.6494883</v>
          </cell>
          <cell r="DX425">
            <v>21269.952000000001</v>
          </cell>
          <cell r="DY425">
            <v>82.308264381112167</v>
          </cell>
        </row>
        <row r="426">
          <cell r="F426">
            <v>0</v>
          </cell>
          <cell r="G426">
            <v>48000</v>
          </cell>
          <cell r="H426">
            <v>17555</v>
          </cell>
          <cell r="I426">
            <v>36.572916666666664</v>
          </cell>
          <cell r="O426">
            <v>3664</v>
          </cell>
          <cell r="P426">
            <v>1258</v>
          </cell>
          <cell r="U426">
            <v>3841</v>
          </cell>
          <cell r="V426">
            <v>1328</v>
          </cell>
          <cell r="AA426">
            <v>3934</v>
          </cell>
          <cell r="AB426">
            <v>1375</v>
          </cell>
          <cell r="AG426">
            <v>3781</v>
          </cell>
          <cell r="AH426">
            <v>1265</v>
          </cell>
          <cell r="AM426">
            <v>4619</v>
          </cell>
          <cell r="AN426">
            <v>1829</v>
          </cell>
          <cell r="AS426">
            <v>2978</v>
          </cell>
          <cell r="AT426">
            <v>1061</v>
          </cell>
          <cell r="AX426">
            <v>0</v>
          </cell>
          <cell r="AY426">
            <v>22817</v>
          </cell>
          <cell r="AZ426">
            <v>8116</v>
          </cell>
          <cell r="BA426">
            <v>35.569969759389927</v>
          </cell>
          <cell r="BG426">
            <v>2686</v>
          </cell>
          <cell r="BH426">
            <v>923</v>
          </cell>
          <cell r="BM426">
            <v>3004</v>
          </cell>
          <cell r="BN426">
            <v>1087</v>
          </cell>
          <cell r="BS426">
            <v>4181</v>
          </cell>
          <cell r="BT426">
            <v>1608</v>
          </cell>
          <cell r="BY426">
            <v>5425</v>
          </cell>
          <cell r="BZ426">
            <v>1942</v>
          </cell>
          <cell r="CE426">
            <v>4876</v>
          </cell>
          <cell r="CF426">
            <v>1929</v>
          </cell>
          <cell r="CK426">
            <v>5011</v>
          </cell>
          <cell r="CL426">
            <v>1950</v>
          </cell>
          <cell r="CP426">
            <v>0</v>
          </cell>
          <cell r="CQ426">
            <v>25183</v>
          </cell>
          <cell r="CR426">
            <v>9439</v>
          </cell>
          <cell r="CS426">
            <v>37.481634435929003</v>
          </cell>
          <cell r="CX426">
            <v>0</v>
          </cell>
          <cell r="CY426">
            <v>11439</v>
          </cell>
          <cell r="CZ426">
            <v>3961</v>
          </cell>
          <cell r="DA426">
            <v>34.627152723140135</v>
          </cell>
          <cell r="DF426">
            <v>0</v>
          </cell>
          <cell r="DG426">
            <v>11378</v>
          </cell>
          <cell r="DH426">
            <v>4155</v>
          </cell>
          <cell r="DI426">
            <v>36.517841448409207</v>
          </cell>
          <cell r="DN426">
            <v>0</v>
          </cell>
          <cell r="DO426">
            <v>9871</v>
          </cell>
          <cell r="DP426">
            <v>3618</v>
          </cell>
          <cell r="DQ426">
            <v>36.652821396008513</v>
          </cell>
          <cell r="DV426">
            <v>0</v>
          </cell>
          <cell r="DW426">
            <v>15312</v>
          </cell>
          <cell r="DX426">
            <v>5821</v>
          </cell>
          <cell r="DY426">
            <v>38.015935214211076</v>
          </cell>
        </row>
        <row r="427">
          <cell r="F427">
            <v>0</v>
          </cell>
          <cell r="G427">
            <v>8950</v>
          </cell>
          <cell r="H427">
            <v>570</v>
          </cell>
          <cell r="I427">
            <v>6.3687150837988833</v>
          </cell>
          <cell r="O427">
            <v>459</v>
          </cell>
          <cell r="P427">
            <v>-5</v>
          </cell>
          <cell r="U427">
            <v>460</v>
          </cell>
          <cell r="AA427">
            <v>555</v>
          </cell>
          <cell r="AB427">
            <v>-6</v>
          </cell>
          <cell r="AG427">
            <v>569</v>
          </cell>
          <cell r="AH427">
            <v>17</v>
          </cell>
          <cell r="AM427">
            <v>600</v>
          </cell>
          <cell r="AN427">
            <v>27</v>
          </cell>
          <cell r="AS427">
            <v>1138</v>
          </cell>
          <cell r="AT427">
            <v>156</v>
          </cell>
          <cell r="AX427">
            <v>0</v>
          </cell>
          <cell r="AY427">
            <v>3781</v>
          </cell>
          <cell r="AZ427">
            <v>189</v>
          </cell>
          <cell r="BA427">
            <v>4.9986775985189098</v>
          </cell>
          <cell r="BG427">
            <v>913</v>
          </cell>
          <cell r="BH427">
            <v>57</v>
          </cell>
          <cell r="BM427">
            <v>760</v>
          </cell>
          <cell r="BN427">
            <v>46</v>
          </cell>
          <cell r="BS427">
            <v>578</v>
          </cell>
          <cell r="BT427">
            <v>1</v>
          </cell>
          <cell r="BY427">
            <v>845</v>
          </cell>
          <cell r="BZ427">
            <v>53</v>
          </cell>
          <cell r="CE427">
            <v>849</v>
          </cell>
          <cell r="CF427">
            <v>60</v>
          </cell>
          <cell r="CK427">
            <v>1224</v>
          </cell>
          <cell r="CL427">
            <v>164</v>
          </cell>
          <cell r="CP427">
            <v>0</v>
          </cell>
          <cell r="CQ427">
            <v>5169</v>
          </cell>
          <cell r="CR427">
            <v>381</v>
          </cell>
          <cell r="CS427">
            <v>7.3708647707486943</v>
          </cell>
          <cell r="CX427">
            <v>0</v>
          </cell>
          <cell r="CY427">
            <v>1474</v>
          </cell>
          <cell r="CZ427">
            <v>-11</v>
          </cell>
          <cell r="DA427">
            <v>-0.74626865671641784</v>
          </cell>
          <cell r="DF427">
            <v>0</v>
          </cell>
          <cell r="DG427">
            <v>2307</v>
          </cell>
          <cell r="DH427">
            <v>200</v>
          </cell>
          <cell r="DI427">
            <v>8.6692674469007365</v>
          </cell>
          <cell r="DN427">
            <v>0</v>
          </cell>
          <cell r="DO427">
            <v>2251</v>
          </cell>
          <cell r="DP427">
            <v>104</v>
          </cell>
          <cell r="DQ427">
            <v>4.6201688138605066</v>
          </cell>
          <cell r="DV427">
            <v>0</v>
          </cell>
          <cell r="DW427">
            <v>2918</v>
          </cell>
          <cell r="DX427">
            <v>277</v>
          </cell>
          <cell r="DY427">
            <v>9.4928032899246055</v>
          </cell>
        </row>
        <row r="428">
          <cell r="F428">
            <v>0</v>
          </cell>
          <cell r="G428">
            <v>56950</v>
          </cell>
          <cell r="H428">
            <v>18125</v>
          </cell>
          <cell r="I428">
            <v>31.826163301141353</v>
          </cell>
          <cell r="N428">
            <v>0</v>
          </cell>
          <cell r="O428">
            <v>4123</v>
          </cell>
          <cell r="P428">
            <v>1253</v>
          </cell>
          <cell r="T428">
            <v>0</v>
          </cell>
          <cell r="U428">
            <v>4301</v>
          </cell>
          <cell r="V428">
            <v>1328</v>
          </cell>
          <cell r="Z428">
            <v>0</v>
          </cell>
          <cell r="AA428">
            <v>4489</v>
          </cell>
          <cell r="AB428">
            <v>1369</v>
          </cell>
          <cell r="AF428">
            <v>0</v>
          </cell>
          <cell r="AG428">
            <v>4350</v>
          </cell>
          <cell r="AH428">
            <v>1282</v>
          </cell>
          <cell r="AL428">
            <v>0</v>
          </cell>
          <cell r="AM428">
            <v>5219</v>
          </cell>
          <cell r="AN428">
            <v>1856</v>
          </cell>
          <cell r="AR428">
            <v>0</v>
          </cell>
          <cell r="AS428">
            <v>4116</v>
          </cell>
          <cell r="AT428">
            <v>1217</v>
          </cell>
          <cell r="AX428">
            <v>0</v>
          </cell>
          <cell r="AY428">
            <v>26598</v>
          </cell>
          <cell r="AZ428">
            <v>8305</v>
          </cell>
          <cell r="BA428">
            <v>31.224152191894127</v>
          </cell>
          <cell r="BF428">
            <v>0</v>
          </cell>
          <cell r="BG428">
            <v>3599</v>
          </cell>
          <cell r="BH428">
            <v>980</v>
          </cell>
          <cell r="BL428">
            <v>0</v>
          </cell>
          <cell r="BM428">
            <v>3764</v>
          </cell>
          <cell r="BN428">
            <v>1133</v>
          </cell>
          <cell r="BR428">
            <v>0</v>
          </cell>
          <cell r="BS428">
            <v>4759</v>
          </cell>
          <cell r="BT428">
            <v>1609</v>
          </cell>
          <cell r="BX428">
            <v>0</v>
          </cell>
          <cell r="BY428">
            <v>6270</v>
          </cell>
          <cell r="BZ428">
            <v>1995</v>
          </cell>
          <cell r="CD428">
            <v>0</v>
          </cell>
          <cell r="CE428">
            <v>5725</v>
          </cell>
          <cell r="CF428">
            <v>1989</v>
          </cell>
          <cell r="CJ428">
            <v>0</v>
          </cell>
          <cell r="CK428">
            <v>6235</v>
          </cell>
          <cell r="CL428">
            <v>2114</v>
          </cell>
          <cell r="CP428">
            <v>0</v>
          </cell>
          <cell r="CQ428">
            <v>30352</v>
          </cell>
          <cell r="CR428">
            <v>9820</v>
          </cell>
          <cell r="CS428">
            <v>32.353716394306801</v>
          </cell>
          <cell r="CX428">
            <v>0</v>
          </cell>
          <cell r="CY428">
            <v>12913</v>
          </cell>
          <cell r="CZ428">
            <v>3950</v>
          </cell>
          <cell r="DA428">
            <v>30.589328583597926</v>
          </cell>
          <cell r="DF428">
            <v>0</v>
          </cell>
          <cell r="DG428">
            <v>13685</v>
          </cell>
          <cell r="DH428">
            <v>4355</v>
          </cell>
          <cell r="DI428">
            <v>31.823164048227987</v>
          </cell>
          <cell r="DN428">
            <v>0</v>
          </cell>
          <cell r="DO428">
            <v>12122</v>
          </cell>
          <cell r="DP428">
            <v>3722</v>
          </cell>
          <cell r="DQ428">
            <v>30.704504207226531</v>
          </cell>
          <cell r="DV428">
            <v>0</v>
          </cell>
          <cell r="DW428">
            <v>18230</v>
          </cell>
          <cell r="DX428">
            <v>6098</v>
          </cell>
          <cell r="DY428">
            <v>33.450356555128906</v>
          </cell>
        </row>
        <row r="429">
          <cell r="F429">
            <v>0</v>
          </cell>
          <cell r="G429">
            <v>57000</v>
          </cell>
          <cell r="H429">
            <v>0</v>
          </cell>
          <cell r="I429">
            <v>0</v>
          </cell>
          <cell r="U429">
            <v>7000</v>
          </cell>
          <cell r="AA429">
            <v>3300</v>
          </cell>
          <cell r="AG429">
            <v>200</v>
          </cell>
          <cell r="AS429">
            <v>22000</v>
          </cell>
          <cell r="AX429">
            <v>0</v>
          </cell>
          <cell r="AY429">
            <v>32500</v>
          </cell>
          <cell r="AZ429">
            <v>0</v>
          </cell>
          <cell r="BA429">
            <v>0</v>
          </cell>
          <cell r="BG429">
            <v>500</v>
          </cell>
          <cell r="BS429">
            <v>20000</v>
          </cell>
          <cell r="CE429">
            <v>4000</v>
          </cell>
          <cell r="CP429">
            <v>0</v>
          </cell>
          <cell r="CQ429">
            <v>24500</v>
          </cell>
          <cell r="CR429">
            <v>0</v>
          </cell>
          <cell r="CS429">
            <v>0</v>
          </cell>
          <cell r="CX429">
            <v>0</v>
          </cell>
          <cell r="CY429">
            <v>10300</v>
          </cell>
          <cell r="CZ429">
            <v>0</v>
          </cell>
          <cell r="DA429">
            <v>0</v>
          </cell>
          <cell r="DF429">
            <v>0</v>
          </cell>
          <cell r="DG429">
            <v>22200</v>
          </cell>
          <cell r="DH429">
            <v>0</v>
          </cell>
          <cell r="DI429">
            <v>0</v>
          </cell>
          <cell r="DN429">
            <v>0</v>
          </cell>
          <cell r="DO429">
            <v>20500</v>
          </cell>
          <cell r="DP429">
            <v>0</v>
          </cell>
          <cell r="DQ429">
            <v>0</v>
          </cell>
          <cell r="DV429">
            <v>0</v>
          </cell>
          <cell r="DW429">
            <v>4000</v>
          </cell>
          <cell r="DX429">
            <v>0</v>
          </cell>
          <cell r="DY429">
            <v>0</v>
          </cell>
        </row>
        <row r="430">
          <cell r="F430">
            <v>0</v>
          </cell>
          <cell r="G430">
            <v>4000</v>
          </cell>
          <cell r="H430">
            <v>0</v>
          </cell>
          <cell r="I430">
            <v>0</v>
          </cell>
          <cell r="AX430">
            <v>0</v>
          </cell>
          <cell r="AY430">
            <v>0</v>
          </cell>
          <cell r="AZ430">
            <v>0</v>
          </cell>
          <cell r="BA430">
            <v>0</v>
          </cell>
          <cell r="BS430">
            <v>2000</v>
          </cell>
          <cell r="CK430">
            <v>2000</v>
          </cell>
          <cell r="CP430">
            <v>0</v>
          </cell>
          <cell r="CQ430">
            <v>4000</v>
          </cell>
          <cell r="CR430">
            <v>0</v>
          </cell>
          <cell r="CS430">
            <v>0</v>
          </cell>
          <cell r="CX430">
            <v>0</v>
          </cell>
          <cell r="CY430">
            <v>0</v>
          </cell>
          <cell r="CZ430">
            <v>0</v>
          </cell>
          <cell r="DA430">
            <v>0</v>
          </cell>
          <cell r="DF430">
            <v>0</v>
          </cell>
          <cell r="DG430">
            <v>0</v>
          </cell>
          <cell r="DH430">
            <v>0</v>
          </cell>
          <cell r="DI430">
            <v>0</v>
          </cell>
          <cell r="DN430">
            <v>0</v>
          </cell>
          <cell r="DO430">
            <v>2000</v>
          </cell>
          <cell r="DP430">
            <v>0</v>
          </cell>
          <cell r="DQ430">
            <v>0</v>
          </cell>
          <cell r="DV430">
            <v>0</v>
          </cell>
          <cell r="DW430">
            <v>2000</v>
          </cell>
          <cell r="DX430">
            <v>0</v>
          </cell>
          <cell r="DY430">
            <v>0</v>
          </cell>
        </row>
        <row r="431">
          <cell r="F431">
            <v>0</v>
          </cell>
          <cell r="G431">
            <v>6000</v>
          </cell>
          <cell r="H431">
            <v>0</v>
          </cell>
          <cell r="I431">
            <v>0</v>
          </cell>
          <cell r="AA431">
            <v>700</v>
          </cell>
          <cell r="AG431">
            <v>150</v>
          </cell>
          <cell r="AM431">
            <v>850</v>
          </cell>
          <cell r="AS431">
            <v>400</v>
          </cell>
          <cell r="AX431">
            <v>0</v>
          </cell>
          <cell r="AY431">
            <v>2100</v>
          </cell>
          <cell r="AZ431">
            <v>0</v>
          </cell>
          <cell r="BA431">
            <v>0</v>
          </cell>
          <cell r="BG431">
            <v>100</v>
          </cell>
          <cell r="BM431">
            <v>500</v>
          </cell>
          <cell r="BS431">
            <v>1500</v>
          </cell>
          <cell r="BY431">
            <v>100</v>
          </cell>
          <cell r="CK431">
            <v>1700</v>
          </cell>
          <cell r="CP431">
            <v>0</v>
          </cell>
          <cell r="CQ431">
            <v>3900</v>
          </cell>
          <cell r="CR431">
            <v>0</v>
          </cell>
          <cell r="CS431">
            <v>0</v>
          </cell>
          <cell r="CX431">
            <v>0</v>
          </cell>
          <cell r="CY431">
            <v>700</v>
          </cell>
          <cell r="CZ431">
            <v>0</v>
          </cell>
          <cell r="DA431">
            <v>0</v>
          </cell>
          <cell r="DF431">
            <v>0</v>
          </cell>
          <cell r="DG431">
            <v>1400</v>
          </cell>
          <cell r="DH431">
            <v>0</v>
          </cell>
          <cell r="DI431">
            <v>0</v>
          </cell>
          <cell r="DN431">
            <v>0</v>
          </cell>
          <cell r="DO431">
            <v>2100</v>
          </cell>
          <cell r="DP431">
            <v>0</v>
          </cell>
          <cell r="DQ431">
            <v>0</v>
          </cell>
          <cell r="DV431">
            <v>0</v>
          </cell>
          <cell r="DW431">
            <v>1800</v>
          </cell>
          <cell r="DX431">
            <v>0</v>
          </cell>
          <cell r="DY431">
            <v>0</v>
          </cell>
        </row>
        <row r="432">
          <cell r="F432">
            <v>0</v>
          </cell>
          <cell r="G432">
            <v>0</v>
          </cell>
          <cell r="H432">
            <v>0</v>
          </cell>
          <cell r="I432">
            <v>0</v>
          </cell>
          <cell r="AA432">
            <v>0</v>
          </cell>
          <cell r="AB432">
            <v>0</v>
          </cell>
          <cell r="AG432">
            <v>0</v>
          </cell>
          <cell r="AH432">
            <v>0</v>
          </cell>
          <cell r="AM432">
            <v>0</v>
          </cell>
          <cell r="AN432">
            <v>0</v>
          </cell>
          <cell r="AX432">
            <v>0</v>
          </cell>
          <cell r="AY432">
            <v>0</v>
          </cell>
          <cell r="AZ432">
            <v>0</v>
          </cell>
          <cell r="BA432">
            <v>0</v>
          </cell>
          <cell r="BM432">
            <v>0</v>
          </cell>
          <cell r="BN432">
            <v>0</v>
          </cell>
          <cell r="BS432">
            <v>0</v>
          </cell>
          <cell r="BT432">
            <v>0</v>
          </cell>
          <cell r="CP432">
            <v>0</v>
          </cell>
          <cell r="CQ432">
            <v>0</v>
          </cell>
          <cell r="CR432">
            <v>0</v>
          </cell>
          <cell r="CS432">
            <v>0</v>
          </cell>
          <cell r="CX432">
            <v>0</v>
          </cell>
          <cell r="CY432">
            <v>0</v>
          </cell>
          <cell r="CZ432">
            <v>0</v>
          </cell>
          <cell r="DA432">
            <v>0</v>
          </cell>
          <cell r="DF432">
            <v>0</v>
          </cell>
          <cell r="DG432">
            <v>0</v>
          </cell>
          <cell r="DH432">
            <v>0</v>
          </cell>
          <cell r="DI432">
            <v>0</v>
          </cell>
          <cell r="DN432">
            <v>0</v>
          </cell>
          <cell r="DO432">
            <v>0</v>
          </cell>
          <cell r="DP432">
            <v>0</v>
          </cell>
          <cell r="DQ432">
            <v>0</v>
          </cell>
          <cell r="DV432">
            <v>0</v>
          </cell>
          <cell r="DW432">
            <v>0</v>
          </cell>
          <cell r="DX432">
            <v>0</v>
          </cell>
          <cell r="DY432">
            <v>0</v>
          </cell>
        </row>
        <row r="433">
          <cell r="F433">
            <v>0</v>
          </cell>
          <cell r="G433">
            <v>5192</v>
          </cell>
          <cell r="H433">
            <v>0</v>
          </cell>
          <cell r="I433">
            <v>0</v>
          </cell>
          <cell r="U433">
            <v>136</v>
          </cell>
          <cell r="AA433">
            <v>4309</v>
          </cell>
          <cell r="AM433">
            <v>187</v>
          </cell>
          <cell r="AX433">
            <v>0</v>
          </cell>
          <cell r="AY433">
            <v>4632</v>
          </cell>
          <cell r="AZ433">
            <v>0</v>
          </cell>
          <cell r="BA433">
            <v>0</v>
          </cell>
          <cell r="BG433">
            <v>467</v>
          </cell>
          <cell r="BS433">
            <v>93</v>
          </cell>
          <cell r="CP433">
            <v>0</v>
          </cell>
          <cell r="CQ433">
            <v>560</v>
          </cell>
          <cell r="CR433">
            <v>0</v>
          </cell>
          <cell r="CS433">
            <v>0</v>
          </cell>
          <cell r="CX433">
            <v>0</v>
          </cell>
          <cell r="CY433">
            <v>4445</v>
          </cell>
          <cell r="CZ433">
            <v>0</v>
          </cell>
          <cell r="DA433">
            <v>0</v>
          </cell>
          <cell r="DF433">
            <v>0</v>
          </cell>
          <cell r="DG433">
            <v>187</v>
          </cell>
          <cell r="DH433">
            <v>0</v>
          </cell>
          <cell r="DI433">
            <v>0</v>
          </cell>
          <cell r="DN433">
            <v>0</v>
          </cell>
          <cell r="DO433">
            <v>560</v>
          </cell>
          <cell r="DP433">
            <v>0</v>
          </cell>
          <cell r="DQ433">
            <v>0</v>
          </cell>
          <cell r="DV433">
            <v>0</v>
          </cell>
          <cell r="DW433">
            <v>0</v>
          </cell>
          <cell r="DX433">
            <v>0</v>
          </cell>
          <cell r="DY433">
            <v>0</v>
          </cell>
        </row>
        <row r="434">
          <cell r="F434">
            <v>0</v>
          </cell>
          <cell r="G434">
            <v>8500</v>
          </cell>
          <cell r="H434">
            <v>0</v>
          </cell>
          <cell r="I434">
            <v>0</v>
          </cell>
          <cell r="U434">
            <v>1100</v>
          </cell>
          <cell r="AA434">
            <v>1100</v>
          </cell>
          <cell r="AG434">
            <v>1450</v>
          </cell>
          <cell r="AM434">
            <v>500</v>
          </cell>
          <cell r="AS434">
            <v>1300</v>
          </cell>
          <cell r="AX434">
            <v>0</v>
          </cell>
          <cell r="AY434">
            <v>5450</v>
          </cell>
          <cell r="AZ434">
            <v>0</v>
          </cell>
          <cell r="BA434">
            <v>0</v>
          </cell>
          <cell r="BG434">
            <v>550</v>
          </cell>
          <cell r="BM434">
            <v>550</v>
          </cell>
          <cell r="BS434">
            <v>700</v>
          </cell>
          <cell r="BY434">
            <v>750</v>
          </cell>
          <cell r="CE434">
            <v>500</v>
          </cell>
          <cell r="CP434">
            <v>0</v>
          </cell>
          <cell r="CQ434">
            <v>3050</v>
          </cell>
          <cell r="CR434">
            <v>0</v>
          </cell>
          <cell r="CS434">
            <v>0</v>
          </cell>
          <cell r="CX434">
            <v>0</v>
          </cell>
          <cell r="CY434">
            <v>2200</v>
          </cell>
          <cell r="CZ434">
            <v>0</v>
          </cell>
          <cell r="DA434">
            <v>0</v>
          </cell>
          <cell r="DF434">
            <v>0</v>
          </cell>
          <cell r="DG434">
            <v>3250</v>
          </cell>
          <cell r="DH434">
            <v>0</v>
          </cell>
          <cell r="DI434">
            <v>0</v>
          </cell>
          <cell r="DN434">
            <v>0</v>
          </cell>
          <cell r="DO434">
            <v>1800</v>
          </cell>
          <cell r="DP434">
            <v>0</v>
          </cell>
          <cell r="DQ434">
            <v>0</v>
          </cell>
          <cell r="DV434">
            <v>0</v>
          </cell>
          <cell r="DW434">
            <v>1250</v>
          </cell>
          <cell r="DX434">
            <v>0</v>
          </cell>
          <cell r="DY434">
            <v>0</v>
          </cell>
        </row>
        <row r="435">
          <cell r="F435">
            <v>0</v>
          </cell>
          <cell r="G435">
            <v>8100</v>
          </cell>
          <cell r="H435">
            <v>0</v>
          </cell>
          <cell r="I435">
            <v>0</v>
          </cell>
          <cell r="O435">
            <v>600</v>
          </cell>
          <cell r="U435">
            <v>200</v>
          </cell>
          <cell r="AA435">
            <v>800</v>
          </cell>
          <cell r="AG435">
            <v>1100</v>
          </cell>
          <cell r="AM435">
            <v>800</v>
          </cell>
          <cell r="AS435">
            <v>300</v>
          </cell>
          <cell r="AX435">
            <v>0</v>
          </cell>
          <cell r="AY435">
            <v>3800</v>
          </cell>
          <cell r="AZ435">
            <v>0</v>
          </cell>
          <cell r="BA435">
            <v>0</v>
          </cell>
          <cell r="BG435">
            <v>1000</v>
          </cell>
          <cell r="BM435">
            <v>300</v>
          </cell>
          <cell r="BS435">
            <v>800</v>
          </cell>
          <cell r="BY435">
            <v>1400</v>
          </cell>
          <cell r="CE435">
            <v>400</v>
          </cell>
          <cell r="CK435">
            <v>400</v>
          </cell>
          <cell r="CP435">
            <v>0</v>
          </cell>
          <cell r="CQ435">
            <v>4300</v>
          </cell>
          <cell r="CR435">
            <v>0</v>
          </cell>
          <cell r="CS435">
            <v>0</v>
          </cell>
          <cell r="CX435">
            <v>0</v>
          </cell>
          <cell r="CY435">
            <v>1600</v>
          </cell>
          <cell r="CZ435">
            <v>0</v>
          </cell>
          <cell r="DA435">
            <v>0</v>
          </cell>
          <cell r="DF435">
            <v>0</v>
          </cell>
          <cell r="DG435">
            <v>2200</v>
          </cell>
          <cell r="DH435">
            <v>0</v>
          </cell>
          <cell r="DI435">
            <v>0</v>
          </cell>
          <cell r="DN435">
            <v>0</v>
          </cell>
          <cell r="DO435">
            <v>2100</v>
          </cell>
          <cell r="DP435">
            <v>0</v>
          </cell>
          <cell r="DQ435">
            <v>0</v>
          </cell>
          <cell r="DV435">
            <v>0</v>
          </cell>
          <cell r="DW435">
            <v>2200</v>
          </cell>
          <cell r="DX435">
            <v>0</v>
          </cell>
          <cell r="DY435">
            <v>0</v>
          </cell>
        </row>
        <row r="436">
          <cell r="F436">
            <v>0</v>
          </cell>
          <cell r="G436">
            <v>3200</v>
          </cell>
          <cell r="H436">
            <v>0</v>
          </cell>
          <cell r="I436">
            <v>0</v>
          </cell>
          <cell r="U436">
            <v>300</v>
          </cell>
          <cell r="AA436">
            <v>500</v>
          </cell>
          <cell r="AG436">
            <v>350</v>
          </cell>
          <cell r="AM436">
            <v>400</v>
          </cell>
          <cell r="AS436">
            <v>300</v>
          </cell>
          <cell r="AX436">
            <v>0</v>
          </cell>
          <cell r="AY436">
            <v>1850</v>
          </cell>
          <cell r="AZ436">
            <v>0</v>
          </cell>
          <cell r="BA436">
            <v>0</v>
          </cell>
          <cell r="BM436">
            <v>100</v>
          </cell>
          <cell r="BS436">
            <v>500</v>
          </cell>
          <cell r="BY436">
            <v>450</v>
          </cell>
          <cell r="CE436">
            <v>300</v>
          </cell>
          <cell r="CP436">
            <v>0</v>
          </cell>
          <cell r="CQ436">
            <v>1350</v>
          </cell>
          <cell r="CR436">
            <v>0</v>
          </cell>
          <cell r="CS436">
            <v>0</v>
          </cell>
          <cell r="CX436">
            <v>0</v>
          </cell>
          <cell r="CY436">
            <v>800</v>
          </cell>
          <cell r="CZ436">
            <v>0</v>
          </cell>
          <cell r="DA436">
            <v>0</v>
          </cell>
          <cell r="DF436">
            <v>0</v>
          </cell>
          <cell r="DG436">
            <v>1050</v>
          </cell>
          <cell r="DH436">
            <v>0</v>
          </cell>
          <cell r="DI436">
            <v>0</v>
          </cell>
          <cell r="DN436">
            <v>0</v>
          </cell>
          <cell r="DO436">
            <v>600</v>
          </cell>
          <cell r="DP436">
            <v>0</v>
          </cell>
          <cell r="DQ436">
            <v>0</v>
          </cell>
          <cell r="DV436">
            <v>0</v>
          </cell>
          <cell r="DW436">
            <v>750</v>
          </cell>
          <cell r="DX436">
            <v>0</v>
          </cell>
          <cell r="DY436">
            <v>0</v>
          </cell>
        </row>
        <row r="437">
          <cell r="F437">
            <v>0</v>
          </cell>
          <cell r="G437">
            <v>7000</v>
          </cell>
          <cell r="H437">
            <v>0</v>
          </cell>
          <cell r="I437">
            <v>0</v>
          </cell>
          <cell r="U437">
            <v>1150</v>
          </cell>
          <cell r="AG437">
            <v>1000</v>
          </cell>
          <cell r="AM437">
            <v>700</v>
          </cell>
          <cell r="AS437">
            <v>950</v>
          </cell>
          <cell r="AX437">
            <v>0</v>
          </cell>
          <cell r="AY437">
            <v>3800</v>
          </cell>
          <cell r="AZ437">
            <v>0</v>
          </cell>
          <cell r="BA437">
            <v>0</v>
          </cell>
          <cell r="BG437">
            <v>450</v>
          </cell>
          <cell r="BM437">
            <v>250</v>
          </cell>
          <cell r="BS437">
            <v>500</v>
          </cell>
          <cell r="BY437">
            <v>1300</v>
          </cell>
          <cell r="CE437">
            <v>700</v>
          </cell>
          <cell r="CP437">
            <v>0</v>
          </cell>
          <cell r="CQ437">
            <v>3200</v>
          </cell>
          <cell r="CR437">
            <v>0</v>
          </cell>
          <cell r="CS437">
            <v>0</v>
          </cell>
          <cell r="CX437">
            <v>0</v>
          </cell>
          <cell r="CY437">
            <v>1150</v>
          </cell>
          <cell r="CZ437">
            <v>0</v>
          </cell>
          <cell r="DA437">
            <v>0</v>
          </cell>
          <cell r="DF437">
            <v>0</v>
          </cell>
          <cell r="DG437">
            <v>2650</v>
          </cell>
          <cell r="DH437">
            <v>0</v>
          </cell>
          <cell r="DI437">
            <v>0</v>
          </cell>
          <cell r="DN437">
            <v>0</v>
          </cell>
          <cell r="DO437">
            <v>1200</v>
          </cell>
          <cell r="DP437">
            <v>0</v>
          </cell>
          <cell r="DQ437">
            <v>0</v>
          </cell>
          <cell r="DV437">
            <v>0</v>
          </cell>
          <cell r="DW437">
            <v>2000</v>
          </cell>
          <cell r="DX437">
            <v>0</v>
          </cell>
          <cell r="DY437">
            <v>0</v>
          </cell>
        </row>
        <row r="438">
          <cell r="F438">
            <v>0</v>
          </cell>
          <cell r="G438">
            <v>2500</v>
          </cell>
          <cell r="H438">
            <v>0</v>
          </cell>
          <cell r="I438">
            <v>0</v>
          </cell>
          <cell r="U438">
            <v>962</v>
          </cell>
          <cell r="AX438">
            <v>0</v>
          </cell>
          <cell r="AY438">
            <v>962</v>
          </cell>
          <cell r="AZ438">
            <v>0</v>
          </cell>
          <cell r="BA438">
            <v>0</v>
          </cell>
          <cell r="BY438">
            <v>45</v>
          </cell>
          <cell r="CE438">
            <v>800</v>
          </cell>
          <cell r="CK438">
            <v>693</v>
          </cell>
          <cell r="CP438">
            <v>0</v>
          </cell>
          <cell r="CQ438">
            <v>1538</v>
          </cell>
          <cell r="CR438">
            <v>0</v>
          </cell>
          <cell r="CS438">
            <v>0</v>
          </cell>
          <cell r="CX438">
            <v>0</v>
          </cell>
          <cell r="CY438">
            <v>962</v>
          </cell>
          <cell r="CZ438">
            <v>0</v>
          </cell>
          <cell r="DA438">
            <v>0</v>
          </cell>
          <cell r="DF438">
            <v>0</v>
          </cell>
          <cell r="DG438">
            <v>0</v>
          </cell>
          <cell r="DH438">
            <v>0</v>
          </cell>
          <cell r="DI438">
            <v>0</v>
          </cell>
          <cell r="DN438">
            <v>0</v>
          </cell>
          <cell r="DO438">
            <v>0</v>
          </cell>
          <cell r="DP438">
            <v>0</v>
          </cell>
          <cell r="DQ438">
            <v>0</v>
          </cell>
          <cell r="DV438">
            <v>0</v>
          </cell>
          <cell r="DW438">
            <v>1538</v>
          </cell>
          <cell r="DX438">
            <v>0</v>
          </cell>
          <cell r="DY438">
            <v>0</v>
          </cell>
        </row>
        <row r="439">
          <cell r="F439">
            <v>0</v>
          </cell>
          <cell r="G439">
            <v>101492</v>
          </cell>
          <cell r="H439">
            <v>0</v>
          </cell>
          <cell r="I439">
            <v>0</v>
          </cell>
          <cell r="N439">
            <v>0</v>
          </cell>
          <cell r="O439">
            <v>600</v>
          </cell>
          <cell r="P439">
            <v>0</v>
          </cell>
          <cell r="T439">
            <v>0</v>
          </cell>
          <cell r="U439">
            <v>10848</v>
          </cell>
          <cell r="V439">
            <v>0</v>
          </cell>
          <cell r="Z439">
            <v>0</v>
          </cell>
          <cell r="AA439">
            <v>10709</v>
          </cell>
          <cell r="AB439">
            <v>0</v>
          </cell>
          <cell r="AF439">
            <v>0</v>
          </cell>
          <cell r="AG439">
            <v>4250</v>
          </cell>
          <cell r="AH439">
            <v>0</v>
          </cell>
          <cell r="AL439">
            <v>0</v>
          </cell>
          <cell r="AM439">
            <v>3437</v>
          </cell>
          <cell r="AN439">
            <v>0</v>
          </cell>
          <cell r="AR439">
            <v>0</v>
          </cell>
          <cell r="AS439">
            <v>25250</v>
          </cell>
          <cell r="AT439">
            <v>0</v>
          </cell>
          <cell r="AX439">
            <v>0</v>
          </cell>
          <cell r="AY439">
            <v>55094</v>
          </cell>
          <cell r="AZ439">
            <v>0</v>
          </cell>
          <cell r="BA439">
            <v>0</v>
          </cell>
          <cell r="BF439">
            <v>0</v>
          </cell>
          <cell r="BG439">
            <v>3067</v>
          </cell>
          <cell r="BH439">
            <v>0</v>
          </cell>
          <cell r="BL439">
            <v>0</v>
          </cell>
          <cell r="BM439">
            <v>1700</v>
          </cell>
          <cell r="BN439">
            <v>0</v>
          </cell>
          <cell r="BR439">
            <v>0</v>
          </cell>
          <cell r="BS439">
            <v>26093</v>
          </cell>
          <cell r="BT439">
            <v>0</v>
          </cell>
          <cell r="BX439">
            <v>0</v>
          </cell>
          <cell r="BY439">
            <v>4045</v>
          </cell>
          <cell r="BZ439">
            <v>0</v>
          </cell>
          <cell r="CD439">
            <v>0</v>
          </cell>
          <cell r="CE439">
            <v>6700</v>
          </cell>
          <cell r="CF439">
            <v>0</v>
          </cell>
          <cell r="CJ439">
            <v>0</v>
          </cell>
          <cell r="CK439">
            <v>4793</v>
          </cell>
          <cell r="CL439">
            <v>0</v>
          </cell>
          <cell r="CP439">
            <v>0</v>
          </cell>
          <cell r="CQ439">
            <v>46398</v>
          </cell>
          <cell r="CR439">
            <v>0</v>
          </cell>
          <cell r="CS439">
            <v>0</v>
          </cell>
          <cell r="CX439">
            <v>0</v>
          </cell>
          <cell r="CY439">
            <v>22157</v>
          </cell>
          <cell r="CZ439">
            <v>0</v>
          </cell>
          <cell r="DA439">
            <v>0</v>
          </cell>
          <cell r="DF439">
            <v>0</v>
          </cell>
          <cell r="DG439">
            <v>32937</v>
          </cell>
          <cell r="DH439">
            <v>0</v>
          </cell>
          <cell r="DI439">
            <v>0</v>
          </cell>
          <cell r="DN439">
            <v>0</v>
          </cell>
          <cell r="DO439">
            <v>30860</v>
          </cell>
          <cell r="DP439">
            <v>0</v>
          </cell>
          <cell r="DQ439">
            <v>0</v>
          </cell>
          <cell r="DV439">
            <v>0</v>
          </cell>
          <cell r="DW439">
            <v>15538</v>
          </cell>
          <cell r="DX439">
            <v>0</v>
          </cell>
          <cell r="DY439">
            <v>0</v>
          </cell>
        </row>
        <row r="440">
          <cell r="F440">
            <v>0</v>
          </cell>
          <cell r="G440">
            <v>16500</v>
          </cell>
          <cell r="H440">
            <v>0</v>
          </cell>
          <cell r="I440">
            <v>0</v>
          </cell>
          <cell r="U440">
            <v>1000</v>
          </cell>
          <cell r="AA440">
            <v>50</v>
          </cell>
          <cell r="AG440">
            <v>2050</v>
          </cell>
          <cell r="AM440">
            <v>2050</v>
          </cell>
          <cell r="AS440">
            <v>2000</v>
          </cell>
          <cell r="AX440">
            <v>0</v>
          </cell>
          <cell r="AY440">
            <v>7150</v>
          </cell>
          <cell r="AZ440">
            <v>0</v>
          </cell>
          <cell r="BA440">
            <v>0</v>
          </cell>
          <cell r="BG440">
            <v>50</v>
          </cell>
          <cell r="BM440">
            <v>3050</v>
          </cell>
          <cell r="BS440">
            <v>2000</v>
          </cell>
          <cell r="CE440">
            <v>1500</v>
          </cell>
          <cell r="CK440">
            <v>2750</v>
          </cell>
          <cell r="CP440">
            <v>0</v>
          </cell>
          <cell r="CQ440">
            <v>9350</v>
          </cell>
          <cell r="CR440">
            <v>0</v>
          </cell>
          <cell r="CS440">
            <v>0</v>
          </cell>
          <cell r="CX440">
            <v>0</v>
          </cell>
          <cell r="CY440">
            <v>1050</v>
          </cell>
          <cell r="CZ440">
            <v>0</v>
          </cell>
          <cell r="DA440">
            <v>0</v>
          </cell>
          <cell r="DF440">
            <v>0</v>
          </cell>
          <cell r="DG440">
            <v>6100</v>
          </cell>
          <cell r="DH440">
            <v>0</v>
          </cell>
          <cell r="DI440">
            <v>0</v>
          </cell>
          <cell r="DN440">
            <v>0</v>
          </cell>
          <cell r="DO440">
            <v>5100</v>
          </cell>
          <cell r="DP440">
            <v>0</v>
          </cell>
          <cell r="DQ440">
            <v>0</v>
          </cell>
          <cell r="DV440">
            <v>0</v>
          </cell>
          <cell r="DW440">
            <v>4250</v>
          </cell>
          <cell r="DX440">
            <v>0</v>
          </cell>
          <cell r="DY440">
            <v>0</v>
          </cell>
        </row>
        <row r="441">
          <cell r="F441">
            <v>0</v>
          </cell>
          <cell r="G441">
            <v>14000</v>
          </cell>
          <cell r="H441">
            <v>0</v>
          </cell>
          <cell r="I441">
            <v>0</v>
          </cell>
          <cell r="U441">
            <v>750</v>
          </cell>
          <cell r="AA441">
            <v>500</v>
          </cell>
          <cell r="AG441">
            <v>900</v>
          </cell>
          <cell r="AS441">
            <v>50</v>
          </cell>
          <cell r="AX441">
            <v>0</v>
          </cell>
          <cell r="AY441">
            <v>2200</v>
          </cell>
          <cell r="AZ441">
            <v>0</v>
          </cell>
          <cell r="BA441">
            <v>0</v>
          </cell>
          <cell r="BG441">
            <v>500</v>
          </cell>
          <cell r="BM441">
            <v>6000</v>
          </cell>
          <cell r="BS441">
            <v>2000</v>
          </cell>
          <cell r="BY441">
            <v>1050</v>
          </cell>
          <cell r="CE441">
            <v>50</v>
          </cell>
          <cell r="CK441">
            <v>2200</v>
          </cell>
          <cell r="CP441">
            <v>0</v>
          </cell>
          <cell r="CQ441">
            <v>11800</v>
          </cell>
          <cell r="CR441">
            <v>0</v>
          </cell>
          <cell r="CS441">
            <v>0</v>
          </cell>
          <cell r="CX441">
            <v>0</v>
          </cell>
          <cell r="CY441">
            <v>1250</v>
          </cell>
          <cell r="CZ441">
            <v>0</v>
          </cell>
          <cell r="DA441">
            <v>0</v>
          </cell>
          <cell r="DF441">
            <v>0</v>
          </cell>
          <cell r="DG441">
            <v>950</v>
          </cell>
          <cell r="DH441">
            <v>0</v>
          </cell>
          <cell r="DI441">
            <v>0</v>
          </cell>
          <cell r="DN441">
            <v>0</v>
          </cell>
          <cell r="DO441">
            <v>8500</v>
          </cell>
          <cell r="DP441">
            <v>0</v>
          </cell>
          <cell r="DQ441">
            <v>0</v>
          </cell>
          <cell r="DV441">
            <v>0</v>
          </cell>
          <cell r="DW441">
            <v>3300</v>
          </cell>
          <cell r="DX441">
            <v>0</v>
          </cell>
          <cell r="DY441">
            <v>0</v>
          </cell>
        </row>
        <row r="442">
          <cell r="F442">
            <v>0</v>
          </cell>
          <cell r="G442">
            <v>8000</v>
          </cell>
          <cell r="H442">
            <v>0</v>
          </cell>
          <cell r="I442">
            <v>0</v>
          </cell>
          <cell r="U442">
            <v>1200</v>
          </cell>
          <cell r="AA442">
            <v>250</v>
          </cell>
          <cell r="AM442">
            <v>250</v>
          </cell>
          <cell r="AS442">
            <v>3380</v>
          </cell>
          <cell r="AX442">
            <v>0</v>
          </cell>
          <cell r="AY442">
            <v>5080</v>
          </cell>
          <cell r="AZ442">
            <v>0</v>
          </cell>
          <cell r="BA442">
            <v>0</v>
          </cell>
          <cell r="BG442">
            <v>250</v>
          </cell>
          <cell r="BM442">
            <v>750</v>
          </cell>
          <cell r="BS442">
            <v>300</v>
          </cell>
          <cell r="BY442">
            <v>950</v>
          </cell>
          <cell r="CE442">
            <v>230</v>
          </cell>
          <cell r="CK442">
            <v>440</v>
          </cell>
          <cell r="CP442">
            <v>0</v>
          </cell>
          <cell r="CQ442">
            <v>2920</v>
          </cell>
          <cell r="CR442">
            <v>0</v>
          </cell>
          <cell r="CS442">
            <v>0</v>
          </cell>
          <cell r="CX442">
            <v>0</v>
          </cell>
          <cell r="CY442">
            <v>1450</v>
          </cell>
          <cell r="CZ442">
            <v>0</v>
          </cell>
          <cell r="DA442">
            <v>0</v>
          </cell>
          <cell r="DF442">
            <v>0</v>
          </cell>
          <cell r="DG442">
            <v>3630</v>
          </cell>
          <cell r="DH442">
            <v>0</v>
          </cell>
          <cell r="DI442">
            <v>0</v>
          </cell>
          <cell r="DN442">
            <v>0</v>
          </cell>
          <cell r="DO442">
            <v>1300</v>
          </cell>
          <cell r="DP442">
            <v>0</v>
          </cell>
          <cell r="DQ442">
            <v>0</v>
          </cell>
          <cell r="DV442">
            <v>0</v>
          </cell>
          <cell r="DW442">
            <v>1620</v>
          </cell>
          <cell r="DX442">
            <v>0</v>
          </cell>
          <cell r="DY442">
            <v>0</v>
          </cell>
        </row>
        <row r="443">
          <cell r="F443">
            <v>0</v>
          </cell>
          <cell r="G443">
            <v>13610</v>
          </cell>
          <cell r="H443">
            <v>0</v>
          </cell>
          <cell r="I443">
            <v>0</v>
          </cell>
          <cell r="O443">
            <v>80</v>
          </cell>
          <cell r="U443">
            <v>200</v>
          </cell>
          <cell r="AA443">
            <v>2550</v>
          </cell>
          <cell r="AG443">
            <v>2550</v>
          </cell>
          <cell r="AM443">
            <v>60</v>
          </cell>
          <cell r="AS443">
            <v>2400</v>
          </cell>
          <cell r="AX443">
            <v>0</v>
          </cell>
          <cell r="AY443">
            <v>7840</v>
          </cell>
          <cell r="AZ443">
            <v>0</v>
          </cell>
          <cell r="BA443">
            <v>0</v>
          </cell>
          <cell r="BG443">
            <v>50</v>
          </cell>
          <cell r="BM443">
            <v>130</v>
          </cell>
          <cell r="BS443">
            <v>2000</v>
          </cell>
          <cell r="BY443">
            <v>2040</v>
          </cell>
          <cell r="CE443">
            <v>1500</v>
          </cell>
          <cell r="CK443">
            <v>50</v>
          </cell>
          <cell r="CP443">
            <v>0</v>
          </cell>
          <cell r="CQ443">
            <v>5770</v>
          </cell>
          <cell r="CR443">
            <v>0</v>
          </cell>
          <cell r="CS443">
            <v>0</v>
          </cell>
          <cell r="CX443">
            <v>0</v>
          </cell>
          <cell r="CY443">
            <v>2830</v>
          </cell>
          <cell r="CZ443">
            <v>0</v>
          </cell>
          <cell r="DA443">
            <v>0</v>
          </cell>
          <cell r="DF443">
            <v>0</v>
          </cell>
          <cell r="DG443">
            <v>5010</v>
          </cell>
          <cell r="DH443">
            <v>0</v>
          </cell>
          <cell r="DI443">
            <v>0</v>
          </cell>
          <cell r="DN443">
            <v>0</v>
          </cell>
          <cell r="DO443">
            <v>2180</v>
          </cell>
          <cell r="DP443">
            <v>0</v>
          </cell>
          <cell r="DQ443">
            <v>0</v>
          </cell>
          <cell r="DV443">
            <v>0</v>
          </cell>
          <cell r="DW443">
            <v>3590</v>
          </cell>
          <cell r="DX443">
            <v>0</v>
          </cell>
          <cell r="DY443">
            <v>0</v>
          </cell>
        </row>
        <row r="444">
          <cell r="F444">
            <v>0</v>
          </cell>
          <cell r="G444">
            <v>22890</v>
          </cell>
          <cell r="H444">
            <v>0</v>
          </cell>
          <cell r="I444">
            <v>0</v>
          </cell>
          <cell r="U444">
            <v>2500</v>
          </cell>
          <cell r="AA444">
            <v>60</v>
          </cell>
          <cell r="AG444">
            <v>1530</v>
          </cell>
          <cell r="AM444">
            <v>4000</v>
          </cell>
          <cell r="AS444">
            <v>3000</v>
          </cell>
          <cell r="AX444">
            <v>0</v>
          </cell>
          <cell r="AY444">
            <v>11090</v>
          </cell>
          <cell r="AZ444">
            <v>0</v>
          </cell>
          <cell r="BA444">
            <v>0</v>
          </cell>
          <cell r="BG444">
            <v>250</v>
          </cell>
          <cell r="BM444">
            <v>3000</v>
          </cell>
          <cell r="BS444">
            <v>50</v>
          </cell>
          <cell r="BY444">
            <v>1500</v>
          </cell>
          <cell r="CE444">
            <v>4000</v>
          </cell>
          <cell r="CK444">
            <v>3000</v>
          </cell>
          <cell r="CP444">
            <v>0</v>
          </cell>
          <cell r="CQ444">
            <v>11800</v>
          </cell>
          <cell r="CR444">
            <v>0</v>
          </cell>
          <cell r="CS444">
            <v>0</v>
          </cell>
          <cell r="CX444">
            <v>0</v>
          </cell>
          <cell r="CY444">
            <v>2560</v>
          </cell>
          <cell r="CZ444">
            <v>0</v>
          </cell>
          <cell r="DA444">
            <v>0</v>
          </cell>
          <cell r="DF444">
            <v>0</v>
          </cell>
          <cell r="DG444">
            <v>8530</v>
          </cell>
          <cell r="DH444">
            <v>0</v>
          </cell>
          <cell r="DI444">
            <v>0</v>
          </cell>
          <cell r="DN444">
            <v>0</v>
          </cell>
          <cell r="DO444">
            <v>3300</v>
          </cell>
          <cell r="DP444">
            <v>0</v>
          </cell>
          <cell r="DQ444">
            <v>0</v>
          </cell>
          <cell r="DV444">
            <v>0</v>
          </cell>
          <cell r="DW444">
            <v>8500</v>
          </cell>
          <cell r="DX444">
            <v>0</v>
          </cell>
          <cell r="DY444">
            <v>0</v>
          </cell>
        </row>
        <row r="445">
          <cell r="F445">
            <v>0</v>
          </cell>
          <cell r="G445">
            <v>10000</v>
          </cell>
          <cell r="H445">
            <v>0</v>
          </cell>
          <cell r="I445">
            <v>0</v>
          </cell>
          <cell r="AA445">
            <v>10000</v>
          </cell>
          <cell r="AX445">
            <v>0</v>
          </cell>
          <cell r="AY445">
            <v>10000</v>
          </cell>
          <cell r="AZ445">
            <v>0</v>
          </cell>
          <cell r="BA445">
            <v>0</v>
          </cell>
          <cell r="CP445">
            <v>0</v>
          </cell>
          <cell r="CQ445">
            <v>0</v>
          </cell>
          <cell r="CR445">
            <v>0</v>
          </cell>
          <cell r="CS445">
            <v>0</v>
          </cell>
          <cell r="CX445">
            <v>0</v>
          </cell>
          <cell r="CY445">
            <v>10000</v>
          </cell>
          <cell r="CZ445">
            <v>0</v>
          </cell>
          <cell r="DA445">
            <v>0</v>
          </cell>
          <cell r="DF445">
            <v>0</v>
          </cell>
          <cell r="DG445">
            <v>0</v>
          </cell>
          <cell r="DH445">
            <v>0</v>
          </cell>
          <cell r="DI445">
            <v>0</v>
          </cell>
          <cell r="DN445">
            <v>0</v>
          </cell>
          <cell r="DO445">
            <v>0</v>
          </cell>
          <cell r="DP445">
            <v>0</v>
          </cell>
          <cell r="DQ445">
            <v>0</v>
          </cell>
          <cell r="DV445">
            <v>0</v>
          </cell>
          <cell r="DW445">
            <v>0</v>
          </cell>
          <cell r="DX445">
            <v>0</v>
          </cell>
          <cell r="DY445">
            <v>0</v>
          </cell>
        </row>
        <row r="446">
          <cell r="F446">
            <v>0</v>
          </cell>
          <cell r="G446">
            <v>8000</v>
          </cell>
          <cell r="H446">
            <v>0</v>
          </cell>
          <cell r="I446">
            <v>0</v>
          </cell>
          <cell r="AS446">
            <v>500</v>
          </cell>
          <cell r="AX446">
            <v>0</v>
          </cell>
          <cell r="AY446">
            <v>500</v>
          </cell>
          <cell r="AZ446">
            <v>0</v>
          </cell>
          <cell r="BA446">
            <v>0</v>
          </cell>
          <cell r="BS446">
            <v>1800</v>
          </cell>
          <cell r="CE446">
            <v>4000</v>
          </cell>
          <cell r="CK446">
            <v>1700</v>
          </cell>
          <cell r="CP446">
            <v>0</v>
          </cell>
          <cell r="CQ446">
            <v>7500</v>
          </cell>
          <cell r="CR446">
            <v>0</v>
          </cell>
          <cell r="CS446">
            <v>0</v>
          </cell>
          <cell r="CX446">
            <v>0</v>
          </cell>
          <cell r="CY446">
            <v>0</v>
          </cell>
          <cell r="CZ446">
            <v>0</v>
          </cell>
          <cell r="DA446">
            <v>0</v>
          </cell>
          <cell r="DF446">
            <v>0</v>
          </cell>
          <cell r="DG446">
            <v>500</v>
          </cell>
          <cell r="DH446">
            <v>0</v>
          </cell>
          <cell r="DI446">
            <v>0</v>
          </cell>
          <cell r="DN446">
            <v>0</v>
          </cell>
          <cell r="DO446">
            <v>1800</v>
          </cell>
          <cell r="DP446">
            <v>0</v>
          </cell>
          <cell r="DQ446">
            <v>0</v>
          </cell>
          <cell r="DV446">
            <v>0</v>
          </cell>
          <cell r="DW446">
            <v>5700</v>
          </cell>
          <cell r="DX446">
            <v>0</v>
          </cell>
          <cell r="DY446">
            <v>0</v>
          </cell>
        </row>
        <row r="447">
          <cell r="F447">
            <v>0</v>
          </cell>
          <cell r="G447">
            <v>93000</v>
          </cell>
          <cell r="H447">
            <v>0</v>
          </cell>
          <cell r="I447">
            <v>0</v>
          </cell>
          <cell r="N447">
            <v>0</v>
          </cell>
          <cell r="O447">
            <v>80</v>
          </cell>
          <cell r="P447">
            <v>0</v>
          </cell>
          <cell r="T447">
            <v>0</v>
          </cell>
          <cell r="U447">
            <v>5650</v>
          </cell>
          <cell r="V447">
            <v>0</v>
          </cell>
          <cell r="Z447">
            <v>0</v>
          </cell>
          <cell r="AA447">
            <v>13410</v>
          </cell>
          <cell r="AB447">
            <v>0</v>
          </cell>
          <cell r="AF447">
            <v>0</v>
          </cell>
          <cell r="AG447">
            <v>7030</v>
          </cell>
          <cell r="AH447">
            <v>0</v>
          </cell>
          <cell r="AL447">
            <v>0</v>
          </cell>
          <cell r="AM447">
            <v>6360</v>
          </cell>
          <cell r="AN447">
            <v>0</v>
          </cell>
          <cell r="AR447">
            <v>0</v>
          </cell>
          <cell r="AS447">
            <v>11330</v>
          </cell>
          <cell r="AT447">
            <v>0</v>
          </cell>
          <cell r="AX447">
            <v>0</v>
          </cell>
          <cell r="AY447">
            <v>43860</v>
          </cell>
          <cell r="AZ447">
            <v>0</v>
          </cell>
          <cell r="BA447">
            <v>0</v>
          </cell>
          <cell r="BF447">
            <v>0</v>
          </cell>
          <cell r="BG447">
            <v>1100</v>
          </cell>
          <cell r="BH447">
            <v>0</v>
          </cell>
          <cell r="BL447">
            <v>0</v>
          </cell>
          <cell r="BM447">
            <v>12930</v>
          </cell>
          <cell r="BN447">
            <v>0</v>
          </cell>
          <cell r="BR447">
            <v>0</v>
          </cell>
          <cell r="BS447">
            <v>8150</v>
          </cell>
          <cell r="BT447">
            <v>0</v>
          </cell>
          <cell r="BX447">
            <v>0</v>
          </cell>
          <cell r="BY447">
            <v>5540</v>
          </cell>
          <cell r="BZ447">
            <v>0</v>
          </cell>
          <cell r="CD447">
            <v>0</v>
          </cell>
          <cell r="CE447">
            <v>11280</v>
          </cell>
          <cell r="CF447">
            <v>0</v>
          </cell>
          <cell r="CJ447">
            <v>0</v>
          </cell>
          <cell r="CK447">
            <v>10140</v>
          </cell>
          <cell r="CL447">
            <v>0</v>
          </cell>
          <cell r="CP447">
            <v>0</v>
          </cell>
          <cell r="CQ447">
            <v>49140</v>
          </cell>
          <cell r="CR447">
            <v>0</v>
          </cell>
          <cell r="CS447">
            <v>0</v>
          </cell>
          <cell r="CX447">
            <v>0</v>
          </cell>
          <cell r="CY447">
            <v>19140</v>
          </cell>
          <cell r="CZ447">
            <v>0</v>
          </cell>
          <cell r="DA447">
            <v>0</v>
          </cell>
          <cell r="DF447">
            <v>0</v>
          </cell>
          <cell r="DG447">
            <v>24720</v>
          </cell>
          <cell r="DH447">
            <v>0</v>
          </cell>
          <cell r="DI447">
            <v>0</v>
          </cell>
          <cell r="DN447">
            <v>0</v>
          </cell>
          <cell r="DO447">
            <v>22180</v>
          </cell>
          <cell r="DP447">
            <v>0</v>
          </cell>
          <cell r="DQ447">
            <v>0</v>
          </cell>
          <cell r="DV447">
            <v>0</v>
          </cell>
          <cell r="DW447">
            <v>26960</v>
          </cell>
          <cell r="DX447">
            <v>0</v>
          </cell>
          <cell r="DY447">
            <v>0</v>
          </cell>
        </row>
        <row r="448">
          <cell r="F448">
            <v>0</v>
          </cell>
          <cell r="G448">
            <v>194492</v>
          </cell>
          <cell r="H448">
            <v>0</v>
          </cell>
          <cell r="I448">
            <v>0</v>
          </cell>
          <cell r="N448">
            <v>0</v>
          </cell>
          <cell r="O448">
            <v>680</v>
          </cell>
          <cell r="P448">
            <v>0</v>
          </cell>
          <cell r="T448">
            <v>0</v>
          </cell>
          <cell r="U448">
            <v>16498</v>
          </cell>
          <cell r="V448">
            <v>0</v>
          </cell>
          <cell r="Z448">
            <v>0</v>
          </cell>
          <cell r="AA448">
            <v>24119</v>
          </cell>
          <cell r="AB448">
            <v>0</v>
          </cell>
          <cell r="AF448">
            <v>0</v>
          </cell>
          <cell r="AG448">
            <v>11280</v>
          </cell>
          <cell r="AH448">
            <v>0</v>
          </cell>
          <cell r="AL448">
            <v>0</v>
          </cell>
          <cell r="AM448">
            <v>9797</v>
          </cell>
          <cell r="AN448">
            <v>0</v>
          </cell>
          <cell r="AR448">
            <v>0</v>
          </cell>
          <cell r="AS448">
            <v>36580</v>
          </cell>
          <cell r="AT448">
            <v>0</v>
          </cell>
          <cell r="AX448">
            <v>0</v>
          </cell>
          <cell r="AY448">
            <v>98954</v>
          </cell>
          <cell r="AZ448">
            <v>0</v>
          </cell>
          <cell r="BA448">
            <v>0</v>
          </cell>
          <cell r="BF448">
            <v>0</v>
          </cell>
          <cell r="BG448">
            <v>4167</v>
          </cell>
          <cell r="BH448">
            <v>0</v>
          </cell>
          <cell r="BL448">
            <v>0</v>
          </cell>
          <cell r="BM448">
            <v>14630</v>
          </cell>
          <cell r="BN448">
            <v>0</v>
          </cell>
          <cell r="BR448">
            <v>0</v>
          </cell>
          <cell r="BS448">
            <v>34243</v>
          </cell>
          <cell r="BT448">
            <v>0</v>
          </cell>
          <cell r="BX448">
            <v>0</v>
          </cell>
          <cell r="BY448">
            <v>9585</v>
          </cell>
          <cell r="BZ448">
            <v>0</v>
          </cell>
          <cell r="CD448">
            <v>0</v>
          </cell>
          <cell r="CE448">
            <v>17980</v>
          </cell>
          <cell r="CF448">
            <v>0</v>
          </cell>
          <cell r="CJ448">
            <v>0</v>
          </cell>
          <cell r="CK448">
            <v>14933</v>
          </cell>
          <cell r="CL448">
            <v>0</v>
          </cell>
          <cell r="CP448">
            <v>0</v>
          </cell>
          <cell r="CQ448">
            <v>95538</v>
          </cell>
          <cell r="CR448">
            <v>0</v>
          </cell>
          <cell r="CS448">
            <v>0</v>
          </cell>
          <cell r="CX448">
            <v>0</v>
          </cell>
          <cell r="CY448">
            <v>41297</v>
          </cell>
          <cell r="CZ448">
            <v>0</v>
          </cell>
          <cell r="DA448">
            <v>0</v>
          </cell>
          <cell r="DF448">
            <v>0</v>
          </cell>
          <cell r="DG448">
            <v>57657</v>
          </cell>
          <cell r="DH448">
            <v>0</v>
          </cell>
          <cell r="DI448">
            <v>0</v>
          </cell>
          <cell r="DN448">
            <v>0</v>
          </cell>
          <cell r="DO448">
            <v>53040</v>
          </cell>
          <cell r="DP448">
            <v>0</v>
          </cell>
          <cell r="DQ448">
            <v>0</v>
          </cell>
          <cell r="DV448">
            <v>0</v>
          </cell>
          <cell r="DW448">
            <v>42498</v>
          </cell>
          <cell r="DX448">
            <v>0</v>
          </cell>
          <cell r="DY448">
            <v>0</v>
          </cell>
        </row>
        <row r="449">
          <cell r="F449">
            <v>0</v>
          </cell>
          <cell r="G449">
            <v>2500</v>
          </cell>
          <cell r="H449">
            <v>0</v>
          </cell>
          <cell r="I449">
            <v>0</v>
          </cell>
          <cell r="AX449">
            <v>0</v>
          </cell>
          <cell r="AY449">
            <v>0</v>
          </cell>
          <cell r="AZ449">
            <v>0</v>
          </cell>
          <cell r="BA449">
            <v>0</v>
          </cell>
          <cell r="BF449">
            <v>0</v>
          </cell>
          <cell r="BG449">
            <v>500</v>
          </cell>
          <cell r="BH449">
            <v>0</v>
          </cell>
          <cell r="BL449">
            <v>0</v>
          </cell>
          <cell r="BM449">
            <v>2000</v>
          </cell>
          <cell r="BN449">
            <v>0</v>
          </cell>
          <cell r="BR449">
            <v>0</v>
          </cell>
          <cell r="BS449">
            <v>0</v>
          </cell>
          <cell r="BT449">
            <v>0</v>
          </cell>
          <cell r="BX449">
            <v>0</v>
          </cell>
          <cell r="BY449">
            <v>0</v>
          </cell>
          <cell r="BZ449">
            <v>0</v>
          </cell>
          <cell r="CD449">
            <v>0</v>
          </cell>
          <cell r="CE449">
            <v>0</v>
          </cell>
          <cell r="CF449">
            <v>0</v>
          </cell>
          <cell r="CJ449">
            <v>0</v>
          </cell>
          <cell r="CK449">
            <v>0</v>
          </cell>
          <cell r="CL449">
            <v>0</v>
          </cell>
          <cell r="CP449">
            <v>0</v>
          </cell>
          <cell r="CQ449">
            <v>2500</v>
          </cell>
          <cell r="CR449">
            <v>0</v>
          </cell>
          <cell r="CS449">
            <v>0</v>
          </cell>
          <cell r="CX449">
            <v>0</v>
          </cell>
          <cell r="CY449">
            <v>0</v>
          </cell>
          <cell r="CZ449">
            <v>0</v>
          </cell>
          <cell r="DA449">
            <v>0</v>
          </cell>
          <cell r="DF449">
            <v>0</v>
          </cell>
          <cell r="DG449">
            <v>0</v>
          </cell>
          <cell r="DH449">
            <v>0</v>
          </cell>
          <cell r="DI449">
            <v>0</v>
          </cell>
          <cell r="DN449">
            <v>0</v>
          </cell>
          <cell r="DO449">
            <v>2500</v>
          </cell>
          <cell r="DP449">
            <v>0</v>
          </cell>
          <cell r="DQ449">
            <v>0</v>
          </cell>
          <cell r="DV449">
            <v>0</v>
          </cell>
          <cell r="DW449">
            <v>0</v>
          </cell>
          <cell r="DX449">
            <v>0</v>
          </cell>
          <cell r="DY449">
            <v>0</v>
          </cell>
        </row>
        <row r="450">
          <cell r="F450">
            <v>0</v>
          </cell>
          <cell r="G450">
            <v>0</v>
          </cell>
          <cell r="H450">
            <v>0</v>
          </cell>
          <cell r="I450">
            <v>0</v>
          </cell>
          <cell r="AX450">
            <v>0</v>
          </cell>
          <cell r="AY450">
            <v>0</v>
          </cell>
          <cell r="AZ450">
            <v>0</v>
          </cell>
          <cell r="BA450">
            <v>0</v>
          </cell>
          <cell r="BF450">
            <v>0</v>
          </cell>
          <cell r="BH450">
            <v>0</v>
          </cell>
          <cell r="BL450">
            <v>0</v>
          </cell>
          <cell r="BN450">
            <v>0</v>
          </cell>
          <cell r="BR450">
            <v>0</v>
          </cell>
          <cell r="BS450">
            <v>0</v>
          </cell>
          <cell r="BT450">
            <v>0</v>
          </cell>
          <cell r="BX450">
            <v>0</v>
          </cell>
          <cell r="BY450">
            <v>0</v>
          </cell>
          <cell r="BZ450">
            <v>0</v>
          </cell>
          <cell r="CD450">
            <v>0</v>
          </cell>
          <cell r="CE450">
            <v>0</v>
          </cell>
          <cell r="CF450">
            <v>0</v>
          </cell>
          <cell r="CJ450">
            <v>0</v>
          </cell>
          <cell r="CK450">
            <v>0</v>
          </cell>
          <cell r="CL450">
            <v>0</v>
          </cell>
          <cell r="CP450">
            <v>0</v>
          </cell>
          <cell r="CQ450">
            <v>0</v>
          </cell>
          <cell r="CR450">
            <v>0</v>
          </cell>
          <cell r="CS450">
            <v>0</v>
          </cell>
          <cell r="CX450">
            <v>0</v>
          </cell>
          <cell r="CY450">
            <v>0</v>
          </cell>
          <cell r="CZ450">
            <v>0</v>
          </cell>
          <cell r="DA450">
            <v>0</v>
          </cell>
          <cell r="DF450">
            <v>0</v>
          </cell>
          <cell r="DG450">
            <v>0</v>
          </cell>
          <cell r="DH450">
            <v>0</v>
          </cell>
          <cell r="DI450">
            <v>0</v>
          </cell>
          <cell r="DN450">
            <v>0</v>
          </cell>
          <cell r="DO450">
            <v>0</v>
          </cell>
          <cell r="DP450">
            <v>0</v>
          </cell>
          <cell r="DQ450">
            <v>0</v>
          </cell>
          <cell r="DV450">
            <v>0</v>
          </cell>
          <cell r="DW450">
            <v>0</v>
          </cell>
          <cell r="DX450">
            <v>0</v>
          </cell>
          <cell r="DY450">
            <v>0</v>
          </cell>
        </row>
        <row r="451">
          <cell r="F451">
            <v>0</v>
          </cell>
          <cell r="G451">
            <v>2500</v>
          </cell>
          <cell r="H451">
            <v>0</v>
          </cell>
          <cell r="I451">
            <v>0</v>
          </cell>
          <cell r="N451">
            <v>0</v>
          </cell>
          <cell r="O451">
            <v>0</v>
          </cell>
          <cell r="P451">
            <v>0</v>
          </cell>
          <cell r="T451">
            <v>0</v>
          </cell>
          <cell r="U451">
            <v>0</v>
          </cell>
          <cell r="V451">
            <v>0</v>
          </cell>
          <cell r="Z451">
            <v>0</v>
          </cell>
          <cell r="AA451">
            <v>0</v>
          </cell>
          <cell r="AB451">
            <v>0</v>
          </cell>
          <cell r="AF451">
            <v>0</v>
          </cell>
          <cell r="AG451">
            <v>0</v>
          </cell>
          <cell r="AH451">
            <v>0</v>
          </cell>
          <cell r="AL451">
            <v>0</v>
          </cell>
          <cell r="AM451">
            <v>0</v>
          </cell>
          <cell r="AN451">
            <v>0</v>
          </cell>
          <cell r="AR451">
            <v>0</v>
          </cell>
          <cell r="AS451">
            <v>0</v>
          </cell>
          <cell r="AT451">
            <v>0</v>
          </cell>
          <cell r="AX451">
            <v>0</v>
          </cell>
          <cell r="AY451">
            <v>0</v>
          </cell>
          <cell r="AZ451">
            <v>0</v>
          </cell>
          <cell r="BA451">
            <v>0</v>
          </cell>
          <cell r="BF451">
            <v>0</v>
          </cell>
          <cell r="BG451">
            <v>500</v>
          </cell>
          <cell r="BH451">
            <v>0</v>
          </cell>
          <cell r="BL451">
            <v>0</v>
          </cell>
          <cell r="BM451">
            <v>2000</v>
          </cell>
          <cell r="BN451">
            <v>0</v>
          </cell>
          <cell r="BR451">
            <v>0</v>
          </cell>
          <cell r="BS451">
            <v>0</v>
          </cell>
          <cell r="BT451">
            <v>0</v>
          </cell>
          <cell r="BX451">
            <v>0</v>
          </cell>
          <cell r="BY451">
            <v>0</v>
          </cell>
          <cell r="BZ451">
            <v>0</v>
          </cell>
          <cell r="CD451">
            <v>0</v>
          </cell>
          <cell r="CE451">
            <v>0</v>
          </cell>
          <cell r="CF451">
            <v>0</v>
          </cell>
          <cell r="CJ451">
            <v>0</v>
          </cell>
          <cell r="CK451">
            <v>0</v>
          </cell>
          <cell r="CL451">
            <v>0</v>
          </cell>
          <cell r="CP451">
            <v>0</v>
          </cell>
          <cell r="CQ451">
            <v>2500</v>
          </cell>
          <cell r="CR451">
            <v>0</v>
          </cell>
          <cell r="CS451">
            <v>0</v>
          </cell>
          <cell r="CX451">
            <v>0</v>
          </cell>
          <cell r="CY451">
            <v>0</v>
          </cell>
          <cell r="CZ451">
            <v>0</v>
          </cell>
          <cell r="DA451">
            <v>0</v>
          </cell>
          <cell r="DF451">
            <v>0</v>
          </cell>
          <cell r="DG451">
            <v>0</v>
          </cell>
          <cell r="DH451">
            <v>0</v>
          </cell>
          <cell r="DI451">
            <v>0</v>
          </cell>
          <cell r="DN451">
            <v>0</v>
          </cell>
          <cell r="DO451">
            <v>2500</v>
          </cell>
          <cell r="DP451">
            <v>0</v>
          </cell>
          <cell r="DQ451">
            <v>0</v>
          </cell>
          <cell r="DV451">
            <v>0</v>
          </cell>
          <cell r="DW451">
            <v>0</v>
          </cell>
          <cell r="DX451">
            <v>0</v>
          </cell>
          <cell r="DY451">
            <v>0</v>
          </cell>
        </row>
        <row r="452">
          <cell r="F452">
            <v>0</v>
          </cell>
          <cell r="G452">
            <v>196992</v>
          </cell>
          <cell r="H452">
            <v>0</v>
          </cell>
          <cell r="I452">
            <v>0</v>
          </cell>
          <cell r="N452">
            <v>0</v>
          </cell>
          <cell r="O452">
            <v>680</v>
          </cell>
          <cell r="P452">
            <v>0</v>
          </cell>
          <cell r="T452">
            <v>0</v>
          </cell>
          <cell r="U452">
            <v>16498</v>
          </cell>
          <cell r="V452">
            <v>0</v>
          </cell>
          <cell r="Z452">
            <v>0</v>
          </cell>
          <cell r="AA452">
            <v>24119</v>
          </cell>
          <cell r="AB452">
            <v>0</v>
          </cell>
          <cell r="AF452">
            <v>0</v>
          </cell>
          <cell r="AG452">
            <v>11280</v>
          </cell>
          <cell r="AH452">
            <v>0</v>
          </cell>
          <cell r="AL452">
            <v>0</v>
          </cell>
          <cell r="AM452">
            <v>9797</v>
          </cell>
          <cell r="AN452">
            <v>0</v>
          </cell>
          <cell r="AR452">
            <v>0</v>
          </cell>
          <cell r="AS452">
            <v>36580</v>
          </cell>
          <cell r="AT452">
            <v>0</v>
          </cell>
          <cell r="AX452">
            <v>0</v>
          </cell>
          <cell r="AY452">
            <v>98954</v>
          </cell>
          <cell r="AZ452">
            <v>0</v>
          </cell>
          <cell r="BA452">
            <v>0</v>
          </cell>
          <cell r="BF452">
            <v>0</v>
          </cell>
          <cell r="BG452">
            <v>4667</v>
          </cell>
          <cell r="BH452">
            <v>0</v>
          </cell>
          <cell r="BL452">
            <v>0</v>
          </cell>
          <cell r="BM452">
            <v>16630</v>
          </cell>
          <cell r="BN452">
            <v>0</v>
          </cell>
          <cell r="BR452">
            <v>0</v>
          </cell>
          <cell r="BS452">
            <v>34243</v>
          </cell>
          <cell r="BT452">
            <v>0</v>
          </cell>
          <cell r="BX452">
            <v>0</v>
          </cell>
          <cell r="BY452">
            <v>9585</v>
          </cell>
          <cell r="BZ452">
            <v>0</v>
          </cell>
          <cell r="CD452">
            <v>0</v>
          </cell>
          <cell r="CE452">
            <v>17980</v>
          </cell>
          <cell r="CF452">
            <v>0</v>
          </cell>
          <cell r="CJ452">
            <v>0</v>
          </cell>
          <cell r="CK452">
            <v>14933</v>
          </cell>
          <cell r="CL452">
            <v>0</v>
          </cell>
          <cell r="CP452">
            <v>0</v>
          </cell>
          <cell r="CQ452">
            <v>98038</v>
          </cell>
          <cell r="CR452">
            <v>0</v>
          </cell>
          <cell r="CS452">
            <v>0</v>
          </cell>
          <cell r="CX452">
            <v>0</v>
          </cell>
          <cell r="CY452">
            <v>41297</v>
          </cell>
          <cell r="CZ452">
            <v>0</v>
          </cell>
          <cell r="DA452">
            <v>0</v>
          </cell>
          <cell r="DF452">
            <v>0</v>
          </cell>
          <cell r="DG452">
            <v>57657</v>
          </cell>
          <cell r="DH452">
            <v>0</v>
          </cell>
          <cell r="DI452">
            <v>0</v>
          </cell>
          <cell r="DN452">
            <v>0</v>
          </cell>
          <cell r="DO452">
            <v>55540</v>
          </cell>
          <cell r="DP452">
            <v>0</v>
          </cell>
          <cell r="DQ452">
            <v>0</v>
          </cell>
          <cell r="DV452">
            <v>0</v>
          </cell>
          <cell r="DW452">
            <v>42498</v>
          </cell>
          <cell r="DX452">
            <v>0</v>
          </cell>
          <cell r="DY452">
            <v>0</v>
          </cell>
        </row>
        <row r="455">
          <cell r="F455">
            <v>0</v>
          </cell>
          <cell r="G455">
            <v>241183.69338099999</v>
          </cell>
          <cell r="H455">
            <v>56196.996000000006</v>
          </cell>
          <cell r="I455">
            <v>23.300495656323299</v>
          </cell>
          <cell r="O455">
            <v>15082.258938300001</v>
          </cell>
          <cell r="P455">
            <v>2683.636</v>
          </cell>
          <cell r="U455">
            <v>17810.822894299999</v>
          </cell>
          <cell r="V455">
            <v>4038.2289999999994</v>
          </cell>
          <cell r="AA455">
            <v>18574.018668599998</v>
          </cell>
          <cell r="AB455">
            <v>4134.5450000000001</v>
          </cell>
          <cell r="AG455">
            <v>17855.088252599999</v>
          </cell>
          <cell r="AH455">
            <v>4256.8560000000007</v>
          </cell>
          <cell r="AM455">
            <v>18640.490612599999</v>
          </cell>
          <cell r="AN455">
            <v>4578.7240000000002</v>
          </cell>
          <cell r="AS455">
            <v>19731.138144600001</v>
          </cell>
          <cell r="AT455">
            <v>4743.9779999999992</v>
          </cell>
          <cell r="AY455">
            <v>107693.81751100002</v>
          </cell>
          <cell r="AZ455">
            <v>24435.967999999997</v>
          </cell>
          <cell r="BA455">
            <v>22.690223603136801</v>
          </cell>
          <cell r="BG455">
            <v>20687.0182365</v>
          </cell>
          <cell r="BH455">
            <v>4785.7970000000005</v>
          </cell>
          <cell r="BM455">
            <v>21259.086716499998</v>
          </cell>
          <cell r="BN455">
            <v>5031.741</v>
          </cell>
          <cell r="BS455">
            <v>23141.845898699998</v>
          </cell>
          <cell r="BT455">
            <v>5442.835</v>
          </cell>
          <cell r="BY455">
            <v>24965.779347499996</v>
          </cell>
          <cell r="BZ455">
            <v>6169.6940000000004</v>
          </cell>
          <cell r="CE455">
            <v>22220.308759800002</v>
          </cell>
          <cell r="CF455">
            <v>5486.277</v>
          </cell>
          <cell r="CK455">
            <v>21215.836911000002</v>
          </cell>
          <cell r="CL455">
            <v>4844.6839999999993</v>
          </cell>
          <cell r="CQ455">
            <v>133489.87586999999</v>
          </cell>
          <cell r="CR455">
            <v>31761.028000000006</v>
          </cell>
          <cell r="CS455">
            <v>23.792836567569136</v>
          </cell>
          <cell r="CY455">
            <v>51467.100501199995</v>
          </cell>
          <cell r="CZ455">
            <v>10856.41</v>
          </cell>
          <cell r="DA455">
            <v>21.09388307147179</v>
          </cell>
          <cell r="DG455">
            <v>56226.717009799992</v>
          </cell>
          <cell r="DH455">
            <v>13579.557999999999</v>
          </cell>
          <cell r="DI455">
            <v>24.15143320146748</v>
          </cell>
          <cell r="DO455">
            <v>65087.950851700007</v>
          </cell>
          <cell r="DP455">
            <v>15260.372999999998</v>
          </cell>
          <cell r="DQ455">
            <v>23.445772681905559</v>
          </cell>
          <cell r="DW455">
            <v>68401.925018299997</v>
          </cell>
          <cell r="DX455">
            <v>16500.655000000002</v>
          </cell>
          <cell r="DY455">
            <v>24.123085710797582</v>
          </cell>
        </row>
        <row r="456">
          <cell r="F456">
            <v>0</v>
          </cell>
          <cell r="G456">
            <v>159115.58186999999</v>
          </cell>
          <cell r="H456">
            <v>39691.919999999998</v>
          </cell>
          <cell r="I456">
            <v>24.945338183427531</v>
          </cell>
          <cell r="O456">
            <v>9772.315208</v>
          </cell>
          <cell r="P456">
            <v>784</v>
          </cell>
          <cell r="U456">
            <v>10104.57582</v>
          </cell>
          <cell r="V456">
            <v>1212.32</v>
          </cell>
          <cell r="AA456">
            <v>10238.41455</v>
          </cell>
          <cell r="AB456">
            <v>1093</v>
          </cell>
          <cell r="AG456">
            <v>10986.750498000001</v>
          </cell>
          <cell r="AH456">
            <v>1640</v>
          </cell>
          <cell r="AM456">
            <v>13172.356744000001</v>
          </cell>
          <cell r="AN456">
            <v>3022</v>
          </cell>
          <cell r="AS456">
            <v>13314.959923999999</v>
          </cell>
          <cell r="AT456">
            <v>3286.6</v>
          </cell>
          <cell r="AY456">
            <v>67589.372744000008</v>
          </cell>
          <cell r="AZ456">
            <v>11037.92</v>
          </cell>
          <cell r="BA456">
            <v>16.330851362990124</v>
          </cell>
          <cell r="BG456">
            <v>14188.403252</v>
          </cell>
          <cell r="BH456">
            <v>3951</v>
          </cell>
          <cell r="BM456">
            <v>14461.367507999999</v>
          </cell>
          <cell r="BN456">
            <v>4156</v>
          </cell>
          <cell r="BS456">
            <v>14658.670495999999</v>
          </cell>
          <cell r="BT456">
            <v>4141</v>
          </cell>
          <cell r="BY456">
            <v>15615.06099</v>
          </cell>
          <cell r="BZ456">
            <v>5167</v>
          </cell>
          <cell r="CE456">
            <v>16011.699107999999</v>
          </cell>
          <cell r="CF456">
            <v>5391</v>
          </cell>
          <cell r="CK456">
            <v>16591.007771999997</v>
          </cell>
          <cell r="CL456">
            <v>5848</v>
          </cell>
          <cell r="CQ456">
            <v>91526.209126000002</v>
          </cell>
          <cell r="CR456">
            <v>28654</v>
          </cell>
          <cell r="CS456">
            <v>31.306879497820489</v>
          </cell>
          <cell r="CX456">
            <v>0</v>
          </cell>
          <cell r="CY456">
            <v>30115.305578</v>
          </cell>
          <cell r="CZ456">
            <v>3089.3199999999997</v>
          </cell>
          <cell r="DA456">
            <v>10.258305339119078</v>
          </cell>
          <cell r="DF456">
            <v>0</v>
          </cell>
          <cell r="DG456">
            <v>37474.067166000001</v>
          </cell>
          <cell r="DH456">
            <v>7948.6</v>
          </cell>
          <cell r="DI456">
            <v>21.210934924116582</v>
          </cell>
          <cell r="DN456">
            <v>0</v>
          </cell>
          <cell r="DO456">
            <v>43308.441255999998</v>
          </cell>
          <cell r="DP456">
            <v>12248</v>
          </cell>
          <cell r="DQ456">
            <v>28.280860831727921</v>
          </cell>
          <cell r="DV456">
            <v>0</v>
          </cell>
          <cell r="DW456">
            <v>48217.767869999996</v>
          </cell>
          <cell r="DX456">
            <v>16406</v>
          </cell>
          <cell r="DY456">
            <v>34.024801903381849</v>
          </cell>
        </row>
        <row r="457">
          <cell r="F457">
            <v>0</v>
          </cell>
          <cell r="G457">
            <v>52277.783519999997</v>
          </cell>
          <cell r="H457">
            <v>14514.603999999999</v>
          </cell>
          <cell r="I457">
            <v>27.764382922713477</v>
          </cell>
          <cell r="O457">
            <v>2761.2813999999998</v>
          </cell>
          <cell r="P457">
            <v>565.02800000000002</v>
          </cell>
          <cell r="U457">
            <v>3077.5416399999999</v>
          </cell>
          <cell r="V457">
            <v>646.11599999999999</v>
          </cell>
          <cell r="AA457">
            <v>3594.7626399999999</v>
          </cell>
          <cell r="AB457">
            <v>872.94500000000005</v>
          </cell>
          <cell r="AG457">
            <v>3948.5209999999997</v>
          </cell>
          <cell r="AH457">
            <v>1028.6289999999999</v>
          </cell>
          <cell r="AM457">
            <v>4081.2850399999998</v>
          </cell>
          <cell r="AN457">
            <v>1112.835</v>
          </cell>
          <cell r="AS457">
            <v>4241.2438000000002</v>
          </cell>
          <cell r="AT457">
            <v>1203.5440000000001</v>
          </cell>
          <cell r="AY457">
            <v>21704.63552</v>
          </cell>
          <cell r="AZ457">
            <v>5429.0969999999998</v>
          </cell>
          <cell r="BA457">
            <v>25.013536831785505</v>
          </cell>
          <cell r="BG457">
            <v>4693.0537999999997</v>
          </cell>
          <cell r="BH457">
            <v>1327.3939999999998</v>
          </cell>
          <cell r="BM457">
            <v>4503.4758000000002</v>
          </cell>
          <cell r="BN457">
            <v>1261.9959999999996</v>
          </cell>
          <cell r="BS457">
            <v>5213.1697999999997</v>
          </cell>
          <cell r="BT457">
            <v>1542.9580000000001</v>
          </cell>
          <cell r="BY457">
            <v>5579.6728000000003</v>
          </cell>
          <cell r="BZ457">
            <v>1697.5230000000001</v>
          </cell>
          <cell r="CE457">
            <v>5417.1909999999998</v>
          </cell>
          <cell r="CF457">
            <v>1639.3380000000002</v>
          </cell>
          <cell r="CK457">
            <v>5166.5848000000005</v>
          </cell>
          <cell r="CL457">
            <v>1616.298</v>
          </cell>
          <cell r="CQ457">
            <v>30573.148000000001</v>
          </cell>
          <cell r="CR457">
            <v>9085.5070000000014</v>
          </cell>
          <cell r="CS457">
            <v>29.71727674232304</v>
          </cell>
          <cell r="CX457">
            <v>0</v>
          </cell>
          <cell r="CY457">
            <v>9433.5856800000001</v>
          </cell>
          <cell r="CZ457">
            <v>2084.0889999999999</v>
          </cell>
          <cell r="DA457">
            <v>22.092225275681177</v>
          </cell>
          <cell r="DF457">
            <v>0</v>
          </cell>
          <cell r="DG457">
            <v>12271.04984</v>
          </cell>
          <cell r="DH457">
            <v>3345.0079999999998</v>
          </cell>
          <cell r="DI457">
            <v>27.259346540149004</v>
          </cell>
          <cell r="DN457">
            <v>0</v>
          </cell>
          <cell r="DO457">
            <v>14409.6994</v>
          </cell>
          <cell r="DP457">
            <v>4132.348</v>
          </cell>
          <cell r="DQ457">
            <v>28.677544793196731</v>
          </cell>
          <cell r="DV457">
            <v>0</v>
          </cell>
          <cell r="DW457">
            <v>16163.4486</v>
          </cell>
          <cell r="DX457">
            <v>4953.1590000000006</v>
          </cell>
          <cell r="DY457">
            <v>30.644196808346958</v>
          </cell>
        </row>
        <row r="458">
          <cell r="F458">
            <v>0</v>
          </cell>
          <cell r="G458">
            <v>30709.145999999997</v>
          </cell>
          <cell r="H458">
            <v>9439.8189999999995</v>
          </cell>
          <cell r="I458">
            <v>30.739438341919378</v>
          </cell>
          <cell r="O458">
            <v>2058.4799999999996</v>
          </cell>
          <cell r="P458">
            <v>615.14799999999991</v>
          </cell>
          <cell r="U458">
            <v>2108.5840000000003</v>
          </cell>
          <cell r="V458">
            <v>622.12599999999998</v>
          </cell>
          <cell r="AA458">
            <v>2283.3649999999998</v>
          </cell>
          <cell r="AB458">
            <v>674.20400000000018</v>
          </cell>
          <cell r="AG458">
            <v>2483.654</v>
          </cell>
          <cell r="AH458">
            <v>749.31600000000003</v>
          </cell>
          <cell r="AM458">
            <v>2513.7070000000003</v>
          </cell>
          <cell r="AN458">
            <v>745.17399999999998</v>
          </cell>
          <cell r="AS458">
            <v>2542.3859999999995</v>
          </cell>
          <cell r="AT458">
            <v>742.62199999999996</v>
          </cell>
          <cell r="AY458">
            <v>13990.176000000001</v>
          </cell>
          <cell r="AZ458">
            <v>4148.59</v>
          </cell>
          <cell r="BA458">
            <v>29.653594064863796</v>
          </cell>
          <cell r="BG458">
            <v>2603.0529999999999</v>
          </cell>
          <cell r="BH458">
            <v>807.14100000000008</v>
          </cell>
          <cell r="BM458">
            <v>2727.95</v>
          </cell>
          <cell r="BN458">
            <v>841.86800000000005</v>
          </cell>
          <cell r="BS458">
            <v>2733.7170000000001</v>
          </cell>
          <cell r="BT458">
            <v>795.20899999999995</v>
          </cell>
          <cell r="BY458">
            <v>2923.2460000000001</v>
          </cell>
          <cell r="BZ458">
            <v>942.39499999999998</v>
          </cell>
          <cell r="CE458">
            <v>2962.7020000000002</v>
          </cell>
          <cell r="CF458">
            <v>977.00799999999992</v>
          </cell>
          <cell r="CK458">
            <v>2768.3020000000001</v>
          </cell>
          <cell r="CL458">
            <v>927.60799999999995</v>
          </cell>
          <cell r="CQ458">
            <v>16718.97</v>
          </cell>
          <cell r="CR458">
            <v>5291.2290000000003</v>
          </cell>
          <cell r="CS458">
            <v>31.648056070439743</v>
          </cell>
          <cell r="CX458">
            <v>0</v>
          </cell>
          <cell r="CY458">
            <v>6450.4290000000001</v>
          </cell>
          <cell r="CZ458">
            <v>1911.4780000000001</v>
          </cell>
          <cell r="DA458">
            <v>29.633346867316888</v>
          </cell>
          <cell r="DF458">
            <v>0</v>
          </cell>
          <cell r="DG458">
            <v>7539.7470000000003</v>
          </cell>
          <cell r="DH458">
            <v>2237.1120000000001</v>
          </cell>
          <cell r="DI458">
            <v>29.670916013494882</v>
          </cell>
          <cell r="DN458">
            <v>0</v>
          </cell>
          <cell r="DO458">
            <v>8064.7199999999993</v>
          </cell>
          <cell r="DP458">
            <v>2444.2179999999998</v>
          </cell>
          <cell r="DQ458">
            <v>30.307537025463997</v>
          </cell>
          <cell r="DV458">
            <v>0</v>
          </cell>
          <cell r="DW458">
            <v>8654.25</v>
          </cell>
          <cell r="DX458">
            <v>2847.0109999999995</v>
          </cell>
          <cell r="DY458">
            <v>32.89725857237773</v>
          </cell>
        </row>
        <row r="459">
          <cell r="F459">
            <v>0</v>
          </cell>
          <cell r="G459">
            <v>483286.20477099996</v>
          </cell>
          <cell r="H459">
            <v>119843.33899999999</v>
          </cell>
          <cell r="I459">
            <v>24.797591534148278</v>
          </cell>
          <cell r="N459">
            <v>0</v>
          </cell>
          <cell r="O459">
            <v>29674.335546300001</v>
          </cell>
          <cell r="P459">
            <v>4647.8119999999999</v>
          </cell>
          <cell r="T459">
            <v>0</v>
          </cell>
          <cell r="U459">
            <v>33101.524354299996</v>
          </cell>
          <cell r="V459">
            <v>6518.7909999999993</v>
          </cell>
          <cell r="Z459">
            <v>0</v>
          </cell>
          <cell r="AA459">
            <v>34690.560858599994</v>
          </cell>
          <cell r="AB459">
            <v>6774.6939999999995</v>
          </cell>
          <cell r="AF459">
            <v>0</v>
          </cell>
          <cell r="AG459">
            <v>35274.013750600003</v>
          </cell>
          <cell r="AH459">
            <v>7674.8010000000004</v>
          </cell>
          <cell r="AL459">
            <v>0</v>
          </cell>
          <cell r="AM459">
            <v>38407.8393966</v>
          </cell>
          <cell r="AN459">
            <v>9458.7330000000002</v>
          </cell>
          <cell r="AR459">
            <v>0</v>
          </cell>
          <cell r="AS459">
            <v>39829.727868599992</v>
          </cell>
          <cell r="AT459">
            <v>9976.7439999999988</v>
          </cell>
          <cell r="AX459">
            <v>0</v>
          </cell>
          <cell r="AY459">
            <v>210978.00177500004</v>
          </cell>
          <cell r="AZ459">
            <v>45051.574999999997</v>
          </cell>
          <cell r="BA459">
            <v>21.353683616761987</v>
          </cell>
          <cell r="BF459">
            <v>0</v>
          </cell>
          <cell r="BG459">
            <v>42171.528288499998</v>
          </cell>
          <cell r="BH459">
            <v>10871.332</v>
          </cell>
          <cell r="BL459">
            <v>0</v>
          </cell>
          <cell r="BM459">
            <v>42951.880024499995</v>
          </cell>
          <cell r="BN459">
            <v>11291.605</v>
          </cell>
          <cell r="BR459">
            <v>0</v>
          </cell>
          <cell r="BS459">
            <v>45747.403194699997</v>
          </cell>
          <cell r="BT459">
            <v>11922.002</v>
          </cell>
          <cell r="BX459">
            <v>0</v>
          </cell>
          <cell r="BY459">
            <v>49083.759137499997</v>
          </cell>
          <cell r="BZ459">
            <v>13976.612000000001</v>
          </cell>
          <cell r="CD459">
            <v>0</v>
          </cell>
          <cell r="CE459">
            <v>46611.900867799995</v>
          </cell>
          <cell r="CF459">
            <v>13493.623</v>
          </cell>
          <cell r="CJ459">
            <v>0</v>
          </cell>
          <cell r="CK459">
            <v>45741.731483000003</v>
          </cell>
          <cell r="CL459">
            <v>13236.59</v>
          </cell>
          <cell r="CP459">
            <v>0</v>
          </cell>
          <cell r="CQ459">
            <v>272308.20299599995</v>
          </cell>
          <cell r="CR459">
            <v>74791.76400000001</v>
          </cell>
          <cell r="CS459">
            <v>27.465850524193964</v>
          </cell>
          <cell r="CX459">
            <v>0</v>
          </cell>
          <cell r="CY459">
            <v>97466.420759200002</v>
          </cell>
          <cell r="CZ459">
            <v>17941.296999999999</v>
          </cell>
          <cell r="DA459">
            <v>18.407669903387205</v>
          </cell>
          <cell r="DF459">
            <v>0</v>
          </cell>
          <cell r="DG459">
            <v>113511.58101579998</v>
          </cell>
          <cell r="DH459">
            <v>27110.277999999998</v>
          </cell>
          <cell r="DI459">
            <v>23.883270550364767</v>
          </cell>
          <cell r="DN459">
            <v>0</v>
          </cell>
          <cell r="DO459">
            <v>130870.8115077</v>
          </cell>
          <cell r="DP459">
            <v>34084.938999999998</v>
          </cell>
          <cell r="DQ459">
            <v>26.044721972244023</v>
          </cell>
          <cell r="DV459">
            <v>0</v>
          </cell>
          <cell r="DW459">
            <v>141437.3914883</v>
          </cell>
          <cell r="DX459">
            <v>40706.824999999997</v>
          </cell>
          <cell r="DY459">
            <v>28.780808647314</v>
          </cell>
        </row>
        <row r="460">
          <cell r="F460">
            <v>0</v>
          </cell>
          <cell r="G460">
            <v>0</v>
          </cell>
          <cell r="H460">
            <v>0</v>
          </cell>
          <cell r="I460">
            <v>0</v>
          </cell>
          <cell r="O460">
            <v>0</v>
          </cell>
          <cell r="P460">
            <v>0</v>
          </cell>
          <cell r="U460">
            <v>0</v>
          </cell>
          <cell r="V460">
            <v>0</v>
          </cell>
          <cell r="AA460">
            <v>0</v>
          </cell>
          <cell r="AB460">
            <v>0</v>
          </cell>
          <cell r="AG460">
            <v>0</v>
          </cell>
          <cell r="AH460">
            <v>0</v>
          </cell>
          <cell r="AM460">
            <v>0</v>
          </cell>
          <cell r="AN460">
            <v>0</v>
          </cell>
          <cell r="AS460">
            <v>0</v>
          </cell>
          <cell r="AT460">
            <v>0</v>
          </cell>
          <cell r="AY460">
            <v>0</v>
          </cell>
          <cell r="AZ460">
            <v>0</v>
          </cell>
          <cell r="BA460">
            <v>0</v>
          </cell>
          <cell r="BG460">
            <v>0</v>
          </cell>
          <cell r="BH460">
            <v>0</v>
          </cell>
          <cell r="BM460">
            <v>0</v>
          </cell>
          <cell r="BN460">
            <v>0</v>
          </cell>
          <cell r="BS460">
            <v>0</v>
          </cell>
          <cell r="BT460">
            <v>0</v>
          </cell>
          <cell r="BY460">
            <v>0</v>
          </cell>
          <cell r="BZ460">
            <v>0</v>
          </cell>
          <cell r="CE460">
            <v>0</v>
          </cell>
          <cell r="CF460">
            <v>0</v>
          </cell>
          <cell r="CK460">
            <v>0</v>
          </cell>
          <cell r="CL460">
            <v>0</v>
          </cell>
          <cell r="CQ460">
            <v>0</v>
          </cell>
          <cell r="CR460">
            <v>0</v>
          </cell>
          <cell r="CS460">
            <v>0</v>
          </cell>
          <cell r="CX460">
            <v>0</v>
          </cell>
          <cell r="CY460">
            <v>0</v>
          </cell>
          <cell r="CZ460">
            <v>0</v>
          </cell>
          <cell r="DA460">
            <v>0</v>
          </cell>
          <cell r="DF460">
            <v>0</v>
          </cell>
          <cell r="DG460">
            <v>0</v>
          </cell>
          <cell r="DH460">
            <v>0</v>
          </cell>
          <cell r="DI460">
            <v>0</v>
          </cell>
          <cell r="DN460">
            <v>0</v>
          </cell>
          <cell r="DO460">
            <v>0</v>
          </cell>
          <cell r="DP460">
            <v>0</v>
          </cell>
          <cell r="DQ460">
            <v>0</v>
          </cell>
          <cell r="DV460">
            <v>0</v>
          </cell>
          <cell r="DW460">
            <v>0</v>
          </cell>
          <cell r="DX460">
            <v>0</v>
          </cell>
          <cell r="DY460">
            <v>0</v>
          </cell>
        </row>
        <row r="461">
          <cell r="F461">
            <v>0</v>
          </cell>
          <cell r="G461">
            <v>1500</v>
          </cell>
          <cell r="H461">
            <v>300</v>
          </cell>
          <cell r="I461">
            <v>20</v>
          </cell>
          <cell r="O461">
            <v>130</v>
          </cell>
          <cell r="P461">
            <v>26</v>
          </cell>
          <cell r="U461">
            <v>110</v>
          </cell>
          <cell r="V461">
            <v>22</v>
          </cell>
          <cell r="AA461">
            <v>120</v>
          </cell>
          <cell r="AB461">
            <v>24</v>
          </cell>
          <cell r="AG461">
            <v>110</v>
          </cell>
          <cell r="AH461">
            <v>22</v>
          </cell>
          <cell r="AM461">
            <v>130</v>
          </cell>
          <cell r="AN461">
            <v>26</v>
          </cell>
          <cell r="AS461">
            <v>130</v>
          </cell>
          <cell r="AT461">
            <v>26</v>
          </cell>
          <cell r="AY461">
            <v>730</v>
          </cell>
          <cell r="AZ461">
            <v>146</v>
          </cell>
          <cell r="BA461">
            <v>20</v>
          </cell>
          <cell r="BG461">
            <v>150</v>
          </cell>
          <cell r="BH461">
            <v>30</v>
          </cell>
          <cell r="BM461">
            <v>130</v>
          </cell>
          <cell r="BN461">
            <v>26</v>
          </cell>
          <cell r="BS461">
            <v>110</v>
          </cell>
          <cell r="BT461">
            <v>22</v>
          </cell>
          <cell r="BY461">
            <v>110</v>
          </cell>
          <cell r="BZ461">
            <v>22</v>
          </cell>
          <cell r="CE461">
            <v>120</v>
          </cell>
          <cell r="CF461">
            <v>24</v>
          </cell>
          <cell r="CK461">
            <v>150</v>
          </cell>
          <cell r="CL461">
            <v>30</v>
          </cell>
          <cell r="CQ461">
            <v>770</v>
          </cell>
          <cell r="CR461">
            <v>154</v>
          </cell>
          <cell r="CS461">
            <v>20</v>
          </cell>
          <cell r="CX461">
            <v>0</v>
          </cell>
          <cell r="CY461">
            <v>360</v>
          </cell>
          <cell r="CZ461">
            <v>72</v>
          </cell>
          <cell r="DA461">
            <v>20</v>
          </cell>
          <cell r="DF461">
            <v>0</v>
          </cell>
          <cell r="DG461">
            <v>370</v>
          </cell>
          <cell r="DH461">
            <v>74</v>
          </cell>
          <cell r="DI461">
            <v>20</v>
          </cell>
          <cell r="DN461">
            <v>0</v>
          </cell>
          <cell r="DO461">
            <v>390</v>
          </cell>
          <cell r="DP461">
            <v>78</v>
          </cell>
          <cell r="DQ461">
            <v>20</v>
          </cell>
          <cell r="DV461">
            <v>0</v>
          </cell>
          <cell r="DW461">
            <v>380</v>
          </cell>
          <cell r="DX461">
            <v>76</v>
          </cell>
          <cell r="DY461">
            <v>20</v>
          </cell>
        </row>
        <row r="462">
          <cell r="G462">
            <v>1500</v>
          </cell>
          <cell r="H462">
            <v>300</v>
          </cell>
          <cell r="I462">
            <v>20</v>
          </cell>
          <cell r="O462">
            <v>130</v>
          </cell>
          <cell r="P462">
            <v>26</v>
          </cell>
          <cell r="U462">
            <v>110</v>
          </cell>
          <cell r="V462">
            <v>22</v>
          </cell>
          <cell r="AA462">
            <v>120</v>
          </cell>
          <cell r="AB462">
            <v>24</v>
          </cell>
          <cell r="AG462">
            <v>110</v>
          </cell>
          <cell r="AH462">
            <v>22</v>
          </cell>
          <cell r="AM462">
            <v>130</v>
          </cell>
          <cell r="AN462">
            <v>26</v>
          </cell>
          <cell r="AS462">
            <v>130</v>
          </cell>
          <cell r="AT462">
            <v>26</v>
          </cell>
          <cell r="AY462">
            <v>730</v>
          </cell>
          <cell r="AZ462">
            <v>146</v>
          </cell>
          <cell r="BA462">
            <v>20</v>
          </cell>
          <cell r="BG462">
            <v>150</v>
          </cell>
          <cell r="BH462">
            <v>30</v>
          </cell>
          <cell r="BM462">
            <v>130</v>
          </cell>
          <cell r="BN462">
            <v>26</v>
          </cell>
          <cell r="BS462">
            <v>110</v>
          </cell>
          <cell r="BT462">
            <v>22</v>
          </cell>
          <cell r="BY462">
            <v>110</v>
          </cell>
          <cell r="BZ462">
            <v>22</v>
          </cell>
          <cell r="CE462">
            <v>120</v>
          </cell>
          <cell r="CF462">
            <v>24</v>
          </cell>
          <cell r="CK462">
            <v>150</v>
          </cell>
          <cell r="CL462">
            <v>30</v>
          </cell>
          <cell r="CQ462">
            <v>770</v>
          </cell>
          <cell r="CR462">
            <v>154</v>
          </cell>
          <cell r="CS462">
            <v>20</v>
          </cell>
          <cell r="CY462">
            <v>360</v>
          </cell>
          <cell r="CZ462">
            <v>72</v>
          </cell>
          <cell r="DA462">
            <v>20</v>
          </cell>
          <cell r="DG462">
            <v>370</v>
          </cell>
          <cell r="DH462">
            <v>74</v>
          </cell>
          <cell r="DI462">
            <v>20</v>
          </cell>
          <cell r="DO462">
            <v>390</v>
          </cell>
          <cell r="DP462">
            <v>78</v>
          </cell>
          <cell r="DQ462">
            <v>20</v>
          </cell>
          <cell r="DW462">
            <v>380</v>
          </cell>
          <cell r="DX462">
            <v>76</v>
          </cell>
          <cell r="DY462">
            <v>20</v>
          </cell>
        </row>
        <row r="463">
          <cell r="I463">
            <v>0</v>
          </cell>
          <cell r="BA463">
            <v>0</v>
          </cell>
          <cell r="CS463">
            <v>0</v>
          </cell>
          <cell r="DA463">
            <v>0</v>
          </cell>
          <cell r="DI463">
            <v>0</v>
          </cell>
          <cell r="DQ463">
            <v>0</v>
          </cell>
          <cell r="DY463">
            <v>0</v>
          </cell>
        </row>
        <row r="464">
          <cell r="F464">
            <v>0</v>
          </cell>
          <cell r="G464">
            <v>0</v>
          </cell>
          <cell r="H464">
            <v>0</v>
          </cell>
          <cell r="I464">
            <v>0</v>
          </cell>
          <cell r="AX464">
            <v>0</v>
          </cell>
          <cell r="AY464">
            <v>0</v>
          </cell>
          <cell r="AZ464">
            <v>0</v>
          </cell>
          <cell r="BA464">
            <v>0</v>
          </cell>
          <cell r="CP464">
            <v>0</v>
          </cell>
          <cell r="CQ464">
            <v>0</v>
          </cell>
          <cell r="CR464">
            <v>0</v>
          </cell>
          <cell r="CS464">
            <v>0</v>
          </cell>
          <cell r="CX464">
            <v>0</v>
          </cell>
          <cell r="CY464">
            <v>0</v>
          </cell>
          <cell r="CZ464">
            <v>0</v>
          </cell>
          <cell r="DA464">
            <v>0</v>
          </cell>
          <cell r="DF464">
            <v>0</v>
          </cell>
          <cell r="DG464">
            <v>0</v>
          </cell>
          <cell r="DH464">
            <v>0</v>
          </cell>
          <cell r="DI464">
            <v>0</v>
          </cell>
          <cell r="DN464">
            <v>0</v>
          </cell>
          <cell r="DO464">
            <v>0</v>
          </cell>
          <cell r="DP464">
            <v>0</v>
          </cell>
          <cell r="DQ464">
            <v>0</v>
          </cell>
          <cell r="DV464">
            <v>0</v>
          </cell>
          <cell r="DW464">
            <v>0</v>
          </cell>
          <cell r="DX464">
            <v>0</v>
          </cell>
          <cell r="DY464">
            <v>0</v>
          </cell>
        </row>
        <row r="465">
          <cell r="F465">
            <v>0</v>
          </cell>
          <cell r="G465">
            <v>0</v>
          </cell>
          <cell r="H465">
            <v>0</v>
          </cell>
          <cell r="I465">
            <v>0</v>
          </cell>
          <cell r="AX465">
            <v>0</v>
          </cell>
          <cell r="AY465">
            <v>0</v>
          </cell>
          <cell r="AZ465">
            <v>0</v>
          </cell>
          <cell r="BA465">
            <v>0</v>
          </cell>
          <cell r="CP465">
            <v>0</v>
          </cell>
          <cell r="CQ465">
            <v>0</v>
          </cell>
          <cell r="CR465">
            <v>0</v>
          </cell>
          <cell r="CS465">
            <v>0</v>
          </cell>
          <cell r="CX465">
            <v>0</v>
          </cell>
          <cell r="CY465">
            <v>0</v>
          </cell>
          <cell r="CZ465">
            <v>0</v>
          </cell>
          <cell r="DA465">
            <v>0</v>
          </cell>
          <cell r="DF465">
            <v>0</v>
          </cell>
          <cell r="DG465">
            <v>0</v>
          </cell>
          <cell r="DH465">
            <v>0</v>
          </cell>
          <cell r="DI465">
            <v>0</v>
          </cell>
          <cell r="DN465">
            <v>0</v>
          </cell>
          <cell r="DO465">
            <v>0</v>
          </cell>
          <cell r="DP465">
            <v>0</v>
          </cell>
          <cell r="DQ465">
            <v>0</v>
          </cell>
          <cell r="DV465">
            <v>0</v>
          </cell>
          <cell r="DW465">
            <v>0</v>
          </cell>
          <cell r="DX465">
            <v>0</v>
          </cell>
          <cell r="DY465">
            <v>0</v>
          </cell>
        </row>
        <row r="466">
          <cell r="F466">
            <v>0</v>
          </cell>
          <cell r="G466">
            <v>0</v>
          </cell>
          <cell r="H466">
            <v>0</v>
          </cell>
          <cell r="I466">
            <v>0</v>
          </cell>
          <cell r="AX466">
            <v>0</v>
          </cell>
          <cell r="AY466">
            <v>0</v>
          </cell>
          <cell r="AZ466">
            <v>0</v>
          </cell>
          <cell r="BA466">
            <v>0</v>
          </cell>
          <cell r="CP466">
            <v>0</v>
          </cell>
          <cell r="CQ466">
            <v>0</v>
          </cell>
          <cell r="CR466">
            <v>0</v>
          </cell>
          <cell r="CS466">
            <v>0</v>
          </cell>
          <cell r="CX466">
            <v>0</v>
          </cell>
          <cell r="CY466">
            <v>0</v>
          </cell>
          <cell r="CZ466">
            <v>0</v>
          </cell>
          <cell r="DA466">
            <v>0</v>
          </cell>
          <cell r="DF466">
            <v>0</v>
          </cell>
          <cell r="DG466">
            <v>0</v>
          </cell>
          <cell r="DH466">
            <v>0</v>
          </cell>
          <cell r="DI466">
            <v>0</v>
          </cell>
          <cell r="DN466">
            <v>0</v>
          </cell>
          <cell r="DO466">
            <v>0</v>
          </cell>
          <cell r="DP466">
            <v>0</v>
          </cell>
          <cell r="DQ466">
            <v>0</v>
          </cell>
          <cell r="DV466">
            <v>0</v>
          </cell>
          <cell r="DW466">
            <v>0</v>
          </cell>
          <cell r="DX466">
            <v>0</v>
          </cell>
          <cell r="DY466">
            <v>0</v>
          </cell>
        </row>
        <row r="467">
          <cell r="F467">
            <v>0</v>
          </cell>
          <cell r="G467">
            <v>0</v>
          </cell>
          <cell r="H467">
            <v>0</v>
          </cell>
          <cell r="I467">
            <v>0</v>
          </cell>
          <cell r="AX467">
            <v>0</v>
          </cell>
          <cell r="AY467">
            <v>0</v>
          </cell>
          <cell r="AZ467">
            <v>0</v>
          </cell>
          <cell r="BA467">
            <v>0</v>
          </cell>
          <cell r="CP467">
            <v>0</v>
          </cell>
          <cell r="CQ467">
            <v>0</v>
          </cell>
          <cell r="CR467">
            <v>0</v>
          </cell>
          <cell r="CS467">
            <v>0</v>
          </cell>
          <cell r="CX467">
            <v>0</v>
          </cell>
          <cell r="CY467">
            <v>0</v>
          </cell>
          <cell r="CZ467">
            <v>0</v>
          </cell>
          <cell r="DA467">
            <v>0</v>
          </cell>
          <cell r="DF467">
            <v>0</v>
          </cell>
          <cell r="DG467">
            <v>0</v>
          </cell>
          <cell r="DH467">
            <v>0</v>
          </cell>
          <cell r="DI467">
            <v>0</v>
          </cell>
          <cell r="DN467">
            <v>0</v>
          </cell>
          <cell r="DO467">
            <v>0</v>
          </cell>
          <cell r="DP467">
            <v>0</v>
          </cell>
          <cell r="DQ467">
            <v>0</v>
          </cell>
          <cell r="DV467">
            <v>0</v>
          </cell>
          <cell r="DW467">
            <v>0</v>
          </cell>
          <cell r="DX467">
            <v>0</v>
          </cell>
          <cell r="DY467">
            <v>0</v>
          </cell>
        </row>
        <row r="468">
          <cell r="F468">
            <v>0</v>
          </cell>
          <cell r="G468">
            <v>0</v>
          </cell>
          <cell r="H468">
            <v>0</v>
          </cell>
          <cell r="I468">
            <v>0</v>
          </cell>
          <cell r="O468">
            <v>0</v>
          </cell>
          <cell r="P468">
            <v>0</v>
          </cell>
          <cell r="U468">
            <v>0</v>
          </cell>
          <cell r="V468">
            <v>0</v>
          </cell>
          <cell r="AA468">
            <v>0</v>
          </cell>
          <cell r="AB468">
            <v>0</v>
          </cell>
          <cell r="AG468">
            <v>0</v>
          </cell>
          <cell r="AH468">
            <v>0</v>
          </cell>
          <cell r="AS468">
            <v>0</v>
          </cell>
          <cell r="AT468">
            <v>0</v>
          </cell>
          <cell r="AY468">
            <v>0</v>
          </cell>
          <cell r="AZ468">
            <v>0</v>
          </cell>
          <cell r="BA468">
            <v>0</v>
          </cell>
          <cell r="BG468">
            <v>0</v>
          </cell>
          <cell r="BH468">
            <v>0</v>
          </cell>
          <cell r="BM468">
            <v>0</v>
          </cell>
          <cell r="BN468">
            <v>0</v>
          </cell>
          <cell r="CP468">
            <v>0</v>
          </cell>
          <cell r="CQ468">
            <v>0</v>
          </cell>
          <cell r="CR468">
            <v>0</v>
          </cell>
          <cell r="CS468">
            <v>0</v>
          </cell>
          <cell r="CX468">
            <v>0</v>
          </cell>
          <cell r="CY468">
            <v>0</v>
          </cell>
          <cell r="CZ468">
            <v>0</v>
          </cell>
          <cell r="DA468">
            <v>0</v>
          </cell>
          <cell r="DF468">
            <v>0</v>
          </cell>
          <cell r="DG468">
            <v>0</v>
          </cell>
          <cell r="DH468">
            <v>0</v>
          </cell>
          <cell r="DI468">
            <v>0</v>
          </cell>
          <cell r="DN468">
            <v>0</v>
          </cell>
          <cell r="DO468">
            <v>0</v>
          </cell>
          <cell r="DP468">
            <v>0</v>
          </cell>
          <cell r="DQ468">
            <v>0</v>
          </cell>
          <cell r="DV468">
            <v>0</v>
          </cell>
          <cell r="DW468">
            <v>0</v>
          </cell>
          <cell r="DX468">
            <v>0</v>
          </cell>
          <cell r="DY468">
            <v>0</v>
          </cell>
        </row>
        <row r="469">
          <cell r="I469">
            <v>0</v>
          </cell>
          <cell r="BA469">
            <v>0</v>
          </cell>
          <cell r="CS469">
            <v>0</v>
          </cell>
          <cell r="DA469">
            <v>0</v>
          </cell>
          <cell r="DI469">
            <v>0</v>
          </cell>
          <cell r="DQ469">
            <v>0</v>
          </cell>
          <cell r="DY469">
            <v>0</v>
          </cell>
        </row>
        <row r="470">
          <cell r="F470">
            <v>0</v>
          </cell>
          <cell r="G470">
            <v>0</v>
          </cell>
          <cell r="H470">
            <v>0</v>
          </cell>
          <cell r="I470">
            <v>0</v>
          </cell>
          <cell r="AX470">
            <v>0</v>
          </cell>
          <cell r="AY470">
            <v>0</v>
          </cell>
          <cell r="AZ470">
            <v>0</v>
          </cell>
          <cell r="BA470">
            <v>0</v>
          </cell>
          <cell r="CP470">
            <v>0</v>
          </cell>
          <cell r="CQ470">
            <v>0</v>
          </cell>
          <cell r="CR470">
            <v>0</v>
          </cell>
          <cell r="CS470">
            <v>0</v>
          </cell>
          <cell r="CX470">
            <v>0</v>
          </cell>
          <cell r="CY470">
            <v>0</v>
          </cell>
          <cell r="CZ470">
            <v>0</v>
          </cell>
          <cell r="DA470">
            <v>0</v>
          </cell>
          <cell r="DF470">
            <v>0</v>
          </cell>
          <cell r="DG470">
            <v>0</v>
          </cell>
          <cell r="DH470">
            <v>0</v>
          </cell>
          <cell r="DI470">
            <v>0</v>
          </cell>
          <cell r="DN470">
            <v>0</v>
          </cell>
          <cell r="DO470">
            <v>0</v>
          </cell>
          <cell r="DP470">
            <v>0</v>
          </cell>
          <cell r="DQ470">
            <v>0</v>
          </cell>
          <cell r="DV470">
            <v>0</v>
          </cell>
          <cell r="DW470">
            <v>0</v>
          </cell>
          <cell r="DX470">
            <v>0</v>
          </cell>
          <cell r="DY470">
            <v>0</v>
          </cell>
        </row>
        <row r="471">
          <cell r="G471">
            <v>160121.293381</v>
          </cell>
          <cell r="H471">
            <v>15878.338000000002</v>
          </cell>
          <cell r="I471">
            <v>9.9164437563081318</v>
          </cell>
          <cell r="U471">
            <v>10830.822894299998</v>
          </cell>
          <cell r="V471">
            <v>592.20900000000006</v>
          </cell>
          <cell r="AA471">
            <v>12094.018668599998</v>
          </cell>
          <cell r="AB471">
            <v>931.95600000000002</v>
          </cell>
          <cell r="AG471">
            <v>10873.0882526</v>
          </cell>
          <cell r="AH471">
            <v>793.34100000000001</v>
          </cell>
          <cell r="AM471">
            <v>11058.490612600001</v>
          </cell>
          <cell r="AN471">
            <v>775.74900000000002</v>
          </cell>
          <cell r="AS471">
            <v>12819.1381446</v>
          </cell>
          <cell r="AT471">
            <v>1282.8409999999999</v>
          </cell>
          <cell r="AY471">
            <v>67677.617511000019</v>
          </cell>
          <cell r="AZ471">
            <v>4652.2330000000002</v>
          </cell>
          <cell r="BA471">
            <v>6.8741087099347826</v>
          </cell>
          <cell r="BG471">
            <v>13476.818236499999</v>
          </cell>
          <cell r="BH471">
            <v>1223.5149999999999</v>
          </cell>
          <cell r="BM471">
            <v>14449.086716499998</v>
          </cell>
          <cell r="BN471">
            <v>1642.1179999999997</v>
          </cell>
          <cell r="BS471">
            <v>16231.845898699999</v>
          </cell>
          <cell r="BT471">
            <v>1991.72</v>
          </cell>
          <cell r="BY471">
            <v>17955.779347499996</v>
          </cell>
          <cell r="BZ471">
            <v>2610.3360000000002</v>
          </cell>
          <cell r="CE471">
            <v>15604.308759800002</v>
          </cell>
          <cell r="CF471">
            <v>2125.1059999999998</v>
          </cell>
          <cell r="CK471">
            <v>14725.836911000002</v>
          </cell>
          <cell r="CL471">
            <v>1633.31</v>
          </cell>
          <cell r="CQ471">
            <v>92443.675870000006</v>
          </cell>
          <cell r="CR471">
            <v>11226.105000000001</v>
          </cell>
          <cell r="CS471">
            <v>12.143724158899568</v>
          </cell>
          <cell r="CY471">
            <v>32926.900501199998</v>
          </cell>
          <cell r="CZ471">
            <v>1800.3020000000001</v>
          </cell>
          <cell r="DA471">
            <v>5.4675720234717788</v>
          </cell>
          <cell r="DG471">
            <v>34750.717009799992</v>
          </cell>
          <cell r="DH471">
            <v>2851.931</v>
          </cell>
          <cell r="DI471">
            <v>8.2068263489231938</v>
          </cell>
          <cell r="DO471">
            <v>44157.750851700002</v>
          </cell>
          <cell r="DP471">
            <v>4857.3529999999992</v>
          </cell>
          <cell r="DQ471">
            <v>11.000000920139707</v>
          </cell>
          <cell r="DW471">
            <v>48285.925018299997</v>
          </cell>
          <cell r="DX471">
            <v>6368.7520000000004</v>
          </cell>
          <cell r="DY471">
            <v>13.189665513472699</v>
          </cell>
        </row>
        <row r="472">
          <cell r="I472">
            <v>0</v>
          </cell>
          <cell r="BA472">
            <v>0</v>
          </cell>
          <cell r="CS472">
            <v>0</v>
          </cell>
          <cell r="DA472">
            <v>0</v>
          </cell>
          <cell r="DI472">
            <v>0</v>
          </cell>
          <cell r="DQ472">
            <v>0</v>
          </cell>
          <cell r="DY472">
            <v>0</v>
          </cell>
        </row>
        <row r="473">
          <cell r="F473">
            <v>2045978</v>
          </cell>
          <cell r="G473">
            <v>241183.69338099999</v>
          </cell>
          <cell r="H473">
            <v>56196.996000000006</v>
          </cell>
          <cell r="I473">
            <v>23.300495656323299</v>
          </cell>
          <cell r="N473">
            <v>129316</v>
          </cell>
          <cell r="O473">
            <v>15082.258938300001</v>
          </cell>
          <cell r="P473">
            <v>2683.636</v>
          </cell>
          <cell r="T473">
            <v>150826</v>
          </cell>
          <cell r="U473">
            <v>17810.822894299999</v>
          </cell>
          <cell r="V473">
            <v>4038.2289999999994</v>
          </cell>
          <cell r="Z473">
            <v>158566</v>
          </cell>
          <cell r="AA473">
            <v>18574.018668599998</v>
          </cell>
          <cell r="AB473">
            <v>4134.5450000000001</v>
          </cell>
          <cell r="AF473">
            <v>146506</v>
          </cell>
          <cell r="AG473">
            <v>17855.088252599999</v>
          </cell>
          <cell r="AH473">
            <v>4256.8560000000007</v>
          </cell>
          <cell r="AL473">
            <v>152656</v>
          </cell>
          <cell r="AM473">
            <v>18640.490612599999</v>
          </cell>
          <cell r="AN473">
            <v>4578.7240000000002</v>
          </cell>
          <cell r="AR473">
            <v>158226</v>
          </cell>
          <cell r="AS473">
            <v>19731.138144600001</v>
          </cell>
          <cell r="AT473">
            <v>4743.9779999999992</v>
          </cell>
          <cell r="AX473">
            <v>896096</v>
          </cell>
          <cell r="AY473">
            <v>107693.81751100002</v>
          </cell>
          <cell r="AZ473">
            <v>24435.967999999997</v>
          </cell>
          <cell r="BA473">
            <v>22.690223603136801</v>
          </cell>
          <cell r="BF473">
            <v>173731</v>
          </cell>
          <cell r="BG473">
            <v>20687.0182365</v>
          </cell>
          <cell r="BH473">
            <v>4785.7970000000005</v>
          </cell>
          <cell r="BL473">
            <v>183366</v>
          </cell>
          <cell r="BM473">
            <v>21259.086716499998</v>
          </cell>
          <cell r="BN473">
            <v>5031.741</v>
          </cell>
          <cell r="BR473">
            <v>200082</v>
          </cell>
          <cell r="BS473">
            <v>23141.845898699998</v>
          </cell>
          <cell r="BT473">
            <v>5442.835</v>
          </cell>
          <cell r="BX473">
            <v>216677</v>
          </cell>
          <cell r="BY473">
            <v>24965.779347499996</v>
          </cell>
          <cell r="BZ473">
            <v>6169.6940000000004</v>
          </cell>
          <cell r="CD473">
            <v>191178</v>
          </cell>
          <cell r="CE473">
            <v>22220.308759800002</v>
          </cell>
          <cell r="CF473">
            <v>5486.277</v>
          </cell>
          <cell r="CJ473">
            <v>184848</v>
          </cell>
          <cell r="CK473">
            <v>21215.836911000002</v>
          </cell>
          <cell r="CL473">
            <v>4844.6839999999993</v>
          </cell>
          <cell r="CP473">
            <v>1149882</v>
          </cell>
          <cell r="CQ473">
            <v>133489.87586999999</v>
          </cell>
          <cell r="CR473">
            <v>31761.028000000006</v>
          </cell>
          <cell r="CS473">
            <v>23.792836567569136</v>
          </cell>
          <cell r="CX473">
            <v>438708</v>
          </cell>
          <cell r="CY473">
            <v>51467.100501199995</v>
          </cell>
          <cell r="CZ473">
            <v>10856.41</v>
          </cell>
          <cell r="DA473">
            <v>21.09388307147179</v>
          </cell>
          <cell r="DF473">
            <v>457388</v>
          </cell>
          <cell r="DG473">
            <v>56226.717009799992</v>
          </cell>
          <cell r="DH473">
            <v>13579.557999999999</v>
          </cell>
          <cell r="DI473">
            <v>24.15143320146748</v>
          </cell>
          <cell r="DN473">
            <v>557179</v>
          </cell>
          <cell r="DO473">
            <v>65087.950851700007</v>
          </cell>
          <cell r="DP473">
            <v>15260.372999999998</v>
          </cell>
          <cell r="DQ473">
            <v>23.445772681905559</v>
          </cell>
          <cell r="DV473">
            <v>592703</v>
          </cell>
          <cell r="DW473">
            <v>68401.925018299997</v>
          </cell>
          <cell r="DX473">
            <v>16500.655000000002</v>
          </cell>
          <cell r="DY473">
            <v>24.123085710797582</v>
          </cell>
        </row>
        <row r="475">
          <cell r="F475">
            <v>51210</v>
          </cell>
          <cell r="G475">
            <v>66849.744999999995</v>
          </cell>
          <cell r="H475">
            <v>22608.921999999999</v>
          </cell>
          <cell r="I475">
            <v>33.820505972012313</v>
          </cell>
          <cell r="N475">
            <v>2302</v>
          </cell>
          <cell r="O475">
            <v>3977.4439999999995</v>
          </cell>
          <cell r="P475">
            <v>1183.3609999999999</v>
          </cell>
          <cell r="T475">
            <v>2670</v>
          </cell>
          <cell r="U475">
            <v>4253.1260000000002</v>
          </cell>
          <cell r="V475">
            <v>1252.2260000000001</v>
          </cell>
          <cell r="Z475">
            <v>3500</v>
          </cell>
          <cell r="AA475">
            <v>4928.0949999999993</v>
          </cell>
          <cell r="AB475">
            <v>1545.5400000000002</v>
          </cell>
          <cell r="AF475">
            <v>3842</v>
          </cell>
          <cell r="AG475">
            <v>5425.7809999999999</v>
          </cell>
          <cell r="AH475">
            <v>1747.491</v>
          </cell>
          <cell r="AL475">
            <v>4300</v>
          </cell>
          <cell r="AM475">
            <v>5563.165</v>
          </cell>
          <cell r="AN475">
            <v>1824.4960000000001</v>
          </cell>
          <cell r="AR475">
            <v>4570</v>
          </cell>
          <cell r="AS475">
            <v>5662.9149999999991</v>
          </cell>
          <cell r="AT475">
            <v>1878.816</v>
          </cell>
          <cell r="AX475">
            <v>21184</v>
          </cell>
          <cell r="AY475">
            <v>29810.525999999998</v>
          </cell>
          <cell r="AZ475">
            <v>9431.93</v>
          </cell>
          <cell r="BA475">
            <v>31.639596027255614</v>
          </cell>
          <cell r="BF475">
            <v>4952</v>
          </cell>
          <cell r="BG475">
            <v>5799.6190000000006</v>
          </cell>
          <cell r="BH475">
            <v>1999.7860000000001</v>
          </cell>
          <cell r="BL475">
            <v>4270</v>
          </cell>
          <cell r="BM475">
            <v>5677.0740000000005</v>
          </cell>
          <cell r="BN475">
            <v>1935.0079999999998</v>
          </cell>
          <cell r="BR475">
            <v>4786</v>
          </cell>
          <cell r="BS475">
            <v>6223.7839999999997</v>
          </cell>
          <cell r="BT475">
            <v>2153.4450000000002</v>
          </cell>
          <cell r="BX475">
            <v>5764</v>
          </cell>
          <cell r="BY475">
            <v>6707.73</v>
          </cell>
          <cell r="BZ475">
            <v>2410.6689999999999</v>
          </cell>
          <cell r="CD475">
            <v>5504</v>
          </cell>
          <cell r="CE475">
            <v>6533.2460000000001</v>
          </cell>
          <cell r="CF475">
            <v>2383.5590000000002</v>
          </cell>
          <cell r="CJ475">
            <v>4750</v>
          </cell>
          <cell r="CK475">
            <v>6097.7659999999996</v>
          </cell>
          <cell r="CL475">
            <v>2294.5249999999996</v>
          </cell>
          <cell r="CP475">
            <v>30026</v>
          </cell>
          <cell r="CQ475">
            <v>37039.218999999997</v>
          </cell>
          <cell r="CR475">
            <v>13176.992000000002</v>
          </cell>
          <cell r="CS475">
            <v>35.575782523924175</v>
          </cell>
          <cell r="CX475">
            <v>8472</v>
          </cell>
          <cell r="CY475">
            <v>13158.665000000001</v>
          </cell>
          <cell r="CZ475">
            <v>3981.1270000000004</v>
          </cell>
          <cell r="DA475">
            <v>30.254794084354302</v>
          </cell>
          <cell r="DF475">
            <v>12712</v>
          </cell>
          <cell r="DG475">
            <v>16651.861000000001</v>
          </cell>
          <cell r="DH475">
            <v>5450.8029999999999</v>
          </cell>
          <cell r="DI475">
            <v>32.733896829909881</v>
          </cell>
          <cell r="DN475">
            <v>14008</v>
          </cell>
          <cell r="DO475">
            <v>17700.476999999999</v>
          </cell>
          <cell r="DP475">
            <v>6088.2390000000005</v>
          </cell>
          <cell r="DQ475">
            <v>34.395903568022497</v>
          </cell>
          <cell r="DV475">
            <v>16018</v>
          </cell>
          <cell r="DW475">
            <v>19338.741999999998</v>
          </cell>
          <cell r="DX475">
            <v>7088.7529999999997</v>
          </cell>
          <cell r="DY475">
            <v>36.655709042501314</v>
          </cell>
        </row>
        <row r="476">
          <cell r="F476">
            <v>69037.804000000004</v>
          </cell>
          <cell r="G476">
            <v>17637.184519999999</v>
          </cell>
          <cell r="H476">
            <v>1645.5009999999997</v>
          </cell>
          <cell r="I476">
            <v>9.3297260576599097</v>
          </cell>
          <cell r="N476">
            <v>3313</v>
          </cell>
          <cell r="O476">
            <v>972.31740000000002</v>
          </cell>
          <cell r="P476">
            <v>22.815000000000001</v>
          </cell>
          <cell r="T476">
            <v>4064</v>
          </cell>
          <cell r="U476">
            <v>1042.99964</v>
          </cell>
          <cell r="V476">
            <v>38.016000000000005</v>
          </cell>
          <cell r="Z476">
            <v>3410.806</v>
          </cell>
          <cell r="AA476">
            <v>1070.0326399999999</v>
          </cell>
          <cell r="AB476">
            <v>25.609000000000005</v>
          </cell>
          <cell r="AF476">
            <v>3507.6059999999998</v>
          </cell>
          <cell r="AG476">
            <v>1116.394</v>
          </cell>
          <cell r="AH476">
            <v>52.454000000000008</v>
          </cell>
          <cell r="AL476">
            <v>3486.672</v>
          </cell>
          <cell r="AM476">
            <v>1161.8270400000001</v>
          </cell>
          <cell r="AN476">
            <v>59.513000000000005</v>
          </cell>
          <cell r="AR476">
            <v>3935</v>
          </cell>
          <cell r="AS476">
            <v>1250.7148</v>
          </cell>
          <cell r="AT476">
            <v>93.350000000000009</v>
          </cell>
          <cell r="AX476">
            <v>21717.083999999999</v>
          </cell>
          <cell r="AY476">
            <v>6614.2855200000004</v>
          </cell>
          <cell r="AZ476">
            <v>291.75699999999995</v>
          </cell>
          <cell r="BA476">
            <v>4.4110130885308374</v>
          </cell>
          <cell r="BF476">
            <v>6972.3440000000001</v>
          </cell>
          <cell r="BG476">
            <v>1646.4878000000001</v>
          </cell>
          <cell r="BH476">
            <v>164.749</v>
          </cell>
          <cell r="BL476">
            <v>6902.3440000000001</v>
          </cell>
          <cell r="BM476">
            <v>1684.3518000000001</v>
          </cell>
          <cell r="BN476">
            <v>194.85599999999999</v>
          </cell>
          <cell r="BR476">
            <v>7360.3440000000001</v>
          </cell>
          <cell r="BS476">
            <v>1833.1027999999999</v>
          </cell>
          <cell r="BT476">
            <v>206.72200000000001</v>
          </cell>
          <cell r="BX476">
            <v>7597.3440000000001</v>
          </cell>
          <cell r="BY476">
            <v>1905.1887999999999</v>
          </cell>
          <cell r="BZ476">
            <v>251.24900000000005</v>
          </cell>
          <cell r="CD476">
            <v>8634.344000000001</v>
          </cell>
          <cell r="CE476">
            <v>1966.6469999999999</v>
          </cell>
          <cell r="CF476">
            <v>256.78699999999998</v>
          </cell>
          <cell r="CJ476">
            <v>9854</v>
          </cell>
          <cell r="CK476">
            <v>1987.1208000000001</v>
          </cell>
          <cell r="CL476">
            <v>279.38100000000003</v>
          </cell>
          <cell r="CP476">
            <v>47320.72</v>
          </cell>
          <cell r="CQ476">
            <v>11022.899000000001</v>
          </cell>
          <cell r="CR476">
            <v>1353.7439999999999</v>
          </cell>
          <cell r="CS476">
            <v>12.281197532518441</v>
          </cell>
          <cell r="CX476">
            <v>10787.806</v>
          </cell>
          <cell r="CY476">
            <v>3085.3496800000003</v>
          </cell>
          <cell r="CZ476">
            <v>86.440000000000012</v>
          </cell>
          <cell r="DA476">
            <v>2.8016273345068625</v>
          </cell>
          <cell r="DF476">
            <v>10929.278</v>
          </cell>
          <cell r="DG476">
            <v>3528.9358400000001</v>
          </cell>
          <cell r="DH476">
            <v>205.31700000000001</v>
          </cell>
          <cell r="DI476">
            <v>5.8180995435723197</v>
          </cell>
          <cell r="DN476">
            <v>21235.031999999999</v>
          </cell>
          <cell r="DO476">
            <v>5163.9424000000008</v>
          </cell>
          <cell r="DP476">
            <v>566.327</v>
          </cell>
          <cell r="DQ476">
            <v>10.966950367223305</v>
          </cell>
          <cell r="DV476">
            <v>26085.688000000002</v>
          </cell>
          <cell r="DW476">
            <v>5858.9566000000004</v>
          </cell>
          <cell r="DX476">
            <v>787.41699999999992</v>
          </cell>
          <cell r="DY476">
            <v>13.439543143227922</v>
          </cell>
        </row>
        <row r="477">
          <cell r="F477">
            <v>120247.804</v>
          </cell>
          <cell r="G477">
            <v>84486.929519999991</v>
          </cell>
          <cell r="H477">
            <v>24254.422999999999</v>
          </cell>
          <cell r="I477">
            <v>28.707899716320522</v>
          </cell>
          <cell r="N477">
            <v>5615</v>
          </cell>
          <cell r="O477">
            <v>4949.7613999999994</v>
          </cell>
          <cell r="P477">
            <v>1206.1759999999999</v>
          </cell>
          <cell r="T477">
            <v>6734</v>
          </cell>
          <cell r="U477">
            <v>5296.1256400000002</v>
          </cell>
          <cell r="V477">
            <v>1290.2420000000002</v>
          </cell>
          <cell r="Z477">
            <v>6910.8060000000005</v>
          </cell>
          <cell r="AA477">
            <v>5998.1276399999988</v>
          </cell>
          <cell r="AB477">
            <v>1571.1490000000001</v>
          </cell>
          <cell r="AF477">
            <v>7349.6059999999998</v>
          </cell>
          <cell r="AG477">
            <v>6542.1750000000002</v>
          </cell>
          <cell r="AH477">
            <v>1799.9449999999999</v>
          </cell>
          <cell r="AL477">
            <v>7786.6720000000005</v>
          </cell>
          <cell r="AM477">
            <v>6724.9920400000001</v>
          </cell>
          <cell r="AN477">
            <v>1884.009</v>
          </cell>
          <cell r="AR477">
            <v>8505</v>
          </cell>
          <cell r="AS477">
            <v>6913.6297999999988</v>
          </cell>
          <cell r="AT477">
            <v>1972.1659999999999</v>
          </cell>
          <cell r="AX477">
            <v>42901.084000000003</v>
          </cell>
          <cell r="AY477">
            <v>36424.811519999996</v>
          </cell>
          <cell r="AZ477">
            <v>9723.6869999999999</v>
          </cell>
          <cell r="BA477">
            <v>26.695229417071808</v>
          </cell>
          <cell r="BF477">
            <v>11924.344000000001</v>
          </cell>
          <cell r="BG477">
            <v>7446.1068000000005</v>
          </cell>
          <cell r="BH477">
            <v>2164.5349999999999</v>
          </cell>
          <cell r="BL477">
            <v>11172.344000000001</v>
          </cell>
          <cell r="BM477">
            <v>7361.4258000000009</v>
          </cell>
          <cell r="BN477">
            <v>2129.8639999999996</v>
          </cell>
          <cell r="BR477">
            <v>12146.344000000001</v>
          </cell>
          <cell r="BS477">
            <v>8056.8867999999993</v>
          </cell>
          <cell r="BT477">
            <v>2360.1670000000004</v>
          </cell>
          <cell r="BX477">
            <v>13361.344000000001</v>
          </cell>
          <cell r="BY477">
            <v>8612.9187999999995</v>
          </cell>
          <cell r="BZ477">
            <v>2661.9180000000001</v>
          </cell>
          <cell r="CD477">
            <v>14138.344000000001</v>
          </cell>
          <cell r="CE477">
            <v>8499.893</v>
          </cell>
          <cell r="CF477">
            <v>2640.346</v>
          </cell>
          <cell r="CJ477">
            <v>14604</v>
          </cell>
          <cell r="CK477">
            <v>8084.8868000000002</v>
          </cell>
          <cell r="CL477">
            <v>2573.9059999999995</v>
          </cell>
          <cell r="CP477">
            <v>77346.720000000001</v>
          </cell>
          <cell r="CQ477">
            <v>48062.118000000002</v>
          </cell>
          <cell r="CR477">
            <v>14530.736000000003</v>
          </cell>
          <cell r="CS477">
            <v>30.233241073562343</v>
          </cell>
          <cell r="CX477">
            <v>19259.806</v>
          </cell>
          <cell r="CY477">
            <v>16244.01468</v>
          </cell>
          <cell r="CZ477">
            <v>4067.5670000000005</v>
          </cell>
          <cell r="DA477">
            <v>25.040404605199484</v>
          </cell>
          <cell r="DF477">
            <v>23641.277999999998</v>
          </cell>
          <cell r="DG477">
            <v>20180.796840000003</v>
          </cell>
          <cell r="DH477">
            <v>5656.12</v>
          </cell>
          <cell r="DI477">
            <v>28.027238195020644</v>
          </cell>
          <cell r="DN477">
            <v>35243.031999999999</v>
          </cell>
          <cell r="DO477">
            <v>22864.419399999999</v>
          </cell>
          <cell r="DP477">
            <v>6654.5660000000007</v>
          </cell>
          <cell r="DQ477">
            <v>29.10446088125903</v>
          </cell>
          <cell r="DV477">
            <v>42103.688000000002</v>
          </cell>
          <cell r="DW477">
            <v>25197.6986</v>
          </cell>
          <cell r="DX477">
            <v>7876.17</v>
          </cell>
          <cell r="DY477">
            <v>31.257497460502208</v>
          </cell>
        </row>
        <row r="478">
          <cell r="F478">
            <v>120247.804</v>
          </cell>
          <cell r="G478">
            <v>52277.783519999997</v>
          </cell>
          <cell r="H478">
            <v>14514.603999999999</v>
          </cell>
          <cell r="I478">
            <v>27.764382922713477</v>
          </cell>
          <cell r="N478">
            <v>5615</v>
          </cell>
          <cell r="O478">
            <v>2761.2813999999998</v>
          </cell>
          <cell r="P478">
            <v>565.02800000000002</v>
          </cell>
          <cell r="T478">
            <v>6734</v>
          </cell>
          <cell r="U478">
            <v>3077.5416399999999</v>
          </cell>
          <cell r="V478">
            <v>646.11599999999999</v>
          </cell>
          <cell r="Z478">
            <v>6910.8060000000005</v>
          </cell>
          <cell r="AA478">
            <v>3594.7626399999999</v>
          </cell>
          <cell r="AB478">
            <v>872.94500000000005</v>
          </cell>
          <cell r="AF478">
            <v>7349.6059999999998</v>
          </cell>
          <cell r="AG478">
            <v>3948.5209999999997</v>
          </cell>
          <cell r="AH478">
            <v>1028.6289999999999</v>
          </cell>
          <cell r="AL478">
            <v>7786.6720000000005</v>
          </cell>
          <cell r="AM478">
            <v>4081.2850399999998</v>
          </cell>
          <cell r="AN478">
            <v>1112.835</v>
          </cell>
          <cell r="AR478">
            <v>8505</v>
          </cell>
          <cell r="AS478">
            <v>4241.2438000000002</v>
          </cell>
          <cell r="AT478">
            <v>1203.5440000000001</v>
          </cell>
          <cell r="AX478">
            <v>42901.084000000003</v>
          </cell>
          <cell r="AY478">
            <v>21704.63552</v>
          </cell>
          <cell r="AZ478">
            <v>5429.0969999999998</v>
          </cell>
          <cell r="BA478">
            <v>25.013536831785505</v>
          </cell>
          <cell r="BF478">
            <v>11924.344000000001</v>
          </cell>
          <cell r="BG478">
            <v>4693.0537999999997</v>
          </cell>
          <cell r="BH478">
            <v>1327.3939999999998</v>
          </cell>
          <cell r="BL478">
            <v>11172.344000000001</v>
          </cell>
          <cell r="BM478">
            <v>4503.4758000000002</v>
          </cell>
          <cell r="BN478">
            <v>1261.9959999999996</v>
          </cell>
          <cell r="BR478">
            <v>12146.344000000001</v>
          </cell>
          <cell r="BS478">
            <v>5213.1697999999997</v>
          </cell>
          <cell r="BT478">
            <v>1542.9580000000001</v>
          </cell>
          <cell r="BX478">
            <v>13361.344000000001</v>
          </cell>
          <cell r="BY478">
            <v>5579.6728000000003</v>
          </cell>
          <cell r="BZ478">
            <v>1697.5230000000001</v>
          </cell>
          <cell r="CD478">
            <v>14138.344000000001</v>
          </cell>
          <cell r="CE478">
            <v>5417.1909999999998</v>
          </cell>
          <cell r="CF478">
            <v>1639.3380000000002</v>
          </cell>
          <cell r="CJ478">
            <v>14604</v>
          </cell>
          <cell r="CK478">
            <v>5166.5848000000005</v>
          </cell>
          <cell r="CL478">
            <v>1616.298</v>
          </cell>
          <cell r="CP478">
            <v>77346.720000000001</v>
          </cell>
          <cell r="CQ478">
            <v>30573.148000000001</v>
          </cell>
          <cell r="CR478">
            <v>9085.5070000000014</v>
          </cell>
          <cell r="CS478">
            <v>29.71727674232304</v>
          </cell>
          <cell r="CX478">
            <v>19259.806</v>
          </cell>
          <cell r="CY478">
            <v>9433.5856800000001</v>
          </cell>
          <cell r="CZ478">
            <v>2084.0889999999999</v>
          </cell>
          <cell r="DA478">
            <v>22.092225275681177</v>
          </cell>
          <cell r="DF478">
            <v>23641.277999999998</v>
          </cell>
          <cell r="DG478">
            <v>12271.04984</v>
          </cell>
          <cell r="DH478">
            <v>3345.0079999999998</v>
          </cell>
          <cell r="DI478">
            <v>27.259346540149004</v>
          </cell>
          <cell r="DN478">
            <v>35243.031999999999</v>
          </cell>
          <cell r="DO478">
            <v>14409.699400000001</v>
          </cell>
          <cell r="DP478">
            <v>4132.348</v>
          </cell>
          <cell r="DQ478">
            <v>28.677544793196724</v>
          </cell>
          <cell r="DV478">
            <v>42103.688000000002</v>
          </cell>
          <cell r="DW478">
            <v>16163.4486</v>
          </cell>
          <cell r="DX478">
            <v>4953.1589999999997</v>
          </cell>
          <cell r="DY478">
            <v>30.644196808346951</v>
          </cell>
        </row>
        <row r="479">
          <cell r="F479">
            <v>0</v>
          </cell>
          <cell r="G479">
            <v>32209.145999999997</v>
          </cell>
          <cell r="H479">
            <v>9739.8189999999995</v>
          </cell>
          <cell r="I479">
            <v>30.239296006171664</v>
          </cell>
          <cell r="N479">
            <v>0</v>
          </cell>
          <cell r="O479">
            <v>2188.4799999999996</v>
          </cell>
          <cell r="P479">
            <v>641.14799999999991</v>
          </cell>
          <cell r="T479">
            <v>0</v>
          </cell>
          <cell r="U479">
            <v>2218.5840000000003</v>
          </cell>
          <cell r="V479">
            <v>644.12599999999998</v>
          </cell>
          <cell r="Z479">
            <v>0</v>
          </cell>
          <cell r="AA479">
            <v>2403.3649999999998</v>
          </cell>
          <cell r="AB479">
            <v>698.20400000000018</v>
          </cell>
          <cell r="AF479">
            <v>0</v>
          </cell>
          <cell r="AG479">
            <v>2593.654</v>
          </cell>
          <cell r="AH479">
            <v>771.31600000000003</v>
          </cell>
          <cell r="AL479">
            <v>0</v>
          </cell>
          <cell r="AM479">
            <v>2643.7070000000003</v>
          </cell>
          <cell r="AN479">
            <v>771.17399999999998</v>
          </cell>
          <cell r="AR479">
            <v>0</v>
          </cell>
          <cell r="AS479">
            <v>2672.3859999999995</v>
          </cell>
          <cell r="AT479">
            <v>768.62199999999996</v>
          </cell>
          <cell r="AX479">
            <v>0</v>
          </cell>
          <cell r="AY479">
            <v>14720.176000000001</v>
          </cell>
          <cell r="AZ479">
            <v>4294.59</v>
          </cell>
          <cell r="BA479">
            <v>29.174854974560084</v>
          </cell>
          <cell r="BF479">
            <v>0</v>
          </cell>
          <cell r="BG479">
            <v>2753.0529999999999</v>
          </cell>
          <cell r="BH479">
            <v>837.14100000000008</v>
          </cell>
          <cell r="BL479">
            <v>0</v>
          </cell>
          <cell r="BM479">
            <v>2857.95</v>
          </cell>
          <cell r="BN479">
            <v>867.86800000000005</v>
          </cell>
          <cell r="BR479">
            <v>0</v>
          </cell>
          <cell r="BS479">
            <v>2843.7170000000001</v>
          </cell>
          <cell r="BT479">
            <v>817.20899999999995</v>
          </cell>
          <cell r="BX479">
            <v>0</v>
          </cell>
          <cell r="BY479">
            <v>3033.2460000000001</v>
          </cell>
          <cell r="BZ479">
            <v>964.39499999999998</v>
          </cell>
          <cell r="CD479">
            <v>0</v>
          </cell>
          <cell r="CE479">
            <v>3082.7020000000002</v>
          </cell>
          <cell r="CF479">
            <v>1001.0079999999999</v>
          </cell>
          <cell r="CJ479">
            <v>0</v>
          </cell>
          <cell r="CK479">
            <v>2918.3020000000001</v>
          </cell>
          <cell r="CL479">
            <v>957.60799999999995</v>
          </cell>
          <cell r="CP479">
            <v>0</v>
          </cell>
          <cell r="CQ479">
            <v>17488.97</v>
          </cell>
          <cell r="CR479">
            <v>5445.2290000000003</v>
          </cell>
          <cell r="CS479">
            <v>31.135218369063473</v>
          </cell>
          <cell r="CX479">
            <v>0</v>
          </cell>
          <cell r="CY479">
            <v>6810.4290000000001</v>
          </cell>
          <cell r="CZ479">
            <v>1983.4780000000001</v>
          </cell>
          <cell r="DA479">
            <v>29.124127129142675</v>
          </cell>
          <cell r="DF479">
            <v>0</v>
          </cell>
          <cell r="DG479">
            <v>7909.7470000000012</v>
          </cell>
          <cell r="DH479">
            <v>2311.1119999999996</v>
          </cell>
          <cell r="DI479">
            <v>29.218532527020137</v>
          </cell>
          <cell r="DN479">
            <v>0</v>
          </cell>
          <cell r="DO479">
            <v>8454.7199999999993</v>
          </cell>
          <cell r="DP479">
            <v>2522.2180000000003</v>
          </cell>
          <cell r="DQ479">
            <v>29.832070133605846</v>
          </cell>
          <cell r="DV479">
            <v>0</v>
          </cell>
          <cell r="DW479">
            <v>9034.25</v>
          </cell>
          <cell r="DX479">
            <v>2923.0109999999995</v>
          </cell>
          <cell r="DY479">
            <v>32.35477211722057</v>
          </cell>
        </row>
        <row r="481">
          <cell r="F481">
            <v>0</v>
          </cell>
          <cell r="G481">
            <v>144659</v>
          </cell>
          <cell r="H481">
            <v>26912.451300000008</v>
          </cell>
          <cell r="I481">
            <v>18.604062865082717</v>
          </cell>
          <cell r="N481">
            <v>0</v>
          </cell>
          <cell r="O481">
            <v>339</v>
          </cell>
          <cell r="P481">
            <v>46.81</v>
          </cell>
          <cell r="T481">
            <v>0</v>
          </cell>
          <cell r="U481">
            <v>1445</v>
          </cell>
          <cell r="V481">
            <v>206.73400000000004</v>
          </cell>
          <cell r="Z481">
            <v>0</v>
          </cell>
          <cell r="AA481">
            <v>7712</v>
          </cell>
          <cell r="AB481">
            <v>1954.229</v>
          </cell>
          <cell r="AF481">
            <v>0</v>
          </cell>
          <cell r="AG481">
            <v>4022</v>
          </cell>
          <cell r="AH481">
            <v>885.24299999999994</v>
          </cell>
          <cell r="AL481">
            <v>0</v>
          </cell>
          <cell r="AM481">
            <v>15497</v>
          </cell>
          <cell r="AN481">
            <v>2716.4960000000001</v>
          </cell>
          <cell r="AR481">
            <v>0</v>
          </cell>
          <cell r="AS481">
            <v>8623</v>
          </cell>
          <cell r="AT481">
            <v>1862.47</v>
          </cell>
          <cell r="AX481">
            <v>0</v>
          </cell>
          <cell r="AY481">
            <v>37638</v>
          </cell>
          <cell r="AZ481">
            <v>7671.9820000000009</v>
          </cell>
          <cell r="BA481">
            <v>20.383606992932677</v>
          </cell>
          <cell r="BF481">
            <v>0</v>
          </cell>
          <cell r="BG481">
            <v>3970</v>
          </cell>
          <cell r="BH481">
            <v>741.89499999999998</v>
          </cell>
          <cell r="BL481">
            <v>0</v>
          </cell>
          <cell r="BM481">
            <v>11943</v>
          </cell>
          <cell r="BN481">
            <v>2358.4049999999997</v>
          </cell>
          <cell r="BR481">
            <v>0</v>
          </cell>
          <cell r="BS481">
            <v>7260</v>
          </cell>
          <cell r="BT481">
            <v>1757.6100000000001</v>
          </cell>
          <cell r="BX481">
            <v>0</v>
          </cell>
          <cell r="BY481">
            <v>46644</v>
          </cell>
          <cell r="BZ481">
            <v>5560.2559999999994</v>
          </cell>
          <cell r="CD481">
            <v>0</v>
          </cell>
          <cell r="CE481">
            <v>18476</v>
          </cell>
          <cell r="CF481">
            <v>2773.0360000000001</v>
          </cell>
          <cell r="CJ481">
            <v>0</v>
          </cell>
          <cell r="CK481">
            <v>18728</v>
          </cell>
          <cell r="CL481">
            <v>6049.2673000000004</v>
          </cell>
          <cell r="CP481">
            <v>0</v>
          </cell>
          <cell r="CQ481">
            <v>107021</v>
          </cell>
          <cell r="CR481">
            <v>19240.469300000004</v>
          </cell>
          <cell r="CS481">
            <v>17.97821857392475</v>
          </cell>
          <cell r="CX481">
            <v>0</v>
          </cell>
          <cell r="CY481">
            <v>9496</v>
          </cell>
          <cell r="CZ481">
            <v>2207.7729999999997</v>
          </cell>
          <cell r="DA481">
            <v>23.249505054759894</v>
          </cell>
          <cell r="DF481">
            <v>0</v>
          </cell>
          <cell r="DG481">
            <v>28142</v>
          </cell>
          <cell r="DH481">
            <v>5464.2089999999998</v>
          </cell>
          <cell r="DI481">
            <v>19.416562433373606</v>
          </cell>
          <cell r="DN481">
            <v>0</v>
          </cell>
          <cell r="DO481">
            <v>23173</v>
          </cell>
          <cell r="DP481">
            <v>4857.91</v>
          </cell>
          <cell r="DQ481">
            <v>20.963664609675053</v>
          </cell>
          <cell r="DV481">
            <v>0</v>
          </cell>
          <cell r="DW481">
            <v>83848</v>
          </cell>
          <cell r="DX481">
            <v>14382.559300000001</v>
          </cell>
          <cell r="DY481">
            <v>17.153133408071749</v>
          </cell>
        </row>
        <row r="482">
          <cell r="F482">
            <v>0</v>
          </cell>
          <cell r="G482">
            <v>8133</v>
          </cell>
          <cell r="H482">
            <v>590</v>
          </cell>
          <cell r="I482">
            <v>7.2543956719537688</v>
          </cell>
          <cell r="N482">
            <v>0</v>
          </cell>
          <cell r="O482">
            <v>154</v>
          </cell>
          <cell r="P482">
            <v>8</v>
          </cell>
          <cell r="T482">
            <v>0</v>
          </cell>
          <cell r="U482">
            <v>617</v>
          </cell>
          <cell r="V482">
            <v>31</v>
          </cell>
          <cell r="Z482">
            <v>0</v>
          </cell>
          <cell r="AA482">
            <v>140</v>
          </cell>
          <cell r="AB482">
            <v>44</v>
          </cell>
          <cell r="AF482">
            <v>0</v>
          </cell>
          <cell r="AG482">
            <v>85</v>
          </cell>
          <cell r="AH482">
            <v>25</v>
          </cell>
          <cell r="AL482">
            <v>0</v>
          </cell>
          <cell r="AM482">
            <v>0</v>
          </cell>
          <cell r="AN482">
            <v>0</v>
          </cell>
          <cell r="AR482">
            <v>0</v>
          </cell>
          <cell r="AS482">
            <v>323</v>
          </cell>
          <cell r="AT482">
            <v>16</v>
          </cell>
          <cell r="AX482">
            <v>0</v>
          </cell>
          <cell r="AY482">
            <v>1319</v>
          </cell>
          <cell r="AZ482">
            <v>124</v>
          </cell>
          <cell r="BA482">
            <v>9.4010614101592118</v>
          </cell>
          <cell r="BF482">
            <v>0</v>
          </cell>
          <cell r="BG482">
            <v>246</v>
          </cell>
          <cell r="BH482">
            <v>12</v>
          </cell>
          <cell r="BL482">
            <v>0</v>
          </cell>
          <cell r="BM482">
            <v>0</v>
          </cell>
          <cell r="BN482">
            <v>0</v>
          </cell>
          <cell r="BR482">
            <v>0</v>
          </cell>
          <cell r="BS482">
            <v>0</v>
          </cell>
          <cell r="BT482">
            <v>0</v>
          </cell>
          <cell r="BX482">
            <v>0</v>
          </cell>
          <cell r="BY482">
            <v>3627</v>
          </cell>
          <cell r="BZ482">
            <v>248</v>
          </cell>
          <cell r="CD482">
            <v>0</v>
          </cell>
          <cell r="CE482">
            <v>378</v>
          </cell>
          <cell r="CF482">
            <v>19</v>
          </cell>
          <cell r="CJ482">
            <v>0</v>
          </cell>
          <cell r="CK482">
            <v>2563</v>
          </cell>
          <cell r="CL482">
            <v>187</v>
          </cell>
          <cell r="CP482">
            <v>0</v>
          </cell>
          <cell r="CQ482">
            <v>6814</v>
          </cell>
          <cell r="CR482">
            <v>466</v>
          </cell>
          <cell r="CS482">
            <v>6.8388611681831524</v>
          </cell>
          <cell r="CX482">
            <v>0</v>
          </cell>
          <cell r="CY482">
            <v>911</v>
          </cell>
          <cell r="CZ482">
            <v>83</v>
          </cell>
          <cell r="DA482">
            <v>9.1108671789242592</v>
          </cell>
          <cell r="DF482">
            <v>0</v>
          </cell>
          <cell r="DG482">
            <v>408</v>
          </cell>
          <cell r="DH482">
            <v>41</v>
          </cell>
          <cell r="DI482">
            <v>10.049019607843137</v>
          </cell>
          <cell r="DN482">
            <v>0</v>
          </cell>
          <cell r="DO482">
            <v>246</v>
          </cell>
          <cell r="DP482">
            <v>12</v>
          </cell>
          <cell r="DQ482">
            <v>4.8780487804878048</v>
          </cell>
          <cell r="DV482">
            <v>0</v>
          </cell>
          <cell r="DW482">
            <v>6568</v>
          </cell>
          <cell r="DX482">
            <v>454</v>
          </cell>
          <cell r="DY482">
            <v>6.9123020706455538</v>
          </cell>
        </row>
      </sheetData>
      <sheetData sheetId="1" refreshError="1">
        <row r="3">
          <cell r="J3" t="str">
            <v>1          월</v>
          </cell>
          <cell r="P3" t="str">
            <v>2          월</v>
          </cell>
          <cell r="V3" t="str">
            <v>3          월</v>
          </cell>
          <cell r="AB3" t="str">
            <v>4          월</v>
          </cell>
          <cell r="AH3" t="str">
            <v>5          월</v>
          </cell>
          <cell r="AN3" t="str">
            <v>6          월</v>
          </cell>
          <cell r="AT3" t="str">
            <v>상    반    기    누    계</v>
          </cell>
          <cell r="AZ3" t="str">
            <v>7          월</v>
          </cell>
          <cell r="BF3" t="str">
            <v>8          월</v>
          </cell>
          <cell r="BL3" t="str">
            <v>9          월</v>
          </cell>
          <cell r="BR3" t="str">
            <v>10          월</v>
          </cell>
          <cell r="BX3" t="str">
            <v>11          월</v>
          </cell>
          <cell r="CD3" t="str">
            <v>12          월</v>
          </cell>
          <cell r="CJ3" t="str">
            <v>하    반    기    누    계</v>
          </cell>
          <cell r="CP3" t="str">
            <v>96      년      누      계</v>
          </cell>
        </row>
        <row r="4">
          <cell r="J4" t="str">
            <v>경    영</v>
          </cell>
          <cell r="P4" t="str">
            <v>경    영</v>
          </cell>
          <cell r="V4" t="str">
            <v>경    영</v>
          </cell>
          <cell r="AB4" t="str">
            <v>경    영</v>
          </cell>
          <cell r="AH4" t="str">
            <v>경    영</v>
          </cell>
          <cell r="AN4" t="str">
            <v>경    영</v>
          </cell>
          <cell r="AT4" t="str">
            <v>경    영</v>
          </cell>
          <cell r="AZ4" t="str">
            <v>경    영</v>
          </cell>
          <cell r="BF4" t="str">
            <v>경    영</v>
          </cell>
          <cell r="BL4" t="str">
            <v>경    영</v>
          </cell>
          <cell r="BR4" t="str">
            <v>경    영</v>
          </cell>
          <cell r="BX4" t="str">
            <v>경    영</v>
          </cell>
          <cell r="CD4" t="str">
            <v>경    영</v>
          </cell>
          <cell r="CJ4" t="str">
            <v>경    영</v>
          </cell>
          <cell r="CP4" t="str">
            <v>경    영</v>
          </cell>
        </row>
        <row r="5">
          <cell r="J5" t="str">
            <v>매  출</v>
          </cell>
          <cell r="K5" t="str">
            <v>매출익</v>
          </cell>
          <cell r="L5" t="str">
            <v>%</v>
          </cell>
          <cell r="P5" t="str">
            <v>매  출</v>
          </cell>
          <cell r="Q5" t="str">
            <v>매출익</v>
          </cell>
          <cell r="R5" t="str">
            <v>%</v>
          </cell>
          <cell r="V5" t="str">
            <v>매  출</v>
          </cell>
          <cell r="W5" t="str">
            <v>매출익</v>
          </cell>
          <cell r="X5" t="str">
            <v>%</v>
          </cell>
          <cell r="AB5" t="str">
            <v>매  출</v>
          </cell>
          <cell r="AC5" t="str">
            <v>매출익</v>
          </cell>
          <cell r="AD5" t="str">
            <v>%</v>
          </cell>
          <cell r="AH5" t="str">
            <v>매  출</v>
          </cell>
          <cell r="AI5" t="str">
            <v>매출익</v>
          </cell>
          <cell r="AJ5" t="str">
            <v>%</v>
          </cell>
          <cell r="AN5" t="str">
            <v>매  출</v>
          </cell>
          <cell r="AO5" t="str">
            <v>매출익</v>
          </cell>
          <cell r="AP5" t="str">
            <v>%</v>
          </cell>
          <cell r="AT5" t="str">
            <v>매  출</v>
          </cell>
          <cell r="AU5" t="str">
            <v>매출익</v>
          </cell>
          <cell r="AV5" t="str">
            <v>%</v>
          </cell>
          <cell r="AZ5" t="str">
            <v>매  출</v>
          </cell>
          <cell r="BA5" t="str">
            <v>매출익</v>
          </cell>
          <cell r="BB5" t="str">
            <v>%</v>
          </cell>
          <cell r="BF5" t="str">
            <v>매  출</v>
          </cell>
          <cell r="BG5" t="str">
            <v>매출익</v>
          </cell>
          <cell r="BH5" t="str">
            <v>%</v>
          </cell>
          <cell r="BL5" t="str">
            <v>매  출</v>
          </cell>
          <cell r="BM5" t="str">
            <v>매출익</v>
          </cell>
          <cell r="BN5" t="str">
            <v>%</v>
          </cell>
          <cell r="BR5" t="str">
            <v>매  출</v>
          </cell>
          <cell r="BS5" t="str">
            <v>매출익</v>
          </cell>
          <cell r="BT5" t="str">
            <v>%</v>
          </cell>
          <cell r="BX5" t="str">
            <v>매  출</v>
          </cell>
          <cell r="BY5" t="str">
            <v>매출익</v>
          </cell>
          <cell r="BZ5" t="str">
            <v>%</v>
          </cell>
          <cell r="CD5" t="str">
            <v>매  출</v>
          </cell>
          <cell r="CE5" t="str">
            <v>매출익</v>
          </cell>
          <cell r="CF5" t="str">
            <v>%</v>
          </cell>
          <cell r="CJ5" t="str">
            <v>매  출</v>
          </cell>
          <cell r="CK5" t="str">
            <v>매출익</v>
          </cell>
          <cell r="CL5" t="str">
            <v>%</v>
          </cell>
          <cell r="CP5" t="str">
            <v>매  출</v>
          </cell>
          <cell r="CQ5" t="str">
            <v>매출익</v>
          </cell>
          <cell r="CR5" t="str">
            <v>%</v>
          </cell>
        </row>
        <row r="6">
          <cell r="J6">
            <v>5080.2</v>
          </cell>
          <cell r="K6">
            <v>2407.4989999999998</v>
          </cell>
          <cell r="L6">
            <v>47.38984685642297</v>
          </cell>
          <cell r="P6">
            <v>6980</v>
          </cell>
          <cell r="Q6">
            <v>3446.0199999999995</v>
          </cell>
          <cell r="R6">
            <v>49.369914040114601</v>
          </cell>
          <cell r="V6">
            <v>6480</v>
          </cell>
          <cell r="W6">
            <v>3202.5889999999999</v>
          </cell>
          <cell r="X6">
            <v>49.422669753086417</v>
          </cell>
          <cell r="AB6">
            <v>6982</v>
          </cell>
          <cell r="AC6">
            <v>3463.5150000000003</v>
          </cell>
          <cell r="AD6">
            <v>49.606344886851907</v>
          </cell>
          <cell r="AH6">
            <v>7582</v>
          </cell>
          <cell r="AI6">
            <v>3802.9749999999999</v>
          </cell>
          <cell r="AJ6">
            <v>50.157939857557373</v>
          </cell>
          <cell r="AN6">
            <v>6912</v>
          </cell>
          <cell r="AO6">
            <v>3461.1369999999997</v>
          </cell>
          <cell r="AP6">
            <v>50.074320023148147</v>
          </cell>
          <cell r="AT6">
            <v>40016.199999999997</v>
          </cell>
          <cell r="AU6">
            <v>19783.735000000001</v>
          </cell>
          <cell r="AV6">
            <v>49.439314577596079</v>
          </cell>
          <cell r="AZ6">
            <v>7210.2</v>
          </cell>
          <cell r="BA6">
            <v>3562.2820000000002</v>
          </cell>
          <cell r="BB6">
            <v>49.406146847521569</v>
          </cell>
          <cell r="BF6">
            <v>6810</v>
          </cell>
          <cell r="BG6">
            <v>3389.623</v>
          </cell>
          <cell r="BH6">
            <v>49.774199706314242</v>
          </cell>
          <cell r="BL6">
            <v>6910</v>
          </cell>
          <cell r="BM6">
            <v>3451.1149999999998</v>
          </cell>
          <cell r="BN6">
            <v>49.943777134587549</v>
          </cell>
          <cell r="BR6">
            <v>7010</v>
          </cell>
          <cell r="BS6">
            <v>3559.3580000000002</v>
          </cell>
          <cell r="BT6">
            <v>50.775435092724685</v>
          </cell>
          <cell r="BX6">
            <v>6616</v>
          </cell>
          <cell r="BY6">
            <v>3361.1709999999998</v>
          </cell>
          <cell r="BZ6">
            <v>50.803672914147512</v>
          </cell>
          <cell r="CD6">
            <v>6490</v>
          </cell>
          <cell r="CE6">
            <v>3211.3739999999998</v>
          </cell>
          <cell r="CF6">
            <v>49.48187981510015</v>
          </cell>
          <cell r="CJ6">
            <v>41046.199999999997</v>
          </cell>
          <cell r="CK6">
            <v>20534.922999999999</v>
          </cell>
          <cell r="CL6">
            <v>50.028804128031346</v>
          </cell>
          <cell r="CP6">
            <v>81062.399999999994</v>
          </cell>
          <cell r="CQ6">
            <v>40318.657999999996</v>
          </cell>
          <cell r="CR6">
            <v>49.737804456813514</v>
          </cell>
        </row>
        <row r="7">
          <cell r="J7">
            <v>3977.4439999999995</v>
          </cell>
          <cell r="K7">
            <v>1183.3609999999999</v>
          </cell>
          <cell r="L7">
            <v>29.751795374114632</v>
          </cell>
          <cell r="P7">
            <v>4253.1260000000002</v>
          </cell>
          <cell r="Q7">
            <v>1252.2260000000001</v>
          </cell>
          <cell r="R7">
            <v>29.442485362530995</v>
          </cell>
          <cell r="V7">
            <v>4928.0949999999993</v>
          </cell>
          <cell r="W7">
            <v>1545.5400000000002</v>
          </cell>
          <cell r="X7">
            <v>31.361814250739901</v>
          </cell>
          <cell r="AB7">
            <v>5425.7809999999999</v>
          </cell>
          <cell r="AC7">
            <v>1747.491</v>
          </cell>
          <cell r="AD7">
            <v>32.207179021785066</v>
          </cell>
          <cell r="AH7">
            <v>5563.165</v>
          </cell>
          <cell r="AI7">
            <v>1824.4960000000001</v>
          </cell>
          <cell r="AJ7">
            <v>32.796007308789157</v>
          </cell>
          <cell r="AN7">
            <v>5662.9149999999991</v>
          </cell>
          <cell r="AO7">
            <v>1878.816</v>
          </cell>
          <cell r="AP7">
            <v>33.177541954982551</v>
          </cell>
          <cell r="AT7">
            <v>29810.525999999998</v>
          </cell>
          <cell r="AU7">
            <v>9431.93</v>
          </cell>
          <cell r="AV7">
            <v>31.639596027255614</v>
          </cell>
          <cell r="AZ7">
            <v>5799.6190000000006</v>
          </cell>
          <cell r="BA7">
            <v>1999.7860000000001</v>
          </cell>
          <cell r="BB7">
            <v>34.481334032459714</v>
          </cell>
          <cell r="BF7">
            <v>5677.0740000000005</v>
          </cell>
          <cell r="BG7">
            <v>1935.0079999999998</v>
          </cell>
          <cell r="BH7">
            <v>34.084600623490189</v>
          </cell>
          <cell r="BL7">
            <v>6223.7839999999997</v>
          </cell>
          <cell r="BM7">
            <v>2153.4450000000002</v>
          </cell>
          <cell r="BN7">
            <v>34.600252836538033</v>
          </cell>
          <cell r="BR7">
            <v>6707.73</v>
          </cell>
          <cell r="BS7">
            <v>2410.6689999999999</v>
          </cell>
          <cell r="BT7">
            <v>35.938670757469367</v>
          </cell>
          <cell r="BX7">
            <v>6533.2460000000001</v>
          </cell>
          <cell r="BY7">
            <v>2383.5590000000002</v>
          </cell>
          <cell r="BZ7">
            <v>36.483533606418618</v>
          </cell>
          <cell r="CD7">
            <v>6097.7659999999996</v>
          </cell>
          <cell r="CE7">
            <v>2294.5249999999996</v>
          </cell>
          <cell r="CF7">
            <v>37.628944764361236</v>
          </cell>
          <cell r="CJ7">
            <v>37039.218999999997</v>
          </cell>
          <cell r="CK7">
            <v>13176.992</v>
          </cell>
          <cell r="CL7">
            <v>35.575782523924168</v>
          </cell>
          <cell r="CP7">
            <v>66849.744999999995</v>
          </cell>
          <cell r="CQ7">
            <v>22608.921999999999</v>
          </cell>
          <cell r="CR7">
            <v>33.820505972012313</v>
          </cell>
        </row>
        <row r="8">
          <cell r="J8">
            <v>9057.6440000000002</v>
          </cell>
          <cell r="K8">
            <v>3590.8599999999997</v>
          </cell>
          <cell r="L8">
            <v>39.644525662523272</v>
          </cell>
          <cell r="P8">
            <v>11233.126</v>
          </cell>
          <cell r="Q8">
            <v>4698.2459999999992</v>
          </cell>
          <cell r="R8">
            <v>41.824920329390046</v>
          </cell>
          <cell r="V8">
            <v>11408.094999999999</v>
          </cell>
          <cell r="W8">
            <v>4748.1289999999999</v>
          </cell>
          <cell r="X8">
            <v>41.620700037999335</v>
          </cell>
          <cell r="AB8">
            <v>12407.780999999999</v>
          </cell>
          <cell r="AC8">
            <v>5211.0060000000003</v>
          </cell>
          <cell r="AD8">
            <v>41.997888260600355</v>
          </cell>
          <cell r="AH8">
            <v>13145.165000000001</v>
          </cell>
          <cell r="AI8">
            <v>5627.4709999999995</v>
          </cell>
          <cell r="AJ8">
            <v>42.810196752950603</v>
          </cell>
          <cell r="AN8">
            <v>12574.914999999999</v>
          </cell>
          <cell r="AO8">
            <v>5339.9529999999995</v>
          </cell>
          <cell r="AP8">
            <v>42.465122030645929</v>
          </cell>
          <cell r="AT8">
            <v>69826.725999999995</v>
          </cell>
          <cell r="AU8">
            <v>29215.665000000001</v>
          </cell>
          <cell r="AV8">
            <v>41.840233208127216</v>
          </cell>
          <cell r="AZ8">
            <v>13009.819</v>
          </cell>
          <cell r="BA8">
            <v>5562.0680000000002</v>
          </cell>
          <cell r="BB8">
            <v>42.752846907401256</v>
          </cell>
          <cell r="BF8">
            <v>12487.074000000001</v>
          </cell>
          <cell r="BG8">
            <v>5324.6309999999994</v>
          </cell>
          <cell r="BH8">
            <v>42.641142352483854</v>
          </cell>
          <cell r="BL8">
            <v>13133.784</v>
          </cell>
          <cell r="BM8">
            <v>5604.5599999999995</v>
          </cell>
          <cell r="BN8">
            <v>42.672850413863969</v>
          </cell>
          <cell r="BR8">
            <v>13717.73</v>
          </cell>
          <cell r="BS8">
            <v>5970.027</v>
          </cell>
          <cell r="BT8">
            <v>43.520516878521448</v>
          </cell>
          <cell r="BX8">
            <v>13149.245999999999</v>
          </cell>
          <cell r="BY8">
            <v>5744.73</v>
          </cell>
          <cell r="BZ8">
            <v>43.688664734084369</v>
          </cell>
          <cell r="CD8">
            <v>12587.766</v>
          </cell>
          <cell r="CE8">
            <v>5505.8989999999994</v>
          </cell>
          <cell r="CF8">
            <v>43.740080646557935</v>
          </cell>
          <cell r="CJ8">
            <v>78085.418999999994</v>
          </cell>
          <cell r="CK8">
            <v>33711.915000000001</v>
          </cell>
          <cell r="CL8">
            <v>43.173124293538088</v>
          </cell>
          <cell r="CP8">
            <v>147912.14499999999</v>
          </cell>
          <cell r="CQ8">
            <v>62927.579999999994</v>
          </cell>
          <cell r="CR8">
            <v>42.543889820541779</v>
          </cell>
        </row>
        <row r="9">
          <cell r="J9">
            <v>10002.058938300001</v>
          </cell>
          <cell r="K9">
            <v>276.137</v>
          </cell>
          <cell r="L9">
            <v>2.7608015679912961</v>
          </cell>
          <cell r="P9">
            <v>10830.822894299998</v>
          </cell>
          <cell r="Q9">
            <v>592.20900000000006</v>
          </cell>
          <cell r="R9">
            <v>5.4678116868817552</v>
          </cell>
          <cell r="V9">
            <v>12094.018668599998</v>
          </cell>
          <cell r="W9">
            <v>931.95600000000002</v>
          </cell>
          <cell r="X9">
            <v>7.7059249331213664</v>
          </cell>
          <cell r="AB9">
            <v>10873.0882526</v>
          </cell>
          <cell r="AC9">
            <v>793.34100000000001</v>
          </cell>
          <cell r="AD9">
            <v>7.2963723053594665</v>
          </cell>
          <cell r="AH9">
            <v>11058.490612600001</v>
          </cell>
          <cell r="AI9">
            <v>775.74900000000002</v>
          </cell>
          <cell r="AJ9">
            <v>7.014962775445273</v>
          </cell>
          <cell r="AN9">
            <v>12819.1381446</v>
          </cell>
          <cell r="AO9">
            <v>1282.8409999999999</v>
          </cell>
          <cell r="AP9">
            <v>10.007232822749403</v>
          </cell>
          <cell r="AT9">
            <v>67677.617510999989</v>
          </cell>
          <cell r="AU9">
            <v>4652.2330000000002</v>
          </cell>
          <cell r="AV9">
            <v>6.8741087099347853</v>
          </cell>
          <cell r="AZ9">
            <v>13476.818236499999</v>
          </cell>
          <cell r="BA9">
            <v>1223.5149999999999</v>
          </cell>
          <cell r="BB9">
            <v>9.0786636617706069</v>
          </cell>
          <cell r="BF9">
            <v>14449.086716499998</v>
          </cell>
          <cell r="BG9">
            <v>1642.1179999999997</v>
          </cell>
          <cell r="BH9">
            <v>11.364856701460575</v>
          </cell>
          <cell r="BL9">
            <v>16231.845898699999</v>
          </cell>
          <cell r="BM9">
            <v>1991.72</v>
          </cell>
          <cell r="BN9">
            <v>12.270446703535523</v>
          </cell>
          <cell r="BR9">
            <v>17955.779347499996</v>
          </cell>
          <cell r="BS9">
            <v>2610.3360000000002</v>
          </cell>
          <cell r="BT9">
            <v>14.537581184764562</v>
          </cell>
          <cell r="BX9">
            <v>15604.308759800002</v>
          </cell>
          <cell r="BY9">
            <v>2125.1059999999998</v>
          </cell>
          <cell r="BZ9">
            <v>13.618712835743946</v>
          </cell>
          <cell r="CD9">
            <v>14725.836911000002</v>
          </cell>
          <cell r="CE9">
            <v>1633.31</v>
          </cell>
          <cell r="CF9">
            <v>11.091457890450622</v>
          </cell>
          <cell r="CJ9">
            <v>92443.675869999992</v>
          </cell>
          <cell r="CK9">
            <v>11226.105</v>
          </cell>
          <cell r="CL9">
            <v>12.143724158899568</v>
          </cell>
          <cell r="CP9">
            <v>160121.293381</v>
          </cell>
          <cell r="CQ9">
            <v>15878.338</v>
          </cell>
          <cell r="CR9">
            <v>9.9164437563081318</v>
          </cell>
        </row>
        <row r="10">
          <cell r="J10">
            <v>972.31740000000002</v>
          </cell>
          <cell r="K10">
            <v>22.815000000000001</v>
          </cell>
          <cell r="L10">
            <v>2.3464560029471859</v>
          </cell>
          <cell r="P10">
            <v>1042.99964</v>
          </cell>
          <cell r="Q10">
            <v>38.016000000000005</v>
          </cell>
          <cell r="R10">
            <v>3.644871823733324</v>
          </cell>
          <cell r="V10">
            <v>1070.0326399999999</v>
          </cell>
          <cell r="W10">
            <v>25.609000000000005</v>
          </cell>
          <cell r="X10">
            <v>2.3932914794075821</v>
          </cell>
          <cell r="AB10">
            <v>1116.394</v>
          </cell>
          <cell r="AC10">
            <v>52.454000000000008</v>
          </cell>
          <cell r="AD10">
            <v>4.698520414835623</v>
          </cell>
          <cell r="AH10">
            <v>1161.8270400000001</v>
          </cell>
          <cell r="AI10">
            <v>59.513000000000005</v>
          </cell>
          <cell r="AJ10">
            <v>5.1223631359104873</v>
          </cell>
          <cell r="AN10">
            <v>1250.7148</v>
          </cell>
          <cell r="AO10">
            <v>93.350000000000009</v>
          </cell>
          <cell r="AP10">
            <v>7.4637319395277011</v>
          </cell>
          <cell r="AT10">
            <v>6614.2855199999995</v>
          </cell>
          <cell r="AU10">
            <v>291.75700000000001</v>
          </cell>
          <cell r="AV10">
            <v>4.4110130885308383</v>
          </cell>
          <cell r="AZ10">
            <v>1646.4878000000001</v>
          </cell>
          <cell r="BA10">
            <v>164.749</v>
          </cell>
          <cell r="BB10">
            <v>10.006086895997649</v>
          </cell>
          <cell r="BF10">
            <v>1684.3518000000001</v>
          </cell>
          <cell r="BG10">
            <v>194.85599999999999</v>
          </cell>
          <cell r="BH10">
            <v>11.568604610984472</v>
          </cell>
          <cell r="BL10">
            <v>1833.1027999999999</v>
          </cell>
          <cell r="BM10">
            <v>206.72200000000001</v>
          </cell>
          <cell r="BN10">
            <v>11.277163506596576</v>
          </cell>
          <cell r="BR10">
            <v>1905.1887999999999</v>
          </cell>
          <cell r="BS10">
            <v>251.24900000000005</v>
          </cell>
          <cell r="BT10">
            <v>13.187616891302326</v>
          </cell>
          <cell r="BX10">
            <v>1966.6469999999999</v>
          </cell>
          <cell r="BY10">
            <v>256.78699999999998</v>
          </cell>
          <cell r="BZ10">
            <v>13.057096672661642</v>
          </cell>
          <cell r="CD10">
            <v>1987.1208000000001</v>
          </cell>
          <cell r="CE10">
            <v>279.38100000000003</v>
          </cell>
          <cell r="CF10">
            <v>14.059588123681257</v>
          </cell>
          <cell r="CJ10">
            <v>11022.899000000001</v>
          </cell>
          <cell r="CK10">
            <v>1353.7440000000001</v>
          </cell>
          <cell r="CL10">
            <v>12.281197532518441</v>
          </cell>
          <cell r="CP10">
            <v>17637.184520000003</v>
          </cell>
          <cell r="CQ10">
            <v>1645.5010000000002</v>
          </cell>
          <cell r="CR10">
            <v>9.3297260576599115</v>
          </cell>
        </row>
        <row r="11">
          <cell r="J11">
            <v>10974.3763383</v>
          </cell>
          <cell r="K11">
            <v>298.952</v>
          </cell>
          <cell r="L11">
            <v>2.724091016968984</v>
          </cell>
          <cell r="P11">
            <v>11873.822534299998</v>
          </cell>
          <cell r="Q11">
            <v>630.22500000000002</v>
          </cell>
          <cell r="R11">
            <v>5.3076841781950543</v>
          </cell>
          <cell r="V11">
            <v>13164.051308599997</v>
          </cell>
          <cell r="W11">
            <v>957.56500000000005</v>
          </cell>
          <cell r="X11">
            <v>7.274090457049712</v>
          </cell>
          <cell r="AB11">
            <v>11989.482252600001</v>
          </cell>
          <cell r="AC11">
            <v>845.79500000000007</v>
          </cell>
          <cell r="AD11">
            <v>7.0544747653017605</v>
          </cell>
          <cell r="AH11">
            <v>12220.317652600001</v>
          </cell>
          <cell r="AI11">
            <v>835.26200000000006</v>
          </cell>
          <cell r="AJ11">
            <v>6.8350269096506615</v>
          </cell>
          <cell r="AN11">
            <v>14069.852944599999</v>
          </cell>
          <cell r="AO11">
            <v>1376.1909999999998</v>
          </cell>
          <cell r="AP11">
            <v>9.7811327909307053</v>
          </cell>
          <cell r="AT11">
            <v>74291.903030999994</v>
          </cell>
          <cell r="AU11">
            <v>4943.99</v>
          </cell>
          <cell r="AV11">
            <v>6.6548167408459129</v>
          </cell>
          <cell r="AZ11">
            <v>15123.3060365</v>
          </cell>
          <cell r="BA11">
            <v>1388.2639999999999</v>
          </cell>
          <cell r="BB11">
            <v>9.1796330554273897</v>
          </cell>
          <cell r="BF11">
            <v>16133.438516499999</v>
          </cell>
          <cell r="BG11">
            <v>1836.9739999999997</v>
          </cell>
          <cell r="BH11">
            <v>11.386128246134813</v>
          </cell>
          <cell r="BL11">
            <v>18064.948698699998</v>
          </cell>
          <cell r="BM11">
            <v>2198.442</v>
          </cell>
          <cell r="BN11">
            <v>12.169655373326389</v>
          </cell>
          <cell r="BR11">
            <v>19860.968147499996</v>
          </cell>
          <cell r="BS11">
            <v>2861.5850000000005</v>
          </cell>
          <cell r="BT11">
            <v>14.408084131388144</v>
          </cell>
          <cell r="BX11">
            <v>17570.955759800003</v>
          </cell>
          <cell r="BY11">
            <v>2381.8929999999996</v>
          </cell>
          <cell r="BZ11">
            <v>13.555853378502336</v>
          </cell>
          <cell r="CD11">
            <v>16712.957711000003</v>
          </cell>
          <cell r="CE11">
            <v>1912.691</v>
          </cell>
          <cell r="CF11">
            <v>11.444359718215049</v>
          </cell>
          <cell r="CJ11">
            <v>103466.57487</v>
          </cell>
          <cell r="CK11">
            <v>12579.849</v>
          </cell>
          <cell r="CL11">
            <v>12.158370000945602</v>
          </cell>
          <cell r="CP11">
            <v>177758.47790100001</v>
          </cell>
          <cell r="CQ11">
            <v>17523.839</v>
          </cell>
          <cell r="CR11">
            <v>9.8582296647249912</v>
          </cell>
        </row>
        <row r="12">
          <cell r="J12">
            <v>20032.020338300001</v>
          </cell>
          <cell r="K12">
            <v>3889.8119999999999</v>
          </cell>
          <cell r="L12">
            <v>19.417971499174833</v>
          </cell>
          <cell r="P12">
            <v>23106.948534299998</v>
          </cell>
          <cell r="Q12">
            <v>5328.4709999999995</v>
          </cell>
          <cell r="R12">
            <v>23.060037512484207</v>
          </cell>
          <cell r="V12">
            <v>24572.146308599997</v>
          </cell>
          <cell r="W12">
            <v>5705.6939999999995</v>
          </cell>
          <cell r="X12">
            <v>23.220169407843162</v>
          </cell>
          <cell r="AB12">
            <v>24397.263252600002</v>
          </cell>
          <cell r="AC12">
            <v>6056.8010000000004</v>
          </cell>
          <cell r="AD12">
            <v>24.825739417123067</v>
          </cell>
          <cell r="AH12">
            <v>25365.482652600003</v>
          </cell>
          <cell r="AI12">
            <v>6462.7329999999993</v>
          </cell>
          <cell r="AJ12">
            <v>25.478454672091793</v>
          </cell>
          <cell r="AN12">
            <v>26644.767944599997</v>
          </cell>
          <cell r="AO12">
            <v>6716.1439999999993</v>
          </cell>
          <cell r="AP12">
            <v>25.206239416174526</v>
          </cell>
          <cell r="AT12">
            <v>144118.62903099999</v>
          </cell>
          <cell r="AU12">
            <v>34159.654999999999</v>
          </cell>
          <cell r="AV12">
            <v>23.702456254043494</v>
          </cell>
          <cell r="AZ12">
            <v>28133.125036500001</v>
          </cell>
          <cell r="BA12">
            <v>6950.3320000000003</v>
          </cell>
          <cell r="BB12">
            <v>24.705154478866525</v>
          </cell>
          <cell r="BF12">
            <v>28620.512516499999</v>
          </cell>
          <cell r="BG12">
            <v>7161.6049999999996</v>
          </cell>
          <cell r="BH12">
            <v>25.022630170830329</v>
          </cell>
          <cell r="BL12">
            <v>31198.732698699998</v>
          </cell>
          <cell r="BM12">
            <v>7803.0019999999995</v>
          </cell>
          <cell r="BN12">
            <v>25.010637692745576</v>
          </cell>
          <cell r="BR12">
            <v>33578.698147499992</v>
          </cell>
          <cell r="BS12">
            <v>8831.612000000001</v>
          </cell>
          <cell r="BT12">
            <v>26.301234077645546</v>
          </cell>
          <cell r="BX12">
            <v>30720.201759800002</v>
          </cell>
          <cell r="BY12">
            <v>8126.6229999999996</v>
          </cell>
          <cell r="BZ12">
            <v>26.453677171594549</v>
          </cell>
          <cell r="CD12">
            <v>29300.723711000002</v>
          </cell>
          <cell r="CE12">
            <v>7418.5899999999992</v>
          </cell>
          <cell r="CF12">
            <v>25.318794420135539</v>
          </cell>
          <cell r="CJ12">
            <v>181551.99387000001</v>
          </cell>
          <cell r="CK12">
            <v>46291.764000000003</v>
          </cell>
          <cell r="CL12">
            <v>25.497799838622065</v>
          </cell>
          <cell r="CP12">
            <v>325670.62290099997</v>
          </cell>
          <cell r="CQ12">
            <v>80451.418999999994</v>
          </cell>
          <cell r="CR12">
            <v>24.703308601603982</v>
          </cell>
        </row>
        <row r="13">
          <cell r="J13">
            <v>9772.315208</v>
          </cell>
          <cell r="K13">
            <v>784</v>
          </cell>
          <cell r="L13">
            <v>8.0226638551137484</v>
          </cell>
          <cell r="P13">
            <v>10104.57582</v>
          </cell>
          <cell r="Q13">
            <v>1212.32</v>
          </cell>
          <cell r="R13">
            <v>11.997732726201663</v>
          </cell>
          <cell r="V13">
            <v>10238.41455</v>
          </cell>
          <cell r="W13">
            <v>1093</v>
          </cell>
          <cell r="X13">
            <v>10.675481000131999</v>
          </cell>
          <cell r="AB13">
            <v>10986.750498000001</v>
          </cell>
          <cell r="AC13">
            <v>1640</v>
          </cell>
          <cell r="AD13">
            <v>14.927070568304442</v>
          </cell>
          <cell r="AH13">
            <v>13172.356744000001</v>
          </cell>
          <cell r="AI13">
            <v>3022</v>
          </cell>
          <cell r="AJ13">
            <v>22.941984177406365</v>
          </cell>
          <cell r="AN13">
            <v>13314.959923999999</v>
          </cell>
          <cell r="AO13">
            <v>3286.6</v>
          </cell>
          <cell r="AP13">
            <v>24.683514023019754</v>
          </cell>
          <cell r="AT13">
            <v>67589.372743999993</v>
          </cell>
          <cell r="AU13">
            <v>11037.92</v>
          </cell>
          <cell r="AV13">
            <v>16.330851362990124</v>
          </cell>
          <cell r="AZ13">
            <v>14188.403252</v>
          </cell>
          <cell r="BA13">
            <v>3951</v>
          </cell>
          <cell r="BB13">
            <v>27.846685281115523</v>
          </cell>
          <cell r="BF13">
            <v>14461.367507999999</v>
          </cell>
          <cell r="BG13">
            <v>4156</v>
          </cell>
          <cell r="BH13">
            <v>28.738637599113009</v>
          </cell>
          <cell r="BL13">
            <v>14658.670495999999</v>
          </cell>
          <cell r="BM13">
            <v>4141</v>
          </cell>
          <cell r="BN13">
            <v>28.249492347412954</v>
          </cell>
          <cell r="BR13">
            <v>15615.06099</v>
          </cell>
          <cell r="BS13">
            <v>5167</v>
          </cell>
          <cell r="BT13">
            <v>33.089848341348045</v>
          </cell>
          <cell r="BX13">
            <v>16011.699107999999</v>
          </cell>
          <cell r="BY13">
            <v>5391</v>
          </cell>
          <cell r="BZ13">
            <v>33.669131324772835</v>
          </cell>
          <cell r="CD13">
            <v>16591.007771999997</v>
          </cell>
          <cell r="CE13">
            <v>5848</v>
          </cell>
          <cell r="CF13">
            <v>35.24800952639805</v>
          </cell>
          <cell r="CJ13">
            <v>91526.209125999987</v>
          </cell>
          <cell r="CK13">
            <v>28654</v>
          </cell>
          <cell r="CL13">
            <v>31.306879497820496</v>
          </cell>
          <cell r="CP13">
            <v>159115.58186999999</v>
          </cell>
          <cell r="CQ13">
            <v>39691.919999999998</v>
          </cell>
          <cell r="CR13">
            <v>24.945338183427531</v>
          </cell>
        </row>
        <row r="14">
          <cell r="J14">
            <v>339</v>
          </cell>
          <cell r="K14">
            <v>46.81</v>
          </cell>
          <cell r="L14">
            <v>13.808259587020649</v>
          </cell>
          <cell r="P14">
            <v>1445</v>
          </cell>
          <cell r="Q14">
            <v>206.73400000000004</v>
          </cell>
          <cell r="R14">
            <v>14.306851211072665</v>
          </cell>
          <cell r="V14">
            <v>7712</v>
          </cell>
          <cell r="W14">
            <v>1954.229</v>
          </cell>
          <cell r="X14">
            <v>25.340106327800832</v>
          </cell>
          <cell r="AB14">
            <v>4022</v>
          </cell>
          <cell r="AC14">
            <v>885.24299999999994</v>
          </cell>
          <cell r="AD14">
            <v>22.01001989060169</v>
          </cell>
          <cell r="AH14">
            <v>14991</v>
          </cell>
          <cell r="AI14">
            <v>2686.4960000000001</v>
          </cell>
          <cell r="AJ14">
            <v>17.920725768794611</v>
          </cell>
          <cell r="AN14">
            <v>8623</v>
          </cell>
          <cell r="AO14">
            <v>1862.47</v>
          </cell>
          <cell r="AP14">
            <v>21.598863504580773</v>
          </cell>
          <cell r="AT14">
            <v>37132</v>
          </cell>
          <cell r="AU14">
            <v>7641.9820000000009</v>
          </cell>
          <cell r="AV14">
            <v>20.580582785737374</v>
          </cell>
          <cell r="AZ14">
            <v>3970</v>
          </cell>
          <cell r="BA14">
            <v>741.89499999999998</v>
          </cell>
          <cell r="BB14">
            <v>18.687531486146096</v>
          </cell>
          <cell r="BF14">
            <v>11943</v>
          </cell>
          <cell r="BG14">
            <v>2358.4049999999997</v>
          </cell>
          <cell r="BH14">
            <v>19.747174076865107</v>
          </cell>
          <cell r="BL14">
            <v>7260</v>
          </cell>
          <cell r="BM14">
            <v>1757.6100000000001</v>
          </cell>
          <cell r="BN14">
            <v>24.209504132231409</v>
          </cell>
          <cell r="BR14">
            <v>16294</v>
          </cell>
          <cell r="BS14">
            <v>2674.2559999999994</v>
          </cell>
          <cell r="BT14">
            <v>16.412519945992386</v>
          </cell>
          <cell r="BX14">
            <v>10826</v>
          </cell>
          <cell r="BY14">
            <v>2062.0360000000001</v>
          </cell>
          <cell r="BZ14">
            <v>19.047071864031036</v>
          </cell>
          <cell r="CD14">
            <v>18728</v>
          </cell>
          <cell r="CE14">
            <v>6049.2673000000004</v>
          </cell>
          <cell r="CF14">
            <v>32.300658372490396</v>
          </cell>
          <cell r="CJ14">
            <v>69021</v>
          </cell>
          <cell r="CK14">
            <v>15643.469300000001</v>
          </cell>
          <cell r="CL14">
            <v>22.664796656090179</v>
          </cell>
          <cell r="CP14">
            <v>106153</v>
          </cell>
          <cell r="CQ14">
            <v>23285.451300000001</v>
          </cell>
          <cell r="CR14">
            <v>21.935744915358022</v>
          </cell>
        </row>
        <row r="15">
          <cell r="J15">
            <v>27</v>
          </cell>
          <cell r="K15">
            <v>13.978</v>
          </cell>
          <cell r="L15">
            <v>51.770370370370365</v>
          </cell>
          <cell r="P15">
            <v>1942</v>
          </cell>
          <cell r="Q15">
            <v>284.27300000000002</v>
          </cell>
          <cell r="R15">
            <v>14.638156539649847</v>
          </cell>
          <cell r="V15">
            <v>3607</v>
          </cell>
          <cell r="W15">
            <v>344.80200000000002</v>
          </cell>
          <cell r="X15">
            <v>9.559245910729139</v>
          </cell>
          <cell r="AB15">
            <v>5019</v>
          </cell>
          <cell r="AC15">
            <v>853.39300000000003</v>
          </cell>
          <cell r="AD15">
            <v>17.003247658896196</v>
          </cell>
          <cell r="AH15">
            <v>7404</v>
          </cell>
          <cell r="AI15">
            <v>1083.519</v>
          </cell>
          <cell r="AJ15">
            <v>14.634238249594814</v>
          </cell>
          <cell r="AN15">
            <v>9490</v>
          </cell>
          <cell r="AO15">
            <v>1192.127</v>
          </cell>
          <cell r="AP15">
            <v>12.561928345626974</v>
          </cell>
          <cell r="AT15">
            <v>27489</v>
          </cell>
          <cell r="AU15">
            <v>3772.0920000000001</v>
          </cell>
          <cell r="AV15">
            <v>13.722187056640839</v>
          </cell>
          <cell r="AZ15">
            <v>1875</v>
          </cell>
          <cell r="BA15">
            <v>359.90100000000001</v>
          </cell>
          <cell r="BB15">
            <v>19.19472</v>
          </cell>
          <cell r="BF15">
            <v>6363</v>
          </cell>
          <cell r="BG15">
            <v>1232.24</v>
          </cell>
          <cell r="BH15">
            <v>19.365707999371367</v>
          </cell>
          <cell r="BL15">
            <v>6420</v>
          </cell>
          <cell r="BM15">
            <v>1054.6299999999999</v>
          </cell>
          <cell r="BN15">
            <v>16.427258566978193</v>
          </cell>
          <cell r="BR15">
            <v>8793</v>
          </cell>
          <cell r="BS15">
            <v>1212.95</v>
          </cell>
          <cell r="BT15">
            <v>13.794495621517116</v>
          </cell>
          <cell r="BX15">
            <v>8296</v>
          </cell>
          <cell r="BY15">
            <v>1728.5900000000001</v>
          </cell>
          <cell r="BZ15">
            <v>20.836427193828353</v>
          </cell>
          <cell r="CD15">
            <v>14764</v>
          </cell>
          <cell r="CE15">
            <v>2285.0230000000001</v>
          </cell>
          <cell r="CF15">
            <v>15.476991330262802</v>
          </cell>
          <cell r="CJ15">
            <v>46511</v>
          </cell>
          <cell r="CK15">
            <v>7873.3339999999998</v>
          </cell>
          <cell r="CL15">
            <v>16.927896626604458</v>
          </cell>
          <cell r="CP15">
            <v>74000</v>
          </cell>
          <cell r="CQ15">
            <v>11645.425999999999</v>
          </cell>
          <cell r="CR15">
            <v>15.737062162162161</v>
          </cell>
        </row>
        <row r="16">
          <cell r="J16">
            <v>366</v>
          </cell>
          <cell r="K16">
            <v>60.788000000000004</v>
          </cell>
          <cell r="L16">
            <v>16.608743169398906</v>
          </cell>
          <cell r="P16">
            <v>3387</v>
          </cell>
          <cell r="Q16">
            <v>491.00700000000006</v>
          </cell>
          <cell r="R16">
            <v>14.496811337466786</v>
          </cell>
          <cell r="V16">
            <v>11319</v>
          </cell>
          <cell r="W16">
            <v>2299.0309999999999</v>
          </cell>
          <cell r="X16">
            <v>20.311255411255409</v>
          </cell>
          <cell r="AB16">
            <v>9041</v>
          </cell>
          <cell r="AC16">
            <v>1738.636</v>
          </cell>
          <cell r="AD16">
            <v>19.230571839398298</v>
          </cell>
          <cell r="AH16">
            <v>22395</v>
          </cell>
          <cell r="AI16">
            <v>3770.0150000000003</v>
          </cell>
          <cell r="AJ16">
            <v>16.834181736994864</v>
          </cell>
          <cell r="AN16">
            <v>18113</v>
          </cell>
          <cell r="AO16">
            <v>3054.5969999999998</v>
          </cell>
          <cell r="AP16">
            <v>16.864114172141555</v>
          </cell>
          <cell r="AT16">
            <v>64621</v>
          </cell>
          <cell r="AU16">
            <v>11414.074000000001</v>
          </cell>
          <cell r="AV16">
            <v>17.663103325544331</v>
          </cell>
          <cell r="AZ16">
            <v>5845</v>
          </cell>
          <cell r="BA16">
            <v>1101.796</v>
          </cell>
          <cell r="BB16">
            <v>18.850230966638154</v>
          </cell>
          <cell r="BF16">
            <v>18306</v>
          </cell>
          <cell r="BG16">
            <v>3590.6449999999995</v>
          </cell>
          <cell r="BH16">
            <v>19.614579919152188</v>
          </cell>
          <cell r="BL16">
            <v>13680</v>
          </cell>
          <cell r="BM16">
            <v>2812.24</v>
          </cell>
          <cell r="BN16">
            <v>20.557309941520465</v>
          </cell>
          <cell r="BR16">
            <v>25087</v>
          </cell>
          <cell r="BS16">
            <v>3887.2059999999992</v>
          </cell>
          <cell r="BT16">
            <v>15.494901741938053</v>
          </cell>
          <cell r="BX16">
            <v>19122</v>
          </cell>
          <cell r="BY16">
            <v>3790.6260000000002</v>
          </cell>
          <cell r="BZ16">
            <v>19.823376215877001</v>
          </cell>
          <cell r="CD16">
            <v>33492</v>
          </cell>
          <cell r="CE16">
            <v>8334.2903000000006</v>
          </cell>
          <cell r="CF16">
            <v>24.884421055774514</v>
          </cell>
          <cell r="CJ16">
            <v>115532</v>
          </cell>
          <cell r="CK16">
            <v>23516.8033</v>
          </cell>
          <cell r="CL16">
            <v>20.355229114011703</v>
          </cell>
          <cell r="CP16">
            <v>180153</v>
          </cell>
          <cell r="CQ16">
            <v>34930.8773</v>
          </cell>
          <cell r="CR16">
            <v>19.389561816900081</v>
          </cell>
        </row>
        <row r="17">
          <cell r="J17">
            <v>0</v>
          </cell>
          <cell r="K17">
            <v>0</v>
          </cell>
          <cell r="L17">
            <v>0</v>
          </cell>
          <cell r="P17">
            <v>0</v>
          </cell>
          <cell r="Q17">
            <v>0</v>
          </cell>
          <cell r="R17">
            <v>0</v>
          </cell>
          <cell r="V17">
            <v>0</v>
          </cell>
          <cell r="W17">
            <v>0</v>
          </cell>
          <cell r="X17">
            <v>0</v>
          </cell>
          <cell r="AB17">
            <v>0</v>
          </cell>
          <cell r="AC17">
            <v>0</v>
          </cell>
          <cell r="AD17">
            <v>0</v>
          </cell>
          <cell r="AH17">
            <v>506</v>
          </cell>
          <cell r="AI17">
            <v>30</v>
          </cell>
          <cell r="AJ17">
            <v>5.928853754940711</v>
          </cell>
          <cell r="AN17">
            <v>0</v>
          </cell>
          <cell r="AO17">
            <v>0</v>
          </cell>
          <cell r="AP17">
            <v>0</v>
          </cell>
          <cell r="AT17">
            <v>506</v>
          </cell>
          <cell r="AU17">
            <v>30</v>
          </cell>
          <cell r="AV17">
            <v>5.928853754940711</v>
          </cell>
          <cell r="AZ17">
            <v>0</v>
          </cell>
          <cell r="BA17">
            <v>0</v>
          </cell>
          <cell r="BB17">
            <v>0</v>
          </cell>
          <cell r="BF17">
            <v>0</v>
          </cell>
          <cell r="BG17">
            <v>0</v>
          </cell>
          <cell r="BH17">
            <v>0</v>
          </cell>
          <cell r="BL17">
            <v>0</v>
          </cell>
          <cell r="BM17">
            <v>0</v>
          </cell>
          <cell r="BN17">
            <v>0</v>
          </cell>
          <cell r="BR17">
            <v>30350</v>
          </cell>
          <cell r="BS17">
            <v>2886</v>
          </cell>
          <cell r="BT17">
            <v>9.5090609555189456</v>
          </cell>
          <cell r="BX17">
            <v>7650</v>
          </cell>
          <cell r="BY17">
            <v>711</v>
          </cell>
          <cell r="BZ17">
            <v>9.2941176470588243</v>
          </cell>
          <cell r="CD17">
            <v>0</v>
          </cell>
          <cell r="CE17">
            <v>0</v>
          </cell>
          <cell r="CF17">
            <v>0</v>
          </cell>
          <cell r="CJ17">
            <v>38000</v>
          </cell>
          <cell r="CK17">
            <v>3597</v>
          </cell>
          <cell r="CL17">
            <v>9.465789473684211</v>
          </cell>
          <cell r="CP17">
            <v>38506</v>
          </cell>
          <cell r="CQ17">
            <v>3627</v>
          </cell>
          <cell r="CR17">
            <v>9.4193112761647537</v>
          </cell>
        </row>
        <row r="18">
          <cell r="J18">
            <v>905</v>
          </cell>
          <cell r="K18">
            <v>89</v>
          </cell>
          <cell r="L18">
            <v>9.8342541436464099</v>
          </cell>
          <cell r="P18">
            <v>2419</v>
          </cell>
          <cell r="Q18">
            <v>82</v>
          </cell>
          <cell r="R18">
            <v>3.3898305084745761</v>
          </cell>
          <cell r="V18">
            <v>1541</v>
          </cell>
          <cell r="W18">
            <v>218</v>
          </cell>
          <cell r="X18">
            <v>14.146658014276445</v>
          </cell>
          <cell r="AB18">
            <v>1959</v>
          </cell>
          <cell r="AC18">
            <v>288</v>
          </cell>
          <cell r="AD18">
            <v>14.701378254211333</v>
          </cell>
          <cell r="AH18">
            <v>2048</v>
          </cell>
          <cell r="AI18">
            <v>245</v>
          </cell>
          <cell r="AJ18">
            <v>11.962890625</v>
          </cell>
          <cell r="AN18">
            <v>2214</v>
          </cell>
          <cell r="AO18">
            <v>359</v>
          </cell>
          <cell r="AP18">
            <v>16.214995483288167</v>
          </cell>
          <cell r="AT18">
            <v>11086</v>
          </cell>
          <cell r="AU18">
            <v>1281</v>
          </cell>
          <cell r="AV18">
            <v>11.555114558903121</v>
          </cell>
          <cell r="AZ18">
            <v>2818</v>
          </cell>
          <cell r="BA18">
            <v>592</v>
          </cell>
          <cell r="BB18">
            <v>21.007806955287439</v>
          </cell>
          <cell r="BF18">
            <v>2023</v>
          </cell>
          <cell r="BG18">
            <v>472</v>
          </cell>
          <cell r="BH18">
            <v>23.331685615422639</v>
          </cell>
          <cell r="BL18">
            <v>2942</v>
          </cell>
          <cell r="BM18">
            <v>697</v>
          </cell>
          <cell r="BN18">
            <v>23.691366417403124</v>
          </cell>
          <cell r="BR18">
            <v>2473</v>
          </cell>
          <cell r="BS18">
            <v>603</v>
          </cell>
          <cell r="BT18">
            <v>24.383340072786091</v>
          </cell>
          <cell r="BX18">
            <v>5105</v>
          </cell>
          <cell r="BY18">
            <v>2502</v>
          </cell>
          <cell r="BZ18">
            <v>49.010773751224292</v>
          </cell>
          <cell r="CD18">
            <v>5572</v>
          </cell>
          <cell r="CE18">
            <v>1608</v>
          </cell>
          <cell r="CF18">
            <v>28.858578607322329</v>
          </cell>
          <cell r="CJ18">
            <v>20933</v>
          </cell>
          <cell r="CK18">
            <v>6474</v>
          </cell>
          <cell r="CL18">
            <v>30.927244064395932</v>
          </cell>
          <cell r="CP18">
            <v>32019</v>
          </cell>
          <cell r="CQ18">
            <v>7755</v>
          </cell>
          <cell r="CR18">
            <v>24.219994378337862</v>
          </cell>
        </row>
        <row r="19">
          <cell r="J19">
            <v>1726</v>
          </cell>
          <cell r="K19">
            <v>-134</v>
          </cell>
          <cell r="L19">
            <v>-7.7636152954808804</v>
          </cell>
          <cell r="P19">
            <v>2223</v>
          </cell>
          <cell r="Q19">
            <v>-109</v>
          </cell>
          <cell r="R19">
            <v>-4.9032838506522713</v>
          </cell>
          <cell r="V19">
            <v>2491</v>
          </cell>
          <cell r="W19">
            <v>-48</v>
          </cell>
          <cell r="X19">
            <v>-1.9269369731031716</v>
          </cell>
          <cell r="AB19">
            <v>2401</v>
          </cell>
          <cell r="AC19">
            <v>-129</v>
          </cell>
          <cell r="AD19">
            <v>-5.3727613494377344</v>
          </cell>
          <cell r="AH19">
            <v>3275</v>
          </cell>
          <cell r="AI19">
            <v>-182</v>
          </cell>
          <cell r="AJ19">
            <v>-5.557251908396946</v>
          </cell>
          <cell r="AN19">
            <v>4187</v>
          </cell>
          <cell r="AO19">
            <v>515</v>
          </cell>
          <cell r="AP19">
            <v>12.29997611655123</v>
          </cell>
          <cell r="AT19">
            <v>16303</v>
          </cell>
          <cell r="AU19">
            <v>-87</v>
          </cell>
          <cell r="AV19">
            <v>-0.53364411458013861</v>
          </cell>
          <cell r="AZ19">
            <v>5656</v>
          </cell>
          <cell r="BA19">
            <v>613</v>
          </cell>
          <cell r="BB19">
            <v>10.838048090523337</v>
          </cell>
          <cell r="BF19">
            <v>5846</v>
          </cell>
          <cell r="BG19">
            <v>980</v>
          </cell>
          <cell r="BH19">
            <v>16.763599042080056</v>
          </cell>
          <cell r="BL19">
            <v>6763</v>
          </cell>
          <cell r="BM19">
            <v>-322</v>
          </cell>
          <cell r="BN19">
            <v>-4.7612006505988465</v>
          </cell>
          <cell r="BR19">
            <v>4993</v>
          </cell>
          <cell r="BS19">
            <v>714</v>
          </cell>
          <cell r="BT19">
            <v>14.300020028039254</v>
          </cell>
          <cell r="BX19">
            <v>4350</v>
          </cell>
          <cell r="BY19">
            <v>28</v>
          </cell>
          <cell r="BZ19">
            <v>0.64367816091954022</v>
          </cell>
          <cell r="CD19">
            <v>4114</v>
          </cell>
          <cell r="CE19">
            <v>76</v>
          </cell>
          <cell r="CF19">
            <v>1.8473505104521146</v>
          </cell>
          <cell r="CJ19">
            <v>31722</v>
          </cell>
          <cell r="CK19">
            <v>2089</v>
          </cell>
          <cell r="CL19">
            <v>6.5853350986696926</v>
          </cell>
          <cell r="CP19">
            <v>48025</v>
          </cell>
          <cell r="CQ19">
            <v>2002</v>
          </cell>
          <cell r="CR19">
            <v>4.1686621551275378</v>
          </cell>
        </row>
        <row r="20">
          <cell r="J20">
            <v>0</v>
          </cell>
          <cell r="K20">
            <v>0</v>
          </cell>
          <cell r="L20">
            <v>0</v>
          </cell>
          <cell r="P20">
            <v>0</v>
          </cell>
          <cell r="Q20">
            <v>0</v>
          </cell>
          <cell r="R20">
            <v>0</v>
          </cell>
          <cell r="V20">
            <v>0</v>
          </cell>
          <cell r="W20">
            <v>0</v>
          </cell>
          <cell r="X20">
            <v>0</v>
          </cell>
          <cell r="AB20">
            <v>0</v>
          </cell>
          <cell r="AC20">
            <v>0</v>
          </cell>
          <cell r="AD20">
            <v>0</v>
          </cell>
          <cell r="AH20">
            <v>0</v>
          </cell>
          <cell r="AI20">
            <v>0</v>
          </cell>
          <cell r="AJ20">
            <v>0</v>
          </cell>
          <cell r="AN20">
            <v>4807</v>
          </cell>
          <cell r="AO20">
            <v>-272</v>
          </cell>
          <cell r="AP20">
            <v>-5.6584148117328894</v>
          </cell>
          <cell r="AT20">
            <v>4807</v>
          </cell>
          <cell r="AU20">
            <v>-272</v>
          </cell>
          <cell r="AV20">
            <v>-5.6584148117328894</v>
          </cell>
          <cell r="AZ20">
            <v>2091</v>
          </cell>
          <cell r="BA20">
            <v>-227</v>
          </cell>
          <cell r="BB20">
            <v>-10.856049736967959</v>
          </cell>
          <cell r="BF20">
            <v>3162</v>
          </cell>
          <cell r="BG20">
            <v>79</v>
          </cell>
          <cell r="BH20">
            <v>2.4984187223276404</v>
          </cell>
          <cell r="BL20">
            <v>4428</v>
          </cell>
          <cell r="BM20">
            <v>-146</v>
          </cell>
          <cell r="BN20">
            <v>-3.2971996386630531</v>
          </cell>
          <cell r="BR20">
            <v>1678</v>
          </cell>
          <cell r="BS20">
            <v>-11</v>
          </cell>
          <cell r="BT20">
            <v>-0.65554231227651971</v>
          </cell>
          <cell r="BX20">
            <v>2069</v>
          </cell>
          <cell r="BY20">
            <v>2</v>
          </cell>
          <cell r="BZ20">
            <v>9.6665055582406956E-2</v>
          </cell>
          <cell r="CD20">
            <v>10169</v>
          </cell>
          <cell r="CE20">
            <v>-70</v>
          </cell>
          <cell r="CF20">
            <v>-0.6883666043858786</v>
          </cell>
          <cell r="CJ20">
            <v>23597</v>
          </cell>
          <cell r="CK20">
            <v>-373</v>
          </cell>
          <cell r="CL20">
            <v>-1.5807094122134169</v>
          </cell>
          <cell r="CP20">
            <v>28404</v>
          </cell>
          <cell r="CQ20">
            <v>-645</v>
          </cell>
          <cell r="CR20">
            <v>-2.2708069286016057</v>
          </cell>
        </row>
        <row r="21">
          <cell r="J21">
            <v>2631</v>
          </cell>
          <cell r="K21">
            <v>-45</v>
          </cell>
          <cell r="L21">
            <v>-1.7103762827822122</v>
          </cell>
          <cell r="P21">
            <v>4642</v>
          </cell>
          <cell r="Q21">
            <v>-27</v>
          </cell>
          <cell r="R21">
            <v>-0.58164584230934946</v>
          </cell>
          <cell r="V21">
            <v>4032</v>
          </cell>
          <cell r="W21">
            <v>170</v>
          </cell>
          <cell r="X21">
            <v>4.2162698412698418</v>
          </cell>
          <cell r="AB21">
            <v>4360</v>
          </cell>
          <cell r="AC21">
            <v>159</v>
          </cell>
          <cell r="AD21">
            <v>3.6467889908256881</v>
          </cell>
          <cell r="AH21">
            <v>5323</v>
          </cell>
          <cell r="AI21">
            <v>63</v>
          </cell>
          <cell r="AJ21">
            <v>1.1835431147848958</v>
          </cell>
          <cell r="AN21">
            <v>11208</v>
          </cell>
          <cell r="AO21">
            <v>602</v>
          </cell>
          <cell r="AP21">
            <v>5.3711634546752318</v>
          </cell>
          <cell r="AT21">
            <v>32196</v>
          </cell>
          <cell r="AU21">
            <v>922</v>
          </cell>
          <cell r="AV21">
            <v>2.8637097776121259</v>
          </cell>
          <cell r="AZ21">
            <v>10565</v>
          </cell>
          <cell r="BA21">
            <v>978</v>
          </cell>
          <cell r="BB21">
            <v>9.2569805963085656</v>
          </cell>
          <cell r="BF21">
            <v>11031</v>
          </cell>
          <cell r="BG21">
            <v>1531</v>
          </cell>
          <cell r="BH21">
            <v>13.879068080863021</v>
          </cell>
          <cell r="BL21">
            <v>14133</v>
          </cell>
          <cell r="BM21">
            <v>229</v>
          </cell>
          <cell r="BN21">
            <v>1.620321233991368</v>
          </cell>
          <cell r="BR21">
            <v>9144</v>
          </cell>
          <cell r="BS21">
            <v>1306</v>
          </cell>
          <cell r="BT21">
            <v>14.282589676290463</v>
          </cell>
          <cell r="BX21">
            <v>11524</v>
          </cell>
          <cell r="BY21">
            <v>2532</v>
          </cell>
          <cell r="BZ21">
            <v>21.971537660534537</v>
          </cell>
          <cell r="CD21">
            <v>19855</v>
          </cell>
          <cell r="CE21">
            <v>1614</v>
          </cell>
          <cell r="CF21">
            <v>8.1289347771342246</v>
          </cell>
          <cell r="CJ21">
            <v>76252</v>
          </cell>
          <cell r="CK21">
            <v>8190</v>
          </cell>
          <cell r="CL21">
            <v>10.740701883229292</v>
          </cell>
          <cell r="CP21">
            <v>108448</v>
          </cell>
          <cell r="CQ21">
            <v>9112</v>
          </cell>
          <cell r="CR21">
            <v>8.402183534966067</v>
          </cell>
        </row>
        <row r="22">
          <cell r="J22">
            <v>32801.335546300004</v>
          </cell>
          <cell r="K22">
            <v>4689.5999999999995</v>
          </cell>
          <cell r="L22">
            <v>14.296978833012751</v>
          </cell>
          <cell r="P22">
            <v>41240.524354299996</v>
          </cell>
          <cell r="Q22">
            <v>7004.7979999999989</v>
          </cell>
          <cell r="R22">
            <v>16.985230206632025</v>
          </cell>
          <cell r="V22">
            <v>50161.560858599994</v>
          </cell>
          <cell r="W22">
            <v>9267.7249999999985</v>
          </cell>
          <cell r="X22">
            <v>18.475750836631082</v>
          </cell>
          <cell r="AB22">
            <v>48785.013750600003</v>
          </cell>
          <cell r="AC22">
            <v>9594.4369999999999</v>
          </cell>
          <cell r="AD22">
            <v>19.666771129857473</v>
          </cell>
          <cell r="AH22">
            <v>66761.8393966</v>
          </cell>
          <cell r="AI22">
            <v>13347.748</v>
          </cell>
          <cell r="AJ22">
            <v>19.993080059863903</v>
          </cell>
          <cell r="AN22">
            <v>69280.727868599992</v>
          </cell>
          <cell r="AO22">
            <v>13659.340999999999</v>
          </cell>
          <cell r="AP22">
            <v>19.715931717557492</v>
          </cell>
          <cell r="AT22">
            <v>309031.00177500001</v>
          </cell>
          <cell r="AU22">
            <v>57563.648999999998</v>
          </cell>
          <cell r="AV22">
            <v>18.627143771779593</v>
          </cell>
          <cell r="AZ22">
            <v>58731.528288500005</v>
          </cell>
          <cell r="BA22">
            <v>12981.128000000001</v>
          </cell>
          <cell r="BB22">
            <v>22.10248631064788</v>
          </cell>
          <cell r="BF22">
            <v>72418.880024500002</v>
          </cell>
          <cell r="BG22">
            <v>16439.25</v>
          </cell>
          <cell r="BH22">
            <v>22.700226784007768</v>
          </cell>
          <cell r="BL22">
            <v>73670.403194699989</v>
          </cell>
          <cell r="BM22">
            <v>14985.242</v>
          </cell>
          <cell r="BN22">
            <v>20.3409257315943</v>
          </cell>
          <cell r="BR22">
            <v>113774.75913749999</v>
          </cell>
          <cell r="BS22">
            <v>22077.817999999999</v>
          </cell>
          <cell r="BT22">
            <v>19.404847056910342</v>
          </cell>
          <cell r="BX22">
            <v>85027.900867799995</v>
          </cell>
          <cell r="BY22">
            <v>20551.249</v>
          </cell>
          <cell r="BZ22">
            <v>24.170006304110402</v>
          </cell>
          <cell r="CD22">
            <v>99238.731482999996</v>
          </cell>
          <cell r="CE22">
            <v>23214.880300000001</v>
          </cell>
          <cell r="CF22">
            <v>23.39296356682754</v>
          </cell>
          <cell r="CJ22">
            <v>502862.20299600001</v>
          </cell>
          <cell r="CK22">
            <v>110249.5673</v>
          </cell>
          <cell r="CL22">
            <v>21.924409240373347</v>
          </cell>
          <cell r="CP22">
            <v>811893.20477099996</v>
          </cell>
          <cell r="CQ22">
            <v>167813.2163</v>
          </cell>
          <cell r="CR22">
            <v>20.669370714505842</v>
          </cell>
        </row>
        <row r="23">
          <cell r="J23">
            <v>4123</v>
          </cell>
          <cell r="K23">
            <v>1253</v>
          </cell>
          <cell r="L23">
            <v>30.390492359932086</v>
          </cell>
          <cell r="P23">
            <v>4301</v>
          </cell>
          <cell r="Q23">
            <v>1328</v>
          </cell>
          <cell r="R23">
            <v>30.876540339455939</v>
          </cell>
          <cell r="V23">
            <v>4489</v>
          </cell>
          <cell r="W23">
            <v>1369</v>
          </cell>
          <cell r="X23">
            <v>30.496769881933616</v>
          </cell>
          <cell r="AB23">
            <v>4350</v>
          </cell>
          <cell r="AC23">
            <v>1282</v>
          </cell>
          <cell r="AD23">
            <v>29.47126436781609</v>
          </cell>
          <cell r="AH23">
            <v>5219</v>
          </cell>
          <cell r="AI23">
            <v>1856</v>
          </cell>
          <cell r="AJ23">
            <v>35.562368269783484</v>
          </cell>
          <cell r="AN23">
            <v>4116</v>
          </cell>
          <cell r="AO23">
            <v>1217</v>
          </cell>
          <cell r="AP23">
            <v>29.567541302235178</v>
          </cell>
          <cell r="AT23">
            <v>26598</v>
          </cell>
          <cell r="AU23">
            <v>8305</v>
          </cell>
          <cell r="AV23">
            <v>31.224152191894127</v>
          </cell>
          <cell r="AZ23">
            <v>3599</v>
          </cell>
          <cell r="BA23">
            <v>980</v>
          </cell>
          <cell r="BB23">
            <v>27.229786051681021</v>
          </cell>
          <cell r="BF23">
            <v>3764</v>
          </cell>
          <cell r="BG23">
            <v>1133</v>
          </cell>
          <cell r="BH23">
            <v>30.100956429330498</v>
          </cell>
          <cell r="BL23">
            <v>4759</v>
          </cell>
          <cell r="BM23">
            <v>1609</v>
          </cell>
          <cell r="BN23">
            <v>33.80962387056104</v>
          </cell>
          <cell r="BR23">
            <v>6270</v>
          </cell>
          <cell r="BS23">
            <v>1995</v>
          </cell>
          <cell r="BT23">
            <v>31.818181818181817</v>
          </cell>
          <cell r="BX23">
            <v>5725</v>
          </cell>
          <cell r="BY23">
            <v>1989</v>
          </cell>
          <cell r="BZ23">
            <v>34.742358078602621</v>
          </cell>
          <cell r="CD23">
            <v>6235</v>
          </cell>
          <cell r="CE23">
            <v>2114</v>
          </cell>
          <cell r="CF23">
            <v>33.905372894947874</v>
          </cell>
          <cell r="CJ23">
            <v>30352</v>
          </cell>
          <cell r="CK23">
            <v>9820</v>
          </cell>
          <cell r="CL23">
            <v>32.353716394306801</v>
          </cell>
          <cell r="CP23">
            <v>56950</v>
          </cell>
          <cell r="CQ23">
            <v>18125</v>
          </cell>
          <cell r="CR23">
            <v>31.826163301141353</v>
          </cell>
        </row>
        <row r="24">
          <cell r="L24">
            <v>0</v>
          </cell>
          <cell r="R24">
            <v>0</v>
          </cell>
          <cell r="X24">
            <v>0</v>
          </cell>
          <cell r="AD24">
            <v>0</v>
          </cell>
          <cell r="AJ24">
            <v>0</v>
          </cell>
          <cell r="AP24">
            <v>0</v>
          </cell>
          <cell r="AV24">
            <v>0</v>
          </cell>
          <cell r="BB24">
            <v>0</v>
          </cell>
          <cell r="BH24">
            <v>0</v>
          </cell>
          <cell r="BN24">
            <v>0</v>
          </cell>
          <cell r="BT24">
            <v>0</v>
          </cell>
          <cell r="BZ24">
            <v>0</v>
          </cell>
          <cell r="CF24">
            <v>0</v>
          </cell>
          <cell r="CL24">
            <v>0</v>
          </cell>
          <cell r="CR24">
            <v>0</v>
          </cell>
        </row>
      </sheetData>
      <sheetData sheetId="2"/>
      <sheetData sheetId="3"/>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Cover Page"/>
      <sheetName val="Instructions"/>
      <sheetName val="Review-Approval Sheet"/>
      <sheetName val="Assessment Req'ts Planning"/>
      <sheetName val="Assessment Plan - Results"/>
      <sheetName val="Pre-Assessment Cover Sheet"/>
      <sheetName val="Pre-Assessment Results"/>
      <sheetName val="Pre-Assessment Section Scores"/>
      <sheetName val="Pre-Assessment Questionaire"/>
      <sheetName val="Systems Assessment Cover Sheet"/>
      <sheetName val="Systems Assessment Results"/>
      <sheetName val="Assessment Section Scores"/>
      <sheetName val="Systems Assessment Questionaire"/>
      <sheetName val="PCB Assessment Cover Sheet"/>
      <sheetName val="PCB Assessment Section Summary"/>
      <sheetName val="PCB Assessment Results "/>
      <sheetName val="PCB Assessment Questionaire"/>
      <sheetName val="FPC &amp; FPCA Cover Sheet"/>
      <sheetName val="FPC &amp; FPCA Assessment Results"/>
      <sheetName val="FPC &amp; FPCA Questionaire"/>
      <sheetName val="PSU Assessment Cover Sheet"/>
      <sheetName val="PSU Assessment Results"/>
      <sheetName val="PSU Assessment Questionaire"/>
      <sheetName val="Passives Cover Sheet"/>
      <sheetName val="Passives Assessment Results"/>
      <sheetName val="Passives Questionaire"/>
      <sheetName val="Connector Assessment Cover "/>
      <sheetName val="Connector Assessment Results"/>
      <sheetName val="Connector Questionaire"/>
      <sheetName val="Design Cover Sheet"/>
      <sheetName val="Design Assessment Results"/>
      <sheetName val="Design Questionaire"/>
      <sheetName val="Tooling Assessment Cover Sheet"/>
      <sheetName val="Tooling Assessment Results"/>
      <sheetName val="Tooling Questionnaire"/>
      <sheetName val="Service Suppliers Cover"/>
      <sheetName val="Service Supplier Results"/>
      <sheetName val="Service Supplier Questionaire"/>
      <sheetName val="Mechanicals Suppliers Cover"/>
      <sheetName val="Mechanicals Supplier Results"/>
      <sheetName val="Mechanicals Supplier Questionai"/>
      <sheetName val="Packaging Suppliers Cover"/>
      <sheetName val="Packaging Supplier Results"/>
      <sheetName val="Packaging Supplier Questionaire"/>
      <sheetName val="Supplier Development Plan"/>
      <sheetName val="Sheet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1">
          <cell r="A1">
            <v>0</v>
          </cell>
          <cell r="I1">
            <v>1</v>
          </cell>
          <cell r="K1">
            <v>0</v>
          </cell>
          <cell r="M1">
            <v>1</v>
          </cell>
        </row>
        <row r="2">
          <cell r="A2">
            <v>1</v>
          </cell>
          <cell r="I2">
            <v>2</v>
          </cell>
          <cell r="K2">
            <v>1</v>
          </cell>
          <cell r="M2">
            <v>3</v>
          </cell>
        </row>
        <row r="3">
          <cell r="A3">
            <v>2</v>
          </cell>
          <cell r="I3">
            <v>3</v>
          </cell>
          <cell r="K3">
            <v>2</v>
          </cell>
        </row>
        <row r="4">
          <cell r="A4">
            <v>3</v>
          </cell>
          <cell r="K4">
            <v>3</v>
          </cell>
        </row>
        <row r="5">
          <cell r="A5" t="str">
            <v>NA</v>
          </cell>
        </row>
        <row r="9">
          <cell r="A9">
            <v>0</v>
          </cell>
          <cell r="K9">
            <v>0</v>
          </cell>
        </row>
        <row r="10">
          <cell r="A10">
            <v>1</v>
          </cell>
          <cell r="K10">
            <v>1</v>
          </cell>
        </row>
        <row r="11">
          <cell r="A11">
            <v>2</v>
          </cell>
          <cell r="K11">
            <v>2</v>
          </cell>
        </row>
        <row r="12">
          <cell r="A12">
            <v>3</v>
          </cell>
          <cell r="K12">
            <v>3</v>
          </cell>
        </row>
        <row r="13">
          <cell r="A13" t="str">
            <v>NA</v>
          </cell>
        </row>
        <row r="19">
          <cell r="A19" t="str">
            <v>Yes</v>
          </cell>
        </row>
        <row r="20">
          <cell r="A20" t="str">
            <v>No</v>
          </cell>
        </row>
        <row r="23">
          <cell r="A23" t="str">
            <v>On Site Follow Up Audit</v>
          </cell>
        </row>
        <row r="24">
          <cell r="A24" t="str">
            <v>Action/Evidence Review</v>
          </cell>
        </row>
      </sheetData>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sheetData sheetId="1"/>
      <sheetData sheetId="2"/>
      <sheetData sheetId="3" refreshError="1">
        <row r="7">
          <cell r="D7" t="str">
            <v>MA060001AD</v>
          </cell>
          <cell r="E7" t="str">
            <v>2M3X BARREL ASSY-SHP</v>
          </cell>
          <cell r="F7">
            <v>1</v>
          </cell>
          <cell r="G7" t="str">
            <v>PC</v>
          </cell>
        </row>
        <row r="8">
          <cell r="D8" t="str">
            <v>Q0103006601A</v>
          </cell>
          <cell r="E8" t="str">
            <v>POLYOLEFIN RESIN[ZEO</v>
          </cell>
          <cell r="F8">
            <v>1.8E-3</v>
          </cell>
          <cell r="G8" t="str">
            <v>G</v>
          </cell>
        </row>
        <row r="9">
          <cell r="D9" t="str">
            <v>Q0474911601A</v>
          </cell>
          <cell r="E9" t="str">
            <v>TAP TITE SCREW</v>
          </cell>
          <cell r="F9">
            <v>6</v>
          </cell>
          <cell r="G9" t="str">
            <v>PC</v>
          </cell>
        </row>
        <row r="10">
          <cell r="D10" t="str">
            <v>Q0608000601A</v>
          </cell>
          <cell r="E10" t="str">
            <v>PHOTO INTERRUPTER-RP</v>
          </cell>
          <cell r="F10">
            <v>1</v>
          </cell>
          <cell r="G10" t="str">
            <v>PC</v>
          </cell>
        </row>
        <row r="11">
          <cell r="D11" t="str">
            <v>Q0608000701A</v>
          </cell>
          <cell r="E11" t="str">
            <v>PHOTO REFLECTOR-SEC2</v>
          </cell>
          <cell r="F11">
            <v>1</v>
          </cell>
          <cell r="G11" t="str">
            <v>PC</v>
          </cell>
        </row>
        <row r="12">
          <cell r="D12" t="str">
            <v>Q0608000901A</v>
          </cell>
          <cell r="E12" t="str">
            <v>PHOTO INTERRUPTER-SZ</v>
          </cell>
          <cell r="F12">
            <v>2</v>
          </cell>
          <cell r="G12" t="str">
            <v>PC</v>
          </cell>
        </row>
        <row r="13">
          <cell r="D13" t="str">
            <v>Q0950214401A</v>
          </cell>
          <cell r="E13" t="str">
            <v>BOND TAPE-A[]</v>
          </cell>
          <cell r="F13">
            <v>4</v>
          </cell>
          <cell r="G13" t="str">
            <v>PC</v>
          </cell>
        </row>
        <row r="14">
          <cell r="D14" t="str">
            <v>Q0960213901A</v>
          </cell>
          <cell r="E14" t="str">
            <v>BOND TAPE-C</v>
          </cell>
          <cell r="F14">
            <v>1</v>
          </cell>
          <cell r="G14" t="str">
            <v>PC</v>
          </cell>
        </row>
        <row r="15">
          <cell r="D15" t="str">
            <v>Q0961900101A</v>
          </cell>
          <cell r="E15" t="str">
            <v>SCREW</v>
          </cell>
          <cell r="F15">
            <v>10</v>
          </cell>
          <cell r="G15" t="str">
            <v>PC</v>
          </cell>
        </row>
        <row r="16">
          <cell r="D16" t="str">
            <v>Q0961900301B</v>
          </cell>
          <cell r="E16" t="str">
            <v>SCREW</v>
          </cell>
          <cell r="F16">
            <v>5</v>
          </cell>
          <cell r="G16" t="str">
            <v>PC</v>
          </cell>
        </row>
        <row r="17">
          <cell r="D17" t="str">
            <v>Q0980502501A</v>
          </cell>
          <cell r="E17" t="str">
            <v>FINDER TAPE[양면 TAP</v>
          </cell>
          <cell r="F17">
            <v>1</v>
          </cell>
          <cell r="G17" t="str">
            <v>PC</v>
          </cell>
        </row>
        <row r="18">
          <cell r="D18" t="str">
            <v>Q3107001401A</v>
          </cell>
          <cell r="E18" t="str">
            <v>ZOOM MOTOR-LPD10  SE</v>
          </cell>
          <cell r="F18">
            <v>1</v>
          </cell>
          <cell r="G18" t="str">
            <v>PC</v>
          </cell>
        </row>
        <row r="19">
          <cell r="D19" t="str">
            <v>Q3107001601A</v>
          </cell>
          <cell r="E19" t="str">
            <v>AF MOTOR-SEC 3M3X</v>
          </cell>
          <cell r="F19">
            <v>1</v>
          </cell>
          <cell r="G19" t="str">
            <v>PC</v>
          </cell>
        </row>
        <row r="20">
          <cell r="D20" t="str">
            <v>Q3107001901A</v>
          </cell>
          <cell r="E20" t="str">
            <v>AF MOTOR-SZC2327</v>
          </cell>
          <cell r="F20">
            <v>1</v>
          </cell>
          <cell r="G20" t="str">
            <v>PC</v>
          </cell>
        </row>
        <row r="21">
          <cell r="D21" t="str">
            <v>Q3107002001A</v>
          </cell>
          <cell r="E21" t="str">
            <v>ZOOM MOTOR-SZC2327</v>
          </cell>
          <cell r="F21">
            <v>1</v>
          </cell>
          <cell r="G21" t="str">
            <v>PC</v>
          </cell>
        </row>
        <row r="22">
          <cell r="D22" t="str">
            <v>Q4101024101A</v>
          </cell>
          <cell r="E22" t="str">
            <v>BARREL FPCB-DSC350SE</v>
          </cell>
          <cell r="F22">
            <v>1</v>
          </cell>
          <cell r="G22" t="str">
            <v>PC</v>
          </cell>
        </row>
        <row r="23">
          <cell r="D23" t="str">
            <v>Q4101024201A</v>
          </cell>
          <cell r="E23" t="str">
            <v>MAIN FPCB-SZC2327</v>
          </cell>
          <cell r="F23">
            <v>1</v>
          </cell>
          <cell r="G23" t="str">
            <v>PC</v>
          </cell>
        </row>
        <row r="24">
          <cell r="D24" t="str">
            <v>Q6001010601A</v>
          </cell>
          <cell r="E24" t="str">
            <v>SCREW</v>
          </cell>
          <cell r="F24">
            <v>1</v>
          </cell>
          <cell r="G24" t="str">
            <v>PC</v>
          </cell>
        </row>
        <row r="25">
          <cell r="D25" t="str">
            <v>Q6003027401A</v>
          </cell>
          <cell r="E25" t="str">
            <v>MECHA SCREW(D2.8xH0.</v>
          </cell>
          <cell r="F25">
            <v>7</v>
          </cell>
          <cell r="G25" t="str">
            <v>PC</v>
          </cell>
        </row>
        <row r="26">
          <cell r="D26" t="str">
            <v>Q6107035401A</v>
          </cell>
          <cell r="E26" t="str">
            <v>CLOSE SPRING</v>
          </cell>
          <cell r="F26">
            <v>2</v>
          </cell>
          <cell r="G26" t="str">
            <v>PC</v>
          </cell>
        </row>
        <row r="27">
          <cell r="D27" t="str">
            <v>Q6107043303A</v>
          </cell>
          <cell r="E27" t="str">
            <v>CO SPRING-SEC 2M3X</v>
          </cell>
          <cell r="F27">
            <v>2</v>
          </cell>
          <cell r="G27" t="str">
            <v>PC</v>
          </cell>
        </row>
        <row r="28">
          <cell r="D28" t="str">
            <v>Q6107043803A</v>
          </cell>
          <cell r="E28" t="str">
            <v>F CAM SPRING A-SEC3M</v>
          </cell>
          <cell r="F28">
            <v>1</v>
          </cell>
          <cell r="G28" t="str">
            <v>PC</v>
          </cell>
        </row>
        <row r="29">
          <cell r="D29" t="str">
            <v>Q6107043902A</v>
          </cell>
          <cell r="E29" t="str">
            <v>AF SPRING-SEC3M3X</v>
          </cell>
          <cell r="F29">
            <v>1</v>
          </cell>
          <cell r="G29" t="str">
            <v>PC</v>
          </cell>
        </row>
        <row r="30">
          <cell r="D30" t="str">
            <v>Q6107045802A</v>
          </cell>
          <cell r="E30" t="str">
            <v>BARRIER OPEN SPRING-</v>
          </cell>
          <cell r="F30">
            <v>1</v>
          </cell>
          <cell r="G30" t="str">
            <v>PC</v>
          </cell>
        </row>
        <row r="31">
          <cell r="D31" t="str">
            <v>Q6107047502A</v>
          </cell>
          <cell r="E31" t="str">
            <v>LIMIT SPRING-SX32</v>
          </cell>
          <cell r="F31">
            <v>1</v>
          </cell>
          <cell r="G31" t="str">
            <v>PC</v>
          </cell>
        </row>
        <row r="32">
          <cell r="D32" t="str">
            <v>Q6107049603A</v>
          </cell>
          <cell r="E32" t="str">
            <v>3rd LENS BARREL SPRI</v>
          </cell>
          <cell r="F32">
            <v>1</v>
          </cell>
          <cell r="G32" t="str">
            <v>PC</v>
          </cell>
        </row>
        <row r="33">
          <cell r="D33" t="str">
            <v>Q6711043201A</v>
          </cell>
          <cell r="E33" t="str">
            <v>G1 LENS-SEC3M3X</v>
          </cell>
          <cell r="F33">
            <v>1</v>
          </cell>
          <cell r="G33" t="str">
            <v>PC</v>
          </cell>
        </row>
        <row r="34">
          <cell r="D34" t="str">
            <v>Q6711043201AL</v>
          </cell>
          <cell r="E34" t="str">
            <v>G1 LENS MATERIAL-SEC</v>
          </cell>
          <cell r="F34">
            <v>1</v>
          </cell>
          <cell r="G34" t="str">
            <v>PC</v>
          </cell>
        </row>
        <row r="35">
          <cell r="D35" t="str">
            <v>Q6711043301A</v>
          </cell>
          <cell r="E35" t="str">
            <v>G3 LENS-SEC3M3X</v>
          </cell>
          <cell r="F35">
            <v>1</v>
          </cell>
          <cell r="G35" t="str">
            <v>PC</v>
          </cell>
        </row>
        <row r="36">
          <cell r="D36" t="str">
            <v>Q6711043301AL</v>
          </cell>
          <cell r="E36" t="str">
            <v>G3 LENS MATERIAL-SEC</v>
          </cell>
          <cell r="F36">
            <v>1</v>
          </cell>
          <cell r="G36" t="str">
            <v>PC</v>
          </cell>
        </row>
        <row r="37">
          <cell r="D37" t="str">
            <v>Q6711043401A</v>
          </cell>
          <cell r="E37" t="str">
            <v>G5 LENS-SEC3M3X</v>
          </cell>
          <cell r="F37">
            <v>1</v>
          </cell>
          <cell r="G37" t="str">
            <v>PC</v>
          </cell>
        </row>
        <row r="38">
          <cell r="D38" t="str">
            <v>Q6711043401AC</v>
          </cell>
          <cell r="E38" t="str">
            <v>G5 LENS CENTERING-SE</v>
          </cell>
          <cell r="F38">
            <v>1</v>
          </cell>
          <cell r="G38" t="str">
            <v>PC</v>
          </cell>
        </row>
        <row r="39">
          <cell r="D39" t="str">
            <v>Q6711043401AG</v>
          </cell>
          <cell r="E39" t="str">
            <v>G5 LENS GRINDING-SEC</v>
          </cell>
          <cell r="F39">
            <v>1</v>
          </cell>
          <cell r="G39" t="str">
            <v>PC</v>
          </cell>
        </row>
        <row r="40">
          <cell r="D40" t="str">
            <v>Q6711043401AL</v>
          </cell>
          <cell r="E40" t="str">
            <v>G5 LENS MATERIAL-SEC</v>
          </cell>
          <cell r="F40">
            <v>1</v>
          </cell>
          <cell r="G40" t="str">
            <v>PC</v>
          </cell>
        </row>
        <row r="41">
          <cell r="D41" t="str">
            <v>Q6711043501A</v>
          </cell>
          <cell r="E41" t="str">
            <v>G6 LENS-SEC3M3X</v>
          </cell>
          <cell r="F41">
            <v>1</v>
          </cell>
          <cell r="G41" t="str">
            <v>PC</v>
          </cell>
        </row>
        <row r="42">
          <cell r="D42" t="str">
            <v>Q6711043501AL</v>
          </cell>
          <cell r="E42" t="str">
            <v>G6 LENS MATERIAL-SEC</v>
          </cell>
          <cell r="F42">
            <v>1</v>
          </cell>
          <cell r="G42" t="str">
            <v>PC</v>
          </cell>
        </row>
        <row r="43">
          <cell r="D43" t="str">
            <v>Q6711043601A</v>
          </cell>
          <cell r="E43" t="str">
            <v>G7 LENS-SEC3M3X</v>
          </cell>
          <cell r="F43">
            <v>1</v>
          </cell>
          <cell r="G43" t="str">
            <v>PC</v>
          </cell>
        </row>
        <row r="44">
          <cell r="D44" t="str">
            <v>Q6711043601AC</v>
          </cell>
          <cell r="E44" t="str">
            <v>G7 LENS CENTERING-SE</v>
          </cell>
          <cell r="F44">
            <v>1</v>
          </cell>
          <cell r="G44" t="str">
            <v>PC</v>
          </cell>
        </row>
        <row r="45">
          <cell r="D45" t="str">
            <v>Q6711043601AG</v>
          </cell>
          <cell r="E45" t="str">
            <v>G7 LENS GRINDING-SEC</v>
          </cell>
          <cell r="F45">
            <v>1</v>
          </cell>
          <cell r="G45" t="str">
            <v>PC</v>
          </cell>
        </row>
        <row r="46">
          <cell r="D46" t="str">
            <v>Q6711043601AL</v>
          </cell>
          <cell r="E46" t="str">
            <v>G7 LENS MATERIAL-SEC</v>
          </cell>
          <cell r="F46">
            <v>1</v>
          </cell>
          <cell r="G46" t="str">
            <v>PC</v>
          </cell>
        </row>
        <row r="47">
          <cell r="D47" t="str">
            <v>Q6711043701A</v>
          </cell>
          <cell r="E47" t="str">
            <v>G8 LENS-SEC3M3X</v>
          </cell>
          <cell r="F47">
            <v>1</v>
          </cell>
          <cell r="G47" t="str">
            <v>PC</v>
          </cell>
        </row>
        <row r="48">
          <cell r="D48" t="str">
            <v>Q6711043701AL</v>
          </cell>
          <cell r="E48" t="str">
            <v>G8 LENS MATERIAL-SEC</v>
          </cell>
          <cell r="F48">
            <v>1</v>
          </cell>
          <cell r="G48" t="str">
            <v>PC</v>
          </cell>
        </row>
        <row r="49">
          <cell r="D49" t="str">
            <v>Q6712002301A</v>
          </cell>
          <cell r="E49" t="str">
            <v>G2 LENS-SEC 3M3X</v>
          </cell>
          <cell r="F49">
            <v>1</v>
          </cell>
          <cell r="G49" t="str">
            <v>PC</v>
          </cell>
        </row>
        <row r="50">
          <cell r="D50" t="str">
            <v>Q6712002401A</v>
          </cell>
          <cell r="E50" t="str">
            <v>G4 LENS-SEC 3M3X</v>
          </cell>
          <cell r="F50">
            <v>1</v>
          </cell>
          <cell r="G50" t="str">
            <v>PC</v>
          </cell>
        </row>
        <row r="51">
          <cell r="D51" t="str">
            <v>Q6721005903A</v>
          </cell>
          <cell r="E51" t="str">
            <v>OB LENS-SEC 2M3X</v>
          </cell>
          <cell r="F51">
            <v>1</v>
          </cell>
          <cell r="G51" t="str">
            <v>PC</v>
          </cell>
        </row>
        <row r="52">
          <cell r="D52" t="str">
            <v>Q6721006301A</v>
          </cell>
          <cell r="E52" t="str">
            <v>VARIATOR LENS-SEC3M3</v>
          </cell>
          <cell r="F52">
            <v>1</v>
          </cell>
          <cell r="G52" t="str">
            <v>PC</v>
          </cell>
        </row>
        <row r="53">
          <cell r="D53" t="str">
            <v>Q6721006401A</v>
          </cell>
          <cell r="E53" t="str">
            <v>COMPE LENS-SEC3M3X</v>
          </cell>
          <cell r="F53">
            <v>1</v>
          </cell>
          <cell r="G53" t="str">
            <v>PC</v>
          </cell>
        </row>
        <row r="54">
          <cell r="D54" t="str">
            <v>Q6721006501A</v>
          </cell>
          <cell r="E54" t="str">
            <v>EYEPIECE LENS A-SEC3</v>
          </cell>
          <cell r="F54">
            <v>1</v>
          </cell>
          <cell r="G54" t="str">
            <v>PC</v>
          </cell>
        </row>
        <row r="55">
          <cell r="D55" t="str">
            <v>Q6721006602A</v>
          </cell>
          <cell r="E55" t="str">
            <v>EYEPIECE LENS B-SEC3</v>
          </cell>
          <cell r="F55">
            <v>1</v>
          </cell>
          <cell r="G55" t="str">
            <v>PC</v>
          </cell>
        </row>
        <row r="56">
          <cell r="D56" t="str">
            <v>Q6726001601A</v>
          </cell>
          <cell r="E56" t="str">
            <v>DEVIATION PRISM-SEC</v>
          </cell>
          <cell r="F56">
            <v>1</v>
          </cell>
          <cell r="G56" t="str">
            <v>PC</v>
          </cell>
        </row>
        <row r="57">
          <cell r="D57" t="str">
            <v>Q6726001702A</v>
          </cell>
          <cell r="E57" t="str">
            <v>PRISM B-SEC 2M3X</v>
          </cell>
          <cell r="F57">
            <v>1</v>
          </cell>
          <cell r="G57" t="str">
            <v>PC</v>
          </cell>
        </row>
        <row r="58">
          <cell r="D58" t="str">
            <v>Q6734000201A</v>
          </cell>
          <cell r="E58" t="str">
            <v>SKY LIGHT FILTER-SZC</v>
          </cell>
          <cell r="F58">
            <v>1</v>
          </cell>
          <cell r="G58" t="str">
            <v>PC</v>
          </cell>
        </row>
        <row r="59">
          <cell r="D59" t="str">
            <v>Q6901165701A</v>
          </cell>
          <cell r="E59" t="str">
            <v>C/T BOX_SZA4318(1/90</v>
          </cell>
          <cell r="F59">
            <v>1.112E-2</v>
          </cell>
          <cell r="G59" t="str">
            <v>MPC</v>
          </cell>
        </row>
        <row r="60">
          <cell r="D60" t="str">
            <v>Q6901165801A</v>
          </cell>
          <cell r="E60" t="str">
            <v>TRAY BASE_SZA4318</v>
          </cell>
          <cell r="F60">
            <v>3.3340000000000002E-2</v>
          </cell>
          <cell r="G60" t="str">
            <v>MPC</v>
          </cell>
        </row>
        <row r="61">
          <cell r="D61" t="str">
            <v>Q6901168501A</v>
          </cell>
          <cell r="E61" t="str">
            <v>TRAY COVER_SZA4318</v>
          </cell>
          <cell r="F61">
            <v>3.3340000000000002E-2</v>
          </cell>
          <cell r="G61" t="str">
            <v>MPC</v>
          </cell>
        </row>
        <row r="62">
          <cell r="D62" t="str">
            <v>Q6909010401A</v>
          </cell>
          <cell r="E62" t="str">
            <v>SEC 3M3X-PE BAG</v>
          </cell>
          <cell r="F62">
            <v>1</v>
          </cell>
          <cell r="G62" t="str">
            <v>PC</v>
          </cell>
        </row>
        <row r="63">
          <cell r="D63" t="str">
            <v>Q6909011301A</v>
          </cell>
          <cell r="E63" t="str">
            <v>PE BAG_SZA4318(1/90E</v>
          </cell>
          <cell r="F63">
            <v>1.112E-2</v>
          </cell>
          <cell r="G63" t="str">
            <v>MPC</v>
          </cell>
        </row>
        <row r="64">
          <cell r="D64" t="str">
            <v>Q7012065602A</v>
          </cell>
          <cell r="E64" t="str">
            <v>PUSH PLATE-SEC3M3X</v>
          </cell>
          <cell r="F64">
            <v>1</v>
          </cell>
          <cell r="G64" t="str">
            <v>PC</v>
          </cell>
        </row>
        <row r="65">
          <cell r="D65" t="str">
            <v>Q7012065704C</v>
          </cell>
          <cell r="E65" t="str">
            <v>PCB GUIDER-SEC3M3X</v>
          </cell>
          <cell r="F65">
            <v>1</v>
          </cell>
          <cell r="G65" t="str">
            <v>PC</v>
          </cell>
        </row>
        <row r="66">
          <cell r="D66" t="str">
            <v>Q7012065901A</v>
          </cell>
          <cell r="E66" t="str">
            <v>PI PRESSURE-SEC3M3X</v>
          </cell>
          <cell r="F66">
            <v>1</v>
          </cell>
          <cell r="G66" t="str">
            <v>PC</v>
          </cell>
        </row>
        <row r="67">
          <cell r="D67" t="str">
            <v>Q7012068702B</v>
          </cell>
          <cell r="E67" t="str">
            <v>RESSURE SPRING-SX32</v>
          </cell>
          <cell r="F67">
            <v>3</v>
          </cell>
          <cell r="G67" t="str">
            <v>PC</v>
          </cell>
        </row>
        <row r="68">
          <cell r="D68" t="str">
            <v>Q7012070502A</v>
          </cell>
          <cell r="E68" t="str">
            <v>FPCB GUIDER-SZC2327</v>
          </cell>
          <cell r="F68">
            <v>1</v>
          </cell>
          <cell r="G68" t="str">
            <v>PC</v>
          </cell>
        </row>
        <row r="69">
          <cell r="D69" t="str">
            <v>Q7012070901A</v>
          </cell>
          <cell r="E69" t="str">
            <v>PLATE SHIELD-DSC350S</v>
          </cell>
          <cell r="F69">
            <v>1</v>
          </cell>
          <cell r="G69" t="str">
            <v>PC</v>
          </cell>
        </row>
        <row r="70">
          <cell r="D70" t="str">
            <v>Q7012071001A</v>
          </cell>
          <cell r="E70" t="str">
            <v>G6 SHIELD-DSC350SE</v>
          </cell>
          <cell r="F70">
            <v>1</v>
          </cell>
          <cell r="G70" t="str">
            <v>PC</v>
          </cell>
        </row>
        <row r="71">
          <cell r="D71" t="str">
            <v>Q7012072601A</v>
          </cell>
          <cell r="E71" t="str">
            <v>AF CLIP-SZC2327</v>
          </cell>
          <cell r="F71">
            <v>1</v>
          </cell>
          <cell r="G71" t="str">
            <v>PC</v>
          </cell>
        </row>
        <row r="72">
          <cell r="D72" t="str">
            <v>Q7013012201A</v>
          </cell>
          <cell r="E72" t="str">
            <v>OB HOLDER-SEC 2M3X</v>
          </cell>
          <cell r="F72">
            <v>1</v>
          </cell>
          <cell r="G72" t="str">
            <v>PC</v>
          </cell>
        </row>
        <row r="73">
          <cell r="D73" t="str">
            <v>Q7013012402A</v>
          </cell>
          <cell r="E73" t="str">
            <v>FINDER MASK-SEC 2M3X</v>
          </cell>
          <cell r="F73">
            <v>1</v>
          </cell>
          <cell r="G73" t="str">
            <v>PC</v>
          </cell>
        </row>
        <row r="74">
          <cell r="D74" t="str">
            <v>Q7013012501A</v>
          </cell>
          <cell r="E74" t="str">
            <v>VA MASK-SEC3M3X</v>
          </cell>
          <cell r="F74">
            <v>1</v>
          </cell>
          <cell r="G74" t="str">
            <v>PC</v>
          </cell>
        </row>
        <row r="75">
          <cell r="D75" t="str">
            <v>Q7212140504A</v>
          </cell>
          <cell r="E75" t="str">
            <v>1ST LENS BARREL-SEC3</v>
          </cell>
          <cell r="F75">
            <v>1</v>
          </cell>
          <cell r="G75" t="str">
            <v>PC</v>
          </cell>
        </row>
        <row r="76">
          <cell r="D76" t="str">
            <v>Q7212140606A</v>
          </cell>
          <cell r="E76" t="str">
            <v>2ND LENS BARREL-SEC3</v>
          </cell>
          <cell r="F76">
            <v>1</v>
          </cell>
          <cell r="G76" t="str">
            <v>PC</v>
          </cell>
        </row>
        <row r="77">
          <cell r="D77" t="str">
            <v>Q7212140702A</v>
          </cell>
          <cell r="E77" t="str">
            <v>3RD LENS BARREL-SEC3</v>
          </cell>
          <cell r="F77">
            <v>1</v>
          </cell>
          <cell r="G77" t="str">
            <v>PC</v>
          </cell>
        </row>
        <row r="78">
          <cell r="D78" t="str">
            <v>Q7212140805A</v>
          </cell>
          <cell r="E78" t="str">
            <v>ZOOM RING-SEC3M3X</v>
          </cell>
          <cell r="F78">
            <v>1</v>
          </cell>
          <cell r="G78" t="str">
            <v>PC</v>
          </cell>
        </row>
        <row r="79">
          <cell r="D79" t="str">
            <v>Q7212140903A</v>
          </cell>
          <cell r="E79" t="str">
            <v>CAM BARREL-SEC3M3X</v>
          </cell>
          <cell r="F79">
            <v>1</v>
          </cell>
          <cell r="G79" t="str">
            <v>PC</v>
          </cell>
        </row>
        <row r="80">
          <cell r="D80" t="str">
            <v>Q7212141003A</v>
          </cell>
          <cell r="E80" t="str">
            <v>GUIDE BARREL-SEC3M3X</v>
          </cell>
          <cell r="F80">
            <v>1</v>
          </cell>
          <cell r="G80" t="str">
            <v>PC</v>
          </cell>
        </row>
        <row r="81">
          <cell r="D81" t="str">
            <v>Q7212141103B</v>
          </cell>
          <cell r="E81" t="str">
            <v>GUIDE PLATE-SEC3M3X</v>
          </cell>
          <cell r="F81">
            <v>1</v>
          </cell>
          <cell r="G81" t="str">
            <v>PC</v>
          </cell>
        </row>
        <row r="82">
          <cell r="D82" t="str">
            <v>Q7212141303A</v>
          </cell>
          <cell r="E82" t="str">
            <v>AF GUIDE HOLDER-SEC3</v>
          </cell>
          <cell r="F82">
            <v>1</v>
          </cell>
          <cell r="G82" t="str">
            <v>PC</v>
          </cell>
        </row>
        <row r="83">
          <cell r="D83" t="str">
            <v>Q7212141402A</v>
          </cell>
          <cell r="E83" t="str">
            <v>FRONT PANEL-SEC3M3X</v>
          </cell>
          <cell r="F83">
            <v>1</v>
          </cell>
          <cell r="G83" t="str">
            <v>PC</v>
          </cell>
        </row>
        <row r="84">
          <cell r="D84" t="str">
            <v>Q7212141502A</v>
          </cell>
          <cell r="E84" t="str">
            <v>BARRIER BASE-SEC3M3X</v>
          </cell>
          <cell r="F84">
            <v>1</v>
          </cell>
          <cell r="G84" t="str">
            <v>PC</v>
          </cell>
        </row>
        <row r="85">
          <cell r="D85" t="str">
            <v>Q7212141602A</v>
          </cell>
          <cell r="E85" t="str">
            <v>BARRIER A-SEC3M3X</v>
          </cell>
          <cell r="F85">
            <v>1</v>
          </cell>
          <cell r="G85" t="str">
            <v>PC</v>
          </cell>
        </row>
        <row r="86">
          <cell r="D86" t="str">
            <v>Q7212141702A</v>
          </cell>
          <cell r="E86" t="str">
            <v>BARRIER B-SEC3M3X</v>
          </cell>
          <cell r="F86">
            <v>1</v>
          </cell>
          <cell r="G86" t="str">
            <v>PC</v>
          </cell>
        </row>
        <row r="87">
          <cell r="D87" t="str">
            <v>Q7212141803A</v>
          </cell>
          <cell r="E87" t="str">
            <v>BARRIER C-SEC3M3X</v>
          </cell>
          <cell r="F87">
            <v>2</v>
          </cell>
          <cell r="G87" t="str">
            <v>PC</v>
          </cell>
        </row>
        <row r="88">
          <cell r="D88" t="str">
            <v>Q7212141902A</v>
          </cell>
          <cell r="E88" t="str">
            <v>BARRIER LEVER-SEC3M3</v>
          </cell>
          <cell r="F88">
            <v>1</v>
          </cell>
          <cell r="G88" t="str">
            <v>PC</v>
          </cell>
        </row>
        <row r="89">
          <cell r="D89" t="str">
            <v>Q7212142101A</v>
          </cell>
          <cell r="E89" t="str">
            <v>ZOOM GEAR F-SEC3M3X</v>
          </cell>
          <cell r="F89">
            <v>1</v>
          </cell>
          <cell r="G89" t="str">
            <v>PC</v>
          </cell>
        </row>
        <row r="90">
          <cell r="D90" t="str">
            <v>Q7212149102A</v>
          </cell>
          <cell r="E90" t="str">
            <v>LENS BASE-DSC350SE</v>
          </cell>
          <cell r="F90">
            <v>1</v>
          </cell>
          <cell r="G90" t="str">
            <v>PC</v>
          </cell>
        </row>
        <row r="91">
          <cell r="D91" t="str">
            <v>Q7212149201A</v>
          </cell>
          <cell r="E91" t="str">
            <v>ZOOM COVER-DSC350SE</v>
          </cell>
          <cell r="F91">
            <v>1</v>
          </cell>
          <cell r="G91" t="str">
            <v>PC</v>
          </cell>
        </row>
        <row r="92">
          <cell r="D92" t="str">
            <v>Q7212149301A</v>
          </cell>
          <cell r="E92" t="str">
            <v>PI CAP-DSC350SE</v>
          </cell>
          <cell r="F92">
            <v>1</v>
          </cell>
          <cell r="G92" t="str">
            <v>PC</v>
          </cell>
        </row>
        <row r="93">
          <cell r="D93" t="str">
            <v>Q7212149401A</v>
          </cell>
          <cell r="E93" t="str">
            <v>ZOOM GEAR A-DSC350SE</v>
          </cell>
          <cell r="F93">
            <v>1</v>
          </cell>
          <cell r="G93" t="str">
            <v>PC</v>
          </cell>
        </row>
        <row r="94">
          <cell r="D94" t="str">
            <v>Q7212149501A</v>
          </cell>
          <cell r="E94" t="str">
            <v>ZOOM MOTOR GEAR-DSC3</v>
          </cell>
          <cell r="F94">
            <v>1</v>
          </cell>
          <cell r="G94" t="str">
            <v>PC</v>
          </cell>
        </row>
        <row r="95">
          <cell r="D95" t="str">
            <v>Q7212152901A</v>
          </cell>
          <cell r="E95" t="str">
            <v>ZOOM GEAR B-DSC350SE</v>
          </cell>
          <cell r="F95">
            <v>4</v>
          </cell>
          <cell r="G95" t="str">
            <v>PC</v>
          </cell>
        </row>
        <row r="96">
          <cell r="D96" t="str">
            <v>Q7212153001A</v>
          </cell>
          <cell r="E96" t="str">
            <v>ZOOM GEAR C-DSC350SE</v>
          </cell>
          <cell r="F96">
            <v>1</v>
          </cell>
          <cell r="G96" t="str">
            <v>PC</v>
          </cell>
        </row>
        <row r="97">
          <cell r="D97" t="str">
            <v>Q7212153102A</v>
          </cell>
          <cell r="E97" t="str">
            <v>ZOOM GEAR D-DSC350SE</v>
          </cell>
          <cell r="F97">
            <v>1</v>
          </cell>
          <cell r="G97" t="str">
            <v>PC</v>
          </cell>
        </row>
        <row r="98">
          <cell r="D98" t="str">
            <v>Q7212160001A</v>
          </cell>
          <cell r="E98" t="str">
            <v>ZOOM MOTOR GEAR-SZA4</v>
          </cell>
          <cell r="F98">
            <v>1</v>
          </cell>
          <cell r="G98" t="str">
            <v>PC</v>
          </cell>
        </row>
        <row r="99">
          <cell r="D99" t="str">
            <v>Q7212160101A</v>
          </cell>
          <cell r="E99" t="str">
            <v>ZOOM GEAR_A-SZA4318</v>
          </cell>
          <cell r="F99">
            <v>1</v>
          </cell>
          <cell r="G99" t="str">
            <v>PC</v>
          </cell>
        </row>
        <row r="100">
          <cell r="D100" t="str">
            <v>Q7212160203A</v>
          </cell>
          <cell r="E100" t="str">
            <v>FRONT PANEL-SZA4318</v>
          </cell>
          <cell r="F100">
            <v>1</v>
          </cell>
          <cell r="G100" t="str">
            <v>PC</v>
          </cell>
        </row>
        <row r="101">
          <cell r="D101" t="str">
            <v>Q7212160602B</v>
          </cell>
          <cell r="E101" t="str">
            <v>ZOOM GEAR_E-SZA4318</v>
          </cell>
          <cell r="F101">
            <v>2</v>
          </cell>
          <cell r="G101" t="str">
            <v>PC</v>
          </cell>
        </row>
        <row r="102">
          <cell r="D102" t="str">
            <v>Q7212161103A</v>
          </cell>
          <cell r="E102" t="str">
            <v>ZOOM RING-SZC2327</v>
          </cell>
          <cell r="F102">
            <v>1</v>
          </cell>
          <cell r="G102" t="str">
            <v>PC</v>
          </cell>
        </row>
        <row r="103">
          <cell r="D103" t="str">
            <v>Q7212161201A</v>
          </cell>
          <cell r="E103" t="str">
            <v>GUIDE BARREL-SZC2327</v>
          </cell>
          <cell r="F103">
            <v>1</v>
          </cell>
          <cell r="G103" t="str">
            <v>PC</v>
          </cell>
        </row>
        <row r="104">
          <cell r="D104" t="str">
            <v>Q7212161302A</v>
          </cell>
          <cell r="E104" t="str">
            <v>CAM BARREL-SZC2327</v>
          </cell>
          <cell r="F104">
            <v>1</v>
          </cell>
          <cell r="G104" t="str">
            <v>PC</v>
          </cell>
        </row>
        <row r="105">
          <cell r="D105" t="str">
            <v>Q7212161403A</v>
          </cell>
          <cell r="E105" t="str">
            <v>LENS BASE-SZC2327</v>
          </cell>
          <cell r="F105">
            <v>1</v>
          </cell>
          <cell r="G105" t="str">
            <v>PC</v>
          </cell>
        </row>
        <row r="106">
          <cell r="D106" t="str">
            <v>Q7212161501A</v>
          </cell>
          <cell r="E106" t="str">
            <v>AF HOLDER-SZC2327</v>
          </cell>
          <cell r="F106">
            <v>1</v>
          </cell>
          <cell r="G106" t="str">
            <v>PC</v>
          </cell>
        </row>
        <row r="107">
          <cell r="D107" t="str">
            <v>Q7212161602A</v>
          </cell>
          <cell r="E107" t="str">
            <v>AF MOTOR GEAR-SZC232</v>
          </cell>
          <cell r="F107">
            <v>2</v>
          </cell>
          <cell r="G107" t="str">
            <v>PC</v>
          </cell>
        </row>
        <row r="108">
          <cell r="D108" t="str">
            <v>Q7212161702A</v>
          </cell>
          <cell r="E108" t="str">
            <v>FOCUS GEAR-SZC2327</v>
          </cell>
          <cell r="F108">
            <v>1</v>
          </cell>
          <cell r="G108" t="str">
            <v>PC</v>
          </cell>
        </row>
        <row r="109">
          <cell r="D109" t="str">
            <v>Q7212161901A</v>
          </cell>
          <cell r="E109" t="str">
            <v>FOCUS GEAR COVER-SZC</v>
          </cell>
          <cell r="F109">
            <v>1</v>
          </cell>
          <cell r="G109" t="str">
            <v>PC</v>
          </cell>
        </row>
        <row r="110">
          <cell r="D110" t="str">
            <v>Q7212162101A</v>
          </cell>
          <cell r="E110" t="str">
            <v>ZOOM GEAR COVER-SZC2</v>
          </cell>
          <cell r="F110">
            <v>1</v>
          </cell>
          <cell r="G110" t="str">
            <v>PC</v>
          </cell>
        </row>
        <row r="111">
          <cell r="D111" t="str">
            <v>Q7213027001A</v>
          </cell>
          <cell r="E111" t="str">
            <v>FINDER COVER-SEC 2M3</v>
          </cell>
          <cell r="F111">
            <v>1</v>
          </cell>
          <cell r="G111" t="str">
            <v>PC</v>
          </cell>
        </row>
        <row r="112">
          <cell r="D112" t="str">
            <v>Q7213027102A</v>
          </cell>
          <cell r="E112" t="str">
            <v>FINDER BASE-SEC3M3X</v>
          </cell>
          <cell r="F112">
            <v>1</v>
          </cell>
          <cell r="G112" t="str">
            <v>PC</v>
          </cell>
        </row>
        <row r="113">
          <cell r="D113" t="str">
            <v>Q7213027203A</v>
          </cell>
          <cell r="E113" t="str">
            <v>EP HOLDER-SEC3M3X</v>
          </cell>
          <cell r="F113">
            <v>1</v>
          </cell>
          <cell r="G113" t="str">
            <v>PC</v>
          </cell>
        </row>
        <row r="114">
          <cell r="D114" t="str">
            <v>Q7213027303A</v>
          </cell>
          <cell r="E114" t="str">
            <v>FINDER CAM-SEC3M3X</v>
          </cell>
          <cell r="F114">
            <v>1</v>
          </cell>
          <cell r="G114" t="str">
            <v>PC</v>
          </cell>
        </row>
        <row r="115">
          <cell r="D115" t="str">
            <v>Q7409033901A</v>
          </cell>
          <cell r="E115" t="str">
            <v>LCD WINDOW TAPE[양면</v>
          </cell>
          <cell r="F115">
            <v>1</v>
          </cell>
          <cell r="G115" t="str">
            <v>PC</v>
          </cell>
        </row>
        <row r="116">
          <cell r="D116" t="str">
            <v>Q7409044001A</v>
          </cell>
          <cell r="E116" t="str">
            <v>TAPE-F[절연 TAPE(T=0</v>
          </cell>
          <cell r="F116">
            <v>1</v>
          </cell>
          <cell r="G116" t="str">
            <v>PC</v>
          </cell>
        </row>
        <row r="117">
          <cell r="D117" t="str">
            <v>Q7409100101A</v>
          </cell>
          <cell r="E117" t="str">
            <v>F TAPE A-IP5X</v>
          </cell>
          <cell r="F117">
            <v>3</v>
          </cell>
          <cell r="G117" t="str">
            <v>PC</v>
          </cell>
        </row>
        <row r="118">
          <cell r="D118" t="str">
            <v>Q7409109501A</v>
          </cell>
          <cell r="E118" t="str">
            <v>SHIELD B-SEC 3M3X</v>
          </cell>
          <cell r="F118">
            <v>1</v>
          </cell>
          <cell r="G118" t="str">
            <v>PC</v>
          </cell>
        </row>
        <row r="119">
          <cell r="D119" t="str">
            <v>Q7409109901A</v>
          </cell>
          <cell r="E119" t="str">
            <v>FRONT PANEL TAPE-SEC</v>
          </cell>
          <cell r="F119">
            <v>2</v>
          </cell>
          <cell r="G119" t="str">
            <v>PC</v>
          </cell>
        </row>
        <row r="120">
          <cell r="D120" t="str">
            <v>Q7409110002A</v>
          </cell>
          <cell r="E120" t="str">
            <v>GUIDE BARREL SHIELD-</v>
          </cell>
          <cell r="F120">
            <v>1</v>
          </cell>
          <cell r="G120" t="str">
            <v>PC</v>
          </cell>
        </row>
        <row r="121">
          <cell r="D121" t="str">
            <v>Q7409110101A</v>
          </cell>
          <cell r="E121" t="str">
            <v>CAM BARREL SHIELD-SE</v>
          </cell>
          <cell r="F121">
            <v>1</v>
          </cell>
          <cell r="G121" t="str">
            <v>PC</v>
          </cell>
        </row>
        <row r="122">
          <cell r="D122" t="str">
            <v>Q7409110803B</v>
          </cell>
          <cell r="E122" t="str">
            <v>P.I REFLECTOR-SEC2M3</v>
          </cell>
          <cell r="F122">
            <v>1</v>
          </cell>
          <cell r="G122" t="str">
            <v>PC</v>
          </cell>
        </row>
        <row r="123">
          <cell r="D123" t="str">
            <v>Q7409117901A</v>
          </cell>
          <cell r="E123" t="str">
            <v>2nd SHIELD-SX32</v>
          </cell>
          <cell r="F123">
            <v>1</v>
          </cell>
          <cell r="G123" t="str">
            <v>PC</v>
          </cell>
        </row>
        <row r="124">
          <cell r="D124" t="str">
            <v>Q7409119101A</v>
          </cell>
          <cell r="E124" t="str">
            <v>2nd SHIELD B-SX32</v>
          </cell>
          <cell r="F124">
            <v>1</v>
          </cell>
          <cell r="G124" t="str">
            <v>PC</v>
          </cell>
        </row>
        <row r="125">
          <cell r="D125" t="str">
            <v>Q7409119201A</v>
          </cell>
          <cell r="E125" t="str">
            <v>SHIELD TAPE-SX32</v>
          </cell>
          <cell r="F125">
            <v>4</v>
          </cell>
          <cell r="G125" t="str">
            <v>PC</v>
          </cell>
        </row>
        <row r="126">
          <cell r="D126" t="str">
            <v>Q7409120701A</v>
          </cell>
          <cell r="E126" t="str">
            <v>F PCB TAPE-SX32</v>
          </cell>
          <cell r="F126">
            <v>1</v>
          </cell>
          <cell r="G126" t="str">
            <v>PC</v>
          </cell>
        </row>
        <row r="127">
          <cell r="D127" t="str">
            <v>Q7409122002A</v>
          </cell>
          <cell r="E127" t="str">
            <v>OUTER BARREL SHIELD-</v>
          </cell>
          <cell r="F127">
            <v>1</v>
          </cell>
          <cell r="G127" t="str">
            <v>PC</v>
          </cell>
        </row>
        <row r="128">
          <cell r="D128" t="str">
            <v>Q7409123301A</v>
          </cell>
          <cell r="E128" t="str">
            <v>FPCB-SUPPORT-SZC-232</v>
          </cell>
          <cell r="F128">
            <v>1</v>
          </cell>
          <cell r="G128" t="str">
            <v>PC</v>
          </cell>
        </row>
        <row r="129">
          <cell r="D129" t="str">
            <v>Q7411072601A</v>
          </cell>
          <cell r="E129" t="str">
            <v>AF THREAD</v>
          </cell>
          <cell r="F129">
            <v>1</v>
          </cell>
          <cell r="G129" t="str">
            <v>PC</v>
          </cell>
        </row>
        <row r="130">
          <cell r="D130" t="str">
            <v>Q7411078801A</v>
          </cell>
          <cell r="E130" t="str">
            <v>AF GUIDE SHAFT A-SEC</v>
          </cell>
          <cell r="F130">
            <v>1</v>
          </cell>
          <cell r="G130" t="str">
            <v>PC</v>
          </cell>
        </row>
        <row r="131">
          <cell r="D131" t="str">
            <v>Q7411079102A</v>
          </cell>
          <cell r="E131" t="str">
            <v>FINDER SHAFT-SEC 2M3</v>
          </cell>
          <cell r="F131">
            <v>2</v>
          </cell>
          <cell r="G131" t="str">
            <v>PC</v>
          </cell>
        </row>
        <row r="132">
          <cell r="D132" t="str">
            <v>Q7411080704B</v>
          </cell>
          <cell r="E132" t="str">
            <v>SPACER-A SEC3M3X</v>
          </cell>
          <cell r="F132">
            <v>1</v>
          </cell>
          <cell r="G132" t="str">
            <v>PC</v>
          </cell>
        </row>
        <row r="133">
          <cell r="D133" t="str">
            <v>Q7411080902A</v>
          </cell>
          <cell r="E133" t="str">
            <v>IDLE GEAR SHAFT-SEC3</v>
          </cell>
          <cell r="F133">
            <v>1</v>
          </cell>
          <cell r="G133" t="str">
            <v>PC</v>
          </cell>
        </row>
        <row r="134">
          <cell r="D134" t="str">
            <v>Q7411081002A</v>
          </cell>
          <cell r="E134" t="str">
            <v>ZOOM GEAR BAR A-SEC3</v>
          </cell>
          <cell r="F134">
            <v>2</v>
          </cell>
          <cell r="G134" t="str">
            <v>PC</v>
          </cell>
        </row>
        <row r="135">
          <cell r="D135" t="str">
            <v>Q7411081102A</v>
          </cell>
          <cell r="E135" t="str">
            <v>ZOOM GEAR BAR B-SEC3</v>
          </cell>
          <cell r="F135">
            <v>2</v>
          </cell>
          <cell r="G135" t="str">
            <v>PC</v>
          </cell>
        </row>
        <row r="136">
          <cell r="D136" t="str">
            <v>Q7411081201A</v>
          </cell>
          <cell r="E136" t="str">
            <v>ZOOM GEAR BAR C-SEC3</v>
          </cell>
          <cell r="F136">
            <v>2</v>
          </cell>
          <cell r="G136" t="str">
            <v>PC</v>
          </cell>
        </row>
        <row r="137">
          <cell r="D137" t="str">
            <v>Q7411081301A</v>
          </cell>
          <cell r="E137" t="str">
            <v>AF GUIDE SHAFT B-SEC</v>
          </cell>
          <cell r="F137">
            <v>1</v>
          </cell>
          <cell r="G137" t="str">
            <v>PC</v>
          </cell>
        </row>
        <row r="138">
          <cell r="D138" t="str">
            <v>Q7411082701A</v>
          </cell>
          <cell r="E138" t="str">
            <v>GEAR PIN-DSC350SE</v>
          </cell>
          <cell r="F138">
            <v>6</v>
          </cell>
          <cell r="G138" t="str">
            <v>PC</v>
          </cell>
        </row>
        <row r="139">
          <cell r="D139" t="str">
            <v>Q7411084102A</v>
          </cell>
          <cell r="E139" t="str">
            <v>SLIP RING-SX32</v>
          </cell>
          <cell r="F139">
            <v>1</v>
          </cell>
          <cell r="G139" t="str">
            <v>PC</v>
          </cell>
        </row>
        <row r="140">
          <cell r="D140" t="str">
            <v>Q7411085601A</v>
          </cell>
          <cell r="E140" t="str">
            <v>ZOOM GEAR_B-SZA4318</v>
          </cell>
          <cell r="F140">
            <v>1</v>
          </cell>
          <cell r="G140" t="str">
            <v>PC</v>
          </cell>
        </row>
        <row r="141">
          <cell r="D141" t="str">
            <v>Q7411085702A</v>
          </cell>
          <cell r="E141" t="str">
            <v>ZOOM GEAR_C-SZA4318</v>
          </cell>
          <cell r="F141">
            <v>1</v>
          </cell>
          <cell r="G141" t="str">
            <v>PC</v>
          </cell>
        </row>
        <row r="142">
          <cell r="D142" t="str">
            <v>Q7411085801A</v>
          </cell>
          <cell r="E142" t="str">
            <v>ZOOM GEAR_D-SZA4318</v>
          </cell>
          <cell r="F142">
            <v>1</v>
          </cell>
          <cell r="G142" t="str">
            <v>PC</v>
          </cell>
        </row>
        <row r="143">
          <cell r="D143" t="str">
            <v>Q7411085902A</v>
          </cell>
          <cell r="E143" t="str">
            <v>ZOOM GEAR_A SHAFT-SZ</v>
          </cell>
          <cell r="F143">
            <v>1</v>
          </cell>
          <cell r="G143" t="str">
            <v>PC</v>
          </cell>
        </row>
        <row r="144">
          <cell r="D144" t="str">
            <v>Q7411089101A</v>
          </cell>
          <cell r="E144" t="str">
            <v>FOCUS SHAFT-SZC2327</v>
          </cell>
          <cell r="F144">
            <v>2</v>
          </cell>
          <cell r="G144" t="str">
            <v>PC</v>
          </cell>
        </row>
        <row r="145">
          <cell r="D145" t="str">
            <v>Q7411089401A</v>
          </cell>
          <cell r="E145" t="str">
            <v>OUTER BARREL RING-SZ</v>
          </cell>
          <cell r="F145">
            <v>1</v>
          </cell>
          <cell r="G145" t="str">
            <v>PC</v>
          </cell>
        </row>
        <row r="146">
          <cell r="D146" t="str">
            <v>Q7411090001B</v>
          </cell>
          <cell r="E146" t="str">
            <v>ZOOM GEAR_C SHAFT-SZ</v>
          </cell>
          <cell r="F146">
            <v>2</v>
          </cell>
          <cell r="G146" t="str">
            <v>PC</v>
          </cell>
        </row>
      </sheetData>
      <sheetData sheetId="4"/>
      <sheetData sheetId="5"/>
      <sheetData sheetId="6" refreshError="1">
        <row r="4">
          <cell r="A4" t="str">
            <v>Q9008048501A</v>
          </cell>
          <cell r="B4" t="str">
            <v>CCD FPCB ASSY-DSC350</v>
          </cell>
        </row>
        <row r="5">
          <cell r="A5" t="str">
            <v>Q9008048601A</v>
          </cell>
          <cell r="B5" t="str">
            <v>POWER PCB ASSY-DSC35</v>
          </cell>
        </row>
        <row r="6">
          <cell r="A6" t="str">
            <v>Q9008048801A</v>
          </cell>
          <cell r="B6" t="str">
            <v>MAIN PCB ASSY-DSC350</v>
          </cell>
        </row>
        <row r="7">
          <cell r="A7" t="str">
            <v>Q9008049001A</v>
          </cell>
          <cell r="B7" t="str">
            <v>STROBO PCB ASSY-DSC3</v>
          </cell>
        </row>
        <row r="8">
          <cell r="A8" t="str">
            <v>Q9007174901A</v>
          </cell>
          <cell r="B8" t="str">
            <v>BACK COVER ASSY-DSC3</v>
          </cell>
        </row>
      </sheetData>
      <sheetData sheetId="7"/>
      <sheetData sheetId="8"/>
      <sheetData sheetId="9"/>
      <sheetData sheetId="10"/>
      <sheetData sheetId="1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sheetData sheetId="1"/>
      <sheetData sheetId="2"/>
      <sheetData sheetId="3" refreshError="1">
        <row r="7">
          <cell r="D7" t="str">
            <v>MA060001AD</v>
          </cell>
          <cell r="E7" t="str">
            <v>2M3X BARREL ASSY-SHP</v>
          </cell>
          <cell r="F7">
            <v>1</v>
          </cell>
          <cell r="G7" t="str">
            <v>PC</v>
          </cell>
        </row>
        <row r="8">
          <cell r="D8" t="str">
            <v>Q0103006601A</v>
          </cell>
          <cell r="E8" t="str">
            <v>POLYOLEFIN RESIN[ZEO</v>
          </cell>
          <cell r="F8">
            <v>1.8E-3</v>
          </cell>
          <cell r="G8" t="str">
            <v>G</v>
          </cell>
        </row>
        <row r="9">
          <cell r="D9" t="str">
            <v>Q0474911601A</v>
          </cell>
          <cell r="E9" t="str">
            <v>TAP TITE SCREW</v>
          </cell>
          <cell r="F9">
            <v>6</v>
          </cell>
          <cell r="G9" t="str">
            <v>PC</v>
          </cell>
        </row>
        <row r="10">
          <cell r="D10" t="str">
            <v>Q0608000601A</v>
          </cell>
          <cell r="E10" t="str">
            <v>PHOTO INTERRUPTER-RP</v>
          </cell>
          <cell r="F10">
            <v>1</v>
          </cell>
          <cell r="G10" t="str">
            <v>PC</v>
          </cell>
        </row>
        <row r="11">
          <cell r="D11" t="str">
            <v>Q0608000701A</v>
          </cell>
          <cell r="E11" t="str">
            <v>PHOTO REFLECTOR-SEC2</v>
          </cell>
          <cell r="F11">
            <v>1</v>
          </cell>
          <cell r="G11" t="str">
            <v>PC</v>
          </cell>
        </row>
        <row r="12">
          <cell r="D12" t="str">
            <v>Q0608000901A</v>
          </cell>
          <cell r="E12" t="str">
            <v>PHOTO INTERRUPTER-SZ</v>
          </cell>
          <cell r="F12">
            <v>2</v>
          </cell>
          <cell r="G12" t="str">
            <v>PC</v>
          </cell>
        </row>
        <row r="13">
          <cell r="D13" t="str">
            <v>Q0950214401A</v>
          </cell>
          <cell r="E13" t="str">
            <v>BOND TAPE-A[]</v>
          </cell>
          <cell r="F13">
            <v>4</v>
          </cell>
          <cell r="G13" t="str">
            <v>PC</v>
          </cell>
        </row>
        <row r="14">
          <cell r="D14" t="str">
            <v>Q0960213901A</v>
          </cell>
          <cell r="E14" t="str">
            <v>BOND TAPE-C</v>
          </cell>
          <cell r="F14">
            <v>1</v>
          </cell>
          <cell r="G14" t="str">
            <v>PC</v>
          </cell>
        </row>
        <row r="15">
          <cell r="D15" t="str">
            <v>Q0961900101A</v>
          </cell>
          <cell r="E15" t="str">
            <v>SCREW</v>
          </cell>
          <cell r="F15">
            <v>10</v>
          </cell>
          <cell r="G15" t="str">
            <v>PC</v>
          </cell>
        </row>
        <row r="16">
          <cell r="D16" t="str">
            <v>Q0961900301B</v>
          </cell>
          <cell r="E16" t="str">
            <v>SCREW</v>
          </cell>
          <cell r="F16">
            <v>5</v>
          </cell>
          <cell r="G16" t="str">
            <v>PC</v>
          </cell>
        </row>
        <row r="17">
          <cell r="D17" t="str">
            <v>Q0980502501A</v>
          </cell>
          <cell r="E17" t="str">
            <v>FINDER TAPE[양면 TAP</v>
          </cell>
          <cell r="F17">
            <v>1</v>
          </cell>
          <cell r="G17" t="str">
            <v>PC</v>
          </cell>
        </row>
        <row r="18">
          <cell r="D18" t="str">
            <v>Q3107001401A</v>
          </cell>
          <cell r="E18" t="str">
            <v>ZOOM MOTOR-LPD10  SE</v>
          </cell>
          <cell r="F18">
            <v>1</v>
          </cell>
          <cell r="G18" t="str">
            <v>PC</v>
          </cell>
        </row>
        <row r="19">
          <cell r="D19" t="str">
            <v>Q3107001601A</v>
          </cell>
          <cell r="E19" t="str">
            <v>AF MOTOR-SEC 3M3X</v>
          </cell>
          <cell r="F19">
            <v>1</v>
          </cell>
          <cell r="G19" t="str">
            <v>PC</v>
          </cell>
        </row>
        <row r="20">
          <cell r="D20" t="str">
            <v>Q3107001901A</v>
          </cell>
          <cell r="E20" t="str">
            <v>AF MOTOR-SZC2327</v>
          </cell>
          <cell r="F20">
            <v>1</v>
          </cell>
          <cell r="G20" t="str">
            <v>PC</v>
          </cell>
        </row>
        <row r="21">
          <cell r="D21" t="str">
            <v>Q3107002001A</v>
          </cell>
          <cell r="E21" t="str">
            <v>ZOOM MOTOR-SZC2327</v>
          </cell>
          <cell r="F21">
            <v>1</v>
          </cell>
          <cell r="G21" t="str">
            <v>PC</v>
          </cell>
        </row>
        <row r="22">
          <cell r="D22" t="str">
            <v>Q4101024101A</v>
          </cell>
          <cell r="E22" t="str">
            <v>BARREL FPCB-DSC350SE</v>
          </cell>
          <cell r="F22">
            <v>1</v>
          </cell>
          <cell r="G22" t="str">
            <v>PC</v>
          </cell>
        </row>
        <row r="23">
          <cell r="D23" t="str">
            <v>Q4101024201A</v>
          </cell>
          <cell r="E23" t="str">
            <v>MAIN FPCB-SZC2327</v>
          </cell>
          <cell r="F23">
            <v>1</v>
          </cell>
          <cell r="G23" t="str">
            <v>PC</v>
          </cell>
        </row>
        <row r="24">
          <cell r="D24" t="str">
            <v>Q6001010601A</v>
          </cell>
          <cell r="E24" t="str">
            <v>SCREW</v>
          </cell>
          <cell r="F24">
            <v>1</v>
          </cell>
          <cell r="G24" t="str">
            <v>PC</v>
          </cell>
        </row>
        <row r="25">
          <cell r="D25" t="str">
            <v>Q6003027401A</v>
          </cell>
          <cell r="E25" t="str">
            <v>MECHA SCREW(D2.8xH0.</v>
          </cell>
          <cell r="F25">
            <v>7</v>
          </cell>
          <cell r="G25" t="str">
            <v>PC</v>
          </cell>
        </row>
        <row r="26">
          <cell r="D26" t="str">
            <v>Q6107035401A</v>
          </cell>
          <cell r="E26" t="str">
            <v>CLOSE SPRING</v>
          </cell>
          <cell r="F26">
            <v>2</v>
          </cell>
          <cell r="G26" t="str">
            <v>PC</v>
          </cell>
        </row>
        <row r="27">
          <cell r="D27" t="str">
            <v>Q6107043303A</v>
          </cell>
          <cell r="E27" t="str">
            <v>CO SPRING-SEC 2M3X</v>
          </cell>
          <cell r="F27">
            <v>2</v>
          </cell>
          <cell r="G27" t="str">
            <v>PC</v>
          </cell>
        </row>
        <row r="28">
          <cell r="D28" t="str">
            <v>Q6107043803A</v>
          </cell>
          <cell r="E28" t="str">
            <v>F CAM SPRING A-SEC3M</v>
          </cell>
          <cell r="F28">
            <v>1</v>
          </cell>
          <cell r="G28" t="str">
            <v>PC</v>
          </cell>
        </row>
        <row r="29">
          <cell r="D29" t="str">
            <v>Q6107043902A</v>
          </cell>
          <cell r="E29" t="str">
            <v>AF SPRING-SEC3M3X</v>
          </cell>
          <cell r="F29">
            <v>1</v>
          </cell>
          <cell r="G29" t="str">
            <v>PC</v>
          </cell>
        </row>
        <row r="30">
          <cell r="D30" t="str">
            <v>Q6107045802A</v>
          </cell>
          <cell r="E30" t="str">
            <v>BARRIER OPEN SPRING-</v>
          </cell>
          <cell r="F30">
            <v>1</v>
          </cell>
          <cell r="G30" t="str">
            <v>PC</v>
          </cell>
        </row>
        <row r="31">
          <cell r="D31" t="str">
            <v>Q6107047502A</v>
          </cell>
          <cell r="E31" t="str">
            <v>LIMIT SPRING-SX32</v>
          </cell>
          <cell r="F31">
            <v>1</v>
          </cell>
          <cell r="G31" t="str">
            <v>PC</v>
          </cell>
        </row>
        <row r="32">
          <cell r="D32" t="str">
            <v>Q6107049603A</v>
          </cell>
          <cell r="E32" t="str">
            <v>3rd LENS BARREL SPRI</v>
          </cell>
          <cell r="F32">
            <v>1</v>
          </cell>
          <cell r="G32" t="str">
            <v>PC</v>
          </cell>
        </row>
        <row r="33">
          <cell r="D33" t="str">
            <v>Q6711043201A</v>
          </cell>
          <cell r="E33" t="str">
            <v>G1 LENS-SEC3M3X</v>
          </cell>
          <cell r="F33">
            <v>1</v>
          </cell>
          <cell r="G33" t="str">
            <v>PC</v>
          </cell>
        </row>
        <row r="34">
          <cell r="D34" t="str">
            <v>Q6711043201AL</v>
          </cell>
          <cell r="E34" t="str">
            <v>G1 LENS MATERIAL-SEC</v>
          </cell>
          <cell r="F34">
            <v>1</v>
          </cell>
          <cell r="G34" t="str">
            <v>PC</v>
          </cell>
        </row>
        <row r="35">
          <cell r="D35" t="str">
            <v>Q6711043301A</v>
          </cell>
          <cell r="E35" t="str">
            <v>G3 LENS-SEC3M3X</v>
          </cell>
          <cell r="F35">
            <v>1</v>
          </cell>
          <cell r="G35" t="str">
            <v>PC</v>
          </cell>
        </row>
        <row r="36">
          <cell r="D36" t="str">
            <v>Q6711043301AL</v>
          </cell>
          <cell r="E36" t="str">
            <v>G3 LENS MATERIAL-SEC</v>
          </cell>
          <cell r="F36">
            <v>1</v>
          </cell>
          <cell r="G36" t="str">
            <v>PC</v>
          </cell>
        </row>
        <row r="37">
          <cell r="D37" t="str">
            <v>Q6711043401A</v>
          </cell>
          <cell r="E37" t="str">
            <v>G5 LENS-SEC3M3X</v>
          </cell>
          <cell r="F37">
            <v>1</v>
          </cell>
          <cell r="G37" t="str">
            <v>PC</v>
          </cell>
        </row>
        <row r="38">
          <cell r="D38" t="str">
            <v>Q6711043401AC</v>
          </cell>
          <cell r="E38" t="str">
            <v>G5 LENS CENTERING-SE</v>
          </cell>
          <cell r="F38">
            <v>1</v>
          </cell>
          <cell r="G38" t="str">
            <v>PC</v>
          </cell>
        </row>
        <row r="39">
          <cell r="D39" t="str">
            <v>Q6711043401AG</v>
          </cell>
          <cell r="E39" t="str">
            <v>G5 LENS GRINDING-SEC</v>
          </cell>
          <cell r="F39">
            <v>1</v>
          </cell>
          <cell r="G39" t="str">
            <v>PC</v>
          </cell>
        </row>
        <row r="40">
          <cell r="D40" t="str">
            <v>Q6711043401AL</v>
          </cell>
          <cell r="E40" t="str">
            <v>G5 LENS MATERIAL-SEC</v>
          </cell>
          <cell r="F40">
            <v>1</v>
          </cell>
          <cell r="G40" t="str">
            <v>PC</v>
          </cell>
        </row>
        <row r="41">
          <cell r="D41" t="str">
            <v>Q6711043501A</v>
          </cell>
          <cell r="E41" t="str">
            <v>G6 LENS-SEC3M3X</v>
          </cell>
          <cell r="F41">
            <v>1</v>
          </cell>
          <cell r="G41" t="str">
            <v>PC</v>
          </cell>
        </row>
        <row r="42">
          <cell r="D42" t="str">
            <v>Q6711043501AL</v>
          </cell>
          <cell r="E42" t="str">
            <v>G6 LENS MATERIAL-SEC</v>
          </cell>
          <cell r="F42">
            <v>1</v>
          </cell>
          <cell r="G42" t="str">
            <v>PC</v>
          </cell>
        </row>
        <row r="43">
          <cell r="D43" t="str">
            <v>Q6711043601A</v>
          </cell>
          <cell r="E43" t="str">
            <v>G7 LENS-SEC3M3X</v>
          </cell>
          <cell r="F43">
            <v>1</v>
          </cell>
          <cell r="G43" t="str">
            <v>PC</v>
          </cell>
        </row>
        <row r="44">
          <cell r="D44" t="str">
            <v>Q6711043601AC</v>
          </cell>
          <cell r="E44" t="str">
            <v>G7 LENS CENTERING-SE</v>
          </cell>
          <cell r="F44">
            <v>1</v>
          </cell>
          <cell r="G44" t="str">
            <v>PC</v>
          </cell>
        </row>
        <row r="45">
          <cell r="D45" t="str">
            <v>Q6711043601AG</v>
          </cell>
          <cell r="E45" t="str">
            <v>G7 LENS GRINDING-SEC</v>
          </cell>
          <cell r="F45">
            <v>1</v>
          </cell>
          <cell r="G45" t="str">
            <v>PC</v>
          </cell>
        </row>
        <row r="46">
          <cell r="D46" t="str">
            <v>Q6711043601AL</v>
          </cell>
          <cell r="E46" t="str">
            <v>G7 LENS MATERIAL-SEC</v>
          </cell>
          <cell r="F46">
            <v>1</v>
          </cell>
          <cell r="G46" t="str">
            <v>PC</v>
          </cell>
        </row>
        <row r="47">
          <cell r="D47" t="str">
            <v>Q6711043701A</v>
          </cell>
          <cell r="E47" t="str">
            <v>G8 LENS-SEC3M3X</v>
          </cell>
          <cell r="F47">
            <v>1</v>
          </cell>
          <cell r="G47" t="str">
            <v>PC</v>
          </cell>
        </row>
        <row r="48">
          <cell r="D48" t="str">
            <v>Q6711043701AL</v>
          </cell>
          <cell r="E48" t="str">
            <v>G8 LENS MATERIAL-SEC</v>
          </cell>
          <cell r="F48">
            <v>1</v>
          </cell>
          <cell r="G48" t="str">
            <v>PC</v>
          </cell>
        </row>
        <row r="49">
          <cell r="D49" t="str">
            <v>Q6712002301A</v>
          </cell>
          <cell r="E49" t="str">
            <v>G2 LENS-SEC 3M3X</v>
          </cell>
          <cell r="F49">
            <v>1</v>
          </cell>
          <cell r="G49" t="str">
            <v>PC</v>
          </cell>
        </row>
        <row r="50">
          <cell r="D50" t="str">
            <v>Q6712002401A</v>
          </cell>
          <cell r="E50" t="str">
            <v>G4 LENS-SEC 3M3X</v>
          </cell>
          <cell r="F50">
            <v>1</v>
          </cell>
          <cell r="G50" t="str">
            <v>PC</v>
          </cell>
        </row>
        <row r="51">
          <cell r="D51" t="str">
            <v>Q6721005903A</v>
          </cell>
          <cell r="E51" t="str">
            <v>OB LENS-SEC 2M3X</v>
          </cell>
          <cell r="F51">
            <v>1</v>
          </cell>
          <cell r="G51" t="str">
            <v>PC</v>
          </cell>
        </row>
        <row r="52">
          <cell r="D52" t="str">
            <v>Q6721006301A</v>
          </cell>
          <cell r="E52" t="str">
            <v>VARIATOR LENS-SEC3M3</v>
          </cell>
          <cell r="F52">
            <v>1</v>
          </cell>
          <cell r="G52" t="str">
            <v>PC</v>
          </cell>
        </row>
        <row r="53">
          <cell r="D53" t="str">
            <v>Q6721006401A</v>
          </cell>
          <cell r="E53" t="str">
            <v>COMPE LENS-SEC3M3X</v>
          </cell>
          <cell r="F53">
            <v>1</v>
          </cell>
          <cell r="G53" t="str">
            <v>PC</v>
          </cell>
        </row>
        <row r="54">
          <cell r="D54" t="str">
            <v>Q6721006501A</v>
          </cell>
          <cell r="E54" t="str">
            <v>EYEPIECE LENS A-SEC3</v>
          </cell>
          <cell r="F54">
            <v>1</v>
          </cell>
          <cell r="G54" t="str">
            <v>PC</v>
          </cell>
        </row>
        <row r="55">
          <cell r="D55" t="str">
            <v>Q6721006602A</v>
          </cell>
          <cell r="E55" t="str">
            <v>EYEPIECE LENS B-SEC3</v>
          </cell>
          <cell r="F55">
            <v>1</v>
          </cell>
          <cell r="G55" t="str">
            <v>PC</v>
          </cell>
        </row>
        <row r="56">
          <cell r="D56" t="str">
            <v>Q6726001601A</v>
          </cell>
          <cell r="E56" t="str">
            <v>DEVIATION PRISM-SEC</v>
          </cell>
          <cell r="F56">
            <v>1</v>
          </cell>
          <cell r="G56" t="str">
            <v>PC</v>
          </cell>
        </row>
        <row r="57">
          <cell r="D57" t="str">
            <v>Q6726001702A</v>
          </cell>
          <cell r="E57" t="str">
            <v>PRISM B-SEC 2M3X</v>
          </cell>
          <cell r="F57">
            <v>1</v>
          </cell>
          <cell r="G57" t="str">
            <v>PC</v>
          </cell>
        </row>
        <row r="58">
          <cell r="D58" t="str">
            <v>Q6734000201A</v>
          </cell>
          <cell r="E58" t="str">
            <v>SKY LIGHT FILTER-SZC</v>
          </cell>
          <cell r="F58">
            <v>1</v>
          </cell>
          <cell r="G58" t="str">
            <v>PC</v>
          </cell>
        </row>
        <row r="59">
          <cell r="D59" t="str">
            <v>Q6901165701A</v>
          </cell>
          <cell r="E59" t="str">
            <v>C/T BOX_SZA4318(1/90</v>
          </cell>
          <cell r="F59">
            <v>1.112E-2</v>
          </cell>
          <cell r="G59" t="str">
            <v>MPC</v>
          </cell>
        </row>
        <row r="60">
          <cell r="D60" t="str">
            <v>Q6901165801A</v>
          </cell>
          <cell r="E60" t="str">
            <v>TRAY BASE_SZA4318</v>
          </cell>
          <cell r="F60">
            <v>3.3340000000000002E-2</v>
          </cell>
          <cell r="G60" t="str">
            <v>MPC</v>
          </cell>
        </row>
        <row r="61">
          <cell r="D61" t="str">
            <v>Q6901168501A</v>
          </cell>
          <cell r="E61" t="str">
            <v>TRAY COVER_SZA4318</v>
          </cell>
          <cell r="F61">
            <v>3.3340000000000002E-2</v>
          </cell>
          <cell r="G61" t="str">
            <v>MPC</v>
          </cell>
        </row>
        <row r="62">
          <cell r="D62" t="str">
            <v>Q6909010401A</v>
          </cell>
          <cell r="E62" t="str">
            <v>SEC 3M3X-PE BAG</v>
          </cell>
          <cell r="F62">
            <v>1</v>
          </cell>
          <cell r="G62" t="str">
            <v>PC</v>
          </cell>
        </row>
        <row r="63">
          <cell r="D63" t="str">
            <v>Q6909011301A</v>
          </cell>
          <cell r="E63" t="str">
            <v>PE BAG_SZA4318(1/90E</v>
          </cell>
          <cell r="F63">
            <v>1.112E-2</v>
          </cell>
          <cell r="G63" t="str">
            <v>MPC</v>
          </cell>
        </row>
        <row r="64">
          <cell r="D64" t="str">
            <v>Q7012065602A</v>
          </cell>
          <cell r="E64" t="str">
            <v>PUSH PLATE-SEC3M3X</v>
          </cell>
          <cell r="F64">
            <v>1</v>
          </cell>
          <cell r="G64" t="str">
            <v>PC</v>
          </cell>
        </row>
        <row r="65">
          <cell r="D65" t="str">
            <v>Q7012065704C</v>
          </cell>
          <cell r="E65" t="str">
            <v>PCB GUIDER-SEC3M3X</v>
          </cell>
          <cell r="F65">
            <v>1</v>
          </cell>
          <cell r="G65" t="str">
            <v>PC</v>
          </cell>
        </row>
        <row r="66">
          <cell r="D66" t="str">
            <v>Q7012065901A</v>
          </cell>
          <cell r="E66" t="str">
            <v>PI PRESSURE-SEC3M3X</v>
          </cell>
          <cell r="F66">
            <v>1</v>
          </cell>
          <cell r="G66" t="str">
            <v>PC</v>
          </cell>
        </row>
        <row r="67">
          <cell r="D67" t="str">
            <v>Q7012068702B</v>
          </cell>
          <cell r="E67" t="str">
            <v>RESSURE SPRING-SX32</v>
          </cell>
          <cell r="F67">
            <v>3</v>
          </cell>
          <cell r="G67" t="str">
            <v>PC</v>
          </cell>
        </row>
        <row r="68">
          <cell r="D68" t="str">
            <v>Q7012070502A</v>
          </cell>
          <cell r="E68" t="str">
            <v>FPCB GUIDER-SZC2327</v>
          </cell>
          <cell r="F68">
            <v>1</v>
          </cell>
          <cell r="G68" t="str">
            <v>PC</v>
          </cell>
        </row>
        <row r="69">
          <cell r="D69" t="str">
            <v>Q7012070901A</v>
          </cell>
          <cell r="E69" t="str">
            <v>PLATE SHIELD-DSC350S</v>
          </cell>
          <cell r="F69">
            <v>1</v>
          </cell>
          <cell r="G69" t="str">
            <v>PC</v>
          </cell>
        </row>
        <row r="70">
          <cell r="D70" t="str">
            <v>Q7012071001A</v>
          </cell>
          <cell r="E70" t="str">
            <v>G6 SHIELD-DSC350SE</v>
          </cell>
          <cell r="F70">
            <v>1</v>
          </cell>
          <cell r="G70" t="str">
            <v>PC</v>
          </cell>
        </row>
        <row r="71">
          <cell r="D71" t="str">
            <v>Q7012072601A</v>
          </cell>
          <cell r="E71" t="str">
            <v>AF CLIP-SZC2327</v>
          </cell>
          <cell r="F71">
            <v>1</v>
          </cell>
          <cell r="G71" t="str">
            <v>PC</v>
          </cell>
        </row>
        <row r="72">
          <cell r="D72" t="str">
            <v>Q7013012201A</v>
          </cell>
          <cell r="E72" t="str">
            <v>OB HOLDER-SEC 2M3X</v>
          </cell>
          <cell r="F72">
            <v>1</v>
          </cell>
          <cell r="G72" t="str">
            <v>PC</v>
          </cell>
        </row>
        <row r="73">
          <cell r="D73" t="str">
            <v>Q7013012402A</v>
          </cell>
          <cell r="E73" t="str">
            <v>FINDER MASK-SEC 2M3X</v>
          </cell>
          <cell r="F73">
            <v>1</v>
          </cell>
          <cell r="G73" t="str">
            <v>PC</v>
          </cell>
        </row>
        <row r="74">
          <cell r="D74" t="str">
            <v>Q7013012501A</v>
          </cell>
          <cell r="E74" t="str">
            <v>VA MASK-SEC3M3X</v>
          </cell>
          <cell r="F74">
            <v>1</v>
          </cell>
          <cell r="G74" t="str">
            <v>PC</v>
          </cell>
        </row>
        <row r="75">
          <cell r="D75" t="str">
            <v>Q7212140504A</v>
          </cell>
          <cell r="E75" t="str">
            <v>1ST LENS BARREL-SEC3</v>
          </cell>
          <cell r="F75">
            <v>1</v>
          </cell>
          <cell r="G75" t="str">
            <v>PC</v>
          </cell>
        </row>
        <row r="76">
          <cell r="D76" t="str">
            <v>Q7212140606A</v>
          </cell>
          <cell r="E76" t="str">
            <v>2ND LENS BARREL-SEC3</v>
          </cell>
          <cell r="F76">
            <v>1</v>
          </cell>
          <cell r="G76" t="str">
            <v>PC</v>
          </cell>
        </row>
        <row r="77">
          <cell r="D77" t="str">
            <v>Q7212140702A</v>
          </cell>
          <cell r="E77" t="str">
            <v>3RD LENS BARREL-SEC3</v>
          </cell>
          <cell r="F77">
            <v>1</v>
          </cell>
          <cell r="G77" t="str">
            <v>PC</v>
          </cell>
        </row>
        <row r="78">
          <cell r="D78" t="str">
            <v>Q7212140805A</v>
          </cell>
          <cell r="E78" t="str">
            <v>ZOOM RING-SEC3M3X</v>
          </cell>
          <cell r="F78">
            <v>1</v>
          </cell>
          <cell r="G78" t="str">
            <v>PC</v>
          </cell>
        </row>
        <row r="79">
          <cell r="D79" t="str">
            <v>Q7212140903A</v>
          </cell>
          <cell r="E79" t="str">
            <v>CAM BARREL-SEC3M3X</v>
          </cell>
          <cell r="F79">
            <v>1</v>
          </cell>
          <cell r="G79" t="str">
            <v>PC</v>
          </cell>
        </row>
        <row r="80">
          <cell r="D80" t="str">
            <v>Q7212141003A</v>
          </cell>
          <cell r="E80" t="str">
            <v>GUIDE BARREL-SEC3M3X</v>
          </cell>
          <cell r="F80">
            <v>1</v>
          </cell>
          <cell r="G80" t="str">
            <v>PC</v>
          </cell>
        </row>
        <row r="81">
          <cell r="D81" t="str">
            <v>Q7212141103B</v>
          </cell>
          <cell r="E81" t="str">
            <v>GUIDE PLATE-SEC3M3X</v>
          </cell>
          <cell r="F81">
            <v>1</v>
          </cell>
          <cell r="G81" t="str">
            <v>PC</v>
          </cell>
        </row>
        <row r="82">
          <cell r="D82" t="str">
            <v>Q7212141303A</v>
          </cell>
          <cell r="E82" t="str">
            <v>AF GUIDE HOLDER-SEC3</v>
          </cell>
          <cell r="F82">
            <v>1</v>
          </cell>
          <cell r="G82" t="str">
            <v>PC</v>
          </cell>
        </row>
        <row r="83">
          <cell r="D83" t="str">
            <v>Q7212141402A</v>
          </cell>
          <cell r="E83" t="str">
            <v>FRONT PANEL-SEC3M3X</v>
          </cell>
          <cell r="F83">
            <v>1</v>
          </cell>
          <cell r="G83" t="str">
            <v>PC</v>
          </cell>
        </row>
        <row r="84">
          <cell r="D84" t="str">
            <v>Q7212141502A</v>
          </cell>
          <cell r="E84" t="str">
            <v>BARRIER BASE-SEC3M3X</v>
          </cell>
          <cell r="F84">
            <v>1</v>
          </cell>
          <cell r="G84" t="str">
            <v>PC</v>
          </cell>
        </row>
        <row r="85">
          <cell r="D85" t="str">
            <v>Q7212141602A</v>
          </cell>
          <cell r="E85" t="str">
            <v>BARRIER A-SEC3M3X</v>
          </cell>
          <cell r="F85">
            <v>1</v>
          </cell>
          <cell r="G85" t="str">
            <v>PC</v>
          </cell>
        </row>
        <row r="86">
          <cell r="D86" t="str">
            <v>Q7212141702A</v>
          </cell>
          <cell r="E86" t="str">
            <v>BARRIER B-SEC3M3X</v>
          </cell>
          <cell r="F86">
            <v>1</v>
          </cell>
          <cell r="G86" t="str">
            <v>PC</v>
          </cell>
        </row>
        <row r="87">
          <cell r="D87" t="str">
            <v>Q7212141803A</v>
          </cell>
          <cell r="E87" t="str">
            <v>BARRIER C-SEC3M3X</v>
          </cell>
          <cell r="F87">
            <v>2</v>
          </cell>
          <cell r="G87" t="str">
            <v>PC</v>
          </cell>
        </row>
        <row r="88">
          <cell r="D88" t="str">
            <v>Q7212141902A</v>
          </cell>
          <cell r="E88" t="str">
            <v>BARRIER LEVER-SEC3M3</v>
          </cell>
          <cell r="F88">
            <v>1</v>
          </cell>
          <cell r="G88" t="str">
            <v>PC</v>
          </cell>
        </row>
        <row r="89">
          <cell r="D89" t="str">
            <v>Q7212142101A</v>
          </cell>
          <cell r="E89" t="str">
            <v>ZOOM GEAR F-SEC3M3X</v>
          </cell>
          <cell r="F89">
            <v>1</v>
          </cell>
          <cell r="G89" t="str">
            <v>PC</v>
          </cell>
        </row>
        <row r="90">
          <cell r="D90" t="str">
            <v>Q7212149102A</v>
          </cell>
          <cell r="E90" t="str">
            <v>LENS BASE-DSC350SE</v>
          </cell>
          <cell r="F90">
            <v>1</v>
          </cell>
          <cell r="G90" t="str">
            <v>PC</v>
          </cell>
        </row>
        <row r="91">
          <cell r="D91" t="str">
            <v>Q7212149201A</v>
          </cell>
          <cell r="E91" t="str">
            <v>ZOOM COVER-DSC350SE</v>
          </cell>
          <cell r="F91">
            <v>1</v>
          </cell>
          <cell r="G91" t="str">
            <v>PC</v>
          </cell>
        </row>
        <row r="92">
          <cell r="D92" t="str">
            <v>Q7212149301A</v>
          </cell>
          <cell r="E92" t="str">
            <v>PI CAP-DSC350SE</v>
          </cell>
          <cell r="F92">
            <v>1</v>
          </cell>
          <cell r="G92" t="str">
            <v>PC</v>
          </cell>
        </row>
        <row r="93">
          <cell r="D93" t="str">
            <v>Q7212149401A</v>
          </cell>
          <cell r="E93" t="str">
            <v>ZOOM GEAR A-DSC350SE</v>
          </cell>
          <cell r="F93">
            <v>1</v>
          </cell>
          <cell r="G93" t="str">
            <v>PC</v>
          </cell>
        </row>
        <row r="94">
          <cell r="D94" t="str">
            <v>Q7212149501A</v>
          </cell>
          <cell r="E94" t="str">
            <v>ZOOM MOTOR GEAR-DSC3</v>
          </cell>
          <cell r="F94">
            <v>1</v>
          </cell>
          <cell r="G94" t="str">
            <v>PC</v>
          </cell>
        </row>
        <row r="95">
          <cell r="D95" t="str">
            <v>Q7212152901A</v>
          </cell>
          <cell r="E95" t="str">
            <v>ZOOM GEAR B-DSC350SE</v>
          </cell>
          <cell r="F95">
            <v>4</v>
          </cell>
          <cell r="G95" t="str">
            <v>PC</v>
          </cell>
        </row>
        <row r="96">
          <cell r="D96" t="str">
            <v>Q7212153001A</v>
          </cell>
          <cell r="E96" t="str">
            <v>ZOOM GEAR C-DSC350SE</v>
          </cell>
          <cell r="F96">
            <v>1</v>
          </cell>
          <cell r="G96" t="str">
            <v>PC</v>
          </cell>
        </row>
        <row r="97">
          <cell r="D97" t="str">
            <v>Q7212153102A</v>
          </cell>
          <cell r="E97" t="str">
            <v>ZOOM GEAR D-DSC350SE</v>
          </cell>
          <cell r="F97">
            <v>1</v>
          </cell>
          <cell r="G97" t="str">
            <v>PC</v>
          </cell>
        </row>
        <row r="98">
          <cell r="D98" t="str">
            <v>Q7212160001A</v>
          </cell>
          <cell r="E98" t="str">
            <v>ZOOM MOTOR GEAR-SZA4</v>
          </cell>
          <cell r="F98">
            <v>1</v>
          </cell>
          <cell r="G98" t="str">
            <v>PC</v>
          </cell>
        </row>
        <row r="99">
          <cell r="D99" t="str">
            <v>Q7212160101A</v>
          </cell>
          <cell r="E99" t="str">
            <v>ZOOM GEAR_A-SZA4318</v>
          </cell>
          <cell r="F99">
            <v>1</v>
          </cell>
          <cell r="G99" t="str">
            <v>PC</v>
          </cell>
        </row>
        <row r="100">
          <cell r="D100" t="str">
            <v>Q7212160203A</v>
          </cell>
          <cell r="E100" t="str">
            <v>FRONT PANEL-SZA4318</v>
          </cell>
          <cell r="F100">
            <v>1</v>
          </cell>
          <cell r="G100" t="str">
            <v>PC</v>
          </cell>
        </row>
        <row r="101">
          <cell r="D101" t="str">
            <v>Q7212160602B</v>
          </cell>
          <cell r="E101" t="str">
            <v>ZOOM GEAR_E-SZA4318</v>
          </cell>
          <cell r="F101">
            <v>2</v>
          </cell>
          <cell r="G101" t="str">
            <v>PC</v>
          </cell>
        </row>
        <row r="102">
          <cell r="D102" t="str">
            <v>Q7212161103A</v>
          </cell>
          <cell r="E102" t="str">
            <v>ZOOM RING-SZC2327</v>
          </cell>
          <cell r="F102">
            <v>1</v>
          </cell>
          <cell r="G102" t="str">
            <v>PC</v>
          </cell>
        </row>
        <row r="103">
          <cell r="D103" t="str">
            <v>Q7212161201A</v>
          </cell>
          <cell r="E103" t="str">
            <v>GUIDE BARREL-SZC2327</v>
          </cell>
          <cell r="F103">
            <v>1</v>
          </cell>
          <cell r="G103" t="str">
            <v>PC</v>
          </cell>
        </row>
        <row r="104">
          <cell r="D104" t="str">
            <v>Q7212161302A</v>
          </cell>
          <cell r="E104" t="str">
            <v>CAM BARREL-SZC2327</v>
          </cell>
          <cell r="F104">
            <v>1</v>
          </cell>
          <cell r="G104" t="str">
            <v>PC</v>
          </cell>
        </row>
        <row r="105">
          <cell r="D105" t="str">
            <v>Q7212161403A</v>
          </cell>
          <cell r="E105" t="str">
            <v>LENS BASE-SZC2327</v>
          </cell>
          <cell r="F105">
            <v>1</v>
          </cell>
          <cell r="G105" t="str">
            <v>PC</v>
          </cell>
        </row>
        <row r="106">
          <cell r="D106" t="str">
            <v>Q7212161501A</v>
          </cell>
          <cell r="E106" t="str">
            <v>AF HOLDER-SZC2327</v>
          </cell>
          <cell r="F106">
            <v>1</v>
          </cell>
          <cell r="G106" t="str">
            <v>PC</v>
          </cell>
        </row>
        <row r="107">
          <cell r="D107" t="str">
            <v>Q7212161602A</v>
          </cell>
          <cell r="E107" t="str">
            <v>AF MOTOR GEAR-SZC232</v>
          </cell>
          <cell r="F107">
            <v>2</v>
          </cell>
          <cell r="G107" t="str">
            <v>PC</v>
          </cell>
        </row>
        <row r="108">
          <cell r="D108" t="str">
            <v>Q7212161702A</v>
          </cell>
          <cell r="E108" t="str">
            <v>FOCUS GEAR-SZC2327</v>
          </cell>
          <cell r="F108">
            <v>1</v>
          </cell>
          <cell r="G108" t="str">
            <v>PC</v>
          </cell>
        </row>
        <row r="109">
          <cell r="D109" t="str">
            <v>Q7212161901A</v>
          </cell>
          <cell r="E109" t="str">
            <v>FOCUS GEAR COVER-SZC</v>
          </cell>
          <cell r="F109">
            <v>1</v>
          </cell>
          <cell r="G109" t="str">
            <v>PC</v>
          </cell>
        </row>
        <row r="110">
          <cell r="D110" t="str">
            <v>Q7212162101A</v>
          </cell>
          <cell r="E110" t="str">
            <v>ZOOM GEAR COVER-SZC2</v>
          </cell>
          <cell r="F110">
            <v>1</v>
          </cell>
          <cell r="G110" t="str">
            <v>PC</v>
          </cell>
        </row>
        <row r="111">
          <cell r="D111" t="str">
            <v>Q7213027001A</v>
          </cell>
          <cell r="E111" t="str">
            <v>FINDER COVER-SEC 2M3</v>
          </cell>
          <cell r="F111">
            <v>1</v>
          </cell>
          <cell r="G111" t="str">
            <v>PC</v>
          </cell>
        </row>
        <row r="112">
          <cell r="D112" t="str">
            <v>Q7213027102A</v>
          </cell>
          <cell r="E112" t="str">
            <v>FINDER BASE-SEC3M3X</v>
          </cell>
          <cell r="F112">
            <v>1</v>
          </cell>
          <cell r="G112" t="str">
            <v>PC</v>
          </cell>
        </row>
        <row r="113">
          <cell r="D113" t="str">
            <v>Q7213027203A</v>
          </cell>
          <cell r="E113" t="str">
            <v>EP HOLDER-SEC3M3X</v>
          </cell>
          <cell r="F113">
            <v>1</v>
          </cell>
          <cell r="G113" t="str">
            <v>PC</v>
          </cell>
        </row>
        <row r="114">
          <cell r="D114" t="str">
            <v>Q7213027303A</v>
          </cell>
          <cell r="E114" t="str">
            <v>FINDER CAM-SEC3M3X</v>
          </cell>
          <cell r="F114">
            <v>1</v>
          </cell>
          <cell r="G114" t="str">
            <v>PC</v>
          </cell>
        </row>
        <row r="115">
          <cell r="D115" t="str">
            <v>Q7409033901A</v>
          </cell>
          <cell r="E115" t="str">
            <v>LCD WINDOW TAPE[양면</v>
          </cell>
          <cell r="F115">
            <v>1</v>
          </cell>
          <cell r="G115" t="str">
            <v>PC</v>
          </cell>
        </row>
        <row r="116">
          <cell r="D116" t="str">
            <v>Q7409044001A</v>
          </cell>
          <cell r="E116" t="str">
            <v>TAPE-F[절연 TAPE(T=0</v>
          </cell>
          <cell r="F116">
            <v>1</v>
          </cell>
          <cell r="G116" t="str">
            <v>PC</v>
          </cell>
        </row>
        <row r="117">
          <cell r="D117" t="str">
            <v>Q7409100101A</v>
          </cell>
          <cell r="E117" t="str">
            <v>F TAPE A-IP5X</v>
          </cell>
          <cell r="F117">
            <v>3</v>
          </cell>
          <cell r="G117" t="str">
            <v>PC</v>
          </cell>
        </row>
        <row r="118">
          <cell r="D118" t="str">
            <v>Q7409109501A</v>
          </cell>
          <cell r="E118" t="str">
            <v>SHIELD B-SEC 3M3X</v>
          </cell>
          <cell r="F118">
            <v>1</v>
          </cell>
          <cell r="G118" t="str">
            <v>PC</v>
          </cell>
        </row>
        <row r="119">
          <cell r="D119" t="str">
            <v>Q7409109901A</v>
          </cell>
          <cell r="E119" t="str">
            <v>FRONT PANEL TAPE-SEC</v>
          </cell>
          <cell r="F119">
            <v>2</v>
          </cell>
          <cell r="G119" t="str">
            <v>PC</v>
          </cell>
        </row>
        <row r="120">
          <cell r="D120" t="str">
            <v>Q7409110002A</v>
          </cell>
          <cell r="E120" t="str">
            <v>GUIDE BARREL SHIELD-</v>
          </cell>
          <cell r="F120">
            <v>1</v>
          </cell>
          <cell r="G120" t="str">
            <v>PC</v>
          </cell>
        </row>
        <row r="121">
          <cell r="D121" t="str">
            <v>Q7409110101A</v>
          </cell>
          <cell r="E121" t="str">
            <v>CAM BARREL SHIELD-SE</v>
          </cell>
          <cell r="F121">
            <v>1</v>
          </cell>
          <cell r="G121" t="str">
            <v>PC</v>
          </cell>
        </row>
        <row r="122">
          <cell r="D122" t="str">
            <v>Q7409110803B</v>
          </cell>
          <cell r="E122" t="str">
            <v>P.I REFLECTOR-SEC2M3</v>
          </cell>
          <cell r="F122">
            <v>1</v>
          </cell>
          <cell r="G122" t="str">
            <v>PC</v>
          </cell>
        </row>
        <row r="123">
          <cell r="D123" t="str">
            <v>Q7409117901A</v>
          </cell>
          <cell r="E123" t="str">
            <v>2nd SHIELD-SX32</v>
          </cell>
          <cell r="F123">
            <v>1</v>
          </cell>
          <cell r="G123" t="str">
            <v>PC</v>
          </cell>
        </row>
        <row r="124">
          <cell r="D124" t="str">
            <v>Q7409119101A</v>
          </cell>
          <cell r="E124" t="str">
            <v>2nd SHIELD B-SX32</v>
          </cell>
          <cell r="F124">
            <v>1</v>
          </cell>
          <cell r="G124" t="str">
            <v>PC</v>
          </cell>
        </row>
        <row r="125">
          <cell r="D125" t="str">
            <v>Q7409119201A</v>
          </cell>
          <cell r="E125" t="str">
            <v>SHIELD TAPE-SX32</v>
          </cell>
          <cell r="F125">
            <v>4</v>
          </cell>
          <cell r="G125" t="str">
            <v>PC</v>
          </cell>
        </row>
        <row r="126">
          <cell r="D126" t="str">
            <v>Q7409120701A</v>
          </cell>
          <cell r="E126" t="str">
            <v>F PCB TAPE-SX32</v>
          </cell>
          <cell r="F126">
            <v>1</v>
          </cell>
          <cell r="G126" t="str">
            <v>PC</v>
          </cell>
        </row>
        <row r="127">
          <cell r="D127" t="str">
            <v>Q7409122002A</v>
          </cell>
          <cell r="E127" t="str">
            <v>OUTER BARREL SHIELD-</v>
          </cell>
          <cell r="F127">
            <v>1</v>
          </cell>
          <cell r="G127" t="str">
            <v>PC</v>
          </cell>
        </row>
        <row r="128">
          <cell r="D128" t="str">
            <v>Q7409123301A</v>
          </cell>
          <cell r="E128" t="str">
            <v>FPCB-SUPPORT-SZC-232</v>
          </cell>
          <cell r="F128">
            <v>1</v>
          </cell>
          <cell r="G128" t="str">
            <v>PC</v>
          </cell>
        </row>
        <row r="129">
          <cell r="D129" t="str">
            <v>Q7411072601A</v>
          </cell>
          <cell r="E129" t="str">
            <v>AF THREAD</v>
          </cell>
          <cell r="F129">
            <v>1</v>
          </cell>
          <cell r="G129" t="str">
            <v>PC</v>
          </cell>
        </row>
        <row r="130">
          <cell r="D130" t="str">
            <v>Q7411078801A</v>
          </cell>
          <cell r="E130" t="str">
            <v>AF GUIDE SHAFT A-SEC</v>
          </cell>
          <cell r="F130">
            <v>1</v>
          </cell>
          <cell r="G130" t="str">
            <v>PC</v>
          </cell>
        </row>
        <row r="131">
          <cell r="D131" t="str">
            <v>Q7411079102A</v>
          </cell>
          <cell r="E131" t="str">
            <v>FINDER SHAFT-SEC 2M3</v>
          </cell>
          <cell r="F131">
            <v>2</v>
          </cell>
          <cell r="G131" t="str">
            <v>PC</v>
          </cell>
        </row>
        <row r="132">
          <cell r="D132" t="str">
            <v>Q7411080704B</v>
          </cell>
          <cell r="E132" t="str">
            <v>SPACER-A SEC3M3X</v>
          </cell>
          <cell r="F132">
            <v>1</v>
          </cell>
          <cell r="G132" t="str">
            <v>PC</v>
          </cell>
        </row>
        <row r="133">
          <cell r="D133" t="str">
            <v>Q7411080902A</v>
          </cell>
          <cell r="E133" t="str">
            <v>IDLE GEAR SHAFT-SEC3</v>
          </cell>
          <cell r="F133">
            <v>1</v>
          </cell>
          <cell r="G133" t="str">
            <v>PC</v>
          </cell>
        </row>
        <row r="134">
          <cell r="D134" t="str">
            <v>Q7411081002A</v>
          </cell>
          <cell r="E134" t="str">
            <v>ZOOM GEAR BAR A-SEC3</v>
          </cell>
          <cell r="F134">
            <v>2</v>
          </cell>
          <cell r="G134" t="str">
            <v>PC</v>
          </cell>
        </row>
        <row r="135">
          <cell r="D135" t="str">
            <v>Q7411081102A</v>
          </cell>
          <cell r="E135" t="str">
            <v>ZOOM GEAR BAR B-SEC3</v>
          </cell>
          <cell r="F135">
            <v>2</v>
          </cell>
          <cell r="G135" t="str">
            <v>PC</v>
          </cell>
        </row>
        <row r="136">
          <cell r="D136" t="str">
            <v>Q7411081201A</v>
          </cell>
          <cell r="E136" t="str">
            <v>ZOOM GEAR BAR C-SEC3</v>
          </cell>
          <cell r="F136">
            <v>2</v>
          </cell>
          <cell r="G136" t="str">
            <v>PC</v>
          </cell>
        </row>
        <row r="137">
          <cell r="D137" t="str">
            <v>Q7411081301A</v>
          </cell>
          <cell r="E137" t="str">
            <v>AF GUIDE SHAFT B-SEC</v>
          </cell>
          <cell r="F137">
            <v>1</v>
          </cell>
          <cell r="G137" t="str">
            <v>PC</v>
          </cell>
        </row>
        <row r="138">
          <cell r="D138" t="str">
            <v>Q7411082701A</v>
          </cell>
          <cell r="E138" t="str">
            <v>GEAR PIN-DSC350SE</v>
          </cell>
          <cell r="F138">
            <v>6</v>
          </cell>
          <cell r="G138" t="str">
            <v>PC</v>
          </cell>
        </row>
        <row r="139">
          <cell r="D139" t="str">
            <v>Q7411084102A</v>
          </cell>
          <cell r="E139" t="str">
            <v>SLIP RING-SX32</v>
          </cell>
          <cell r="F139">
            <v>1</v>
          </cell>
          <cell r="G139" t="str">
            <v>PC</v>
          </cell>
        </row>
        <row r="140">
          <cell r="D140" t="str">
            <v>Q7411085601A</v>
          </cell>
          <cell r="E140" t="str">
            <v>ZOOM GEAR_B-SZA4318</v>
          </cell>
          <cell r="F140">
            <v>1</v>
          </cell>
          <cell r="G140" t="str">
            <v>PC</v>
          </cell>
        </row>
        <row r="141">
          <cell r="D141" t="str">
            <v>Q7411085702A</v>
          </cell>
          <cell r="E141" t="str">
            <v>ZOOM GEAR_C-SZA4318</v>
          </cell>
          <cell r="F141">
            <v>1</v>
          </cell>
          <cell r="G141" t="str">
            <v>PC</v>
          </cell>
        </row>
        <row r="142">
          <cell r="D142" t="str">
            <v>Q7411085801A</v>
          </cell>
          <cell r="E142" t="str">
            <v>ZOOM GEAR_D-SZA4318</v>
          </cell>
          <cell r="F142">
            <v>1</v>
          </cell>
          <cell r="G142" t="str">
            <v>PC</v>
          </cell>
        </row>
        <row r="143">
          <cell r="D143" t="str">
            <v>Q7411085902A</v>
          </cell>
          <cell r="E143" t="str">
            <v>ZOOM GEAR_A SHAFT-SZ</v>
          </cell>
          <cell r="F143">
            <v>1</v>
          </cell>
          <cell r="G143" t="str">
            <v>PC</v>
          </cell>
        </row>
        <row r="144">
          <cell r="D144" t="str">
            <v>Q7411089101A</v>
          </cell>
          <cell r="E144" t="str">
            <v>FOCUS SHAFT-SZC2327</v>
          </cell>
          <cell r="F144">
            <v>2</v>
          </cell>
          <cell r="G144" t="str">
            <v>PC</v>
          </cell>
        </row>
        <row r="145">
          <cell r="D145" t="str">
            <v>Q7411089401A</v>
          </cell>
          <cell r="E145" t="str">
            <v>OUTER BARREL RING-SZ</v>
          </cell>
          <cell r="F145">
            <v>1</v>
          </cell>
          <cell r="G145" t="str">
            <v>PC</v>
          </cell>
        </row>
        <row r="146">
          <cell r="D146" t="str">
            <v>Q7411090001B</v>
          </cell>
          <cell r="E146" t="str">
            <v>ZOOM GEAR_C SHAFT-SZ</v>
          </cell>
          <cell r="F146">
            <v>2</v>
          </cell>
          <cell r="G146" t="str">
            <v>PC</v>
          </cell>
        </row>
      </sheetData>
      <sheetData sheetId="4"/>
      <sheetData sheetId="5"/>
      <sheetData sheetId="6" refreshError="1">
        <row r="4">
          <cell r="A4" t="str">
            <v>Q9008048501A</v>
          </cell>
          <cell r="B4" t="str">
            <v>CCD FPCB ASSY-DSC350</v>
          </cell>
        </row>
        <row r="5">
          <cell r="A5" t="str">
            <v>Q9008048601A</v>
          </cell>
          <cell r="B5" t="str">
            <v>POWER PCB ASSY-DSC35</v>
          </cell>
        </row>
        <row r="6">
          <cell r="A6" t="str">
            <v>Q9008048801A</v>
          </cell>
          <cell r="B6" t="str">
            <v>MAIN PCB ASSY-DSC350</v>
          </cell>
        </row>
        <row r="7">
          <cell r="A7" t="str">
            <v>Q9008049001A</v>
          </cell>
          <cell r="B7" t="str">
            <v>STROBO PCB ASSY-DSC3</v>
          </cell>
        </row>
        <row r="8">
          <cell r="A8" t="str">
            <v>Q9007174901A</v>
          </cell>
          <cell r="B8" t="str">
            <v>BACK COVER ASSY-DSC3</v>
          </cell>
        </row>
      </sheetData>
      <sheetData sheetId="7"/>
      <sheetData sheetId="8"/>
      <sheetData sheetId="9"/>
      <sheetData sheetId="10"/>
      <sheetData sheetId="1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심사대상종합(계획)"/>
      <sheetName val="웹게이트"/>
      <sheetName val="씨아이즈"/>
      <sheetName val="원우"/>
      <sheetName val="맑은기술"/>
      <sheetName val="IDIS"/>
      <sheetName val="HS Networks"/>
      <sheetName val="사전점검결과"/>
      <sheetName val="사전점검결과(최종)"/>
      <sheetName val="'12년 협력업체 QPA 사전 점검 결과_전체_12030"/>
      <sheetName val="_12년 협력업체 QPA 사전 점검 결과_전체_12030"/>
    </sheetNames>
    <definedNames>
      <definedName name="경통1" refersTo="#REF!"/>
      <definedName name="경통2" refersTo="#REF!"/>
      <definedName name="ㄴㄴ" refersTo="#REF!"/>
      <definedName name="it" refersTo="#REF!"/>
      <definedName name="lll" refersTo="#REF!"/>
      <definedName name="NORM" refersTo="#REF!"/>
      <definedName name="sssss" refersTo="#REF!"/>
      <definedName name="WOST" refersTo="#REF!"/>
    </definedNames>
    <sheetDataSet>
      <sheetData sheetId="0"/>
      <sheetData sheetId="1"/>
      <sheetData sheetId="2"/>
      <sheetData sheetId="3"/>
      <sheetData sheetId="4"/>
      <sheetData sheetId="5"/>
      <sheetData sheetId="6"/>
      <sheetData sheetId="7"/>
      <sheetData sheetId="8"/>
      <sheetData sheetId="9" refreshError="1"/>
      <sheetData sheetId="10" refreshError="1"/>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심사대상종합(계획)"/>
      <sheetName val="웹게이트"/>
      <sheetName val="씨아이즈"/>
      <sheetName val="원우"/>
      <sheetName val="맑은기술"/>
      <sheetName val="IDIS"/>
      <sheetName val="HS Networks"/>
      <sheetName val="사전점검결과"/>
      <sheetName val="사전점검결과(최종)"/>
      <sheetName val="'12년 협력업체 QPA 사전 점검 결과_전체_12030"/>
    </sheetNames>
    <definedNames>
      <definedName name="경통1" refersTo="#REF!"/>
      <definedName name="경통2" refersTo="#REF!"/>
      <definedName name="ㄴㄴ" refersTo="#REF!"/>
      <definedName name="it" refersTo="#REF!"/>
      <definedName name="lll" refersTo="#REF!"/>
      <definedName name="NORM" refersTo="#REF!"/>
      <definedName name="sssss" refersTo="#REF!"/>
      <definedName name="WOST" refersTo="#REF!"/>
    </defined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Notes"/>
      <sheetName val="August"/>
      <sheetName val="September"/>
      <sheetName val="October"/>
      <sheetName val="Sheet1"/>
      <sheetName val="November"/>
      <sheetName val="December"/>
      <sheetName val="January"/>
      <sheetName val="February"/>
      <sheetName val="Data Summary - Do Not Use"/>
    </sheetNames>
    <sheetDataSet>
      <sheetData sheetId="0">
        <row r="4">
          <cell r="B4" t="str">
            <v>Identification &amp; Pre-Assessment</v>
          </cell>
        </row>
        <row r="5">
          <cell r="B5" t="str">
            <v>Development &amp; Contract Negotiations</v>
          </cell>
        </row>
        <row r="6">
          <cell r="B6" t="str">
            <v>Pre-Audit &amp; Audit</v>
          </cell>
        </row>
        <row r="7">
          <cell r="B7" t="str">
            <v>RFQ Support</v>
          </cell>
        </row>
        <row r="8">
          <cell r="B8" t="str">
            <v>Tooling or Design Support</v>
          </cell>
        </row>
        <row r="9">
          <cell r="B9" t="str">
            <v>Samples or First Articles</v>
          </cell>
        </row>
        <row r="10">
          <cell r="B10" t="str">
            <v>Quality Issue</v>
          </cell>
        </row>
        <row r="11">
          <cell r="B11" t="str">
            <v>Escalations &amp; Others</v>
          </cell>
        </row>
        <row r="12">
          <cell r="B12" t="str">
            <v>Cost Negotiations</v>
          </cell>
        </row>
        <row r="13">
          <cell r="B13" t="str">
            <v>Customer Meeting</v>
          </cell>
        </row>
      </sheetData>
      <sheetData sheetId="1"/>
      <sheetData sheetId="2"/>
      <sheetData sheetId="3"/>
      <sheetData sheetId="4"/>
      <sheetData sheetId="5"/>
      <sheetData sheetId="6"/>
      <sheetData sheetId="7"/>
      <sheetData sheetId="8"/>
      <sheetData sheetId="9"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Instructions"/>
      <sheetName val="Assessment Req'ts Planning"/>
      <sheetName val="Assessment Plan - Results"/>
      <sheetName val="Supplier Self Assessment"/>
      <sheetName val="PCB Self Assessment"/>
      <sheetName val="Pre-Assessment Cover Sheet"/>
      <sheetName val="Pre-Assessment Results"/>
      <sheetName val="Pre-Assessment Section Scores"/>
      <sheetName val="Pre-Assessment Questionaire"/>
      <sheetName val="Systems Assessment Cover Sheet"/>
      <sheetName val="Systems Assessment Results"/>
      <sheetName val="Assessment Section Scores"/>
      <sheetName val="Systems Assessment Questionaire"/>
      <sheetName val="PCB Assessment Cover Sheet"/>
      <sheetName val="PCB Assessment Results"/>
      <sheetName val="PCB Assessment Questionaire"/>
      <sheetName val="Passives Cover Sheet"/>
      <sheetName val="Passives Assessment Results"/>
      <sheetName val="Passives Questionaire"/>
      <sheetName val="Connector Assessment Cover "/>
      <sheetName val="Connector Assessment Results"/>
      <sheetName val="Connector Questionaire"/>
      <sheetName val="Custom Mechanical Results"/>
      <sheetName val="Custom Mechanical Questionaire"/>
      <sheetName val="Design Cover Sheet"/>
      <sheetName val="Design Assessment Results"/>
      <sheetName val="Design Questionnaire"/>
      <sheetName val="Tooling Assessment Results"/>
      <sheetName val="Tooling Questionnaire"/>
      <sheetName val="Supplier Development Plan"/>
      <sheetName val="Data Summary - Do Not Use"/>
      <sheetName val="Data Summary _ Do Not Use"/>
      <sheetName val="Sheet7"/>
      <sheetName val="No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ow r="10">
          <cell r="A10" t="str">
            <v>Pre-Assessment</v>
          </cell>
          <cell r="E10">
            <v>2</v>
          </cell>
        </row>
        <row r="11">
          <cell r="E11">
            <v>1</v>
          </cell>
        </row>
        <row r="12">
          <cell r="E12">
            <v>0</v>
          </cell>
        </row>
      </sheetData>
      <sheetData sheetId="31"/>
      <sheetData sheetId="32" refreshError="1"/>
      <sheetData sheetId="33"/>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Injection Molding"/>
      <sheetName val="Inj Molding Results"/>
      <sheetName val="Sheet1"/>
      <sheetName val="Inj Mold Findings"/>
      <sheetName val="Inj Molding Action Plan"/>
      <sheetName val="Power Supply"/>
      <sheetName val="Power Supply Results "/>
      <sheetName val="Power Supply Findings"/>
      <sheetName val="Power Supply Action Plan"/>
      <sheetName val="Injection Molding OSA Template "/>
    </sheetNames>
    <sheetDataSet>
      <sheetData sheetId="0"/>
      <sheetData sheetId="1"/>
      <sheetData sheetId="2">
        <row r="1">
          <cell r="A1">
            <v>0</v>
          </cell>
          <cell r="B1">
            <v>0</v>
          </cell>
        </row>
        <row r="2">
          <cell r="A2">
            <v>1</v>
          </cell>
          <cell r="B2">
            <v>1</v>
          </cell>
        </row>
        <row r="3">
          <cell r="A3">
            <v>2</v>
          </cell>
          <cell r="B3">
            <v>2</v>
          </cell>
        </row>
        <row r="4">
          <cell r="A4">
            <v>3</v>
          </cell>
          <cell r="B4">
            <v>3</v>
          </cell>
        </row>
        <row r="5">
          <cell r="A5" t="str">
            <v>N/A</v>
          </cell>
        </row>
      </sheetData>
      <sheetData sheetId="3"/>
      <sheetData sheetId="4"/>
      <sheetData sheetId="5"/>
      <sheetData sheetId="6"/>
      <sheetData sheetId="7"/>
      <sheetData sheetId="8"/>
      <sheetData sheetId="9" refreshError="1"/>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refreshError="1"/>
      <sheetData sheetId="1"/>
      <sheetData sheetId="2" refreshError="1"/>
      <sheetData sheetId="3"/>
      <sheetData sheetId="4" refreshError="1"/>
      <sheetData sheetId="5" refreshError="1">
        <row r="6">
          <cell r="B6" t="str">
            <v>CG1601</v>
          </cell>
          <cell r="C6" t="str">
            <v>Digimax 350SE(APGYK)</v>
          </cell>
          <cell r="D6" t="str">
            <v>E</v>
          </cell>
          <cell r="F6">
            <v>0</v>
          </cell>
          <cell r="J6">
            <v>0</v>
          </cell>
        </row>
        <row r="7">
          <cell r="B7" t="str">
            <v>CG1601D</v>
          </cell>
          <cell r="C7" t="str">
            <v>Digimax 350SE(APGYK)</v>
          </cell>
          <cell r="D7" t="str">
            <v>E</v>
          </cell>
          <cell r="E7">
            <v>50</v>
          </cell>
          <cell r="F7">
            <v>0</v>
          </cell>
          <cell r="J7">
            <v>0</v>
          </cell>
        </row>
        <row r="8">
          <cell r="B8" t="str">
            <v>Q0401001201A</v>
          </cell>
          <cell r="C8" t="str">
            <v>CHIP DIODE[KDS160-RTK]</v>
          </cell>
          <cell r="D8" t="str">
            <v>F</v>
          </cell>
          <cell r="F8">
            <v>34</v>
          </cell>
          <cell r="G8" t="str">
            <v>KRW</v>
          </cell>
          <cell r="H8" t="str">
            <v>C53</v>
          </cell>
          <cell r="I8" t="str">
            <v>(주)케이이씨구미</v>
          </cell>
          <cell r="J8">
            <v>0</v>
          </cell>
        </row>
        <row r="9">
          <cell r="B9" t="str">
            <v>Q0403001601A</v>
          </cell>
          <cell r="C9" t="str">
            <v>DIODE-KDS160E(ESC)</v>
          </cell>
          <cell r="D9" t="str">
            <v>F</v>
          </cell>
          <cell r="F9">
            <v>0</v>
          </cell>
          <cell r="H9" t="str">
            <v>C22</v>
          </cell>
          <cell r="J9">
            <v>0</v>
          </cell>
        </row>
        <row r="10">
          <cell r="B10" t="str">
            <v>Q0403001701A</v>
          </cell>
          <cell r="C10" t="str">
            <v>DIODE SCHOTTKY-RB050(PMDS)</v>
          </cell>
          <cell r="D10" t="str">
            <v>F</v>
          </cell>
          <cell r="F10">
            <v>0</v>
          </cell>
          <cell r="H10" t="str">
            <v>C22</v>
          </cell>
          <cell r="J10">
            <v>0</v>
          </cell>
        </row>
        <row r="11">
          <cell r="B11" t="str">
            <v>Q0403001801A</v>
          </cell>
          <cell r="C11" t="str">
            <v>DIODE ZENER-KDZ2.7V(USC)</v>
          </cell>
          <cell r="D11" t="str">
            <v>F</v>
          </cell>
          <cell r="F11">
            <v>0</v>
          </cell>
          <cell r="H11" t="str">
            <v>C22</v>
          </cell>
          <cell r="J11">
            <v>0</v>
          </cell>
        </row>
        <row r="12">
          <cell r="B12" t="str">
            <v>Q0403001901A</v>
          </cell>
          <cell r="C12" t="str">
            <v>DIODE ZENER-KDZ4.3V(USC)/UDZ 4.3B</v>
          </cell>
          <cell r="D12" t="str">
            <v>F</v>
          </cell>
          <cell r="F12">
            <v>26</v>
          </cell>
          <cell r="G12" t="str">
            <v>KRW</v>
          </cell>
          <cell r="H12" t="str">
            <v>C22</v>
          </cell>
          <cell r="I12" t="str">
            <v>(주)로옴전자코리</v>
          </cell>
          <cell r="J12">
            <v>0</v>
          </cell>
        </row>
        <row r="13">
          <cell r="B13" t="str">
            <v>Q0403002001A</v>
          </cell>
          <cell r="C13" t="str">
            <v>DIODE SCHOTTKY-M1FH3</v>
          </cell>
          <cell r="D13" t="str">
            <v>F</v>
          </cell>
          <cell r="F13">
            <v>0</v>
          </cell>
          <cell r="H13" t="str">
            <v>C22</v>
          </cell>
          <cell r="J13">
            <v>0</v>
          </cell>
        </row>
        <row r="14">
          <cell r="B14" t="str">
            <v>Q0403002101A</v>
          </cell>
          <cell r="C14" t="str">
            <v>DIODE ZENER-UDZ15B</v>
          </cell>
          <cell r="D14" t="str">
            <v>F</v>
          </cell>
          <cell r="F14">
            <v>0</v>
          </cell>
          <cell r="H14" t="str">
            <v>C22</v>
          </cell>
          <cell r="J14">
            <v>0</v>
          </cell>
        </row>
        <row r="15">
          <cell r="B15" t="str">
            <v>Q0404000901A</v>
          </cell>
          <cell r="C15" t="str">
            <v>DIODE SCHOTTKY-RB501V-40TE-17</v>
          </cell>
          <cell r="D15" t="str">
            <v>F</v>
          </cell>
          <cell r="F15">
            <v>56</v>
          </cell>
          <cell r="G15" t="str">
            <v>KRW</v>
          </cell>
          <cell r="H15" t="str">
            <v>C56</v>
          </cell>
          <cell r="I15" t="str">
            <v>(주)로옴전자코리</v>
          </cell>
          <cell r="J15">
            <v>0</v>
          </cell>
        </row>
        <row r="16">
          <cell r="B16" t="str">
            <v>Q0404001101A</v>
          </cell>
          <cell r="C16" t="str">
            <v>DIODE SCHOTTKY-RB060</v>
          </cell>
          <cell r="D16" t="str">
            <v>F</v>
          </cell>
          <cell r="F16">
            <v>155</v>
          </cell>
          <cell r="G16" t="str">
            <v>KRW</v>
          </cell>
          <cell r="H16" t="str">
            <v>C56</v>
          </cell>
          <cell r="I16" t="str">
            <v>(주)로옴전자코리</v>
          </cell>
          <cell r="J16">
            <v>0</v>
          </cell>
        </row>
        <row r="17">
          <cell r="B17" t="str">
            <v>Q0407000501A</v>
          </cell>
          <cell r="C17" t="str">
            <v>ULTRA MINI MOLD DIODE 6PIN[UMP11NTN]</v>
          </cell>
          <cell r="D17" t="str">
            <v>F</v>
          </cell>
          <cell r="F17">
            <v>59</v>
          </cell>
          <cell r="G17" t="str">
            <v>KRW</v>
          </cell>
          <cell r="H17" t="str">
            <v>C56</v>
          </cell>
          <cell r="I17" t="str">
            <v>(주)로옴전자코리</v>
          </cell>
          <cell r="J17">
            <v>0</v>
          </cell>
        </row>
        <row r="18">
          <cell r="B18" t="str">
            <v>Q0501007101A</v>
          </cell>
          <cell r="C18" t="str">
            <v>CHIP BRT[DTC114YUA]</v>
          </cell>
          <cell r="D18" t="str">
            <v>F</v>
          </cell>
          <cell r="F18">
            <v>28</v>
          </cell>
          <cell r="G18" t="str">
            <v>KRW</v>
          </cell>
          <cell r="H18" t="str">
            <v>C56</v>
          </cell>
          <cell r="I18" t="str">
            <v>(주)로옴전자코리</v>
          </cell>
          <cell r="J18">
            <v>0</v>
          </cell>
        </row>
        <row r="19">
          <cell r="B19" t="str">
            <v>Q0501007201A</v>
          </cell>
          <cell r="C19" t="str">
            <v>CHIP BRT[DTA114YUA]</v>
          </cell>
          <cell r="D19" t="str">
            <v>F</v>
          </cell>
          <cell r="F19">
            <v>29</v>
          </cell>
          <cell r="G19" t="str">
            <v>KRW</v>
          </cell>
          <cell r="H19" t="str">
            <v>C56</v>
          </cell>
          <cell r="I19" t="str">
            <v>(주)로옴전자코리</v>
          </cell>
          <cell r="J19">
            <v>0</v>
          </cell>
        </row>
        <row r="20">
          <cell r="B20" t="str">
            <v>Q0501008901A</v>
          </cell>
          <cell r="C20" t="str">
            <v>CHIP TR-UMT2907</v>
          </cell>
          <cell r="D20" t="str">
            <v>F</v>
          </cell>
          <cell r="F20">
            <v>34</v>
          </cell>
          <cell r="G20" t="str">
            <v>KRW</v>
          </cell>
          <cell r="H20" t="str">
            <v>C56</v>
          </cell>
          <cell r="I20" t="str">
            <v>(주)로옴전자코리</v>
          </cell>
          <cell r="J20">
            <v>0</v>
          </cell>
        </row>
        <row r="21">
          <cell r="B21" t="str">
            <v>Q0501009001A</v>
          </cell>
          <cell r="C21" t="str">
            <v>CHIP TR-UMT3904</v>
          </cell>
          <cell r="D21" t="str">
            <v>F</v>
          </cell>
          <cell r="F21">
            <v>31</v>
          </cell>
          <cell r="G21" t="str">
            <v>KRW</v>
          </cell>
          <cell r="H21" t="str">
            <v>C56</v>
          </cell>
          <cell r="I21" t="str">
            <v>(주)로옴전자코리</v>
          </cell>
          <cell r="J21">
            <v>0</v>
          </cell>
        </row>
        <row r="22">
          <cell r="B22" t="str">
            <v>Q0501009101A</v>
          </cell>
          <cell r="C22" t="str">
            <v>CHIP TR-UMC2N</v>
          </cell>
          <cell r="D22" t="str">
            <v>F</v>
          </cell>
          <cell r="F22">
            <v>53</v>
          </cell>
          <cell r="G22" t="str">
            <v>KRW</v>
          </cell>
          <cell r="H22" t="str">
            <v>C56</v>
          </cell>
          <cell r="I22" t="str">
            <v>(주)로옴전자코리</v>
          </cell>
          <cell r="J22">
            <v>0</v>
          </cell>
        </row>
        <row r="23">
          <cell r="B23" t="str">
            <v>Q0501009701A</v>
          </cell>
          <cell r="C23" t="str">
            <v>CHIP TRANSISTOR-DSC350SE</v>
          </cell>
          <cell r="D23" t="str">
            <v>F</v>
          </cell>
          <cell r="F23">
            <v>0</v>
          </cell>
          <cell r="H23" t="str">
            <v>C22</v>
          </cell>
          <cell r="J23">
            <v>0</v>
          </cell>
        </row>
        <row r="24">
          <cell r="B24" t="str">
            <v>Q0501010201A</v>
          </cell>
          <cell r="C24" t="str">
            <v>CHIP BRT-KRC407E/DTC114YE(EMT)</v>
          </cell>
          <cell r="D24" t="str">
            <v>F</v>
          </cell>
          <cell r="F24">
            <v>23</v>
          </cell>
          <cell r="G24" t="str">
            <v>KRW</v>
          </cell>
          <cell r="H24" t="str">
            <v>C22</v>
          </cell>
          <cell r="I24" t="str">
            <v>(주)로옴전자코리</v>
          </cell>
          <cell r="J24">
            <v>0</v>
          </cell>
        </row>
        <row r="25">
          <cell r="B25" t="str">
            <v>Q0501010301A</v>
          </cell>
          <cell r="C25" t="str">
            <v>CHIP BRT-KRC404E/DTC144EE(EMT)</v>
          </cell>
          <cell r="D25" t="str">
            <v>F</v>
          </cell>
          <cell r="F25">
            <v>23</v>
          </cell>
          <cell r="G25" t="str">
            <v>KRW</v>
          </cell>
          <cell r="H25" t="str">
            <v>C22</v>
          </cell>
          <cell r="I25" t="str">
            <v>(주)로옴전자코리</v>
          </cell>
          <cell r="J25">
            <v>0</v>
          </cell>
        </row>
        <row r="26">
          <cell r="B26" t="str">
            <v>Q0501010401A</v>
          </cell>
          <cell r="C26" t="str">
            <v>CHIP TRANSISTOR-2SA1774</v>
          </cell>
          <cell r="D26" t="str">
            <v>F</v>
          </cell>
          <cell r="F26">
            <v>21</v>
          </cell>
          <cell r="G26" t="str">
            <v>KRW</v>
          </cell>
          <cell r="H26" t="str">
            <v>C22</v>
          </cell>
          <cell r="I26" t="str">
            <v>(주)로옴전자코리</v>
          </cell>
          <cell r="J26">
            <v>0</v>
          </cell>
        </row>
        <row r="27">
          <cell r="B27" t="str">
            <v>Q0501010501A</v>
          </cell>
          <cell r="C27" t="str">
            <v>CHIP TRANSISTOR-KTC4082(UMT3)</v>
          </cell>
          <cell r="D27" t="str">
            <v>F</v>
          </cell>
          <cell r="F27">
            <v>0</v>
          </cell>
          <cell r="H27" t="str">
            <v>C22</v>
          </cell>
          <cell r="J27">
            <v>0</v>
          </cell>
        </row>
        <row r="28">
          <cell r="B28" t="str">
            <v>Q0501010601A</v>
          </cell>
          <cell r="C28" t="str">
            <v>CHIP TRANSISTOR-UMY1N(UMT5)</v>
          </cell>
          <cell r="D28" t="str">
            <v>F</v>
          </cell>
          <cell r="F28">
            <v>52</v>
          </cell>
          <cell r="G28" t="str">
            <v>KRW</v>
          </cell>
          <cell r="H28" t="str">
            <v>C22</v>
          </cell>
          <cell r="I28" t="str">
            <v>(주)로옴전자코리</v>
          </cell>
          <cell r="J28">
            <v>0</v>
          </cell>
        </row>
        <row r="29">
          <cell r="B29" t="str">
            <v>Q0504000201A</v>
          </cell>
          <cell r="C29" t="str">
            <v>CHIP BRT-DTC144EUA</v>
          </cell>
          <cell r="D29" t="str">
            <v>F</v>
          </cell>
          <cell r="F29">
            <v>29</v>
          </cell>
          <cell r="G29" t="str">
            <v>KRW</v>
          </cell>
          <cell r="H29" t="str">
            <v>C56</v>
          </cell>
          <cell r="I29" t="str">
            <v>(주)로옴전자코리</v>
          </cell>
          <cell r="J29">
            <v>0</v>
          </cell>
        </row>
        <row r="30">
          <cell r="B30" t="str">
            <v>Q0505000901A</v>
          </cell>
          <cell r="C30" t="str">
            <v>CHIP FET[2SK2867]</v>
          </cell>
          <cell r="D30" t="str">
            <v>F</v>
          </cell>
          <cell r="F30">
            <v>183</v>
          </cell>
          <cell r="G30" t="str">
            <v>KRW</v>
          </cell>
          <cell r="H30" t="str">
            <v>C53</v>
          </cell>
          <cell r="I30" t="str">
            <v>(주)유니온</v>
          </cell>
          <cell r="J30">
            <v>0</v>
          </cell>
        </row>
        <row r="31">
          <cell r="B31" t="str">
            <v>Q0505001001A</v>
          </cell>
          <cell r="C31" t="str">
            <v>CHIP TR-SI2305</v>
          </cell>
          <cell r="D31" t="str">
            <v>F</v>
          </cell>
          <cell r="F31">
            <v>0.2</v>
          </cell>
          <cell r="G31" t="str">
            <v>USD</v>
          </cell>
          <cell r="H31" t="str">
            <v>V02</v>
          </cell>
          <cell r="I31" t="str">
            <v>TEMIC(S) PTE LTD</v>
          </cell>
          <cell r="J31">
            <v>0</v>
          </cell>
        </row>
        <row r="32">
          <cell r="B32" t="str">
            <v>Q0505001201A</v>
          </cell>
          <cell r="C32" t="str">
            <v>MOSFET-DSC350SE</v>
          </cell>
          <cell r="D32" t="str">
            <v>F</v>
          </cell>
          <cell r="F32">
            <v>0</v>
          </cell>
          <cell r="H32" t="str">
            <v>C26</v>
          </cell>
          <cell r="J32">
            <v>0</v>
          </cell>
        </row>
        <row r="33">
          <cell r="B33" t="str">
            <v>Q0505001301A</v>
          </cell>
          <cell r="C33" t="str">
            <v>MOSFET-XP161(SOT89)</v>
          </cell>
          <cell r="D33" t="str">
            <v>F</v>
          </cell>
          <cell r="F33">
            <v>220</v>
          </cell>
          <cell r="G33" t="str">
            <v>KRW</v>
          </cell>
          <cell r="H33" t="str">
            <v>C22</v>
          </cell>
          <cell r="I33" t="str">
            <v>(주)아이에스티</v>
          </cell>
          <cell r="J33">
            <v>0</v>
          </cell>
        </row>
        <row r="34">
          <cell r="B34" t="str">
            <v>Q0505001401A</v>
          </cell>
          <cell r="C34" t="str">
            <v>MOSFET-XP162(SOT89)</v>
          </cell>
          <cell r="D34" t="str">
            <v>F</v>
          </cell>
          <cell r="F34">
            <v>220</v>
          </cell>
          <cell r="G34" t="str">
            <v>KRW</v>
          </cell>
          <cell r="H34" t="str">
            <v>C22</v>
          </cell>
          <cell r="I34" t="str">
            <v>(주)아이에스티</v>
          </cell>
          <cell r="J34">
            <v>0</v>
          </cell>
        </row>
        <row r="35">
          <cell r="B35" t="str">
            <v>Q0506001101A</v>
          </cell>
          <cell r="C35" t="str">
            <v>CHIP TR-UMZ1N</v>
          </cell>
          <cell r="D35" t="str">
            <v>F</v>
          </cell>
          <cell r="F35">
            <v>48</v>
          </cell>
          <cell r="G35" t="str">
            <v>KRW</v>
          </cell>
          <cell r="H35" t="str">
            <v>C56</v>
          </cell>
          <cell r="I35" t="str">
            <v>(주)로옴전자코리</v>
          </cell>
          <cell r="J35">
            <v>0</v>
          </cell>
        </row>
        <row r="36">
          <cell r="B36" t="str">
            <v>Q0506001201A</v>
          </cell>
          <cell r="C36" t="str">
            <v>ARRAY VARISTOR-V18MLN41206L/AVNC18S06Q</v>
          </cell>
          <cell r="D36" t="str">
            <v>F</v>
          </cell>
          <cell r="F36">
            <v>0</v>
          </cell>
          <cell r="H36" t="str">
            <v>C22</v>
          </cell>
          <cell r="J36">
            <v>0</v>
          </cell>
        </row>
        <row r="37">
          <cell r="B37" t="str">
            <v>Q0506001301A</v>
          </cell>
          <cell r="C37" t="str">
            <v>VARISTOR-V0402MHS03</v>
          </cell>
          <cell r="D37" t="str">
            <v>F</v>
          </cell>
          <cell r="F37">
            <v>0</v>
          </cell>
          <cell r="J37">
            <v>0</v>
          </cell>
        </row>
        <row r="38">
          <cell r="B38" t="str">
            <v>Q0509000601A</v>
          </cell>
          <cell r="C38" t="str">
            <v>PHOTO TR-ST_1CL3H</v>
          </cell>
          <cell r="D38" t="str">
            <v>F</v>
          </cell>
          <cell r="F38">
            <v>215</v>
          </cell>
          <cell r="G38" t="str">
            <v>KRW</v>
          </cell>
          <cell r="H38" t="str">
            <v>C22</v>
          </cell>
          <cell r="I38" t="str">
            <v>(주)아이에스티</v>
          </cell>
          <cell r="J38">
            <v>0</v>
          </cell>
        </row>
        <row r="39">
          <cell r="B39" t="str">
            <v>Q0601002401A</v>
          </cell>
          <cell r="C39" t="str">
            <v>AF LED</v>
          </cell>
          <cell r="D39" t="str">
            <v>F</v>
          </cell>
          <cell r="F39">
            <v>66</v>
          </cell>
          <cell r="G39" t="str">
            <v>KRW</v>
          </cell>
          <cell r="H39" t="str">
            <v>C50</v>
          </cell>
          <cell r="I39" t="str">
            <v>(주)유니온</v>
          </cell>
          <cell r="J39">
            <v>0</v>
          </cell>
        </row>
        <row r="40">
          <cell r="B40" t="str">
            <v>Q0601002501A</v>
          </cell>
          <cell r="C40" t="str">
            <v>SB LED</v>
          </cell>
          <cell r="D40" t="str">
            <v>F</v>
          </cell>
          <cell r="F40">
            <v>5</v>
          </cell>
          <cell r="G40" t="str">
            <v>JPY</v>
          </cell>
          <cell r="H40" t="str">
            <v>C50</v>
          </cell>
          <cell r="I40" t="str">
            <v>STANLEY</v>
          </cell>
          <cell r="J40">
            <v>0</v>
          </cell>
        </row>
        <row r="41">
          <cell r="B41" t="str">
            <v>Q0601004301A</v>
          </cell>
          <cell r="C41" t="str">
            <v>SELF LED-WR3311_V</v>
          </cell>
          <cell r="D41" t="str">
            <v>F</v>
          </cell>
          <cell r="F41">
            <v>65</v>
          </cell>
          <cell r="G41" t="str">
            <v>KRW</v>
          </cell>
          <cell r="H41" t="str">
            <v>C22</v>
          </cell>
          <cell r="I41" t="str">
            <v>(주)아이에스티</v>
          </cell>
          <cell r="J41">
            <v>0</v>
          </cell>
        </row>
        <row r="42">
          <cell r="B42" t="str">
            <v>Q0604000701A</v>
          </cell>
          <cell r="C42" t="str">
            <v>CCD_ICX252AQF-DSC350SE</v>
          </cell>
          <cell r="D42" t="str">
            <v>F</v>
          </cell>
          <cell r="F42">
            <v>24.3</v>
          </cell>
          <cell r="G42" t="str">
            <v>USD</v>
          </cell>
          <cell r="H42" t="str">
            <v>C91</v>
          </cell>
          <cell r="I42" t="str">
            <v>한국유에스씨전자</v>
          </cell>
          <cell r="J42">
            <v>0</v>
          </cell>
        </row>
        <row r="43">
          <cell r="B43" t="str">
            <v>Q0611002801A</v>
          </cell>
          <cell r="C43" t="str">
            <v>XE TUBE-DSC350SE</v>
          </cell>
          <cell r="D43" t="str">
            <v>F</v>
          </cell>
          <cell r="F43">
            <v>0.34</v>
          </cell>
          <cell r="G43" t="str">
            <v>USD</v>
          </cell>
          <cell r="H43" t="str">
            <v>C26</v>
          </cell>
          <cell r="I43" t="str">
            <v>PERKINELMER OPTO</v>
          </cell>
          <cell r="J43">
            <v>0</v>
          </cell>
        </row>
        <row r="44">
          <cell r="B44" t="str">
            <v>Q0704007801A</v>
          </cell>
          <cell r="C44" t="str">
            <v>LCD DRIVER-DSC350SE</v>
          </cell>
          <cell r="D44" t="str">
            <v>F</v>
          </cell>
          <cell r="F44">
            <v>3.1</v>
          </cell>
          <cell r="G44" t="str">
            <v>USD</v>
          </cell>
          <cell r="H44" t="str">
            <v>C91</v>
          </cell>
          <cell r="I44" t="str">
            <v>한국유에스씨전자</v>
          </cell>
          <cell r="J44">
            <v>0</v>
          </cell>
        </row>
        <row r="45">
          <cell r="B45" t="str">
            <v>Q0704007901A</v>
          </cell>
          <cell r="C45" t="str">
            <v>TFT LCD-DSC350SE</v>
          </cell>
          <cell r="D45" t="str">
            <v>F</v>
          </cell>
          <cell r="F45">
            <v>2500</v>
          </cell>
          <cell r="G45" t="str">
            <v>JPY</v>
          </cell>
          <cell r="H45" t="str">
            <v>C91</v>
          </cell>
          <cell r="I45" t="str">
            <v>USC CORP.</v>
          </cell>
          <cell r="J45">
            <v>0</v>
          </cell>
        </row>
        <row r="46">
          <cell r="B46" t="str">
            <v>Q0803000401A</v>
          </cell>
          <cell r="C46" t="str">
            <v>NOT GATE-TC7S04FU-TE85R/KIC7S04FU-RTK</v>
          </cell>
          <cell r="D46" t="str">
            <v>F</v>
          </cell>
          <cell r="F46">
            <v>110</v>
          </cell>
          <cell r="G46" t="str">
            <v>KRW</v>
          </cell>
          <cell r="H46" t="str">
            <v>C26</v>
          </cell>
          <cell r="I46" t="str">
            <v>(주)케이이씨구미</v>
          </cell>
          <cell r="J46">
            <v>0</v>
          </cell>
        </row>
        <row r="47">
          <cell r="B47" t="str">
            <v>Q0803000501A</v>
          </cell>
          <cell r="C47" t="str">
            <v>AND GATE-TC7S08FU-TE85R/KIC7S08FU-RTK</v>
          </cell>
          <cell r="D47" t="str">
            <v>F</v>
          </cell>
          <cell r="F47">
            <v>0.06</v>
          </cell>
          <cell r="G47" t="str">
            <v>USD</v>
          </cell>
          <cell r="H47" t="str">
            <v>C26</v>
          </cell>
          <cell r="I47" t="str">
            <v>ST Microelectron</v>
          </cell>
          <cell r="J47">
            <v>0</v>
          </cell>
        </row>
        <row r="48">
          <cell r="B48" t="str">
            <v>Q0803000601A</v>
          </cell>
          <cell r="C48" t="str">
            <v>OR GATE-TC7S32FU-TE85R/KIC7W32FU-RTK</v>
          </cell>
          <cell r="D48" t="str">
            <v>F</v>
          </cell>
          <cell r="F48">
            <v>0.06</v>
          </cell>
          <cell r="G48" t="str">
            <v>USD</v>
          </cell>
          <cell r="H48" t="str">
            <v>C26</v>
          </cell>
          <cell r="I48" t="str">
            <v>ST Microelectron</v>
          </cell>
          <cell r="J48">
            <v>0</v>
          </cell>
        </row>
        <row r="49">
          <cell r="B49" t="str">
            <v>Q0803000701A</v>
          </cell>
          <cell r="C49" t="str">
            <v>DUAL OR GATE-TC7W32FU-TE12L/KIC7W32-T1</v>
          </cell>
          <cell r="D49" t="str">
            <v>F</v>
          </cell>
          <cell r="F49">
            <v>219</v>
          </cell>
          <cell r="G49" t="str">
            <v>KRW</v>
          </cell>
          <cell r="H49" t="str">
            <v>C56</v>
          </cell>
          <cell r="I49" t="str">
            <v>(주)케이이씨구미</v>
          </cell>
          <cell r="J49">
            <v>0</v>
          </cell>
        </row>
        <row r="50">
          <cell r="B50" t="str">
            <v>Q0803000801A</v>
          </cell>
          <cell r="C50" t="str">
            <v>AND GATE-KIC7W08FU</v>
          </cell>
          <cell r="D50" t="str">
            <v>F</v>
          </cell>
          <cell r="F50">
            <v>0</v>
          </cell>
          <cell r="H50" t="str">
            <v>C22</v>
          </cell>
          <cell r="J50">
            <v>0</v>
          </cell>
        </row>
        <row r="51">
          <cell r="B51" t="str">
            <v>Q0803000901A</v>
          </cell>
          <cell r="C51" t="str">
            <v>NOT GATE-KIC7W04FU(SM8)</v>
          </cell>
          <cell r="D51" t="str">
            <v>F</v>
          </cell>
          <cell r="F51">
            <v>0</v>
          </cell>
          <cell r="H51" t="str">
            <v>C22</v>
          </cell>
          <cell r="J51">
            <v>0</v>
          </cell>
        </row>
        <row r="52">
          <cell r="B52" t="str">
            <v>Q0809001201A</v>
          </cell>
          <cell r="C52" t="str">
            <v>BUS TRANCEIVER-74LVC245APW</v>
          </cell>
          <cell r="D52" t="str">
            <v>F</v>
          </cell>
          <cell r="F52">
            <v>0.19</v>
          </cell>
          <cell r="G52" t="str">
            <v>USD</v>
          </cell>
          <cell r="H52" t="str">
            <v>V02</v>
          </cell>
          <cell r="I52" t="str">
            <v>Philips Electron</v>
          </cell>
          <cell r="J52">
            <v>0</v>
          </cell>
        </row>
        <row r="53">
          <cell r="B53" t="str">
            <v>Q0809001401A</v>
          </cell>
          <cell r="C53" t="str">
            <v>ESD SUPRESSORS-DIGIMAX220SE</v>
          </cell>
          <cell r="D53" t="str">
            <v>F</v>
          </cell>
          <cell r="F53">
            <v>53</v>
          </cell>
          <cell r="G53" t="str">
            <v>KRW</v>
          </cell>
          <cell r="H53" t="str">
            <v>C22</v>
          </cell>
          <cell r="I53" t="str">
            <v>삼주리틀휴즈(주)</v>
          </cell>
          <cell r="J53">
            <v>0</v>
          </cell>
        </row>
        <row r="54">
          <cell r="B54" t="str">
            <v>Q0809001701A</v>
          </cell>
          <cell r="C54" t="str">
            <v>ESD SUPRESSORS-DIGIMAX220SE</v>
          </cell>
          <cell r="D54" t="str">
            <v>F</v>
          </cell>
          <cell r="F54">
            <v>0.13</v>
          </cell>
          <cell r="G54" t="str">
            <v>USD</v>
          </cell>
          <cell r="H54" t="str">
            <v>C26</v>
          </cell>
          <cell r="I54" t="str">
            <v>ST Microelectron</v>
          </cell>
          <cell r="J54">
            <v>0</v>
          </cell>
        </row>
        <row r="55">
          <cell r="B55" t="str">
            <v>Q0809001801A</v>
          </cell>
          <cell r="C55" t="str">
            <v>ESD SUPRESSORS-DSC350SE</v>
          </cell>
          <cell r="D55" t="str">
            <v>F</v>
          </cell>
          <cell r="F55">
            <v>0</v>
          </cell>
          <cell r="J55">
            <v>0</v>
          </cell>
        </row>
        <row r="56">
          <cell r="B56" t="str">
            <v>Q0902006001A</v>
          </cell>
          <cell r="C56" t="str">
            <v>MICROCONTROLLER-DSC350SE</v>
          </cell>
          <cell r="D56" t="str">
            <v>F</v>
          </cell>
          <cell r="F56">
            <v>0</v>
          </cell>
          <cell r="H56" t="str">
            <v>C22</v>
          </cell>
          <cell r="J56">
            <v>0</v>
          </cell>
        </row>
        <row r="57">
          <cell r="B57" t="str">
            <v>Q0902006101A</v>
          </cell>
          <cell r="C57" t="str">
            <v>COACH-LC(ZR36420BGC)</v>
          </cell>
          <cell r="D57" t="str">
            <v>F</v>
          </cell>
          <cell r="F57">
            <v>11.5</v>
          </cell>
          <cell r="G57" t="str">
            <v>USD</v>
          </cell>
          <cell r="H57" t="str">
            <v>C26</v>
          </cell>
          <cell r="I57" t="str">
            <v>FM COM</v>
          </cell>
          <cell r="J57">
            <v>0</v>
          </cell>
        </row>
        <row r="58">
          <cell r="B58" t="str">
            <v>Q0909000901A</v>
          </cell>
          <cell r="C58" t="str">
            <v>CDS &amp; ADC_CXD3406GA-DSE350SE</v>
          </cell>
          <cell r="D58" t="str">
            <v>F</v>
          </cell>
          <cell r="F58">
            <v>4.3</v>
          </cell>
          <cell r="G58" t="str">
            <v>USD</v>
          </cell>
          <cell r="H58" t="str">
            <v>C91</v>
          </cell>
          <cell r="I58" t="str">
            <v>한국유에스씨전자</v>
          </cell>
          <cell r="J58">
            <v>0</v>
          </cell>
        </row>
        <row r="59">
          <cell r="B59" t="str">
            <v>Q0958905801A</v>
          </cell>
          <cell r="C59" t="str">
            <v>FRONT TAPE-A[양면접착테이퍼]</v>
          </cell>
          <cell r="D59" t="str">
            <v>F</v>
          </cell>
          <cell r="F59">
            <v>4</v>
          </cell>
          <cell r="G59" t="str">
            <v>KRW</v>
          </cell>
          <cell r="H59" t="str">
            <v>C57</v>
          </cell>
          <cell r="I59" t="str">
            <v>제일산업</v>
          </cell>
          <cell r="J59">
            <v>0</v>
          </cell>
        </row>
        <row r="60">
          <cell r="B60" t="str">
            <v>Q0958905901A</v>
          </cell>
          <cell r="C60" t="str">
            <v>FRONT TAPE-B[양면접착테이퍼]</v>
          </cell>
          <cell r="D60" t="str">
            <v>F</v>
          </cell>
          <cell r="F60">
            <v>4</v>
          </cell>
          <cell r="G60" t="str">
            <v>KRW</v>
          </cell>
          <cell r="H60" t="str">
            <v>C57</v>
          </cell>
          <cell r="I60" t="str">
            <v>제일산업</v>
          </cell>
          <cell r="J60">
            <v>0</v>
          </cell>
        </row>
        <row r="61">
          <cell r="B61" t="str">
            <v>Q0961214301A</v>
          </cell>
          <cell r="C61" t="str">
            <v>BOND TAPE-A[3X SLIM ZOOM]</v>
          </cell>
          <cell r="D61" t="str">
            <v>F</v>
          </cell>
          <cell r="F61">
            <v>2</v>
          </cell>
          <cell r="G61" t="str">
            <v>KRW</v>
          </cell>
          <cell r="H61" t="str">
            <v>C57</v>
          </cell>
          <cell r="I61" t="str">
            <v>제일산업</v>
          </cell>
          <cell r="J61">
            <v>0</v>
          </cell>
        </row>
        <row r="62">
          <cell r="B62" t="str">
            <v>Q0980108501A</v>
          </cell>
          <cell r="C62" t="str">
            <v>REASE SPRING</v>
          </cell>
          <cell r="D62" t="str">
            <v>F</v>
          </cell>
          <cell r="F62">
            <v>10</v>
          </cell>
          <cell r="G62" t="str">
            <v>KRW</v>
          </cell>
          <cell r="H62" t="str">
            <v>C80</v>
          </cell>
          <cell r="I62" t="str">
            <v>삼현(주)</v>
          </cell>
          <cell r="J62">
            <v>0</v>
          </cell>
        </row>
        <row r="63">
          <cell r="B63" t="str">
            <v>Q0992460601A</v>
          </cell>
          <cell r="C63" t="str">
            <v>TRIG TRANS[TSZ-45LS(UNION)4.9*6.0.BU]</v>
          </cell>
          <cell r="D63" t="str">
            <v>F</v>
          </cell>
          <cell r="F63">
            <v>95</v>
          </cell>
          <cell r="G63" t="str">
            <v>KRW</v>
          </cell>
          <cell r="H63" t="str">
            <v>C53</v>
          </cell>
          <cell r="I63" t="str">
            <v>(주)유니온</v>
          </cell>
          <cell r="J63">
            <v>0</v>
          </cell>
        </row>
        <row r="64">
          <cell r="B64" t="str">
            <v>Q1003001601A</v>
          </cell>
          <cell r="C64" t="str">
            <v>SHUTTER DRIVER-DSC350SE</v>
          </cell>
          <cell r="D64" t="str">
            <v>F</v>
          </cell>
          <cell r="F64">
            <v>79</v>
          </cell>
          <cell r="G64" t="str">
            <v>JPY</v>
          </cell>
          <cell r="I64" t="str">
            <v>NIDEC COPAL CORP</v>
          </cell>
          <cell r="J64">
            <v>0</v>
          </cell>
        </row>
        <row r="65">
          <cell r="B65" t="str">
            <v>Q1003001701A</v>
          </cell>
          <cell r="C65" t="str">
            <v>MOTOR DRIVER-BH6573FV(TSSOP-24)</v>
          </cell>
          <cell r="D65" t="str">
            <v>F</v>
          </cell>
          <cell r="F65">
            <v>0</v>
          </cell>
          <cell r="H65" t="str">
            <v>C22</v>
          </cell>
          <cell r="J65">
            <v>0</v>
          </cell>
        </row>
        <row r="66">
          <cell r="B66" t="str">
            <v>Q1009000701A</v>
          </cell>
          <cell r="C66" t="str">
            <v>RTC CONTROLLER-RTC-8564(VSOJ-20)[RTC M</v>
          </cell>
          <cell r="D66" t="str">
            <v>F</v>
          </cell>
          <cell r="F66">
            <v>120</v>
          </cell>
          <cell r="G66" t="str">
            <v>JPY</v>
          </cell>
          <cell r="H66" t="str">
            <v>C50</v>
          </cell>
          <cell r="I66" t="str">
            <v>SEIKO EPSON IND</v>
          </cell>
          <cell r="J66">
            <v>0</v>
          </cell>
        </row>
        <row r="67">
          <cell r="B67" t="str">
            <v>Q1009000901A</v>
          </cell>
          <cell r="C67" t="str">
            <v>PWM CONTROLER-BD9731</v>
          </cell>
          <cell r="D67" t="str">
            <v>F</v>
          </cell>
          <cell r="F67">
            <v>2000</v>
          </cell>
          <cell r="G67" t="str">
            <v>KRW</v>
          </cell>
          <cell r="H67" t="str">
            <v>C22</v>
          </cell>
          <cell r="I67" t="str">
            <v>(주)로옴전자코리</v>
          </cell>
          <cell r="J67">
            <v>0</v>
          </cell>
        </row>
        <row r="68">
          <cell r="B68" t="str">
            <v>Q1103001901A</v>
          </cell>
          <cell r="C68" t="str">
            <v>SERIAL EEPROM-DSC350SE</v>
          </cell>
          <cell r="D68" t="str">
            <v>F</v>
          </cell>
          <cell r="F68">
            <v>0.14000000000000001</v>
          </cell>
          <cell r="G68" t="str">
            <v>USD</v>
          </cell>
          <cell r="H68" t="str">
            <v>C26</v>
          </cell>
          <cell r="I68" t="str">
            <v>ST Microelectron</v>
          </cell>
          <cell r="J68">
            <v>0</v>
          </cell>
        </row>
        <row r="69">
          <cell r="B69" t="str">
            <v>Q1106000401A</v>
          </cell>
          <cell r="C69" t="str">
            <v>SDRAM-K4S641633D-GN96</v>
          </cell>
          <cell r="D69" t="str">
            <v>F</v>
          </cell>
          <cell r="F69">
            <v>5850</v>
          </cell>
          <cell r="G69" t="str">
            <v>KRW</v>
          </cell>
          <cell r="I69" t="str">
            <v>삼테크(주)</v>
          </cell>
          <cell r="J69">
            <v>0</v>
          </cell>
        </row>
        <row r="70">
          <cell r="B70" t="str">
            <v>Q1107001201A</v>
          </cell>
          <cell r="C70" t="str">
            <v>FLASH MEMORY(MX29LV800TXBC-90)</v>
          </cell>
          <cell r="D70" t="str">
            <v>F</v>
          </cell>
          <cell r="F70">
            <v>0</v>
          </cell>
          <cell r="H70" t="str">
            <v>C26</v>
          </cell>
          <cell r="J70">
            <v>0</v>
          </cell>
        </row>
        <row r="71">
          <cell r="B71" t="str">
            <v>Q1107001501A</v>
          </cell>
          <cell r="C71" t="str">
            <v>CF CARD_16MB-DSC350SE</v>
          </cell>
          <cell r="D71" t="str">
            <v>F</v>
          </cell>
          <cell r="F71">
            <v>11.46</v>
          </cell>
          <cell r="G71" t="str">
            <v>USD</v>
          </cell>
          <cell r="H71" t="str">
            <v>C26</v>
          </cell>
          <cell r="I71" t="str">
            <v>SANDISk CORPORAT</v>
          </cell>
          <cell r="J71">
            <v>0</v>
          </cell>
        </row>
        <row r="72">
          <cell r="B72" t="str">
            <v>Q1201000601A</v>
          </cell>
          <cell r="C72" t="str">
            <v>VIDEO OP AMP-TSH70(SOT23-5)/LM7131ACM</v>
          </cell>
          <cell r="D72" t="str">
            <v>F</v>
          </cell>
          <cell r="F72">
            <v>0.4</v>
          </cell>
          <cell r="G72" t="str">
            <v>USD</v>
          </cell>
          <cell r="H72" t="str">
            <v>C26</v>
          </cell>
          <cell r="I72" t="str">
            <v>내셔널세미콘넥타</v>
          </cell>
          <cell r="J72">
            <v>0</v>
          </cell>
        </row>
        <row r="73">
          <cell r="B73" t="str">
            <v>Q1201000701A</v>
          </cell>
          <cell r="C73" t="str">
            <v>MIC AMP-NJM2110V(SSOP-8)</v>
          </cell>
          <cell r="D73" t="str">
            <v>F</v>
          </cell>
          <cell r="F73">
            <v>0</v>
          </cell>
          <cell r="H73" t="str">
            <v>C22</v>
          </cell>
          <cell r="J73">
            <v>0</v>
          </cell>
        </row>
        <row r="74">
          <cell r="B74" t="str">
            <v>Q1202000401A</v>
          </cell>
          <cell r="C74" t="str">
            <v>COMPARATORS-DSC350SE</v>
          </cell>
          <cell r="D74" t="str">
            <v>F</v>
          </cell>
          <cell r="F74">
            <v>0.17</v>
          </cell>
          <cell r="G74" t="str">
            <v>USD</v>
          </cell>
          <cell r="H74" t="str">
            <v>C26</v>
          </cell>
          <cell r="I74" t="str">
            <v>ST Microelectron</v>
          </cell>
          <cell r="J74">
            <v>0</v>
          </cell>
        </row>
        <row r="75">
          <cell r="B75" t="str">
            <v>Q1203001301A</v>
          </cell>
          <cell r="C75" t="str">
            <v>REGULATOR-AAT 3220IGY-3.3-T1(SOT23-3)</v>
          </cell>
          <cell r="D75" t="str">
            <v>F</v>
          </cell>
          <cell r="F75">
            <v>0.11</v>
          </cell>
          <cell r="G75" t="str">
            <v>USD</v>
          </cell>
          <cell r="H75" t="str">
            <v>C63</v>
          </cell>
          <cell r="I75" t="str">
            <v>Advanced Analogi</v>
          </cell>
          <cell r="J75">
            <v>0</v>
          </cell>
        </row>
        <row r="76">
          <cell r="B76" t="str">
            <v>Q1203001801A</v>
          </cell>
          <cell r="C76" t="str">
            <v>SWITCHING REGURATOR-DSC350SE</v>
          </cell>
          <cell r="D76" t="str">
            <v>F</v>
          </cell>
          <cell r="F76">
            <v>0.79</v>
          </cell>
          <cell r="G76" t="str">
            <v>USD</v>
          </cell>
          <cell r="H76" t="str">
            <v>C26</v>
          </cell>
          <cell r="I76" t="str">
            <v>LINEAR TECHNOLOG</v>
          </cell>
          <cell r="J76">
            <v>0</v>
          </cell>
        </row>
        <row r="77">
          <cell r="B77" t="str">
            <v>Q1203001901A</v>
          </cell>
          <cell r="C77" t="str">
            <v>SWITCHING REGURATOR-XC9301</v>
          </cell>
          <cell r="D77" t="str">
            <v>F</v>
          </cell>
          <cell r="F77">
            <v>550</v>
          </cell>
          <cell r="G77" t="str">
            <v>KRW</v>
          </cell>
          <cell r="H77" t="str">
            <v>C22</v>
          </cell>
          <cell r="I77" t="str">
            <v>(주)아이에스티</v>
          </cell>
          <cell r="J77">
            <v>0</v>
          </cell>
        </row>
        <row r="78">
          <cell r="B78" t="str">
            <v>Q1203002001A</v>
          </cell>
          <cell r="C78" t="str">
            <v>VOLTAGE REGULATOR-XC62HR3002(SOT89-5)</v>
          </cell>
          <cell r="D78" t="str">
            <v>F</v>
          </cell>
          <cell r="F78">
            <v>280</v>
          </cell>
          <cell r="G78" t="str">
            <v>KRW</v>
          </cell>
          <cell r="H78" t="str">
            <v>C22</v>
          </cell>
          <cell r="I78" t="str">
            <v>(주)아이에스티</v>
          </cell>
          <cell r="J78">
            <v>0</v>
          </cell>
        </row>
        <row r="79">
          <cell r="B79" t="str">
            <v>Q1208001701A</v>
          </cell>
          <cell r="C79" t="str">
            <v>VOLTAGE DETECTOR-DSC350SE</v>
          </cell>
          <cell r="D79" t="str">
            <v>F</v>
          </cell>
          <cell r="F79">
            <v>0</v>
          </cell>
          <cell r="H79" t="str">
            <v>C26</v>
          </cell>
          <cell r="J79">
            <v>0</v>
          </cell>
        </row>
        <row r="80">
          <cell r="B80" t="str">
            <v>Q1407000401A</v>
          </cell>
          <cell r="C80" t="str">
            <v>IGBT-CY25AAJ-8F DSC350SE</v>
          </cell>
          <cell r="D80" t="str">
            <v>F</v>
          </cell>
          <cell r="F80">
            <v>90</v>
          </cell>
          <cell r="G80" t="str">
            <v>JPY</v>
          </cell>
          <cell r="H80" t="str">
            <v>C26</v>
          </cell>
          <cell r="I80" t="str">
            <v>SETSUYO TRADING</v>
          </cell>
          <cell r="J80">
            <v>0</v>
          </cell>
        </row>
        <row r="81">
          <cell r="B81" t="str">
            <v>Q2007001901A</v>
          </cell>
          <cell r="C81" t="str">
            <v>CHIP RESISTOR[47K옴(R7:1608)]</v>
          </cell>
          <cell r="D81" t="str">
            <v>F</v>
          </cell>
          <cell r="F81">
            <v>3</v>
          </cell>
          <cell r="G81" t="str">
            <v>KRW</v>
          </cell>
          <cell r="H81" t="str">
            <v>C56</v>
          </cell>
          <cell r="I81" t="str">
            <v>삼성전기(주)영업</v>
          </cell>
          <cell r="J81">
            <v>0</v>
          </cell>
        </row>
        <row r="82">
          <cell r="B82" t="str">
            <v>Q2007012201A</v>
          </cell>
          <cell r="C82" t="str">
            <v>CHIP RESISTOR[RC1608J101CS]</v>
          </cell>
          <cell r="D82" t="str">
            <v>F</v>
          </cell>
          <cell r="F82">
            <v>3</v>
          </cell>
          <cell r="G82" t="str">
            <v>KRW</v>
          </cell>
          <cell r="H82" t="str">
            <v>C56</v>
          </cell>
          <cell r="I82" t="str">
            <v>삼성전기(주)영업</v>
          </cell>
          <cell r="J82">
            <v>0</v>
          </cell>
        </row>
        <row r="83">
          <cell r="B83" t="str">
            <v>Q2007012301A</v>
          </cell>
          <cell r="C83" t="str">
            <v>CHIP RESISTOR[RC1608J105CS]</v>
          </cell>
          <cell r="D83" t="str">
            <v>F</v>
          </cell>
          <cell r="F83">
            <v>3</v>
          </cell>
          <cell r="G83" t="str">
            <v>KRW</v>
          </cell>
          <cell r="H83" t="str">
            <v>C56</v>
          </cell>
          <cell r="I83" t="str">
            <v>삼성전기(주)영업</v>
          </cell>
          <cell r="J83">
            <v>0</v>
          </cell>
        </row>
        <row r="84">
          <cell r="B84" t="str">
            <v>Q2007012401A</v>
          </cell>
          <cell r="C84" t="str">
            <v>CHIP RESISTOR[RC1608J333CS]</v>
          </cell>
          <cell r="D84" t="str">
            <v>F</v>
          </cell>
          <cell r="F84">
            <v>3</v>
          </cell>
          <cell r="G84" t="str">
            <v>KRW</v>
          </cell>
          <cell r="H84" t="str">
            <v>C56</v>
          </cell>
          <cell r="I84" t="str">
            <v>삼성전기(주)영업</v>
          </cell>
          <cell r="J84">
            <v>0</v>
          </cell>
        </row>
        <row r="85">
          <cell r="B85" t="str">
            <v>Q2007013401A</v>
          </cell>
          <cell r="C85" t="str">
            <v>CHIP RESISTOR[RC1608J205CS.(REEL)]</v>
          </cell>
          <cell r="D85" t="str">
            <v>F</v>
          </cell>
          <cell r="F85">
            <v>3</v>
          </cell>
          <cell r="G85" t="str">
            <v>KRW</v>
          </cell>
          <cell r="H85" t="str">
            <v>C56</v>
          </cell>
          <cell r="I85" t="str">
            <v>삼성전기(주)영업</v>
          </cell>
          <cell r="J85">
            <v>0</v>
          </cell>
        </row>
        <row r="86">
          <cell r="B86" t="str">
            <v>Q2007014901A</v>
          </cell>
          <cell r="C86" t="str">
            <v>CHIP RESISTOR</v>
          </cell>
          <cell r="D86" t="str">
            <v>F</v>
          </cell>
          <cell r="F86">
            <v>3</v>
          </cell>
          <cell r="G86" t="str">
            <v>KRW</v>
          </cell>
          <cell r="H86" t="str">
            <v>C56</v>
          </cell>
          <cell r="I86" t="str">
            <v>삼성전기(주)영업</v>
          </cell>
          <cell r="J86">
            <v>0</v>
          </cell>
        </row>
        <row r="87">
          <cell r="B87" t="str">
            <v>Q2007015201A</v>
          </cell>
          <cell r="C87" t="str">
            <v>CHIP RESISTOR[RC1608J222CS.(REEL)]</v>
          </cell>
          <cell r="D87" t="str">
            <v>F</v>
          </cell>
          <cell r="F87">
            <v>2</v>
          </cell>
          <cell r="G87" t="str">
            <v>KRW</v>
          </cell>
          <cell r="H87" t="str">
            <v>C56</v>
          </cell>
          <cell r="I87" t="str">
            <v>델타코퍼레이션</v>
          </cell>
          <cell r="J87">
            <v>0</v>
          </cell>
        </row>
        <row r="88">
          <cell r="B88" t="str">
            <v>Q2007015301A</v>
          </cell>
          <cell r="C88" t="str">
            <v>CHIP RESISTOR[RC1608J223CS.(REEL)]</v>
          </cell>
          <cell r="D88" t="str">
            <v>F</v>
          </cell>
          <cell r="F88">
            <v>3</v>
          </cell>
          <cell r="G88" t="str">
            <v>KRW</v>
          </cell>
          <cell r="H88" t="str">
            <v>C56</v>
          </cell>
          <cell r="I88" t="str">
            <v>삼성전기(주)영업</v>
          </cell>
          <cell r="J88">
            <v>0</v>
          </cell>
        </row>
        <row r="89">
          <cell r="B89" t="str">
            <v>Q2007015501A</v>
          </cell>
          <cell r="C89" t="str">
            <v>CHIP RESISTOR[RC1608J303CS.(REEL)]</v>
          </cell>
          <cell r="D89" t="str">
            <v>F</v>
          </cell>
          <cell r="F89">
            <v>3</v>
          </cell>
          <cell r="G89" t="str">
            <v>KRW</v>
          </cell>
          <cell r="H89" t="str">
            <v>C56</v>
          </cell>
          <cell r="I89" t="str">
            <v>삼성전기(주)영업</v>
          </cell>
          <cell r="J89">
            <v>0</v>
          </cell>
        </row>
        <row r="90">
          <cell r="B90" t="str">
            <v>Q2007016301A</v>
          </cell>
          <cell r="C90" t="str">
            <v>CHIP RESISTOR[RC1608J821CS.(REEL)]</v>
          </cell>
          <cell r="D90" t="str">
            <v>F</v>
          </cell>
          <cell r="F90">
            <v>2</v>
          </cell>
          <cell r="G90" t="str">
            <v>KRW</v>
          </cell>
          <cell r="H90" t="str">
            <v>C56</v>
          </cell>
          <cell r="I90" t="str">
            <v>삼성전기(주)영업</v>
          </cell>
          <cell r="J90">
            <v>0</v>
          </cell>
        </row>
        <row r="91">
          <cell r="B91" t="str">
            <v>Q2007016901A</v>
          </cell>
          <cell r="C91" t="str">
            <v>CHIP RESISTOR</v>
          </cell>
          <cell r="D91" t="str">
            <v>F</v>
          </cell>
          <cell r="F91">
            <v>3</v>
          </cell>
          <cell r="G91" t="str">
            <v>KRW</v>
          </cell>
          <cell r="H91" t="str">
            <v>C56</v>
          </cell>
          <cell r="I91" t="str">
            <v>삼성전기(주)영업</v>
          </cell>
          <cell r="J91">
            <v>0</v>
          </cell>
        </row>
        <row r="92">
          <cell r="B92" t="str">
            <v>Q2007017501A</v>
          </cell>
          <cell r="C92" t="str">
            <v>CHIP RESISTOR[RC1608J102CS]</v>
          </cell>
          <cell r="D92" t="str">
            <v>F</v>
          </cell>
          <cell r="F92">
            <v>3</v>
          </cell>
          <cell r="G92" t="str">
            <v>KRW</v>
          </cell>
          <cell r="H92" t="str">
            <v>C56</v>
          </cell>
          <cell r="I92" t="str">
            <v>삼성전기(주)영업</v>
          </cell>
          <cell r="J92">
            <v>0</v>
          </cell>
        </row>
        <row r="93">
          <cell r="B93" t="str">
            <v>Q2007019801A</v>
          </cell>
          <cell r="C93" t="str">
            <v>CHIP RESISTOR[RC1608J151CS]</v>
          </cell>
          <cell r="D93" t="str">
            <v>F</v>
          </cell>
          <cell r="F93">
            <v>3</v>
          </cell>
          <cell r="G93" t="str">
            <v>KRW</v>
          </cell>
          <cell r="H93" t="str">
            <v>C56</v>
          </cell>
          <cell r="I93" t="str">
            <v>삼성전기(주)영업</v>
          </cell>
          <cell r="J93">
            <v>0</v>
          </cell>
        </row>
        <row r="94">
          <cell r="B94" t="str">
            <v>Q2007031401A</v>
          </cell>
          <cell r="C94" t="str">
            <v>CHIP RESISTOR-RC1608J000CS</v>
          </cell>
          <cell r="D94" t="str">
            <v>F</v>
          </cell>
          <cell r="F94">
            <v>3</v>
          </cell>
          <cell r="G94" t="str">
            <v>KRW</v>
          </cell>
          <cell r="H94" t="str">
            <v>C56</v>
          </cell>
          <cell r="I94" t="str">
            <v>삼성전기(주)영업</v>
          </cell>
          <cell r="J94">
            <v>0</v>
          </cell>
        </row>
        <row r="95">
          <cell r="B95" t="str">
            <v>Q2007031501A</v>
          </cell>
          <cell r="C95" t="str">
            <v>CHIP RESISTOR-RC1608J100CS</v>
          </cell>
          <cell r="D95" t="str">
            <v>F</v>
          </cell>
          <cell r="F95">
            <v>3</v>
          </cell>
          <cell r="G95" t="str">
            <v>KRW</v>
          </cell>
          <cell r="H95" t="str">
            <v>C56</v>
          </cell>
          <cell r="I95" t="str">
            <v>삼성전기(주)영업</v>
          </cell>
          <cell r="J95">
            <v>0</v>
          </cell>
        </row>
        <row r="96">
          <cell r="B96" t="str">
            <v>Q2007031601A</v>
          </cell>
          <cell r="C96" t="str">
            <v>CHIP RESISTOR-RC1608J103CS</v>
          </cell>
          <cell r="D96" t="str">
            <v>F</v>
          </cell>
          <cell r="F96">
            <v>3</v>
          </cell>
          <cell r="G96" t="str">
            <v>KRW</v>
          </cell>
          <cell r="H96" t="str">
            <v>C56</v>
          </cell>
          <cell r="I96" t="str">
            <v>삼성전기(주)영업</v>
          </cell>
          <cell r="J96">
            <v>0</v>
          </cell>
        </row>
        <row r="97">
          <cell r="B97" t="str">
            <v>Q2007032801A</v>
          </cell>
          <cell r="C97" t="str">
            <v>CHIP RESISTOR-RC1608J332CS</v>
          </cell>
          <cell r="D97" t="str">
            <v>F</v>
          </cell>
          <cell r="F97">
            <v>3</v>
          </cell>
          <cell r="G97" t="str">
            <v>KRW</v>
          </cell>
          <cell r="H97" t="str">
            <v>C56</v>
          </cell>
          <cell r="I97" t="str">
            <v>삼성전기(주)영업</v>
          </cell>
          <cell r="J97">
            <v>0</v>
          </cell>
        </row>
        <row r="98">
          <cell r="B98" t="str">
            <v>Q2007034301A</v>
          </cell>
          <cell r="C98" t="str">
            <v>CHIP RESISTOR ARRAY-MNR14P2ABJ101</v>
          </cell>
          <cell r="D98" t="str">
            <v>F</v>
          </cell>
          <cell r="F98">
            <v>14</v>
          </cell>
          <cell r="G98" t="str">
            <v>KRW</v>
          </cell>
          <cell r="H98" t="str">
            <v>C56</v>
          </cell>
          <cell r="I98" t="str">
            <v>(주)로옴전자코리</v>
          </cell>
          <cell r="J98">
            <v>0</v>
          </cell>
        </row>
        <row r="99">
          <cell r="B99" t="str">
            <v>Q2007035101A</v>
          </cell>
          <cell r="C99" t="str">
            <v>CHIP RESISTOR-OR(1005)</v>
          </cell>
          <cell r="D99" t="str">
            <v>F</v>
          </cell>
          <cell r="F99">
            <v>3</v>
          </cell>
          <cell r="G99" t="str">
            <v>KRW</v>
          </cell>
          <cell r="H99" t="str">
            <v>C56</v>
          </cell>
          <cell r="I99" t="str">
            <v>델타코퍼레이션</v>
          </cell>
          <cell r="J99">
            <v>0</v>
          </cell>
        </row>
        <row r="100">
          <cell r="B100" t="str">
            <v>Q2007035301A</v>
          </cell>
          <cell r="C100" t="str">
            <v>CHIP RESISTOR-100K(1005)</v>
          </cell>
          <cell r="D100" t="str">
            <v>F</v>
          </cell>
          <cell r="F100">
            <v>3</v>
          </cell>
          <cell r="G100" t="str">
            <v>KRW</v>
          </cell>
          <cell r="H100" t="str">
            <v>C56</v>
          </cell>
          <cell r="I100" t="str">
            <v>델타코퍼레이션</v>
          </cell>
          <cell r="J100">
            <v>0</v>
          </cell>
        </row>
        <row r="101">
          <cell r="B101" t="str">
            <v>Q2007035401A</v>
          </cell>
          <cell r="C101" t="str">
            <v>CHIP RESISTOR-100R(1005)</v>
          </cell>
          <cell r="D101" t="str">
            <v>F</v>
          </cell>
          <cell r="F101">
            <v>3</v>
          </cell>
          <cell r="G101" t="str">
            <v>KRW</v>
          </cell>
          <cell r="H101" t="str">
            <v>C56</v>
          </cell>
          <cell r="I101" t="str">
            <v>델타코퍼레이션</v>
          </cell>
          <cell r="J101">
            <v>0</v>
          </cell>
        </row>
        <row r="102">
          <cell r="B102" t="str">
            <v>Q2007035501A</v>
          </cell>
          <cell r="C102" t="str">
            <v>CHIP RESISTOR-10K(1005)</v>
          </cell>
          <cell r="D102" t="str">
            <v>F</v>
          </cell>
          <cell r="F102">
            <v>3</v>
          </cell>
          <cell r="G102" t="str">
            <v>KRW</v>
          </cell>
          <cell r="H102" t="str">
            <v>C22</v>
          </cell>
          <cell r="I102" t="str">
            <v>델타코퍼레이션</v>
          </cell>
          <cell r="J102">
            <v>0</v>
          </cell>
        </row>
        <row r="103">
          <cell r="B103" t="str">
            <v>Q2007035701A</v>
          </cell>
          <cell r="C103" t="str">
            <v>CHIP RESISTOR-1K(1005)</v>
          </cell>
          <cell r="D103" t="str">
            <v>F</v>
          </cell>
          <cell r="F103">
            <v>3</v>
          </cell>
          <cell r="G103" t="str">
            <v>KRW</v>
          </cell>
          <cell r="H103" t="str">
            <v>C22</v>
          </cell>
          <cell r="I103" t="str">
            <v>델타코퍼레이션</v>
          </cell>
          <cell r="J103">
            <v>0</v>
          </cell>
        </row>
        <row r="104">
          <cell r="B104" t="str">
            <v>Q2007035801A</v>
          </cell>
          <cell r="C104" t="str">
            <v>CHIP RESISTOR-1K5(1005)</v>
          </cell>
          <cell r="D104" t="str">
            <v>F</v>
          </cell>
          <cell r="F104">
            <v>3</v>
          </cell>
          <cell r="G104" t="str">
            <v>KRW</v>
          </cell>
          <cell r="H104" t="str">
            <v>C22</v>
          </cell>
          <cell r="I104" t="str">
            <v>델타코퍼레이션</v>
          </cell>
          <cell r="J104">
            <v>0</v>
          </cell>
        </row>
        <row r="105">
          <cell r="B105" t="str">
            <v>Q2007036001A</v>
          </cell>
          <cell r="C105" t="str">
            <v>CHIP RESISTOR-200R(1005)</v>
          </cell>
          <cell r="D105" t="str">
            <v>F</v>
          </cell>
          <cell r="F105">
            <v>3</v>
          </cell>
          <cell r="G105" t="str">
            <v>KRW</v>
          </cell>
          <cell r="H105" t="str">
            <v>C22</v>
          </cell>
          <cell r="I105" t="str">
            <v>델타코퍼레이션</v>
          </cell>
          <cell r="J105">
            <v>0</v>
          </cell>
        </row>
        <row r="106">
          <cell r="B106" t="str">
            <v>Q2007036201A</v>
          </cell>
          <cell r="C106" t="str">
            <v>CHIP RESISTOR-24K(1005)</v>
          </cell>
          <cell r="D106" t="str">
            <v>F</v>
          </cell>
          <cell r="F106">
            <v>3</v>
          </cell>
          <cell r="G106" t="str">
            <v>KRW</v>
          </cell>
          <cell r="H106" t="str">
            <v>C22</v>
          </cell>
          <cell r="I106" t="str">
            <v>삼성전기(주)영업</v>
          </cell>
          <cell r="J106">
            <v>0</v>
          </cell>
        </row>
        <row r="107">
          <cell r="B107" t="str">
            <v>Q2007036501A</v>
          </cell>
          <cell r="C107" t="str">
            <v>CHIP RESISTOR-33K(1005)</v>
          </cell>
          <cell r="D107" t="str">
            <v>F</v>
          </cell>
          <cell r="F107">
            <v>3</v>
          </cell>
          <cell r="G107" t="str">
            <v>KRW</v>
          </cell>
          <cell r="H107" t="str">
            <v>C22</v>
          </cell>
          <cell r="I107" t="str">
            <v>삼성전기(주)영업</v>
          </cell>
          <cell r="J107">
            <v>0</v>
          </cell>
        </row>
        <row r="108">
          <cell r="B108" t="str">
            <v>Q2007036701A</v>
          </cell>
          <cell r="C108" t="str">
            <v>CHIP RESISTOR-47K(1005)</v>
          </cell>
          <cell r="D108" t="str">
            <v>F</v>
          </cell>
          <cell r="F108">
            <v>3</v>
          </cell>
          <cell r="G108" t="str">
            <v>KRW</v>
          </cell>
          <cell r="H108" t="str">
            <v>C22</v>
          </cell>
          <cell r="I108" t="str">
            <v>델타코퍼레이션</v>
          </cell>
          <cell r="J108">
            <v>0</v>
          </cell>
        </row>
        <row r="109">
          <cell r="B109" t="str">
            <v>Q2007036801A</v>
          </cell>
          <cell r="C109" t="str">
            <v>CHIP RESISTOR-4K7(1005)</v>
          </cell>
          <cell r="D109" t="str">
            <v>F</v>
          </cell>
          <cell r="F109">
            <v>3</v>
          </cell>
          <cell r="G109" t="str">
            <v>KRW</v>
          </cell>
          <cell r="H109" t="str">
            <v>C22</v>
          </cell>
          <cell r="I109" t="str">
            <v>델타코퍼레이션</v>
          </cell>
          <cell r="J109">
            <v>0</v>
          </cell>
        </row>
        <row r="110">
          <cell r="B110" t="str">
            <v>Q2007037401A</v>
          </cell>
          <cell r="C110" t="str">
            <v>CHIP RESISTOR-RC1005J224CS</v>
          </cell>
          <cell r="D110" t="str">
            <v>F</v>
          </cell>
          <cell r="F110">
            <v>3</v>
          </cell>
          <cell r="G110" t="str">
            <v>KRW</v>
          </cell>
          <cell r="H110" t="str">
            <v>C56</v>
          </cell>
          <cell r="I110" t="str">
            <v>삼성전기(주)영업</v>
          </cell>
          <cell r="J110">
            <v>0</v>
          </cell>
        </row>
        <row r="111">
          <cell r="B111" t="str">
            <v>Q2007037501A</v>
          </cell>
          <cell r="C111" t="str">
            <v>CHIP RESISTOR-RC1005J332CS</v>
          </cell>
          <cell r="D111" t="str">
            <v>F</v>
          </cell>
          <cell r="F111">
            <v>3</v>
          </cell>
          <cell r="G111" t="str">
            <v>KRW</v>
          </cell>
          <cell r="H111" t="str">
            <v>C56</v>
          </cell>
          <cell r="I111" t="str">
            <v>삼성전기(주)영업</v>
          </cell>
          <cell r="J111">
            <v>0</v>
          </cell>
        </row>
        <row r="112">
          <cell r="B112" t="str">
            <v>Q2007037601A</v>
          </cell>
          <cell r="C112" t="str">
            <v>CHIP RESISTOR-RC1005J222CS</v>
          </cell>
          <cell r="D112" t="str">
            <v>F</v>
          </cell>
          <cell r="F112">
            <v>3</v>
          </cell>
          <cell r="G112" t="str">
            <v>KRW</v>
          </cell>
          <cell r="H112" t="str">
            <v>C56</v>
          </cell>
          <cell r="I112" t="str">
            <v>델타코퍼레이션</v>
          </cell>
          <cell r="J112">
            <v>0</v>
          </cell>
        </row>
        <row r="113">
          <cell r="B113" t="str">
            <v>Q2007037901A</v>
          </cell>
          <cell r="C113" t="str">
            <v>CHIP RESISTOR-RC1005J220CS</v>
          </cell>
          <cell r="D113" t="str">
            <v>F</v>
          </cell>
          <cell r="F113">
            <v>3</v>
          </cell>
          <cell r="G113" t="str">
            <v>KRW</v>
          </cell>
          <cell r="H113" t="str">
            <v>C56</v>
          </cell>
          <cell r="I113" t="str">
            <v>삼성전기(주)영업</v>
          </cell>
          <cell r="J113">
            <v>0</v>
          </cell>
        </row>
        <row r="114">
          <cell r="B114" t="str">
            <v>Q2007038201A</v>
          </cell>
          <cell r="C114" t="str">
            <v>CHIP CAPACITOR-75R(1005)</v>
          </cell>
          <cell r="D114" t="str">
            <v>F</v>
          </cell>
          <cell r="F114">
            <v>0</v>
          </cell>
          <cell r="H114" t="str">
            <v>C22</v>
          </cell>
          <cell r="J114">
            <v>0</v>
          </cell>
        </row>
        <row r="115">
          <cell r="B115" t="str">
            <v>Q2007039501A</v>
          </cell>
          <cell r="C115" t="str">
            <v>CHIP RESISTOR(1005)-RC1005F433CS</v>
          </cell>
          <cell r="D115" t="str">
            <v>F</v>
          </cell>
          <cell r="F115">
            <v>0</v>
          </cell>
          <cell r="J115">
            <v>0</v>
          </cell>
        </row>
        <row r="116">
          <cell r="B116" t="str">
            <v>Q2007039601A</v>
          </cell>
          <cell r="C116" t="str">
            <v>CHIP RESISTOR(1005)-RC1005J100CS</v>
          </cell>
          <cell r="D116" t="str">
            <v>F</v>
          </cell>
          <cell r="F116">
            <v>0</v>
          </cell>
          <cell r="H116" t="str">
            <v>C22</v>
          </cell>
          <cell r="J116">
            <v>0</v>
          </cell>
        </row>
        <row r="117">
          <cell r="B117" t="str">
            <v>Q2007039701A</v>
          </cell>
          <cell r="C117" t="str">
            <v>CHIP RESISTOR(1005)-RC1005F102CS</v>
          </cell>
          <cell r="D117" t="str">
            <v>F</v>
          </cell>
          <cell r="F117">
            <v>0</v>
          </cell>
          <cell r="H117" t="str">
            <v>C11</v>
          </cell>
          <cell r="J117">
            <v>0</v>
          </cell>
        </row>
        <row r="118">
          <cell r="B118" t="str">
            <v>Q2007039801A</v>
          </cell>
          <cell r="C118" t="str">
            <v>CHIP RESISTOR(1005)-RC1005J123CS</v>
          </cell>
          <cell r="D118" t="str">
            <v>F</v>
          </cell>
          <cell r="F118">
            <v>0</v>
          </cell>
          <cell r="H118" t="str">
            <v>C22</v>
          </cell>
          <cell r="J118">
            <v>0</v>
          </cell>
        </row>
        <row r="119">
          <cell r="B119" t="str">
            <v>Q2007039901A</v>
          </cell>
          <cell r="C119" t="str">
            <v>CHIP RESISTOR(1005)-RC1005J124CS</v>
          </cell>
          <cell r="D119" t="str">
            <v>F</v>
          </cell>
          <cell r="F119">
            <v>0</v>
          </cell>
          <cell r="H119" t="str">
            <v>C22</v>
          </cell>
          <cell r="J119">
            <v>0</v>
          </cell>
        </row>
        <row r="120">
          <cell r="B120" t="str">
            <v>Q2007040001A</v>
          </cell>
          <cell r="C120" t="str">
            <v>CHIP RESISTOR(1005)-RC1005J153CS</v>
          </cell>
          <cell r="D120" t="str">
            <v>F</v>
          </cell>
          <cell r="F120">
            <v>0</v>
          </cell>
          <cell r="H120" t="str">
            <v>C22</v>
          </cell>
          <cell r="J120">
            <v>0</v>
          </cell>
        </row>
        <row r="121">
          <cell r="B121" t="str">
            <v>Q2007040101A</v>
          </cell>
          <cell r="C121" t="str">
            <v>CHIP RESISTOR(1005)-RC1005F201CS</v>
          </cell>
          <cell r="D121" t="str">
            <v>F</v>
          </cell>
          <cell r="F121">
            <v>0</v>
          </cell>
          <cell r="H121" t="str">
            <v>C22</v>
          </cell>
          <cell r="J121">
            <v>0</v>
          </cell>
        </row>
        <row r="122">
          <cell r="B122" t="str">
            <v>Q2007040201A</v>
          </cell>
          <cell r="C122" t="str">
            <v>CHIP RESISTOR(1005)-RC1005J223CS</v>
          </cell>
          <cell r="D122" t="str">
            <v>F</v>
          </cell>
          <cell r="F122">
            <v>0</v>
          </cell>
          <cell r="H122" t="str">
            <v>C22</v>
          </cell>
          <cell r="J122">
            <v>0</v>
          </cell>
        </row>
        <row r="123">
          <cell r="B123" t="str">
            <v>Q2007040301A</v>
          </cell>
          <cell r="C123" t="str">
            <v>CHIP RESISTOR(1005)-RC1005J303CS</v>
          </cell>
          <cell r="D123" t="str">
            <v>F</v>
          </cell>
          <cell r="F123">
            <v>0</v>
          </cell>
          <cell r="H123" t="str">
            <v>C22</v>
          </cell>
          <cell r="J123">
            <v>0</v>
          </cell>
        </row>
        <row r="124">
          <cell r="B124" t="str">
            <v>Q2007040401A</v>
          </cell>
          <cell r="C124" t="str">
            <v>CHIP RESISTOR(1005)-RC1005J331CS</v>
          </cell>
          <cell r="D124" t="str">
            <v>F</v>
          </cell>
          <cell r="F124">
            <v>0</v>
          </cell>
          <cell r="H124" t="str">
            <v>C22</v>
          </cell>
          <cell r="J124">
            <v>0</v>
          </cell>
        </row>
        <row r="125">
          <cell r="B125" t="str">
            <v>Q2007040601A</v>
          </cell>
          <cell r="C125" t="str">
            <v>CHIP RESISTOR(1005)-RC1005J470CS</v>
          </cell>
          <cell r="D125" t="str">
            <v>F</v>
          </cell>
          <cell r="F125">
            <v>0</v>
          </cell>
          <cell r="H125" t="str">
            <v>C22</v>
          </cell>
          <cell r="J125">
            <v>0</v>
          </cell>
        </row>
        <row r="126">
          <cell r="B126" t="str">
            <v>Q2007040701A</v>
          </cell>
          <cell r="C126" t="str">
            <v>CHIP RESISTOR(1005)-RC1005J513CS</v>
          </cell>
          <cell r="D126" t="str">
            <v>F</v>
          </cell>
          <cell r="F126">
            <v>0</v>
          </cell>
          <cell r="H126" t="str">
            <v>C22</v>
          </cell>
          <cell r="J126">
            <v>0</v>
          </cell>
        </row>
        <row r="127">
          <cell r="B127" t="str">
            <v>Q2007040801A</v>
          </cell>
          <cell r="C127" t="str">
            <v>CHIP RESISTOR(1005)-RC1005J682CS</v>
          </cell>
          <cell r="D127" t="str">
            <v>F</v>
          </cell>
          <cell r="F127">
            <v>0</v>
          </cell>
          <cell r="H127" t="str">
            <v>C22</v>
          </cell>
          <cell r="J127">
            <v>0</v>
          </cell>
        </row>
        <row r="128">
          <cell r="B128" t="str">
            <v>Q2007041001A</v>
          </cell>
          <cell r="C128" t="str">
            <v>CHIP RESISTOR(1608)-RC1608J203CS</v>
          </cell>
          <cell r="D128" t="str">
            <v>F</v>
          </cell>
          <cell r="F128">
            <v>0</v>
          </cell>
          <cell r="H128" t="str">
            <v>C22</v>
          </cell>
          <cell r="J128">
            <v>0</v>
          </cell>
        </row>
        <row r="129">
          <cell r="B129" t="str">
            <v>Q2007041101A</v>
          </cell>
          <cell r="C129" t="str">
            <v>CHIP RESISTOR(1608)-RC1608F010CS</v>
          </cell>
          <cell r="D129" t="str">
            <v>F</v>
          </cell>
          <cell r="F129">
            <v>0</v>
          </cell>
          <cell r="H129" t="str">
            <v>C22</v>
          </cell>
          <cell r="J129">
            <v>0</v>
          </cell>
        </row>
        <row r="130">
          <cell r="B130" t="str">
            <v>Q2007041201A</v>
          </cell>
          <cell r="C130" t="str">
            <v>CHIP RESISTOR(1005,1%)-RC1005F471CS</v>
          </cell>
          <cell r="D130" t="str">
            <v>F</v>
          </cell>
          <cell r="F130">
            <v>0</v>
          </cell>
          <cell r="H130" t="str">
            <v>C22</v>
          </cell>
          <cell r="J130">
            <v>0</v>
          </cell>
        </row>
        <row r="131">
          <cell r="B131" t="str">
            <v>Q2007041301A</v>
          </cell>
          <cell r="C131" t="str">
            <v>CHIP RESISTOR(1005)-RC1005J241CS</v>
          </cell>
          <cell r="D131" t="str">
            <v>F</v>
          </cell>
          <cell r="F131">
            <v>0</v>
          </cell>
          <cell r="H131" t="str">
            <v>C22</v>
          </cell>
          <cell r="J131">
            <v>0</v>
          </cell>
        </row>
        <row r="132">
          <cell r="B132" t="str">
            <v>Q2007041401A</v>
          </cell>
          <cell r="C132" t="str">
            <v>CHIP RESISTOR(1005,1%)-RC1005F821CS</v>
          </cell>
          <cell r="D132" t="str">
            <v>F</v>
          </cell>
          <cell r="F132">
            <v>0</v>
          </cell>
          <cell r="H132" t="str">
            <v>C22</v>
          </cell>
          <cell r="J132">
            <v>0</v>
          </cell>
        </row>
        <row r="133">
          <cell r="B133" t="str">
            <v>Q2007041501A</v>
          </cell>
          <cell r="C133" t="str">
            <v>CHIP RESISTOR(1608)-RC1608F431CS</v>
          </cell>
          <cell r="D133" t="str">
            <v>F</v>
          </cell>
          <cell r="F133">
            <v>0</v>
          </cell>
          <cell r="H133" t="str">
            <v>C22</v>
          </cell>
          <cell r="J133">
            <v>0</v>
          </cell>
        </row>
        <row r="134">
          <cell r="B134" t="str">
            <v>Q2007041701A</v>
          </cell>
          <cell r="C134" t="str">
            <v>CHIP RESISTOR(1608)-RC1608J470CS</v>
          </cell>
          <cell r="D134" t="str">
            <v>F</v>
          </cell>
          <cell r="F134">
            <v>0</v>
          </cell>
          <cell r="H134" t="str">
            <v>C22</v>
          </cell>
          <cell r="J134">
            <v>0</v>
          </cell>
        </row>
        <row r="135">
          <cell r="B135" t="str">
            <v>Q2007041801A</v>
          </cell>
          <cell r="C135" t="str">
            <v>CHIP RESISTOR(1005)-RC1005J392CS</v>
          </cell>
          <cell r="D135" t="str">
            <v>F</v>
          </cell>
          <cell r="F135">
            <v>0</v>
          </cell>
          <cell r="H135" t="str">
            <v>C22</v>
          </cell>
          <cell r="J135">
            <v>0</v>
          </cell>
        </row>
        <row r="136">
          <cell r="B136" t="str">
            <v>Q2007041901A</v>
          </cell>
          <cell r="C136" t="str">
            <v>CHIP RESISTOR(1005)-RC1005J391CS</v>
          </cell>
          <cell r="D136" t="str">
            <v>F</v>
          </cell>
          <cell r="F136">
            <v>0</v>
          </cell>
          <cell r="H136" t="str">
            <v>C22</v>
          </cell>
          <cell r="J136">
            <v>0</v>
          </cell>
        </row>
        <row r="137">
          <cell r="B137" t="str">
            <v>Q2007042001A</v>
          </cell>
          <cell r="C137" t="str">
            <v>CHIP RESISTOR(1005)-RC1005F273CS</v>
          </cell>
          <cell r="D137" t="str">
            <v>F</v>
          </cell>
          <cell r="F137">
            <v>0</v>
          </cell>
          <cell r="J137">
            <v>0</v>
          </cell>
        </row>
        <row r="138">
          <cell r="B138" t="str">
            <v>Q2007042101A</v>
          </cell>
          <cell r="C138" t="str">
            <v>CHIP RESISTOR(1005)-RC1005F302CS</v>
          </cell>
          <cell r="D138" t="str">
            <v>F</v>
          </cell>
          <cell r="F138">
            <v>0</v>
          </cell>
          <cell r="J138">
            <v>0</v>
          </cell>
        </row>
        <row r="139">
          <cell r="B139" t="str">
            <v>Q2007042201A</v>
          </cell>
          <cell r="C139" t="str">
            <v>CHIP RESISTOR-RC1608F123CS</v>
          </cell>
          <cell r="D139" t="str">
            <v>F</v>
          </cell>
          <cell r="F139">
            <v>0</v>
          </cell>
          <cell r="J139">
            <v>0</v>
          </cell>
        </row>
        <row r="140">
          <cell r="B140" t="str">
            <v>Q2011000201A</v>
          </cell>
          <cell r="C140" t="str">
            <v>NR801.2.3.4[MNR14EOABJ333]</v>
          </cell>
          <cell r="D140" t="str">
            <v>F</v>
          </cell>
          <cell r="F140">
            <v>14</v>
          </cell>
          <cell r="G140" t="str">
            <v>KRW</v>
          </cell>
          <cell r="H140" t="str">
            <v>C56</v>
          </cell>
          <cell r="I140" t="str">
            <v>(주)로옴전자코리</v>
          </cell>
          <cell r="J140">
            <v>0</v>
          </cell>
        </row>
        <row r="141">
          <cell r="B141" t="str">
            <v>Q2201000301A</v>
          </cell>
          <cell r="C141" t="str">
            <v>CHIP CERAMIC COND(GHM1735 X7R 333K 250</v>
          </cell>
          <cell r="D141" t="str">
            <v>F</v>
          </cell>
          <cell r="F141">
            <v>83</v>
          </cell>
          <cell r="G141" t="str">
            <v>KRW</v>
          </cell>
          <cell r="H141" t="str">
            <v>C86</v>
          </cell>
          <cell r="I141" t="str">
            <v>(주)유니온</v>
          </cell>
          <cell r="J141">
            <v>0</v>
          </cell>
        </row>
        <row r="142">
          <cell r="B142" t="str">
            <v>Q2203007601A</v>
          </cell>
          <cell r="C142" t="str">
            <v>CHIP CAPACITOR-CL10B103KBNC</v>
          </cell>
          <cell r="D142" t="str">
            <v>F</v>
          </cell>
          <cell r="F142">
            <v>7</v>
          </cell>
          <cell r="G142" t="str">
            <v>KRW</v>
          </cell>
          <cell r="H142" t="str">
            <v>C56</v>
          </cell>
          <cell r="I142" t="str">
            <v>삼성전기(주)영업</v>
          </cell>
          <cell r="J142">
            <v>0</v>
          </cell>
        </row>
        <row r="143">
          <cell r="B143" t="str">
            <v>Q2203007701A</v>
          </cell>
          <cell r="C143" t="str">
            <v>CHIP CAPACITOR-CL10B104KONC</v>
          </cell>
          <cell r="D143" t="str">
            <v>F</v>
          </cell>
          <cell r="F143">
            <v>15</v>
          </cell>
          <cell r="G143" t="str">
            <v>KRW</v>
          </cell>
          <cell r="H143" t="str">
            <v>C56</v>
          </cell>
          <cell r="I143" t="str">
            <v>삼성전기(주)영업</v>
          </cell>
          <cell r="J143">
            <v>0</v>
          </cell>
        </row>
        <row r="144">
          <cell r="B144" t="str">
            <v>Q2203008201A</v>
          </cell>
          <cell r="C144" t="str">
            <v>CHIP CAPACITOR-CL10C222KBNC</v>
          </cell>
          <cell r="D144" t="str">
            <v>F</v>
          </cell>
          <cell r="F144">
            <v>6</v>
          </cell>
          <cell r="G144" t="str">
            <v>KRW</v>
          </cell>
          <cell r="H144" t="str">
            <v>C56</v>
          </cell>
          <cell r="I144" t="str">
            <v>삼성전기(주)영업</v>
          </cell>
          <cell r="J144">
            <v>0</v>
          </cell>
        </row>
        <row r="145">
          <cell r="B145" t="str">
            <v>Q2203009501A</v>
          </cell>
          <cell r="C145" t="str">
            <v>CHIP CAPACITOR-CL05C101JBNC</v>
          </cell>
          <cell r="D145" t="str">
            <v>F</v>
          </cell>
          <cell r="F145">
            <v>10</v>
          </cell>
          <cell r="G145" t="str">
            <v>KRW</v>
          </cell>
          <cell r="H145" t="str">
            <v>C22</v>
          </cell>
          <cell r="I145" t="str">
            <v>델타코퍼레이션</v>
          </cell>
          <cell r="J145">
            <v>0</v>
          </cell>
        </row>
        <row r="146">
          <cell r="B146" t="str">
            <v>Q2203009801A</v>
          </cell>
          <cell r="C146" t="str">
            <v>CHIP CAPACITOR-CL05C220JBNC</v>
          </cell>
          <cell r="D146" t="str">
            <v>F</v>
          </cell>
          <cell r="F146">
            <v>0</v>
          </cell>
          <cell r="H146" t="str">
            <v>C22</v>
          </cell>
          <cell r="J146">
            <v>0</v>
          </cell>
        </row>
        <row r="147">
          <cell r="B147" t="str">
            <v>Q2203010101A</v>
          </cell>
          <cell r="C147" t="str">
            <v>CHIP CAPACITOR-CL05B682KANC</v>
          </cell>
          <cell r="D147" t="str">
            <v>F</v>
          </cell>
          <cell r="F147">
            <v>0</v>
          </cell>
          <cell r="H147" t="str">
            <v>C22</v>
          </cell>
          <cell r="J147">
            <v>0</v>
          </cell>
        </row>
        <row r="148">
          <cell r="B148" t="str">
            <v>Q2203010301A</v>
          </cell>
          <cell r="C148" t="str">
            <v>CHIP CAPACITOR-CL05C820JBNC</v>
          </cell>
          <cell r="D148" t="str">
            <v>F</v>
          </cell>
          <cell r="F148">
            <v>10</v>
          </cell>
          <cell r="G148" t="str">
            <v>KRW</v>
          </cell>
          <cell r="H148" t="str">
            <v>C22</v>
          </cell>
          <cell r="I148" t="str">
            <v>델타코퍼레이션</v>
          </cell>
          <cell r="J148">
            <v>0</v>
          </cell>
        </row>
        <row r="149">
          <cell r="B149" t="str">
            <v>Q2203010901A</v>
          </cell>
          <cell r="C149" t="str">
            <v>CHIP CAPACITOR-CL10B221JBNC</v>
          </cell>
          <cell r="D149" t="str">
            <v>F</v>
          </cell>
          <cell r="F149">
            <v>12</v>
          </cell>
          <cell r="G149" t="str">
            <v>KRW</v>
          </cell>
          <cell r="H149" t="str">
            <v>C56</v>
          </cell>
          <cell r="I149" t="str">
            <v>델타코퍼레이션</v>
          </cell>
          <cell r="J149">
            <v>0</v>
          </cell>
        </row>
        <row r="150">
          <cell r="B150" t="str">
            <v>Q2203011001A</v>
          </cell>
          <cell r="C150" t="str">
            <v>CHIP CAPACITOR-CL10C331JBNC</v>
          </cell>
          <cell r="D150" t="str">
            <v>F</v>
          </cell>
          <cell r="F150">
            <v>12</v>
          </cell>
          <cell r="G150" t="str">
            <v>KRW</v>
          </cell>
          <cell r="H150" t="str">
            <v>C56</v>
          </cell>
          <cell r="I150" t="str">
            <v>리텍세미컴</v>
          </cell>
          <cell r="J150">
            <v>0</v>
          </cell>
        </row>
        <row r="151">
          <cell r="B151" t="str">
            <v>Q2203011301A</v>
          </cell>
          <cell r="C151" t="str">
            <v>CHIP CAPACITOR(1005)-CL05B103KBNC</v>
          </cell>
          <cell r="D151" t="str">
            <v>F</v>
          </cell>
          <cell r="F151">
            <v>7</v>
          </cell>
          <cell r="G151" t="str">
            <v>KRW</v>
          </cell>
          <cell r="H151" t="str">
            <v>C56</v>
          </cell>
          <cell r="I151" t="str">
            <v>델타코퍼레이션</v>
          </cell>
          <cell r="J151">
            <v>0</v>
          </cell>
        </row>
        <row r="152">
          <cell r="B152" t="str">
            <v>Q2203011401A</v>
          </cell>
          <cell r="C152" t="str">
            <v>CHIP CAPACITOR(1005)-CL05B104ZBNC</v>
          </cell>
          <cell r="D152" t="str">
            <v>F</v>
          </cell>
          <cell r="F152">
            <v>8</v>
          </cell>
          <cell r="G152" t="str">
            <v>KRW</v>
          </cell>
          <cell r="H152" t="str">
            <v>C56</v>
          </cell>
          <cell r="I152" t="str">
            <v>델타코퍼레이션</v>
          </cell>
          <cell r="J152">
            <v>0</v>
          </cell>
        </row>
        <row r="153">
          <cell r="B153" t="str">
            <v>Q2203011501A</v>
          </cell>
          <cell r="C153" t="str">
            <v>CHIP CAPACITOR(1005)-CL05B102KBNC</v>
          </cell>
          <cell r="D153" t="str">
            <v>F</v>
          </cell>
          <cell r="F153">
            <v>8</v>
          </cell>
          <cell r="G153" t="str">
            <v>KRW</v>
          </cell>
          <cell r="H153" t="str">
            <v>C56</v>
          </cell>
          <cell r="I153" t="str">
            <v>델타코퍼레이션</v>
          </cell>
          <cell r="J153">
            <v>0</v>
          </cell>
        </row>
        <row r="154">
          <cell r="B154" t="str">
            <v>Q2203012601A</v>
          </cell>
          <cell r="C154" t="str">
            <v>DIODE_HIGH VOLTAGE-DSC350SE</v>
          </cell>
          <cell r="D154" t="str">
            <v>F</v>
          </cell>
          <cell r="F154">
            <v>13</v>
          </cell>
          <cell r="G154" t="str">
            <v>JPY</v>
          </cell>
          <cell r="H154" t="str">
            <v>C26</v>
          </cell>
          <cell r="I154" t="str">
            <v>TOEI CORPORATION</v>
          </cell>
          <cell r="J154">
            <v>0</v>
          </cell>
        </row>
        <row r="155">
          <cell r="B155" t="str">
            <v>Q2203012701A</v>
          </cell>
          <cell r="C155" t="str">
            <v>CHIP CAPACITOR-DSC350SE</v>
          </cell>
          <cell r="D155" t="str">
            <v>F</v>
          </cell>
          <cell r="F155">
            <v>0</v>
          </cell>
          <cell r="H155" t="str">
            <v>C26</v>
          </cell>
          <cell r="J155">
            <v>0</v>
          </cell>
        </row>
        <row r="156">
          <cell r="B156" t="str">
            <v>Q2203012801A</v>
          </cell>
          <cell r="C156" t="str">
            <v>CHIP CAPACITOR-DSC350SE</v>
          </cell>
          <cell r="D156" t="str">
            <v>F</v>
          </cell>
          <cell r="F156">
            <v>0</v>
          </cell>
          <cell r="H156" t="str">
            <v>C26</v>
          </cell>
          <cell r="J156">
            <v>0</v>
          </cell>
        </row>
        <row r="157">
          <cell r="B157" t="str">
            <v>Q2203012901A</v>
          </cell>
          <cell r="C157" t="str">
            <v>CHIP CAPACITOR-DSC350SE</v>
          </cell>
          <cell r="D157" t="str">
            <v>F</v>
          </cell>
          <cell r="F157">
            <v>0</v>
          </cell>
          <cell r="H157" t="str">
            <v>C26</v>
          </cell>
          <cell r="J157">
            <v>0</v>
          </cell>
        </row>
        <row r="158">
          <cell r="B158" t="str">
            <v>Q2203013001A</v>
          </cell>
          <cell r="C158" t="str">
            <v>CHIP CAPACITOR(1608)-CL10F105ZPNC</v>
          </cell>
          <cell r="D158" t="str">
            <v>F</v>
          </cell>
          <cell r="F158">
            <v>0</v>
          </cell>
          <cell r="H158" t="str">
            <v>C22</v>
          </cell>
          <cell r="J158">
            <v>0</v>
          </cell>
        </row>
        <row r="159">
          <cell r="B159" t="str">
            <v>Q2203013201A</v>
          </cell>
          <cell r="C159" t="str">
            <v>CHIP CAPACITOR(1005)-CL05CO40KBNC</v>
          </cell>
          <cell r="D159" t="str">
            <v>F</v>
          </cell>
          <cell r="F159">
            <v>0</v>
          </cell>
          <cell r="H159" t="str">
            <v>C22</v>
          </cell>
          <cell r="J159">
            <v>0</v>
          </cell>
        </row>
        <row r="160">
          <cell r="B160" t="str">
            <v>Q2203013301A</v>
          </cell>
          <cell r="C160" t="str">
            <v>CHIP CAPACITOR(1005)-CL05C121JBNC</v>
          </cell>
          <cell r="D160" t="str">
            <v>F</v>
          </cell>
          <cell r="F160">
            <v>0</v>
          </cell>
          <cell r="H160" t="str">
            <v>C22</v>
          </cell>
          <cell r="J160">
            <v>0</v>
          </cell>
        </row>
        <row r="161">
          <cell r="B161" t="str">
            <v>Q2203013401A</v>
          </cell>
          <cell r="C161" t="str">
            <v>CHIP CAPACITOR(1005)-CL05B222KBNC</v>
          </cell>
          <cell r="D161" t="str">
            <v>F</v>
          </cell>
          <cell r="F161">
            <v>0</v>
          </cell>
          <cell r="H161" t="str">
            <v>C22</v>
          </cell>
          <cell r="J161">
            <v>0</v>
          </cell>
        </row>
        <row r="162">
          <cell r="B162" t="str">
            <v>Q2203013501A</v>
          </cell>
          <cell r="C162" t="str">
            <v>CHIP CAPACITOR(1005)-CL05B271KBNC</v>
          </cell>
          <cell r="D162" t="str">
            <v>F</v>
          </cell>
          <cell r="F162">
            <v>0</v>
          </cell>
          <cell r="H162" t="str">
            <v>C22</v>
          </cell>
          <cell r="J162">
            <v>0</v>
          </cell>
        </row>
        <row r="163">
          <cell r="B163" t="str">
            <v>Q2203013601A</v>
          </cell>
          <cell r="C163" t="str">
            <v>CHIP CAPACITOR(1005)-CL05B270KBNC</v>
          </cell>
          <cell r="D163" t="str">
            <v>F</v>
          </cell>
          <cell r="F163">
            <v>0</v>
          </cell>
          <cell r="H163" t="str">
            <v>C22</v>
          </cell>
          <cell r="J163">
            <v>0</v>
          </cell>
        </row>
        <row r="164">
          <cell r="B164" t="str">
            <v>Q2203013701A</v>
          </cell>
          <cell r="C164" t="str">
            <v>CHIP CAPACITOR(1005)-CL05B333KONC</v>
          </cell>
          <cell r="D164" t="str">
            <v>F</v>
          </cell>
          <cell r="F164">
            <v>0</v>
          </cell>
          <cell r="H164" t="str">
            <v>C22</v>
          </cell>
          <cell r="J164">
            <v>0</v>
          </cell>
        </row>
        <row r="165">
          <cell r="B165" t="str">
            <v>Q2203013801A</v>
          </cell>
          <cell r="C165" t="str">
            <v>CHIP CAPACITOR(1005)-CL05B391KBNC</v>
          </cell>
          <cell r="D165" t="str">
            <v>F</v>
          </cell>
          <cell r="F165">
            <v>0</v>
          </cell>
          <cell r="H165" t="str">
            <v>C22</v>
          </cell>
          <cell r="J165">
            <v>0</v>
          </cell>
        </row>
        <row r="166">
          <cell r="B166" t="str">
            <v>Q2203013901A</v>
          </cell>
          <cell r="C166" t="str">
            <v>CHIP CAPACITOR(1005)-CL05B683KONC</v>
          </cell>
          <cell r="D166" t="str">
            <v>F</v>
          </cell>
          <cell r="F166">
            <v>0</v>
          </cell>
          <cell r="H166" t="str">
            <v>C22</v>
          </cell>
          <cell r="J166">
            <v>0</v>
          </cell>
        </row>
        <row r="167">
          <cell r="B167" t="str">
            <v>Q2203014001A</v>
          </cell>
          <cell r="C167" t="str">
            <v>CHIP CAPACITOR(1005)-CL05C3R9CBKN</v>
          </cell>
          <cell r="D167" t="str">
            <v>F</v>
          </cell>
          <cell r="F167">
            <v>0</v>
          </cell>
          <cell r="H167" t="str">
            <v>C22</v>
          </cell>
          <cell r="J167">
            <v>0</v>
          </cell>
        </row>
        <row r="168">
          <cell r="B168" t="str">
            <v>Q2203014101A</v>
          </cell>
          <cell r="C168" t="str">
            <v>CHIP CAPACITOR(1005)-CL05C8R2CBNC</v>
          </cell>
          <cell r="D168" t="str">
            <v>F</v>
          </cell>
          <cell r="F168">
            <v>0</v>
          </cell>
          <cell r="H168" t="str">
            <v>C22</v>
          </cell>
          <cell r="J168">
            <v>0</v>
          </cell>
        </row>
        <row r="169">
          <cell r="B169" t="str">
            <v>Q2203014301A</v>
          </cell>
          <cell r="C169" t="str">
            <v>CHIP CAPACITOR(3216)-CL31F335ZONE</v>
          </cell>
          <cell r="D169" t="str">
            <v>F</v>
          </cell>
          <cell r="F169">
            <v>0</v>
          </cell>
          <cell r="H169" t="str">
            <v>C22</v>
          </cell>
          <cell r="J169">
            <v>0</v>
          </cell>
        </row>
        <row r="170">
          <cell r="B170" t="str">
            <v>Q2203014501A</v>
          </cell>
          <cell r="C170" t="str">
            <v>CHIP CAPACITOR(1005)-CL05C100DBNC</v>
          </cell>
          <cell r="D170" t="str">
            <v>F</v>
          </cell>
          <cell r="F170">
            <v>0</v>
          </cell>
          <cell r="H170" t="str">
            <v>C22</v>
          </cell>
          <cell r="J170">
            <v>0</v>
          </cell>
        </row>
        <row r="171">
          <cell r="B171" t="str">
            <v>Q2203014601A</v>
          </cell>
          <cell r="C171" t="str">
            <v>CHIP TANTAL CAPACITOR-10㎌/10V(A)</v>
          </cell>
          <cell r="D171" t="str">
            <v>F</v>
          </cell>
          <cell r="F171">
            <v>0</v>
          </cell>
          <cell r="H171" t="str">
            <v>C22</v>
          </cell>
          <cell r="J171">
            <v>0</v>
          </cell>
        </row>
        <row r="172">
          <cell r="B172" t="str">
            <v>Q2203014701A</v>
          </cell>
          <cell r="C172" t="str">
            <v>CHIP CAPACITOR(2012)-CL21F105ZBNC</v>
          </cell>
          <cell r="D172" t="str">
            <v>F</v>
          </cell>
          <cell r="F172">
            <v>0</v>
          </cell>
          <cell r="J172">
            <v>0</v>
          </cell>
        </row>
        <row r="173">
          <cell r="B173" t="str">
            <v>Q2203014801A</v>
          </cell>
          <cell r="C173" t="str">
            <v>CHIP CAPACITOR(1608)-CL1OC100CBNC</v>
          </cell>
          <cell r="D173" t="str">
            <v>F</v>
          </cell>
          <cell r="F173">
            <v>0</v>
          </cell>
          <cell r="H173" t="str">
            <v>C22</v>
          </cell>
          <cell r="J173">
            <v>0</v>
          </cell>
        </row>
        <row r="174">
          <cell r="B174" t="str">
            <v>Q2203015001A</v>
          </cell>
          <cell r="C174" t="str">
            <v>CHIP CAPACITOR(1005,5%)-CL05B104JPNC</v>
          </cell>
          <cell r="D174" t="str">
            <v>F</v>
          </cell>
          <cell r="F174">
            <v>0</v>
          </cell>
          <cell r="J174">
            <v>0</v>
          </cell>
        </row>
        <row r="175">
          <cell r="B175" t="str">
            <v>Q2203015601A</v>
          </cell>
          <cell r="C175" t="str">
            <v>CHIP CAPACITOR(3216)-CL31F226ZPNE</v>
          </cell>
          <cell r="D175" t="str">
            <v>F</v>
          </cell>
          <cell r="F175">
            <v>0</v>
          </cell>
          <cell r="H175" t="str">
            <v>C22</v>
          </cell>
          <cell r="J175">
            <v>0</v>
          </cell>
        </row>
        <row r="176">
          <cell r="B176" t="str">
            <v>Q2203015701A</v>
          </cell>
          <cell r="C176" t="str">
            <v>CHIP CAPACITOR(2012)-CL21F475ZPNC</v>
          </cell>
          <cell r="D176" t="str">
            <v>F</v>
          </cell>
          <cell r="F176">
            <v>0</v>
          </cell>
          <cell r="H176" t="str">
            <v>C22</v>
          </cell>
          <cell r="J176">
            <v>0</v>
          </cell>
        </row>
        <row r="177">
          <cell r="B177" t="str">
            <v>Q2203015901A</v>
          </cell>
          <cell r="C177" t="str">
            <v>CHIP CAPACITOR(1608)-CL10C221JBNC</v>
          </cell>
          <cell r="D177" t="str">
            <v>F</v>
          </cell>
          <cell r="F177">
            <v>0</v>
          </cell>
          <cell r="J177">
            <v>0</v>
          </cell>
        </row>
        <row r="178">
          <cell r="B178" t="str">
            <v>Q2203016001A</v>
          </cell>
          <cell r="C178" t="str">
            <v>CHIP CAPACITOR(1005)-CL05B103JBNC</v>
          </cell>
          <cell r="D178" t="str">
            <v>F</v>
          </cell>
          <cell r="F178">
            <v>0</v>
          </cell>
          <cell r="J178">
            <v>0</v>
          </cell>
        </row>
        <row r="179">
          <cell r="B179" t="str">
            <v>Q2203016101A</v>
          </cell>
          <cell r="C179" t="str">
            <v>CHIP TANTAL CAPACITOR-TPM0J106PSSR</v>
          </cell>
          <cell r="D179" t="str">
            <v>F</v>
          </cell>
          <cell r="F179">
            <v>0</v>
          </cell>
          <cell r="J179">
            <v>0</v>
          </cell>
        </row>
        <row r="180">
          <cell r="B180" t="str">
            <v>Q2401004601A</v>
          </cell>
          <cell r="C180" t="str">
            <v>MAIN CONDENSOR[180UF/300V]</v>
          </cell>
          <cell r="D180" t="str">
            <v>F</v>
          </cell>
          <cell r="F180">
            <v>0.44</v>
          </cell>
          <cell r="G180" t="str">
            <v>USD</v>
          </cell>
          <cell r="H180" t="str">
            <v>C17</v>
          </cell>
          <cell r="I180" t="str">
            <v>DALON ELECTRONIC</v>
          </cell>
          <cell r="J180">
            <v>0</v>
          </cell>
        </row>
        <row r="181">
          <cell r="B181" t="str">
            <v>Q2403005301A</v>
          </cell>
          <cell r="C181" t="str">
            <v>CHIP TANTAL CAPACITOR-DIGIMAX220SE</v>
          </cell>
          <cell r="D181" t="str">
            <v>F</v>
          </cell>
          <cell r="F181">
            <v>110</v>
          </cell>
          <cell r="G181" t="str">
            <v>KRW</v>
          </cell>
          <cell r="I181" t="str">
            <v>에스엔티전자(주)</v>
          </cell>
          <cell r="J181">
            <v>0</v>
          </cell>
        </row>
        <row r="182">
          <cell r="B182" t="str">
            <v>Q2403005501A</v>
          </cell>
          <cell r="C182" t="str">
            <v>CHIP TANTAL CAPACITOR-DIGIMAX220SE</v>
          </cell>
          <cell r="D182" t="str">
            <v>F</v>
          </cell>
          <cell r="F182">
            <v>230</v>
          </cell>
          <cell r="G182" t="str">
            <v>KRW</v>
          </cell>
          <cell r="I182" t="str">
            <v>에스엔티전자(주)</v>
          </cell>
          <cell r="J182">
            <v>0</v>
          </cell>
        </row>
        <row r="183">
          <cell r="B183" t="str">
            <v>Q2403005801A</v>
          </cell>
          <cell r="C183" t="str">
            <v>CHIP TANTAL CAPACITOR-DIGIMAX220SE</v>
          </cell>
          <cell r="D183" t="str">
            <v>F</v>
          </cell>
          <cell r="F183">
            <v>0</v>
          </cell>
          <cell r="J183">
            <v>0</v>
          </cell>
        </row>
        <row r="184">
          <cell r="B184" t="str">
            <v>Q2603002201A</v>
          </cell>
          <cell r="C184" t="str">
            <v>TRANSFOMER-CLQ52(CCD)</v>
          </cell>
          <cell r="D184" t="str">
            <v>F</v>
          </cell>
          <cell r="F184">
            <v>0.4</v>
          </cell>
          <cell r="G184" t="str">
            <v>USD</v>
          </cell>
          <cell r="H184" t="str">
            <v>C22</v>
          </cell>
          <cell r="I184" t="str">
            <v>SUMIDA TRADING C</v>
          </cell>
          <cell r="J184">
            <v>0</v>
          </cell>
        </row>
        <row r="185">
          <cell r="B185" t="str">
            <v>Q2603002501A</v>
          </cell>
          <cell r="C185" t="str">
            <v>OSC TRANS-SM22</v>
          </cell>
          <cell r="D185" t="str">
            <v>F</v>
          </cell>
          <cell r="F185">
            <v>0</v>
          </cell>
          <cell r="H185" t="str">
            <v>C22</v>
          </cell>
          <cell r="J185">
            <v>0</v>
          </cell>
        </row>
        <row r="186">
          <cell r="B186" t="str">
            <v>Q2701001001A</v>
          </cell>
          <cell r="C186" t="str">
            <v>INDUCTOR-DSC350SE</v>
          </cell>
          <cell r="D186" t="str">
            <v>F</v>
          </cell>
          <cell r="F186">
            <v>0.25</v>
          </cell>
          <cell r="G186" t="str">
            <v>USD</v>
          </cell>
          <cell r="H186" t="str">
            <v>C26</v>
          </cell>
          <cell r="I186" t="str">
            <v>TOKO HONGKONG</v>
          </cell>
          <cell r="J186">
            <v>0</v>
          </cell>
        </row>
        <row r="187">
          <cell r="B187" t="str">
            <v>Q2703001001A</v>
          </cell>
          <cell r="C187" t="str">
            <v>CHIP COIL-FLC32-470K [INDUCTOR]</v>
          </cell>
          <cell r="D187" t="str">
            <v>F</v>
          </cell>
          <cell r="F187">
            <v>6</v>
          </cell>
          <cell r="G187" t="str">
            <v>JPY</v>
          </cell>
          <cell r="H187" t="str">
            <v>C50</v>
          </cell>
          <cell r="I187" t="str">
            <v>RIVER ELETEC COR</v>
          </cell>
          <cell r="J187">
            <v>0</v>
          </cell>
        </row>
        <row r="188">
          <cell r="B188" t="str">
            <v>Q2703001301A</v>
          </cell>
          <cell r="C188" t="str">
            <v>FERRITE BAED(POWER)-HF70ACC201209-T[CO</v>
          </cell>
          <cell r="D188" t="str">
            <v>F</v>
          </cell>
          <cell r="F188">
            <v>8</v>
          </cell>
          <cell r="G188" t="str">
            <v>JPY</v>
          </cell>
          <cell r="H188" t="str">
            <v>V02</v>
          </cell>
          <cell r="I188" t="str">
            <v>T.E ELECTRONIC</v>
          </cell>
          <cell r="J188">
            <v>0</v>
          </cell>
        </row>
        <row r="189">
          <cell r="B189" t="str">
            <v>Q2703001401A</v>
          </cell>
          <cell r="C189" t="str">
            <v>FERRITE BAED(SIGNAL)-ACB1608M-040-T</v>
          </cell>
          <cell r="D189" t="str">
            <v>F</v>
          </cell>
          <cell r="F189">
            <v>6</v>
          </cell>
          <cell r="G189" t="str">
            <v>JPY</v>
          </cell>
          <cell r="H189" t="str">
            <v>V02</v>
          </cell>
          <cell r="I189" t="str">
            <v>T.E ELECTRONIC</v>
          </cell>
          <cell r="J189">
            <v>0</v>
          </cell>
        </row>
        <row r="190">
          <cell r="B190" t="str">
            <v>Q2703001901A</v>
          </cell>
          <cell r="C190" t="str">
            <v>FERRITE BEAD(SIGNAL)-HB-1M1608-601JT</v>
          </cell>
          <cell r="D190" t="str">
            <v>F</v>
          </cell>
          <cell r="F190">
            <v>26</v>
          </cell>
          <cell r="G190" t="str">
            <v>KRW</v>
          </cell>
          <cell r="H190" t="str">
            <v>C56</v>
          </cell>
          <cell r="I190" t="str">
            <v>(주)쎄라텍</v>
          </cell>
          <cell r="J190">
            <v>0</v>
          </cell>
        </row>
        <row r="191">
          <cell r="B191" t="str">
            <v>Q2703002501A</v>
          </cell>
          <cell r="C191" t="str">
            <v>CHIP INDUCTOR-DSC350SE</v>
          </cell>
          <cell r="D191" t="str">
            <v>F</v>
          </cell>
          <cell r="F191">
            <v>13</v>
          </cell>
          <cell r="G191" t="str">
            <v>JPY</v>
          </cell>
          <cell r="H191" t="str">
            <v>C26</v>
          </cell>
          <cell r="I191" t="str">
            <v>RIVER ELETEC COR</v>
          </cell>
          <cell r="J191">
            <v>0</v>
          </cell>
        </row>
        <row r="192">
          <cell r="B192" t="str">
            <v>Q2703002701A</v>
          </cell>
          <cell r="C192" t="str">
            <v>CHIP INDUCTOR-DSC350SE</v>
          </cell>
          <cell r="D192" t="str">
            <v>F</v>
          </cell>
          <cell r="F192">
            <v>10</v>
          </cell>
          <cell r="G192" t="str">
            <v>JPY</v>
          </cell>
          <cell r="H192" t="str">
            <v>C26</v>
          </cell>
          <cell r="I192" t="str">
            <v>TDK</v>
          </cell>
          <cell r="J192">
            <v>0</v>
          </cell>
        </row>
        <row r="193">
          <cell r="B193" t="str">
            <v>Q2703002801A</v>
          </cell>
          <cell r="C193" t="str">
            <v>FERRITE BEAD-DSC350SE</v>
          </cell>
          <cell r="D193" t="str">
            <v>F</v>
          </cell>
          <cell r="F193">
            <v>2</v>
          </cell>
          <cell r="G193" t="str">
            <v>JPY</v>
          </cell>
          <cell r="H193" t="str">
            <v>C26</v>
          </cell>
          <cell r="I193" t="str">
            <v>TDK</v>
          </cell>
          <cell r="J193">
            <v>0</v>
          </cell>
        </row>
        <row r="194">
          <cell r="B194" t="str">
            <v>Q2703002901A</v>
          </cell>
          <cell r="C194" t="str">
            <v>FERRITE BEAD-DSC350SE</v>
          </cell>
          <cell r="D194" t="str">
            <v>F</v>
          </cell>
          <cell r="F194">
            <v>2</v>
          </cell>
          <cell r="G194" t="str">
            <v>JPY</v>
          </cell>
          <cell r="H194" t="str">
            <v>C26</v>
          </cell>
          <cell r="I194" t="str">
            <v>TDK</v>
          </cell>
          <cell r="J194">
            <v>0</v>
          </cell>
        </row>
        <row r="195">
          <cell r="B195" t="str">
            <v>Q2703003001A</v>
          </cell>
          <cell r="C195" t="str">
            <v>CHIP INDUCTOR-CDRH4D28_220</v>
          </cell>
          <cell r="D195" t="str">
            <v>F</v>
          </cell>
          <cell r="F195">
            <v>0.25</v>
          </cell>
          <cell r="G195" t="str">
            <v>USD</v>
          </cell>
          <cell r="H195" t="str">
            <v>C22</v>
          </cell>
          <cell r="I195" t="str">
            <v>SUMIDA TRADING C</v>
          </cell>
          <cell r="J195">
            <v>0</v>
          </cell>
        </row>
        <row r="196">
          <cell r="B196" t="str">
            <v>Q2703003301A</v>
          </cell>
          <cell r="C196" t="str">
            <v>CHIP INDUCTOR-FI_B2012_472KJT/CIL21J4R</v>
          </cell>
          <cell r="D196" t="str">
            <v>F</v>
          </cell>
          <cell r="F196">
            <v>0</v>
          </cell>
          <cell r="H196" t="str">
            <v>C22</v>
          </cell>
          <cell r="J196">
            <v>0</v>
          </cell>
        </row>
        <row r="197">
          <cell r="B197" t="str">
            <v>Q2801000801A</v>
          </cell>
          <cell r="C197" t="str">
            <v>X TAL-FCX03(36.00M)</v>
          </cell>
          <cell r="D197" t="str">
            <v>F</v>
          </cell>
          <cell r="F197">
            <v>63</v>
          </cell>
          <cell r="G197" t="str">
            <v>JPY</v>
          </cell>
          <cell r="H197" t="str">
            <v>C50</v>
          </cell>
          <cell r="I197" t="str">
            <v>RIVER ELETEC COR</v>
          </cell>
          <cell r="J197">
            <v>0</v>
          </cell>
        </row>
        <row r="198">
          <cell r="B198" t="str">
            <v>Q2801001301A</v>
          </cell>
          <cell r="C198" t="str">
            <v>X-TAL-FCX03(12.00M)</v>
          </cell>
          <cell r="D198" t="str">
            <v>F</v>
          </cell>
          <cell r="F198">
            <v>63</v>
          </cell>
          <cell r="G198" t="str">
            <v>JPY</v>
          </cell>
          <cell r="H198" t="str">
            <v>C50</v>
          </cell>
          <cell r="I198" t="str">
            <v>RIVER ELETEC COR</v>
          </cell>
          <cell r="J198">
            <v>0</v>
          </cell>
        </row>
        <row r="199">
          <cell r="B199" t="str">
            <v>Q2801001401A</v>
          </cell>
          <cell r="C199" t="str">
            <v>X-TAL-FCX03(13.50M)</v>
          </cell>
          <cell r="D199" t="str">
            <v>F</v>
          </cell>
          <cell r="F199">
            <v>63</v>
          </cell>
          <cell r="G199" t="str">
            <v>JPY</v>
          </cell>
          <cell r="H199" t="str">
            <v>C50</v>
          </cell>
          <cell r="I199" t="str">
            <v>RIVER ELETEC COR</v>
          </cell>
          <cell r="J199">
            <v>0</v>
          </cell>
        </row>
        <row r="200">
          <cell r="B200" t="str">
            <v>Q2801001701A</v>
          </cell>
          <cell r="C200" t="str">
            <v>RESONANT-CSTCR6M00G53-R0</v>
          </cell>
          <cell r="D200" t="str">
            <v>F</v>
          </cell>
          <cell r="F200">
            <v>11</v>
          </cell>
          <cell r="G200" t="str">
            <v>JPY</v>
          </cell>
          <cell r="H200" t="str">
            <v>C26</v>
          </cell>
          <cell r="I200" t="str">
            <v>MURATA CO.</v>
          </cell>
          <cell r="J200">
            <v>0</v>
          </cell>
        </row>
        <row r="201">
          <cell r="B201" t="str">
            <v>Q2901000401A</v>
          </cell>
          <cell r="C201" t="str">
            <v>COMMON MODE FILTER-DSC220SE</v>
          </cell>
          <cell r="D201" t="str">
            <v>F</v>
          </cell>
          <cell r="F201">
            <v>0</v>
          </cell>
          <cell r="J201">
            <v>0</v>
          </cell>
        </row>
        <row r="202">
          <cell r="B202" t="str">
            <v>Q2901000501A</v>
          </cell>
          <cell r="C202" t="str">
            <v>COMMON MODE FILTER-DSC220SE</v>
          </cell>
          <cell r="D202" t="str">
            <v>F</v>
          </cell>
          <cell r="F202">
            <v>39</v>
          </cell>
          <cell r="G202" t="str">
            <v>JPY</v>
          </cell>
          <cell r="H202" t="str">
            <v>C15</v>
          </cell>
          <cell r="I202" t="str">
            <v>MURATA CO.</v>
          </cell>
          <cell r="J202">
            <v>0</v>
          </cell>
        </row>
        <row r="203">
          <cell r="B203" t="str">
            <v>Q2904000801A</v>
          </cell>
          <cell r="C203" t="str">
            <v>OLPF-DSC350SE</v>
          </cell>
          <cell r="D203" t="str">
            <v>F</v>
          </cell>
          <cell r="F203">
            <v>195</v>
          </cell>
          <cell r="G203" t="str">
            <v>JPY</v>
          </cell>
          <cell r="H203" t="str">
            <v>C91</v>
          </cell>
          <cell r="I203" t="str">
            <v>DAISHINKU CORP.</v>
          </cell>
          <cell r="J203">
            <v>0</v>
          </cell>
        </row>
        <row r="204">
          <cell r="B204" t="str">
            <v>Q3301000601A</v>
          </cell>
          <cell r="C204" t="str">
            <v>VIDEO용 EMI CORE-ZCAP2035-0930A(TDK)</v>
          </cell>
          <cell r="D204" t="str">
            <v>F</v>
          </cell>
          <cell r="F204">
            <v>640</v>
          </cell>
          <cell r="G204" t="str">
            <v>KRW</v>
          </cell>
          <cell r="H204" t="str">
            <v>C53</v>
          </cell>
          <cell r="I204" t="str">
            <v>웰컴텍</v>
          </cell>
          <cell r="J204">
            <v>0</v>
          </cell>
        </row>
        <row r="205">
          <cell r="B205" t="str">
            <v>Q3403000201A</v>
          </cell>
          <cell r="C205" t="str">
            <v>RELEASE SWITCH-DSC350SE</v>
          </cell>
          <cell r="D205" t="str">
            <v>F</v>
          </cell>
          <cell r="F205">
            <v>12</v>
          </cell>
          <cell r="G205" t="str">
            <v>JPY</v>
          </cell>
          <cell r="H205" t="str">
            <v>C26</v>
          </cell>
          <cell r="I205" t="str">
            <v>SHINMEI ELECTRIC</v>
          </cell>
          <cell r="J205">
            <v>0</v>
          </cell>
        </row>
        <row r="206">
          <cell r="B206" t="str">
            <v>Q3404001001A</v>
          </cell>
          <cell r="C206" t="str">
            <v>TACT SWITCH-DSC350SE</v>
          </cell>
          <cell r="D206" t="str">
            <v>F</v>
          </cell>
          <cell r="F206">
            <v>8</v>
          </cell>
          <cell r="G206" t="str">
            <v>JPY</v>
          </cell>
          <cell r="H206" t="str">
            <v>C26</v>
          </cell>
          <cell r="I206" t="str">
            <v>ALPS</v>
          </cell>
          <cell r="J206">
            <v>0</v>
          </cell>
        </row>
        <row r="207">
          <cell r="B207" t="str">
            <v>Q3404001101A</v>
          </cell>
          <cell r="C207" t="str">
            <v>TACT SWITCH-DSC350SE</v>
          </cell>
          <cell r="D207" t="str">
            <v>F</v>
          </cell>
          <cell r="F207">
            <v>100</v>
          </cell>
          <cell r="G207" t="str">
            <v>JPY</v>
          </cell>
          <cell r="H207" t="str">
            <v>C26</v>
          </cell>
          <cell r="I207" t="str">
            <v>ALPS</v>
          </cell>
          <cell r="J207">
            <v>0</v>
          </cell>
        </row>
        <row r="208">
          <cell r="B208" t="str">
            <v>Q3409000301A</v>
          </cell>
          <cell r="C208" t="str">
            <v>LOAD SWITCH-DIGIMAX220SE</v>
          </cell>
          <cell r="D208" t="str">
            <v>F</v>
          </cell>
          <cell r="F208">
            <v>0.18</v>
          </cell>
          <cell r="G208" t="str">
            <v>USD</v>
          </cell>
          <cell r="H208" t="str">
            <v>C26</v>
          </cell>
          <cell r="I208" t="str">
            <v>Advanced Analogi</v>
          </cell>
          <cell r="J208">
            <v>0</v>
          </cell>
        </row>
        <row r="209">
          <cell r="B209" t="str">
            <v>Q3409000801A</v>
          </cell>
          <cell r="C209" t="str">
            <v>DETECT SWITCH-DSC350SE</v>
          </cell>
          <cell r="D209" t="str">
            <v>F</v>
          </cell>
          <cell r="F209">
            <v>10</v>
          </cell>
          <cell r="G209" t="str">
            <v>JPY</v>
          </cell>
          <cell r="H209" t="str">
            <v>C26</v>
          </cell>
          <cell r="I209" t="str">
            <v>SHINMEI ELECTRIC</v>
          </cell>
          <cell r="J209">
            <v>0</v>
          </cell>
        </row>
        <row r="210">
          <cell r="B210" t="str">
            <v>Q3409000901A</v>
          </cell>
          <cell r="C210" t="str">
            <v>ANALOG SWITCH-KIC7W66FU</v>
          </cell>
          <cell r="D210" t="str">
            <v>F</v>
          </cell>
          <cell r="F210">
            <v>0</v>
          </cell>
          <cell r="J210">
            <v>0</v>
          </cell>
        </row>
        <row r="211">
          <cell r="B211" t="str">
            <v>Q3601000201A</v>
          </cell>
          <cell r="C211" t="str">
            <v>CHIP FUSE-FCC20(2A)</v>
          </cell>
          <cell r="D211" t="str">
            <v>F</v>
          </cell>
          <cell r="F211">
            <v>120</v>
          </cell>
          <cell r="G211" t="str">
            <v>KRW</v>
          </cell>
          <cell r="H211" t="str">
            <v>C56</v>
          </cell>
          <cell r="I211" t="str">
            <v>서일전자공업(주)</v>
          </cell>
          <cell r="J211">
            <v>0</v>
          </cell>
        </row>
        <row r="212">
          <cell r="B212" t="str">
            <v>Q3708002401A</v>
          </cell>
          <cell r="C212" t="str">
            <v>CF EJECTOR(CONNECTOR HOUSING)-JC26FSLH</v>
          </cell>
          <cell r="D212" t="str">
            <v>F</v>
          </cell>
          <cell r="F212">
            <v>72</v>
          </cell>
          <cell r="G212" t="str">
            <v>JPY</v>
          </cell>
          <cell r="H212" t="str">
            <v>C46</v>
          </cell>
          <cell r="I212" t="str">
            <v>JAPAN AVIATION E</v>
          </cell>
          <cell r="J212">
            <v>0</v>
          </cell>
        </row>
        <row r="213">
          <cell r="B213" t="str">
            <v>Q3708003401A</v>
          </cell>
          <cell r="C213" t="str">
            <v>CONNECTOR-04_6239_020_001_800(LENS)</v>
          </cell>
          <cell r="D213" t="str">
            <v>F</v>
          </cell>
          <cell r="F213">
            <v>239</v>
          </cell>
          <cell r="G213" t="str">
            <v>KRW</v>
          </cell>
          <cell r="H213" t="str">
            <v>C22</v>
          </cell>
          <cell r="I213" t="str">
            <v>교세라엘코코리아</v>
          </cell>
          <cell r="J213">
            <v>0</v>
          </cell>
        </row>
        <row r="214">
          <cell r="B214" t="str">
            <v>Q3708003501A</v>
          </cell>
          <cell r="C214" t="str">
            <v>CONNECTOR-04_6239_024_001_800(KEY&amp;LCD)</v>
          </cell>
          <cell r="D214" t="str">
            <v>F</v>
          </cell>
          <cell r="F214">
            <v>279</v>
          </cell>
          <cell r="G214" t="str">
            <v>KRW</v>
          </cell>
          <cell r="H214" t="str">
            <v>C22</v>
          </cell>
          <cell r="I214" t="str">
            <v>교세라엘코코리아</v>
          </cell>
          <cell r="J214">
            <v>0</v>
          </cell>
        </row>
        <row r="215">
          <cell r="B215" t="str">
            <v>Q3708003601A</v>
          </cell>
          <cell r="C215" t="str">
            <v>CONNECTOR-24_5645_060_000_829(MAIN&amp;POW</v>
          </cell>
          <cell r="D215" t="str">
            <v>F</v>
          </cell>
          <cell r="F215">
            <v>631</v>
          </cell>
          <cell r="G215" t="str">
            <v>KRW</v>
          </cell>
          <cell r="H215" t="str">
            <v>C22</v>
          </cell>
          <cell r="I215" t="str">
            <v>교세라엘코코리아</v>
          </cell>
          <cell r="J215">
            <v>0</v>
          </cell>
        </row>
        <row r="216">
          <cell r="B216" t="str">
            <v>Q3708003701A</v>
          </cell>
          <cell r="C216" t="str">
            <v>CONNECTOR-14_5645_060_000_829(MAIN&amp;POW</v>
          </cell>
          <cell r="D216" t="str">
            <v>F</v>
          </cell>
          <cell r="F216">
            <v>533</v>
          </cell>
          <cell r="G216" t="str">
            <v>KRW</v>
          </cell>
          <cell r="H216" t="str">
            <v>C22</v>
          </cell>
          <cell r="I216" t="str">
            <v>교세라엘코코리아</v>
          </cell>
          <cell r="J216">
            <v>0</v>
          </cell>
        </row>
        <row r="217">
          <cell r="B217" t="str">
            <v>Q3708003801A</v>
          </cell>
          <cell r="C217" t="str">
            <v>CONNECTOR-04_6254_012_000_800</v>
          </cell>
          <cell r="D217" t="str">
            <v>F</v>
          </cell>
          <cell r="F217">
            <v>0</v>
          </cell>
          <cell r="H217" t="str">
            <v>C22</v>
          </cell>
          <cell r="J217">
            <v>0</v>
          </cell>
        </row>
        <row r="218">
          <cell r="B218" t="str">
            <v>Q3708003901A</v>
          </cell>
          <cell r="C218" t="str">
            <v>CONNECTOR-21FXL_RSM1_TB</v>
          </cell>
          <cell r="D218" t="str">
            <v>F</v>
          </cell>
          <cell r="F218">
            <v>0</v>
          </cell>
          <cell r="H218" t="str">
            <v>C22</v>
          </cell>
          <cell r="J218">
            <v>0</v>
          </cell>
        </row>
        <row r="219">
          <cell r="B219" t="str">
            <v>Q3708004001A</v>
          </cell>
          <cell r="C219" t="str">
            <v>CONNECTOR-24FLH_SM1_TB</v>
          </cell>
          <cell r="D219" t="str">
            <v>F</v>
          </cell>
          <cell r="F219">
            <v>0</v>
          </cell>
          <cell r="H219" t="str">
            <v>C22</v>
          </cell>
          <cell r="J219">
            <v>0</v>
          </cell>
        </row>
        <row r="220">
          <cell r="B220" t="str">
            <v>Q3711000301A</v>
          </cell>
          <cell r="C220" t="str">
            <v>CF HEADER-JC26-BB16-E800</v>
          </cell>
          <cell r="D220" t="str">
            <v>F</v>
          </cell>
          <cell r="F220">
            <v>71</v>
          </cell>
          <cell r="G220" t="str">
            <v>JPY</v>
          </cell>
          <cell r="H220" t="str">
            <v>C46</v>
          </cell>
          <cell r="I220" t="str">
            <v>JAPAN AVIATION E</v>
          </cell>
          <cell r="J220">
            <v>0</v>
          </cell>
        </row>
        <row r="221">
          <cell r="B221" t="str">
            <v>Q3717000301A</v>
          </cell>
          <cell r="C221" t="str">
            <v>CONNECTOR(MAIN-SUB)</v>
          </cell>
          <cell r="D221" t="str">
            <v>F</v>
          </cell>
          <cell r="F221">
            <v>20</v>
          </cell>
          <cell r="G221" t="str">
            <v>JPY</v>
          </cell>
          <cell r="H221" t="str">
            <v>C46</v>
          </cell>
          <cell r="I221" t="str">
            <v>JAPAN AVIATION E</v>
          </cell>
          <cell r="J221">
            <v>0</v>
          </cell>
        </row>
        <row r="222">
          <cell r="B222" t="str">
            <v>Q3717000701A</v>
          </cell>
          <cell r="C222" t="str">
            <v>CONNECTOR(SUB-MAIN)</v>
          </cell>
          <cell r="D222" t="str">
            <v>F</v>
          </cell>
          <cell r="F222">
            <v>25</v>
          </cell>
          <cell r="G222" t="str">
            <v>JPY</v>
          </cell>
          <cell r="H222" t="str">
            <v>C46</v>
          </cell>
          <cell r="I222" t="str">
            <v>JAPAN AVIATION E</v>
          </cell>
          <cell r="J222">
            <v>0</v>
          </cell>
        </row>
        <row r="223">
          <cell r="B223" t="str">
            <v>Q3722000401A</v>
          </cell>
          <cell r="C223" t="str">
            <v>USB JACK</v>
          </cell>
          <cell r="D223" t="str">
            <v>F</v>
          </cell>
          <cell r="F223">
            <v>19</v>
          </cell>
          <cell r="G223" t="str">
            <v>JPY</v>
          </cell>
          <cell r="H223" t="str">
            <v>C56</v>
          </cell>
          <cell r="I223" t="str">
            <v>SAMSUNG JAPAN CO</v>
          </cell>
          <cell r="J223">
            <v>0</v>
          </cell>
        </row>
        <row r="224">
          <cell r="B224" t="str">
            <v>Q3722000701A</v>
          </cell>
          <cell r="C224" t="str">
            <v>VIDEO JACK-DSC350SE</v>
          </cell>
          <cell r="D224" t="str">
            <v>F</v>
          </cell>
          <cell r="F224">
            <v>22</v>
          </cell>
          <cell r="G224" t="str">
            <v>JPY</v>
          </cell>
          <cell r="H224" t="str">
            <v>C26</v>
          </cell>
          <cell r="I224" t="str">
            <v>EX CO.,LTD</v>
          </cell>
          <cell r="J224">
            <v>0</v>
          </cell>
        </row>
        <row r="225">
          <cell r="B225" t="str">
            <v>Q3722000801A</v>
          </cell>
          <cell r="C225" t="str">
            <v>DC JACK-DSC350SE</v>
          </cell>
          <cell r="D225" t="str">
            <v>F</v>
          </cell>
          <cell r="F225">
            <v>0.22</v>
          </cell>
          <cell r="G225" t="str">
            <v>USD</v>
          </cell>
          <cell r="H225" t="str">
            <v>C26</v>
          </cell>
          <cell r="I225" t="str">
            <v>HON HAI PRECISIO</v>
          </cell>
          <cell r="J225">
            <v>0</v>
          </cell>
        </row>
        <row r="226">
          <cell r="B226" t="str">
            <v>Q3801002201A</v>
          </cell>
          <cell r="C226" t="str">
            <v>VOICE CODEC-DSC350SE</v>
          </cell>
          <cell r="D226" t="str">
            <v>F</v>
          </cell>
          <cell r="F226">
            <v>1.65</v>
          </cell>
          <cell r="G226" t="str">
            <v>USD</v>
          </cell>
          <cell r="H226" t="str">
            <v>C26</v>
          </cell>
          <cell r="I226" t="str">
            <v>TEXAS INSTRUMEN</v>
          </cell>
          <cell r="J226">
            <v>0</v>
          </cell>
        </row>
        <row r="227">
          <cell r="B227" t="str">
            <v>Q3802000401A</v>
          </cell>
          <cell r="C227" t="str">
            <v>USB CABLE-1.5 SMALL CONNECTOR</v>
          </cell>
          <cell r="D227" t="str">
            <v>F</v>
          </cell>
          <cell r="F227">
            <v>116</v>
          </cell>
          <cell r="G227" t="str">
            <v>JPY</v>
          </cell>
          <cell r="H227" t="str">
            <v>C56</v>
          </cell>
          <cell r="I227" t="str">
            <v>SAMSUNG JAPAN CO</v>
          </cell>
          <cell r="J227">
            <v>0</v>
          </cell>
        </row>
        <row r="228">
          <cell r="B228" t="str">
            <v>Q3802001801A</v>
          </cell>
          <cell r="C228" t="str">
            <v>A/V CABLE-DSC350SE_1.5 M</v>
          </cell>
          <cell r="D228" t="str">
            <v>F</v>
          </cell>
          <cell r="F228">
            <v>0</v>
          </cell>
          <cell r="H228" t="str">
            <v>C22</v>
          </cell>
          <cell r="J228">
            <v>0</v>
          </cell>
        </row>
        <row r="229">
          <cell r="B229" t="str">
            <v>Q3811075601A</v>
          </cell>
          <cell r="C229" t="str">
            <v>LEAD WIRE-DSC350SE</v>
          </cell>
          <cell r="D229" t="str">
            <v>F</v>
          </cell>
          <cell r="F229">
            <v>0</v>
          </cell>
          <cell r="J229">
            <v>0</v>
          </cell>
        </row>
        <row r="230">
          <cell r="B230" t="str">
            <v>Q3811075701A</v>
          </cell>
          <cell r="C230" t="str">
            <v>LEAD WIRE-DSC350SE</v>
          </cell>
          <cell r="D230" t="str">
            <v>F</v>
          </cell>
          <cell r="F230">
            <v>0</v>
          </cell>
          <cell r="J230">
            <v>0</v>
          </cell>
        </row>
        <row r="231">
          <cell r="B231" t="str">
            <v>Q3811075801A</v>
          </cell>
          <cell r="C231" t="str">
            <v>LEAD WIRE-DSC350SE</v>
          </cell>
          <cell r="D231" t="str">
            <v>F</v>
          </cell>
          <cell r="F231">
            <v>0</v>
          </cell>
          <cell r="J231">
            <v>0</v>
          </cell>
        </row>
        <row r="232">
          <cell r="B232" t="str">
            <v>Q3811075901A</v>
          </cell>
          <cell r="C232" t="str">
            <v>LEAD WIRE-DSC350SE</v>
          </cell>
          <cell r="D232" t="str">
            <v>F</v>
          </cell>
          <cell r="F232">
            <v>0</v>
          </cell>
          <cell r="J232">
            <v>0</v>
          </cell>
        </row>
        <row r="233">
          <cell r="B233" t="str">
            <v>Q3811076201A</v>
          </cell>
          <cell r="C233" t="str">
            <v>LEAD WIRE-DSC350SE</v>
          </cell>
          <cell r="D233" t="str">
            <v>F</v>
          </cell>
          <cell r="F233">
            <v>0</v>
          </cell>
          <cell r="J233">
            <v>0</v>
          </cell>
        </row>
        <row r="234">
          <cell r="B234" t="str">
            <v>Q3811076301A</v>
          </cell>
          <cell r="C234" t="str">
            <v>LEAD WIRE-DSC350SE</v>
          </cell>
          <cell r="D234" t="str">
            <v>F</v>
          </cell>
          <cell r="F234">
            <v>0</v>
          </cell>
          <cell r="J234">
            <v>0</v>
          </cell>
        </row>
        <row r="235">
          <cell r="B235" t="str">
            <v>Q3811076401A</v>
          </cell>
          <cell r="C235" t="str">
            <v>LEAD WIRE-DSC350SE</v>
          </cell>
          <cell r="D235" t="str">
            <v>F</v>
          </cell>
          <cell r="F235">
            <v>0</v>
          </cell>
          <cell r="J235">
            <v>0</v>
          </cell>
        </row>
        <row r="236">
          <cell r="B236" t="str">
            <v>Q3811076501A</v>
          </cell>
          <cell r="C236" t="str">
            <v>LEAD WIRE-DSC350SE</v>
          </cell>
          <cell r="D236" t="str">
            <v>F</v>
          </cell>
          <cell r="F236">
            <v>0</v>
          </cell>
          <cell r="J236">
            <v>0</v>
          </cell>
        </row>
        <row r="237">
          <cell r="B237" t="str">
            <v>Q3811076601A</v>
          </cell>
          <cell r="C237" t="str">
            <v>LEAD WIRE-DSC350SE</v>
          </cell>
          <cell r="D237" t="str">
            <v>F</v>
          </cell>
          <cell r="F237">
            <v>0</v>
          </cell>
          <cell r="J237">
            <v>0</v>
          </cell>
        </row>
        <row r="238">
          <cell r="B238" t="str">
            <v>Q3811076701A</v>
          </cell>
          <cell r="C238" t="str">
            <v>LEAD WIRE-DSC350SE</v>
          </cell>
          <cell r="D238" t="str">
            <v>F</v>
          </cell>
          <cell r="F238">
            <v>0</v>
          </cell>
          <cell r="J238">
            <v>0</v>
          </cell>
        </row>
        <row r="239">
          <cell r="B239" t="str">
            <v>Q3811076801A</v>
          </cell>
          <cell r="C239" t="str">
            <v>LEAD WIRE-DSC350SE</v>
          </cell>
          <cell r="D239" t="str">
            <v>F</v>
          </cell>
          <cell r="F239">
            <v>0</v>
          </cell>
          <cell r="J239">
            <v>0</v>
          </cell>
        </row>
        <row r="240">
          <cell r="B240" t="str">
            <v>Q3811076901A</v>
          </cell>
          <cell r="C240" t="str">
            <v>LEAD WIRE-DSC350SE</v>
          </cell>
          <cell r="D240" t="str">
            <v>F</v>
          </cell>
          <cell r="F240">
            <v>0</v>
          </cell>
          <cell r="J240">
            <v>0</v>
          </cell>
        </row>
        <row r="241">
          <cell r="B241" t="str">
            <v>Q4101023601A</v>
          </cell>
          <cell r="C241" t="str">
            <v>LCD F PCB-DSC350SE</v>
          </cell>
          <cell r="D241" t="str">
            <v>F</v>
          </cell>
          <cell r="F241">
            <v>0</v>
          </cell>
          <cell r="H241" t="str">
            <v>C22</v>
          </cell>
          <cell r="J241">
            <v>0</v>
          </cell>
        </row>
        <row r="242">
          <cell r="B242" t="str">
            <v>Q4102004801A</v>
          </cell>
          <cell r="C242" t="str">
            <v>MODE PCB-DSC350SE</v>
          </cell>
          <cell r="D242" t="str">
            <v>F</v>
          </cell>
          <cell r="F242">
            <v>391</v>
          </cell>
          <cell r="G242" t="str">
            <v>KRW</v>
          </cell>
          <cell r="H242" t="str">
            <v>C22</v>
          </cell>
          <cell r="I242" t="str">
            <v>(주)에스아이플렉</v>
          </cell>
          <cell r="J242">
            <v>0</v>
          </cell>
        </row>
        <row r="243">
          <cell r="B243" t="str">
            <v>Q4102004901A</v>
          </cell>
          <cell r="C243" t="str">
            <v>CCD FPCB-DSC350SE</v>
          </cell>
          <cell r="D243" t="str">
            <v>F</v>
          </cell>
          <cell r="F243">
            <v>0</v>
          </cell>
          <cell r="H243" t="str">
            <v>C22</v>
          </cell>
          <cell r="J243">
            <v>0</v>
          </cell>
        </row>
        <row r="244">
          <cell r="B244" t="str">
            <v>Q4103010001A</v>
          </cell>
          <cell r="C244" t="str">
            <v>LED PCB-DSC350SE</v>
          </cell>
          <cell r="D244" t="str">
            <v>F</v>
          </cell>
          <cell r="F244">
            <v>0</v>
          </cell>
          <cell r="H244" t="str">
            <v>C22</v>
          </cell>
          <cell r="J244">
            <v>0</v>
          </cell>
        </row>
        <row r="245">
          <cell r="B245" t="str">
            <v>Q4103010101A</v>
          </cell>
          <cell r="C245" t="str">
            <v>PHOTO PCB-DSC350SE</v>
          </cell>
          <cell r="D245" t="str">
            <v>F</v>
          </cell>
          <cell r="F245">
            <v>0</v>
          </cell>
          <cell r="H245" t="str">
            <v>C22</v>
          </cell>
          <cell r="J245">
            <v>0</v>
          </cell>
        </row>
        <row r="246">
          <cell r="B246" t="str">
            <v>Q4104015601A</v>
          </cell>
          <cell r="C246" t="str">
            <v>MAIN PCB-DSC350SE</v>
          </cell>
          <cell r="D246" t="str">
            <v>F</v>
          </cell>
          <cell r="F246">
            <v>0</v>
          </cell>
          <cell r="H246" t="str">
            <v>C22</v>
          </cell>
          <cell r="J246">
            <v>0</v>
          </cell>
        </row>
        <row r="247">
          <cell r="B247" t="str">
            <v>Q4104015701A</v>
          </cell>
          <cell r="C247" t="str">
            <v>POWER PCB-DSC350SE</v>
          </cell>
          <cell r="D247" t="str">
            <v>F</v>
          </cell>
          <cell r="F247">
            <v>0</v>
          </cell>
          <cell r="H247" t="str">
            <v>C22</v>
          </cell>
          <cell r="J247">
            <v>0</v>
          </cell>
        </row>
        <row r="248">
          <cell r="B248" t="str">
            <v>Q4104015801A</v>
          </cell>
          <cell r="C248" t="str">
            <v>STROBO PCB-DSC350SE</v>
          </cell>
          <cell r="D248" t="str">
            <v>F</v>
          </cell>
          <cell r="F248">
            <v>0</v>
          </cell>
          <cell r="H248" t="str">
            <v>C22</v>
          </cell>
          <cell r="J248">
            <v>0</v>
          </cell>
        </row>
        <row r="249">
          <cell r="B249" t="str">
            <v>Q4104016201A</v>
          </cell>
          <cell r="C249" t="str">
            <v>LCD PCB-DSC350SE</v>
          </cell>
          <cell r="D249" t="str">
            <v>F</v>
          </cell>
          <cell r="F249">
            <v>0</v>
          </cell>
          <cell r="H249" t="str">
            <v>C22</v>
          </cell>
          <cell r="J249">
            <v>0</v>
          </cell>
        </row>
        <row r="250">
          <cell r="B250" t="str">
            <v>Q4301001701A</v>
          </cell>
          <cell r="C250" t="str">
            <v>BUTTON CELL BATTERY-MC621</v>
          </cell>
          <cell r="D250" t="str">
            <v>F</v>
          </cell>
          <cell r="F250">
            <v>0.48</v>
          </cell>
          <cell r="G250" t="str">
            <v>USD</v>
          </cell>
          <cell r="H250" t="str">
            <v>C50</v>
          </cell>
          <cell r="I250" t="str">
            <v>VARTA BATTERIES</v>
          </cell>
          <cell r="J250">
            <v>0</v>
          </cell>
        </row>
        <row r="251">
          <cell r="B251" t="str">
            <v>Q4301001801A</v>
          </cell>
          <cell r="C251" t="str">
            <v>ALKALINE BATTERY-DSC210</v>
          </cell>
          <cell r="D251" t="str">
            <v>F</v>
          </cell>
          <cell r="F251">
            <v>226</v>
          </cell>
          <cell r="G251" t="str">
            <v>KRW</v>
          </cell>
          <cell r="H251" t="str">
            <v>C50</v>
          </cell>
          <cell r="I251" t="str">
            <v>질레트코리아(유)</v>
          </cell>
          <cell r="J251">
            <v>0</v>
          </cell>
        </row>
        <row r="252">
          <cell r="B252" t="str">
            <v>Q4609002901A</v>
          </cell>
          <cell r="C252" t="str">
            <v>DRIVER/MGI PHOTOSUITE_EUROPE(BLUE)/DIG</v>
          </cell>
          <cell r="D252" t="str">
            <v>F</v>
          </cell>
          <cell r="F252">
            <v>3050</v>
          </cell>
          <cell r="G252" t="str">
            <v>KRW</v>
          </cell>
          <cell r="H252" t="str">
            <v>C65</v>
          </cell>
          <cell r="I252" t="str">
            <v>(주)세미르</v>
          </cell>
          <cell r="J252">
            <v>0</v>
          </cell>
        </row>
        <row r="253">
          <cell r="B253" t="str">
            <v>Q4719000301A</v>
          </cell>
          <cell r="C253" t="str">
            <v>SPEAKER-SG_1708M11(8 ohm)</v>
          </cell>
          <cell r="D253" t="str">
            <v>F</v>
          </cell>
          <cell r="F253">
            <v>0</v>
          </cell>
          <cell r="H253" t="str">
            <v>C22</v>
          </cell>
          <cell r="J253">
            <v>0</v>
          </cell>
        </row>
        <row r="254">
          <cell r="B254" t="str">
            <v>Q4719000401A</v>
          </cell>
          <cell r="C254" t="str">
            <v>MICROPHONE-SKB_2742T_A34</v>
          </cell>
          <cell r="D254" t="str">
            <v>F</v>
          </cell>
          <cell r="F254">
            <v>0</v>
          </cell>
          <cell r="H254" t="str">
            <v>C22</v>
          </cell>
          <cell r="J254">
            <v>0</v>
          </cell>
        </row>
        <row r="255">
          <cell r="B255" t="str">
            <v>Q6001016001A</v>
          </cell>
          <cell r="C255" t="str">
            <v>CARD HOLDER SCREW-DSC210</v>
          </cell>
          <cell r="D255" t="str">
            <v>F</v>
          </cell>
          <cell r="F255">
            <v>4</v>
          </cell>
          <cell r="G255" t="str">
            <v>KRW</v>
          </cell>
          <cell r="H255" t="str">
            <v>C80</v>
          </cell>
          <cell r="I255" t="str">
            <v>케이엠에스티(주)</v>
          </cell>
          <cell r="J255">
            <v>0</v>
          </cell>
        </row>
        <row r="256">
          <cell r="B256" t="str">
            <v>Q6003024201A</v>
          </cell>
          <cell r="C256" t="str">
            <v>SCREW</v>
          </cell>
          <cell r="D256" t="str">
            <v>F</v>
          </cell>
          <cell r="F256">
            <v>3</v>
          </cell>
          <cell r="G256" t="str">
            <v>KRW</v>
          </cell>
          <cell r="H256" t="str">
            <v>C80</v>
          </cell>
          <cell r="I256" t="str">
            <v>케이엠에스티(주)</v>
          </cell>
          <cell r="J256">
            <v>0</v>
          </cell>
        </row>
        <row r="257">
          <cell r="B257" t="str">
            <v>Q6003028101A</v>
          </cell>
          <cell r="C257" t="str">
            <v>SCREW-M1.4xP0.45xL2.5xD4.0</v>
          </cell>
          <cell r="D257" t="str">
            <v>F</v>
          </cell>
          <cell r="F257">
            <v>5</v>
          </cell>
          <cell r="G257" t="str">
            <v>KRW</v>
          </cell>
          <cell r="H257" t="str">
            <v>C20</v>
          </cell>
          <cell r="I257" t="str">
            <v>(주)서울금속</v>
          </cell>
          <cell r="J257">
            <v>0</v>
          </cell>
        </row>
        <row r="258">
          <cell r="B258" t="str">
            <v>Q6003028201A</v>
          </cell>
          <cell r="C258" t="str">
            <v>SCREW-TAPTITE BH</v>
          </cell>
          <cell r="D258" t="str">
            <v>F</v>
          </cell>
          <cell r="F258">
            <v>3</v>
          </cell>
          <cell r="G258" t="str">
            <v>KRW</v>
          </cell>
          <cell r="H258" t="str">
            <v>C52</v>
          </cell>
          <cell r="I258" t="str">
            <v>(주)서울금속</v>
          </cell>
          <cell r="J258">
            <v>0</v>
          </cell>
        </row>
        <row r="259">
          <cell r="B259" t="str">
            <v>Q6003029701A</v>
          </cell>
          <cell r="C259" t="str">
            <v>SCREW 5X0.5X0.5X1.7-DSC350SE</v>
          </cell>
          <cell r="D259" t="str">
            <v>F</v>
          </cell>
          <cell r="F259">
            <v>14</v>
          </cell>
          <cell r="G259" t="str">
            <v>KRW</v>
          </cell>
          <cell r="H259" t="str">
            <v>C20</v>
          </cell>
          <cell r="I259" t="str">
            <v>(주)서울금속</v>
          </cell>
          <cell r="J259">
            <v>0</v>
          </cell>
        </row>
        <row r="260">
          <cell r="B260" t="str">
            <v>Q6003033301A</v>
          </cell>
          <cell r="C260" t="str">
            <v>CCD PLATE SCREW-DSC350SE</v>
          </cell>
          <cell r="D260" t="str">
            <v>F</v>
          </cell>
          <cell r="F260">
            <v>10</v>
          </cell>
          <cell r="G260" t="str">
            <v>KRW</v>
          </cell>
          <cell r="H260" t="str">
            <v>C20</v>
          </cell>
          <cell r="I260" t="str">
            <v>(주)서울금속</v>
          </cell>
          <cell r="J260">
            <v>0</v>
          </cell>
        </row>
        <row r="261">
          <cell r="B261" t="str">
            <v>Q6107040501A</v>
          </cell>
          <cell r="C261" t="str">
            <v>RELEASE SPRING-IP5X</v>
          </cell>
          <cell r="D261" t="str">
            <v>F</v>
          </cell>
          <cell r="F261">
            <v>15</v>
          </cell>
          <cell r="G261" t="str">
            <v>KRW</v>
          </cell>
          <cell r="H261" t="str">
            <v>C80</v>
          </cell>
          <cell r="I261" t="str">
            <v>삼현(주)</v>
          </cell>
          <cell r="J261">
            <v>0</v>
          </cell>
        </row>
        <row r="262">
          <cell r="B262" t="str">
            <v>Q6107045702B</v>
          </cell>
          <cell r="C262" t="str">
            <v>BATTERY HG SPRING-DSC350SE</v>
          </cell>
          <cell r="D262" t="str">
            <v>F</v>
          </cell>
          <cell r="F262">
            <v>30</v>
          </cell>
          <cell r="G262" t="str">
            <v>KRW</v>
          </cell>
          <cell r="H262" t="str">
            <v>C20</v>
          </cell>
          <cell r="I262" t="str">
            <v>삼원정공(주)</v>
          </cell>
          <cell r="J262">
            <v>0</v>
          </cell>
        </row>
        <row r="263">
          <cell r="B263" t="str">
            <v>Q6107050101A</v>
          </cell>
          <cell r="C263" t="str">
            <v>5 FUNCTION SPRING-DSC350SE</v>
          </cell>
          <cell r="D263" t="str">
            <v>F</v>
          </cell>
          <cell r="F263">
            <v>18</v>
          </cell>
          <cell r="G263" t="str">
            <v>KRW</v>
          </cell>
          <cell r="H263" t="str">
            <v>C20</v>
          </cell>
          <cell r="I263" t="str">
            <v>대원강업(주)창원</v>
          </cell>
          <cell r="J263">
            <v>0</v>
          </cell>
        </row>
        <row r="264">
          <cell r="B264" t="str">
            <v>Q6804037401A</v>
          </cell>
          <cell r="C264" t="str">
            <v>HOLOGRAM STICKER_D350</v>
          </cell>
          <cell r="D264" t="str">
            <v>F</v>
          </cell>
          <cell r="F264">
            <v>0</v>
          </cell>
          <cell r="H264" t="str">
            <v>C65</v>
          </cell>
          <cell r="J264">
            <v>0</v>
          </cell>
        </row>
        <row r="265">
          <cell r="B265" t="str">
            <v>Q6806123401A</v>
          </cell>
          <cell r="C265" t="str">
            <v>U/MANUAL_DIGIMAX_350SE_ENG</v>
          </cell>
          <cell r="D265" t="str">
            <v>F</v>
          </cell>
          <cell r="F265">
            <v>2635</v>
          </cell>
          <cell r="G265" t="str">
            <v>KRW</v>
          </cell>
          <cell r="H265" t="str">
            <v>C65</v>
          </cell>
          <cell r="I265" t="str">
            <v>삼영인쇄(주)</v>
          </cell>
          <cell r="J265">
            <v>0</v>
          </cell>
        </row>
        <row r="266">
          <cell r="B266" t="str">
            <v>Q6901128801A</v>
          </cell>
          <cell r="C266" t="str">
            <v>C/T BOX_DIGIMAX 210SE(1/10EA)</v>
          </cell>
          <cell r="D266" t="str">
            <v>F</v>
          </cell>
          <cell r="F266">
            <v>1600</v>
          </cell>
          <cell r="G266" t="str">
            <v>KRW</v>
          </cell>
          <cell r="H266" t="str">
            <v>C65</v>
          </cell>
          <cell r="I266" t="str">
            <v>(주)대세기업</v>
          </cell>
          <cell r="J266">
            <v>0</v>
          </cell>
        </row>
        <row r="267">
          <cell r="B267" t="str">
            <v>Q6901139301A</v>
          </cell>
          <cell r="C267" t="str">
            <v>PLASTIC BOX-DSC210</v>
          </cell>
          <cell r="D267" t="str">
            <v>F</v>
          </cell>
          <cell r="F267">
            <v>160</v>
          </cell>
          <cell r="G267" t="str">
            <v>KRW</v>
          </cell>
          <cell r="H267" t="str">
            <v>C65</v>
          </cell>
          <cell r="I267" t="str">
            <v>광희전자</v>
          </cell>
          <cell r="J267">
            <v>0</v>
          </cell>
        </row>
        <row r="268">
          <cell r="B268" t="str">
            <v>Q6901156901A</v>
          </cell>
          <cell r="C268" t="str">
            <v>INNER BOX_DIGIMAX 350SE</v>
          </cell>
          <cell r="D268" t="str">
            <v>F</v>
          </cell>
          <cell r="F268">
            <v>485</v>
          </cell>
          <cell r="G268" t="str">
            <v>KRW</v>
          </cell>
          <cell r="H268" t="str">
            <v>C65</v>
          </cell>
          <cell r="I268" t="str">
            <v>삼영인쇄(주)</v>
          </cell>
          <cell r="J268">
            <v>0</v>
          </cell>
        </row>
        <row r="269">
          <cell r="B269" t="str">
            <v>Q6901157101A</v>
          </cell>
          <cell r="C269" t="str">
            <v>G/T BOX_DIGIMAX_350SE_EXP/AUS/USA/CAN</v>
          </cell>
          <cell r="D269" t="str">
            <v>F</v>
          </cell>
          <cell r="F269">
            <v>750</v>
          </cell>
          <cell r="G269" t="str">
            <v>KRW</v>
          </cell>
          <cell r="H269" t="str">
            <v>C65</v>
          </cell>
          <cell r="I269" t="str">
            <v>삼영인쇄(주)</v>
          </cell>
          <cell r="J269">
            <v>0</v>
          </cell>
        </row>
        <row r="270">
          <cell r="B270" t="str">
            <v>Q6904021701A</v>
          </cell>
          <cell r="C270" t="str">
            <v>SKIN CASE_D350SE_KOR/EXP</v>
          </cell>
          <cell r="D270" t="str">
            <v>F</v>
          </cell>
          <cell r="F270">
            <v>3500</v>
          </cell>
          <cell r="G270" t="str">
            <v>KRW</v>
          </cell>
          <cell r="H270" t="str">
            <v>C65</v>
          </cell>
          <cell r="I270" t="str">
            <v>삼양케이스(주)</v>
          </cell>
          <cell r="J270">
            <v>0</v>
          </cell>
        </row>
        <row r="271">
          <cell r="B271" t="str">
            <v>Q6909009401A</v>
          </cell>
          <cell r="C271" t="str">
            <v>P.E BAG_DIGIMAX 210SE</v>
          </cell>
          <cell r="D271" t="str">
            <v>F</v>
          </cell>
          <cell r="F271">
            <v>22</v>
          </cell>
          <cell r="G271" t="str">
            <v>KRW</v>
          </cell>
          <cell r="H271" t="str">
            <v>C65</v>
          </cell>
          <cell r="I271" t="str">
            <v>(주)신우아이피</v>
          </cell>
          <cell r="J271">
            <v>0</v>
          </cell>
        </row>
        <row r="272">
          <cell r="B272" t="str">
            <v>Q7011035002A</v>
          </cell>
          <cell r="C272" t="str">
            <v>MODE CONTACT-IP5X</v>
          </cell>
          <cell r="D272" t="str">
            <v>F</v>
          </cell>
          <cell r="E272">
            <v>30</v>
          </cell>
          <cell r="F272">
            <v>9</v>
          </cell>
          <cell r="G272" t="str">
            <v>KRW</v>
          </cell>
          <cell r="H272" t="str">
            <v>C60</v>
          </cell>
          <cell r="I272" t="str">
            <v>삼기엠.티(주)</v>
          </cell>
          <cell r="J272">
            <v>0</v>
          </cell>
        </row>
        <row r="273">
          <cell r="B273" t="str">
            <v>Q7011037001A</v>
          </cell>
          <cell r="C273" t="str">
            <v>BATTERY CONTACT_A-DSC350SE</v>
          </cell>
          <cell r="D273" t="str">
            <v>F</v>
          </cell>
          <cell r="F273">
            <v>47</v>
          </cell>
          <cell r="G273" t="str">
            <v>KRW</v>
          </cell>
          <cell r="H273" t="str">
            <v>C60</v>
          </cell>
          <cell r="I273" t="str">
            <v>삼기엠.티(주)</v>
          </cell>
          <cell r="J273">
            <v>0</v>
          </cell>
        </row>
        <row r="274">
          <cell r="B274" t="str">
            <v>Q7011037101A</v>
          </cell>
          <cell r="C274" t="str">
            <v>BATTERY CONTACT_B-DSC350SE</v>
          </cell>
          <cell r="D274" t="str">
            <v>F</v>
          </cell>
          <cell r="F274">
            <v>36</v>
          </cell>
          <cell r="G274" t="str">
            <v>KRW</v>
          </cell>
          <cell r="H274" t="str">
            <v>C60</v>
          </cell>
          <cell r="I274" t="str">
            <v>삼기엠.티(주)</v>
          </cell>
          <cell r="J274">
            <v>0</v>
          </cell>
        </row>
        <row r="275">
          <cell r="B275" t="str">
            <v>Q7011037201A</v>
          </cell>
          <cell r="C275" t="str">
            <v>BODY FRAME-DSC350SE</v>
          </cell>
          <cell r="D275" t="str">
            <v>F</v>
          </cell>
          <cell r="F275">
            <v>70</v>
          </cell>
          <cell r="G275" t="str">
            <v>KRW</v>
          </cell>
          <cell r="H275" t="str">
            <v>C60</v>
          </cell>
          <cell r="I275" t="str">
            <v>성광정밀</v>
          </cell>
          <cell r="J275">
            <v>0</v>
          </cell>
        </row>
        <row r="276">
          <cell r="B276" t="str">
            <v>Q7012065801A</v>
          </cell>
          <cell r="C276" t="str">
            <v>FRONT PANEL CAP-DSC 350SE</v>
          </cell>
          <cell r="D276" t="str">
            <v>F</v>
          </cell>
          <cell r="F276">
            <v>710</v>
          </cell>
          <cell r="G276" t="str">
            <v>KRW</v>
          </cell>
          <cell r="H276" t="str">
            <v>C60</v>
          </cell>
          <cell r="I276" t="str">
            <v>(주)성광사</v>
          </cell>
          <cell r="J276">
            <v>0</v>
          </cell>
        </row>
        <row r="277">
          <cell r="B277" t="str">
            <v>Q7012067201A</v>
          </cell>
          <cell r="C277" t="str">
            <v>CCD PLATE-DSC350SE</v>
          </cell>
          <cell r="D277" t="str">
            <v>F</v>
          </cell>
          <cell r="F277">
            <v>21</v>
          </cell>
          <cell r="G277" t="str">
            <v>KRW</v>
          </cell>
          <cell r="H277" t="str">
            <v>C60</v>
          </cell>
          <cell r="I277" t="str">
            <v>성광정밀</v>
          </cell>
          <cell r="J277">
            <v>0</v>
          </cell>
        </row>
        <row r="278">
          <cell r="B278" t="str">
            <v>Q7014003501A</v>
          </cell>
          <cell r="C278" t="str">
            <v>REFLECTOR-DSC350SE</v>
          </cell>
          <cell r="D278" t="str">
            <v>F</v>
          </cell>
          <cell r="E278">
            <v>30</v>
          </cell>
          <cell r="F278">
            <v>15</v>
          </cell>
          <cell r="G278" t="str">
            <v>KRW</v>
          </cell>
          <cell r="H278" t="str">
            <v>C60</v>
          </cell>
          <cell r="I278" t="str">
            <v>진성</v>
          </cell>
          <cell r="J278">
            <v>0</v>
          </cell>
        </row>
        <row r="279">
          <cell r="B279" t="str">
            <v>Q7017025104A</v>
          </cell>
          <cell r="C279" t="str">
            <v>MODE DIAL GUIDE-IP5X</v>
          </cell>
          <cell r="D279" t="str">
            <v>F</v>
          </cell>
          <cell r="F279">
            <v>17</v>
          </cell>
          <cell r="G279" t="str">
            <v>KRW</v>
          </cell>
          <cell r="H279" t="str">
            <v>C60</v>
          </cell>
          <cell r="I279" t="str">
            <v>성광정밀</v>
          </cell>
          <cell r="J279">
            <v>0</v>
          </cell>
        </row>
        <row r="280">
          <cell r="B280" t="str">
            <v>Q7017025203A</v>
          </cell>
          <cell r="C280" t="str">
            <v>DIAL CLICK-IP5X</v>
          </cell>
          <cell r="D280" t="str">
            <v>F</v>
          </cell>
          <cell r="F280">
            <v>11</v>
          </cell>
          <cell r="G280" t="str">
            <v>KRW</v>
          </cell>
          <cell r="H280" t="str">
            <v>C60</v>
          </cell>
          <cell r="I280" t="str">
            <v>성광정밀</v>
          </cell>
          <cell r="J280">
            <v>0</v>
          </cell>
        </row>
        <row r="281">
          <cell r="B281" t="str">
            <v>Q7017030901A</v>
          </cell>
          <cell r="C281" t="str">
            <v>LOGO PLATE-3X WIDE</v>
          </cell>
          <cell r="D281" t="str">
            <v>F</v>
          </cell>
          <cell r="F281">
            <v>200</v>
          </cell>
          <cell r="G281" t="str">
            <v>KRW</v>
          </cell>
          <cell r="H281" t="str">
            <v>C60</v>
          </cell>
          <cell r="I281" t="str">
            <v>(주)에스알</v>
          </cell>
          <cell r="J281">
            <v>0</v>
          </cell>
        </row>
        <row r="282">
          <cell r="B282" t="str">
            <v>Q7017031001A</v>
          </cell>
          <cell r="C282" t="str">
            <v>LCD GUIDE PLATE-DSC350SE</v>
          </cell>
          <cell r="D282" t="str">
            <v>F</v>
          </cell>
          <cell r="F282">
            <v>10</v>
          </cell>
          <cell r="G282" t="str">
            <v>KRW</v>
          </cell>
          <cell r="H282" t="str">
            <v>C60</v>
          </cell>
          <cell r="I282" t="str">
            <v>삼기엠.티(주)</v>
          </cell>
          <cell r="J282">
            <v>0</v>
          </cell>
        </row>
        <row r="283">
          <cell r="B283" t="str">
            <v>Q7017031204B</v>
          </cell>
          <cell r="C283" t="str">
            <v>BATTERY PLATE-DSC350SE</v>
          </cell>
          <cell r="D283" t="str">
            <v>F</v>
          </cell>
          <cell r="F283">
            <v>54</v>
          </cell>
          <cell r="G283" t="str">
            <v>KRW</v>
          </cell>
          <cell r="H283" t="str">
            <v>C60</v>
          </cell>
          <cell r="I283" t="str">
            <v>성광정밀</v>
          </cell>
          <cell r="J283">
            <v>0</v>
          </cell>
        </row>
        <row r="284">
          <cell r="B284" t="str">
            <v>Q7017031301B</v>
          </cell>
          <cell r="C284" t="str">
            <v>STRAP FIX PLATE-DSC350SE</v>
          </cell>
          <cell r="D284" t="str">
            <v>F</v>
          </cell>
          <cell r="F284">
            <v>14</v>
          </cell>
          <cell r="G284" t="str">
            <v>KRW</v>
          </cell>
          <cell r="H284" t="str">
            <v>C60</v>
          </cell>
          <cell r="I284" t="str">
            <v>성광정밀</v>
          </cell>
          <cell r="J284">
            <v>0</v>
          </cell>
        </row>
        <row r="285">
          <cell r="B285" t="str">
            <v>Q7211053305A</v>
          </cell>
          <cell r="C285" t="str">
            <v>MODE CONTACT GUIDE-IP5X</v>
          </cell>
          <cell r="D285" t="str">
            <v>F</v>
          </cell>
          <cell r="F285">
            <v>23</v>
          </cell>
          <cell r="G285" t="str">
            <v>KRW</v>
          </cell>
          <cell r="H285" t="str">
            <v>C36</v>
          </cell>
          <cell r="I285" t="str">
            <v>(주)대봉정밀</v>
          </cell>
          <cell r="J285">
            <v>0</v>
          </cell>
        </row>
        <row r="286">
          <cell r="B286" t="str">
            <v>Q7211058903A</v>
          </cell>
          <cell r="C286" t="str">
            <v>BATTERY CHAMBER-DSC350SE</v>
          </cell>
          <cell r="D286" t="str">
            <v>F</v>
          </cell>
          <cell r="F286">
            <v>240</v>
          </cell>
          <cell r="G286" t="str">
            <v>KRW</v>
          </cell>
          <cell r="H286" t="str">
            <v>C28</v>
          </cell>
          <cell r="I286" t="str">
            <v>인성엔프라(주)</v>
          </cell>
          <cell r="J286">
            <v>0</v>
          </cell>
        </row>
        <row r="287">
          <cell r="B287" t="str">
            <v>Q7211059102A</v>
          </cell>
          <cell r="C287" t="str">
            <v>TRIPOD CONNECTOR-DSC350SE</v>
          </cell>
          <cell r="D287" t="str">
            <v>F</v>
          </cell>
          <cell r="F287">
            <v>23</v>
          </cell>
          <cell r="G287" t="str">
            <v>KRW</v>
          </cell>
          <cell r="H287" t="str">
            <v>C28</v>
          </cell>
          <cell r="I287" t="str">
            <v>인성엔프라(주)</v>
          </cell>
          <cell r="J287">
            <v>0</v>
          </cell>
        </row>
        <row r="288">
          <cell r="B288" t="str">
            <v>Q7214086902A</v>
          </cell>
          <cell r="C288" t="str">
            <v>FRESNEL LENS-DSC350SE</v>
          </cell>
          <cell r="D288" t="str">
            <v>F</v>
          </cell>
          <cell r="F288">
            <v>0</v>
          </cell>
          <cell r="J288">
            <v>0</v>
          </cell>
        </row>
        <row r="289">
          <cell r="B289" t="str">
            <v>Q7214087001A</v>
          </cell>
          <cell r="C289" t="str">
            <v>REFLECTOR HOLDER-DSC350SE</v>
          </cell>
          <cell r="D289" t="str">
            <v>F</v>
          </cell>
          <cell r="F289">
            <v>29</v>
          </cell>
          <cell r="G289" t="str">
            <v>KRW</v>
          </cell>
          <cell r="H289" t="str">
            <v>C28</v>
          </cell>
          <cell r="I289" t="str">
            <v>인성엔프라(주)</v>
          </cell>
          <cell r="J289">
            <v>0</v>
          </cell>
        </row>
        <row r="290">
          <cell r="B290" t="str">
            <v>Q7217162705A</v>
          </cell>
          <cell r="C290" t="str">
            <v>MODE DIAL-IP5X</v>
          </cell>
          <cell r="D290" t="str">
            <v>F</v>
          </cell>
          <cell r="F290">
            <v>0.04</v>
          </cell>
          <cell r="G290" t="str">
            <v>USD</v>
          </cell>
          <cell r="H290" t="str">
            <v>C58</v>
          </cell>
          <cell r="I290" t="str">
            <v>TSOE</v>
          </cell>
          <cell r="J290">
            <v>0</v>
          </cell>
        </row>
        <row r="291">
          <cell r="B291" t="str">
            <v>Q7217223403A</v>
          </cell>
          <cell r="C291" t="str">
            <v>FRONT COVER-DSC350SE</v>
          </cell>
          <cell r="D291" t="str">
            <v>F</v>
          </cell>
          <cell r="F291">
            <v>764</v>
          </cell>
          <cell r="G291" t="str">
            <v>KRW</v>
          </cell>
          <cell r="H291" t="str">
            <v>C28</v>
          </cell>
          <cell r="I291" t="str">
            <v>태진정밀(주)</v>
          </cell>
          <cell r="J291">
            <v>0</v>
          </cell>
        </row>
        <row r="292">
          <cell r="B292" t="str">
            <v>Q7217223505A</v>
          </cell>
          <cell r="C292" t="str">
            <v>BACK COVER-DSC350SE</v>
          </cell>
          <cell r="D292" t="str">
            <v>F</v>
          </cell>
          <cell r="F292">
            <v>782</v>
          </cell>
          <cell r="G292" t="str">
            <v>KRW</v>
          </cell>
          <cell r="H292" t="str">
            <v>C28</v>
          </cell>
          <cell r="I292" t="str">
            <v>태진정밀(주)</v>
          </cell>
          <cell r="J292">
            <v>0</v>
          </cell>
        </row>
        <row r="293">
          <cell r="B293" t="str">
            <v>Q7217223703A</v>
          </cell>
          <cell r="C293" t="str">
            <v>BATTERY COVER 1-DSC350SE</v>
          </cell>
          <cell r="D293" t="str">
            <v>F</v>
          </cell>
          <cell r="F293">
            <v>188</v>
          </cell>
          <cell r="G293" t="str">
            <v>KRW</v>
          </cell>
          <cell r="H293" t="str">
            <v>C28</v>
          </cell>
          <cell r="I293" t="str">
            <v>태진정밀(주)</v>
          </cell>
          <cell r="J293">
            <v>0</v>
          </cell>
        </row>
        <row r="294">
          <cell r="B294" t="str">
            <v>Q7217224001A</v>
          </cell>
          <cell r="C294" t="str">
            <v>EP WINDOW-DSC350SE</v>
          </cell>
          <cell r="D294" t="str">
            <v>F</v>
          </cell>
          <cell r="F294">
            <v>114</v>
          </cell>
          <cell r="G294" t="str">
            <v>KRW</v>
          </cell>
          <cell r="H294" t="str">
            <v>C28</v>
          </cell>
          <cell r="I294" t="str">
            <v>두손정밀(주)</v>
          </cell>
          <cell r="J294">
            <v>0</v>
          </cell>
        </row>
        <row r="295">
          <cell r="B295" t="str">
            <v>Q7217224101A</v>
          </cell>
          <cell r="C295" t="str">
            <v>FINDER WINDOW-DSC350SE</v>
          </cell>
          <cell r="D295" t="str">
            <v>F</v>
          </cell>
          <cell r="F295">
            <v>84</v>
          </cell>
          <cell r="G295" t="str">
            <v>KRW</v>
          </cell>
          <cell r="H295" t="str">
            <v>C28</v>
          </cell>
          <cell r="I295" t="str">
            <v>두손정밀(주)</v>
          </cell>
          <cell r="J295">
            <v>0</v>
          </cell>
        </row>
        <row r="296">
          <cell r="B296" t="str">
            <v>Q7217224202B</v>
          </cell>
          <cell r="C296" t="str">
            <v>M-DIAL LED WINDOW-DSC350SE</v>
          </cell>
          <cell r="D296" t="str">
            <v>F</v>
          </cell>
          <cell r="F296">
            <v>57</v>
          </cell>
          <cell r="G296" t="str">
            <v>KRW</v>
          </cell>
          <cell r="H296" t="str">
            <v>C28</v>
          </cell>
          <cell r="I296" t="str">
            <v>두손정밀(주)</v>
          </cell>
          <cell r="J296">
            <v>0</v>
          </cell>
        </row>
        <row r="297">
          <cell r="B297" t="str">
            <v>Q7217224303A</v>
          </cell>
          <cell r="C297" t="str">
            <v>ZOOM BUTTON-DSC350SE</v>
          </cell>
          <cell r="D297" t="str">
            <v>F</v>
          </cell>
          <cell r="F297">
            <v>0</v>
          </cell>
          <cell r="J297">
            <v>0</v>
          </cell>
        </row>
        <row r="298">
          <cell r="B298" t="str">
            <v>Q7217224402C</v>
          </cell>
          <cell r="C298" t="str">
            <v>POWER  BUTTON-DSC350SE</v>
          </cell>
          <cell r="D298" t="str">
            <v>F</v>
          </cell>
          <cell r="F298">
            <v>28</v>
          </cell>
          <cell r="G298" t="str">
            <v>KRW</v>
          </cell>
          <cell r="H298" t="str">
            <v>C28</v>
          </cell>
          <cell r="I298" t="str">
            <v>제일정공(주)</v>
          </cell>
          <cell r="J298">
            <v>0</v>
          </cell>
        </row>
        <row r="299">
          <cell r="B299" t="str">
            <v>Q7217224506B</v>
          </cell>
          <cell r="C299" t="str">
            <v>5 FUNCTION BUTTON-DSC350SE</v>
          </cell>
          <cell r="D299" t="str">
            <v>F</v>
          </cell>
          <cell r="F299">
            <v>108</v>
          </cell>
          <cell r="G299" t="str">
            <v>KRW</v>
          </cell>
          <cell r="H299" t="str">
            <v>C28</v>
          </cell>
          <cell r="I299" t="str">
            <v>태진정밀(주)</v>
          </cell>
          <cell r="J299">
            <v>0</v>
          </cell>
        </row>
        <row r="300">
          <cell r="B300" t="str">
            <v>Q7217224603C</v>
          </cell>
          <cell r="C300" t="str">
            <v>MONITOR BUTTON-DSC350SE</v>
          </cell>
          <cell r="D300" t="str">
            <v>F</v>
          </cell>
          <cell r="F300">
            <v>110</v>
          </cell>
          <cell r="G300" t="str">
            <v>KRW</v>
          </cell>
          <cell r="H300" t="str">
            <v>C28</v>
          </cell>
          <cell r="I300" t="str">
            <v>태진정밀(주)</v>
          </cell>
          <cell r="J300">
            <v>0</v>
          </cell>
        </row>
        <row r="301">
          <cell r="B301" t="str">
            <v>Q7217224703B</v>
          </cell>
          <cell r="C301" t="str">
            <v>MENU BUTTON-DSC350SE</v>
          </cell>
          <cell r="D301" t="str">
            <v>F</v>
          </cell>
          <cell r="F301">
            <v>110</v>
          </cell>
          <cell r="G301" t="str">
            <v>KRW</v>
          </cell>
          <cell r="H301" t="str">
            <v>C28</v>
          </cell>
          <cell r="I301" t="str">
            <v>태진정밀(주)</v>
          </cell>
          <cell r="J301">
            <v>0</v>
          </cell>
        </row>
        <row r="302">
          <cell r="B302" t="str">
            <v>Q7217224802A</v>
          </cell>
          <cell r="C302" t="str">
            <v>DIAL HOLDER-DSC350SE</v>
          </cell>
          <cell r="D302" t="str">
            <v>F</v>
          </cell>
          <cell r="F302">
            <v>30</v>
          </cell>
          <cell r="G302" t="str">
            <v>KRW</v>
          </cell>
          <cell r="H302" t="str">
            <v>C28</v>
          </cell>
          <cell r="I302" t="str">
            <v>인성엔프라(주)</v>
          </cell>
          <cell r="J302">
            <v>0</v>
          </cell>
        </row>
        <row r="303">
          <cell r="B303" t="str">
            <v>Q7217224902A</v>
          </cell>
          <cell r="C303" t="str">
            <v>RELEASE BUTTON-DSC350SE</v>
          </cell>
          <cell r="D303" t="str">
            <v>F</v>
          </cell>
          <cell r="F303">
            <v>133</v>
          </cell>
          <cell r="G303" t="str">
            <v>KRW</v>
          </cell>
          <cell r="H303" t="str">
            <v>C28</v>
          </cell>
          <cell r="I303" t="str">
            <v>(주)동양테크윈</v>
          </cell>
          <cell r="J303">
            <v>0</v>
          </cell>
        </row>
        <row r="304">
          <cell r="B304" t="str">
            <v>Q7217225001A</v>
          </cell>
          <cell r="C304" t="str">
            <v>MONITOR WINDOW-DSC350SE</v>
          </cell>
          <cell r="D304" t="str">
            <v>F</v>
          </cell>
          <cell r="F304">
            <v>350</v>
          </cell>
          <cell r="G304" t="str">
            <v>KRW</v>
          </cell>
          <cell r="H304" t="str">
            <v>C28</v>
          </cell>
          <cell r="I304" t="str">
            <v>두손정밀(주)</v>
          </cell>
          <cell r="J304">
            <v>0</v>
          </cell>
        </row>
        <row r="305">
          <cell r="B305" t="str">
            <v>Q7217247301A</v>
          </cell>
          <cell r="C305" t="str">
            <v>B GRIP COVER-DSC350SE_GRAY</v>
          </cell>
          <cell r="D305" t="str">
            <v>F</v>
          </cell>
          <cell r="F305">
            <v>342</v>
          </cell>
          <cell r="G305" t="str">
            <v>KRW</v>
          </cell>
          <cell r="H305" t="str">
            <v>C28</v>
          </cell>
          <cell r="I305" t="str">
            <v>태진정밀(주)</v>
          </cell>
          <cell r="J305">
            <v>0</v>
          </cell>
        </row>
        <row r="306">
          <cell r="B306" t="str">
            <v>Q7217247401A</v>
          </cell>
          <cell r="C306" t="str">
            <v>INNER FRONT COVER-DSC350SE_GRAY</v>
          </cell>
          <cell r="D306" t="str">
            <v>F</v>
          </cell>
          <cell r="F306">
            <v>619</v>
          </cell>
          <cell r="G306" t="str">
            <v>KRW</v>
          </cell>
          <cell r="H306" t="str">
            <v>C28</v>
          </cell>
          <cell r="I306" t="str">
            <v>태진정밀(주)</v>
          </cell>
          <cell r="J306">
            <v>0</v>
          </cell>
        </row>
        <row r="307">
          <cell r="B307" t="str">
            <v>Q7217247601A</v>
          </cell>
          <cell r="C307" t="str">
            <v>BATTERY COVER 2-DSC350SE_GRAY</v>
          </cell>
          <cell r="D307" t="str">
            <v>F</v>
          </cell>
          <cell r="F307">
            <v>164</v>
          </cell>
          <cell r="G307" t="str">
            <v>KRW</v>
          </cell>
          <cell r="H307" t="str">
            <v>C28</v>
          </cell>
          <cell r="I307" t="str">
            <v>태진정밀(주)</v>
          </cell>
          <cell r="J307">
            <v>0</v>
          </cell>
        </row>
        <row r="308">
          <cell r="B308" t="str">
            <v>Q7309033601A</v>
          </cell>
          <cell r="C308" t="str">
            <v>EP RUBBER-DSC350SE</v>
          </cell>
          <cell r="D308" t="str">
            <v>F</v>
          </cell>
          <cell r="F308">
            <v>100</v>
          </cell>
          <cell r="G308" t="str">
            <v>KRW</v>
          </cell>
          <cell r="I308" t="str">
            <v>두창화학</v>
          </cell>
          <cell r="J308">
            <v>0</v>
          </cell>
        </row>
        <row r="309">
          <cell r="B309" t="str">
            <v>Q7309033701A</v>
          </cell>
          <cell r="C309" t="str">
            <v>JACK DOOR-DSC350SE</v>
          </cell>
          <cell r="D309" t="str">
            <v>F</v>
          </cell>
          <cell r="F309">
            <v>93</v>
          </cell>
          <cell r="G309" t="str">
            <v>KRW</v>
          </cell>
          <cell r="I309" t="str">
            <v>두창화학</v>
          </cell>
          <cell r="J309">
            <v>0</v>
          </cell>
        </row>
        <row r="310">
          <cell r="B310" t="str">
            <v>Q7309033801A</v>
          </cell>
          <cell r="C310" t="str">
            <v>OLPF CUSHION-DSC350SE</v>
          </cell>
          <cell r="D310" t="str">
            <v>F</v>
          </cell>
          <cell r="F310">
            <v>45</v>
          </cell>
          <cell r="G310" t="str">
            <v>KRW</v>
          </cell>
          <cell r="I310" t="str">
            <v>두창화학</v>
          </cell>
          <cell r="J310">
            <v>0</v>
          </cell>
        </row>
        <row r="311">
          <cell r="B311" t="str">
            <v>Q7309033901A</v>
          </cell>
          <cell r="C311" t="str">
            <v>PRESSURE RUBBER-DSC350SE</v>
          </cell>
          <cell r="D311" t="str">
            <v>F</v>
          </cell>
          <cell r="F311">
            <v>25</v>
          </cell>
          <cell r="G311" t="str">
            <v>KRW</v>
          </cell>
          <cell r="I311" t="str">
            <v>두창화학</v>
          </cell>
          <cell r="J311">
            <v>0</v>
          </cell>
        </row>
        <row r="312">
          <cell r="B312" t="str">
            <v>Q7309034001A</v>
          </cell>
          <cell r="C312" t="str">
            <v>XE-TUBE BEND-DSC350SE</v>
          </cell>
          <cell r="D312" t="str">
            <v>F</v>
          </cell>
          <cell r="F312">
            <v>30</v>
          </cell>
          <cell r="G312" t="str">
            <v>KRW</v>
          </cell>
          <cell r="I312" t="str">
            <v>두창화학</v>
          </cell>
          <cell r="J312">
            <v>0</v>
          </cell>
        </row>
        <row r="313">
          <cell r="B313" t="str">
            <v>Q7309035601A</v>
          </cell>
          <cell r="C313" t="str">
            <v>MIC CAP-DSC350SE</v>
          </cell>
          <cell r="D313" t="str">
            <v>F</v>
          </cell>
          <cell r="F313">
            <v>70</v>
          </cell>
          <cell r="G313" t="str">
            <v>KRW</v>
          </cell>
          <cell r="I313" t="str">
            <v>두창화학</v>
          </cell>
          <cell r="J313">
            <v>0</v>
          </cell>
        </row>
        <row r="314">
          <cell r="B314" t="str">
            <v>Q7309035701A</v>
          </cell>
          <cell r="C314" t="str">
            <v>SPEAKER RUBBER-DSC350SE</v>
          </cell>
          <cell r="D314" t="str">
            <v>F</v>
          </cell>
          <cell r="F314">
            <v>50</v>
          </cell>
          <cell r="G314" t="str">
            <v>KRW</v>
          </cell>
          <cell r="I314" t="str">
            <v>두창화학</v>
          </cell>
          <cell r="J314">
            <v>0</v>
          </cell>
        </row>
        <row r="315">
          <cell r="B315" t="str">
            <v>Q7409001301A</v>
          </cell>
          <cell r="C315" t="str">
            <v>SHIELD-D[K40 FOAM 4X-SLIM]</v>
          </cell>
          <cell r="D315" t="str">
            <v>F</v>
          </cell>
          <cell r="F315">
            <v>4</v>
          </cell>
          <cell r="G315" t="str">
            <v>KRW</v>
          </cell>
          <cell r="H315" t="str">
            <v>C57</v>
          </cell>
          <cell r="I315" t="str">
            <v>대산산업</v>
          </cell>
          <cell r="J315">
            <v>0</v>
          </cell>
        </row>
        <row r="316">
          <cell r="B316" t="str">
            <v>Q7409044001A</v>
          </cell>
          <cell r="C316" t="str">
            <v>TAPE-F[절연 TAPE(T=0.1)]</v>
          </cell>
          <cell r="D316" t="str">
            <v>F</v>
          </cell>
          <cell r="F316">
            <v>4</v>
          </cell>
          <cell r="G316" t="str">
            <v>KRW</v>
          </cell>
          <cell r="H316" t="str">
            <v>C57</v>
          </cell>
          <cell r="I316" t="str">
            <v>석일산업</v>
          </cell>
          <cell r="J316">
            <v>0</v>
          </cell>
        </row>
        <row r="317">
          <cell r="B317" t="str">
            <v>Q7409078901A</v>
          </cell>
          <cell r="C317" t="str">
            <v>REAR SHEET TAPE</v>
          </cell>
          <cell r="D317" t="str">
            <v>F</v>
          </cell>
          <cell r="F317">
            <v>4</v>
          </cell>
          <cell r="G317" t="str">
            <v>KRW</v>
          </cell>
          <cell r="H317" t="str">
            <v>C57</v>
          </cell>
          <cell r="I317" t="str">
            <v>제일산업</v>
          </cell>
          <cell r="J317">
            <v>0</v>
          </cell>
        </row>
        <row r="318">
          <cell r="B318" t="str">
            <v>Q7409100101A</v>
          </cell>
          <cell r="C318" t="str">
            <v>F TAPE A-IP5X</v>
          </cell>
          <cell r="D318" t="str">
            <v>F</v>
          </cell>
          <cell r="F318">
            <v>2</v>
          </cell>
          <cell r="G318" t="str">
            <v>KRW</v>
          </cell>
          <cell r="H318" t="str">
            <v>C57</v>
          </cell>
          <cell r="I318" t="str">
            <v>석일산업</v>
          </cell>
          <cell r="J318">
            <v>0</v>
          </cell>
        </row>
        <row r="319">
          <cell r="B319" t="str">
            <v>Q7409111601A</v>
          </cell>
          <cell r="C319" t="str">
            <v>RELEASE WASHER-QS4XN</v>
          </cell>
          <cell r="D319" t="str">
            <v>F</v>
          </cell>
          <cell r="F319">
            <v>4</v>
          </cell>
          <cell r="G319" t="str">
            <v>KRW</v>
          </cell>
          <cell r="H319" t="str">
            <v>C60</v>
          </cell>
          <cell r="I319" t="str">
            <v>한국유니온정공</v>
          </cell>
          <cell r="J319">
            <v>0</v>
          </cell>
        </row>
        <row r="320">
          <cell r="B320" t="str">
            <v>Q7409113501A</v>
          </cell>
          <cell r="C320" t="str">
            <v>PRESSURE SPONGE-DSC350SE</v>
          </cell>
          <cell r="D320" t="str">
            <v>F</v>
          </cell>
          <cell r="F320">
            <v>5</v>
          </cell>
          <cell r="G320" t="str">
            <v>KRW</v>
          </cell>
          <cell r="H320" t="str">
            <v>C57</v>
          </cell>
          <cell r="I320" t="str">
            <v>대산산업</v>
          </cell>
          <cell r="J320">
            <v>0</v>
          </cell>
        </row>
        <row r="321">
          <cell r="B321" t="str">
            <v>Q7409113601A</v>
          </cell>
          <cell r="C321" t="str">
            <v>FCC MARK STICKER_DSC_350SE</v>
          </cell>
          <cell r="D321" t="str">
            <v>F</v>
          </cell>
          <cell r="F321">
            <v>16</v>
          </cell>
          <cell r="G321" t="str">
            <v>KRW</v>
          </cell>
          <cell r="H321" t="str">
            <v>C57</v>
          </cell>
          <cell r="I321" t="str">
            <v>석일산업</v>
          </cell>
          <cell r="J321">
            <v>0</v>
          </cell>
        </row>
        <row r="322">
          <cell r="B322" t="str">
            <v>Q7409114801A</v>
          </cell>
          <cell r="C322" t="str">
            <v>MONITOR CUSHION-DSC350SE</v>
          </cell>
          <cell r="D322" t="str">
            <v>F</v>
          </cell>
          <cell r="F322">
            <v>78</v>
          </cell>
          <cell r="G322" t="str">
            <v>KRW</v>
          </cell>
          <cell r="H322" t="str">
            <v>C57</v>
          </cell>
          <cell r="I322" t="str">
            <v>대산산업</v>
          </cell>
          <cell r="J322">
            <v>0</v>
          </cell>
        </row>
        <row r="323">
          <cell r="B323" t="str">
            <v>Q7409115002A</v>
          </cell>
          <cell r="C323" t="str">
            <v>BARREL CUTION-DSC350SE</v>
          </cell>
          <cell r="D323" t="str">
            <v>F</v>
          </cell>
          <cell r="F323">
            <v>98</v>
          </cell>
          <cell r="G323" t="str">
            <v>KRW</v>
          </cell>
          <cell r="H323" t="str">
            <v>C57</v>
          </cell>
          <cell r="I323" t="str">
            <v>대산산업</v>
          </cell>
          <cell r="J323">
            <v>0</v>
          </cell>
        </row>
        <row r="324">
          <cell r="B324" t="str">
            <v>Q7409119401A</v>
          </cell>
          <cell r="C324" t="str">
            <v>SHIELD PLATE-DSC350SE</v>
          </cell>
          <cell r="D324" t="str">
            <v>F</v>
          </cell>
          <cell r="F324">
            <v>7</v>
          </cell>
          <cell r="G324" t="str">
            <v>KRW</v>
          </cell>
          <cell r="H324" t="str">
            <v>C57</v>
          </cell>
          <cell r="I324" t="str">
            <v>대산산업</v>
          </cell>
          <cell r="J324">
            <v>0</v>
          </cell>
        </row>
        <row r="325">
          <cell r="B325" t="str">
            <v>Q7409120101A</v>
          </cell>
          <cell r="C325" t="str">
            <v>LCD PCB TAPE-DSC350SE</v>
          </cell>
          <cell r="D325" t="str">
            <v>F</v>
          </cell>
          <cell r="F325">
            <v>47</v>
          </cell>
          <cell r="G325" t="str">
            <v>KRW</v>
          </cell>
          <cell r="H325" t="str">
            <v>C57</v>
          </cell>
          <cell r="I325" t="str">
            <v>석일산업</v>
          </cell>
          <cell r="J325">
            <v>0</v>
          </cell>
        </row>
        <row r="326">
          <cell r="B326" t="str">
            <v>Q7409121102B</v>
          </cell>
          <cell r="C326" t="str">
            <v>F RUBBER TAPE-DSC350SE</v>
          </cell>
          <cell r="D326" t="str">
            <v>F</v>
          </cell>
          <cell r="F326">
            <v>35</v>
          </cell>
          <cell r="G326" t="str">
            <v>KRW</v>
          </cell>
          <cell r="H326" t="str">
            <v>C57</v>
          </cell>
          <cell r="I326" t="str">
            <v>석일산업</v>
          </cell>
          <cell r="J326">
            <v>0</v>
          </cell>
        </row>
        <row r="327">
          <cell r="B327" t="str">
            <v>Q7409121701A</v>
          </cell>
          <cell r="C327" t="str">
            <v>STRAP_DIGIMAX_350SE_WRIST</v>
          </cell>
          <cell r="D327" t="str">
            <v>F</v>
          </cell>
          <cell r="F327">
            <v>180</v>
          </cell>
          <cell r="G327" t="str">
            <v>KRW</v>
          </cell>
          <cell r="H327" t="str">
            <v>C65</v>
          </cell>
          <cell r="I327" t="str">
            <v>한림엔터프라이즈</v>
          </cell>
          <cell r="J327">
            <v>0</v>
          </cell>
        </row>
        <row r="328">
          <cell r="B328" t="str">
            <v>Q7411082502B</v>
          </cell>
          <cell r="C328" t="str">
            <v>BATTERY HINGE AXIS-DSC350SE</v>
          </cell>
          <cell r="D328" t="str">
            <v>F</v>
          </cell>
          <cell r="F328">
            <v>13</v>
          </cell>
          <cell r="G328" t="str">
            <v>KRW</v>
          </cell>
          <cell r="H328" t="str">
            <v>C20</v>
          </cell>
          <cell r="I328" t="str">
            <v>삼현(주)</v>
          </cell>
          <cell r="J328">
            <v>0</v>
          </cell>
        </row>
        <row r="329">
          <cell r="B329" t="str">
            <v>Q7411082602B</v>
          </cell>
          <cell r="C329" t="str">
            <v>STRAP LINK-DSC350SE</v>
          </cell>
          <cell r="D329" t="str">
            <v>F</v>
          </cell>
          <cell r="F329">
            <v>0</v>
          </cell>
          <cell r="H329" t="str">
            <v>C20</v>
          </cell>
          <cell r="J329">
            <v>0</v>
          </cell>
        </row>
        <row r="330">
          <cell r="B330" t="str">
            <v>Q7411085001A</v>
          </cell>
          <cell r="C330" t="str">
            <v>MODE DIAL CAP-DSC350SE</v>
          </cell>
          <cell r="D330" t="str">
            <v>F</v>
          </cell>
          <cell r="F330">
            <v>910</v>
          </cell>
          <cell r="G330" t="str">
            <v>KRW</v>
          </cell>
          <cell r="H330" t="str">
            <v>C60</v>
          </cell>
          <cell r="I330" t="str">
            <v>(주)성광사</v>
          </cell>
          <cell r="J330">
            <v>0</v>
          </cell>
        </row>
        <row r="331">
          <cell r="B331" t="str">
            <v>Q9001088301A</v>
          </cell>
          <cell r="C331" t="str">
            <v>BODY ASSY 1-DSC350SE</v>
          </cell>
          <cell r="D331" t="str">
            <v>E</v>
          </cell>
          <cell r="E331">
            <v>50</v>
          </cell>
          <cell r="F331">
            <v>0</v>
          </cell>
          <cell r="J331">
            <v>0</v>
          </cell>
        </row>
        <row r="332">
          <cell r="B332" t="str">
            <v>Q9001088401A</v>
          </cell>
          <cell r="C332" t="str">
            <v>BODY ASSY 2-DSC350SE</v>
          </cell>
          <cell r="D332" t="str">
            <v>F</v>
          </cell>
          <cell r="E332">
            <v>30</v>
          </cell>
          <cell r="F332">
            <v>2750</v>
          </cell>
          <cell r="G332" t="str">
            <v>KRW</v>
          </cell>
          <cell r="I332" t="str">
            <v>대호전자</v>
          </cell>
          <cell r="J332">
            <v>0</v>
          </cell>
        </row>
        <row r="333">
          <cell r="B333" t="str">
            <v>Q9002106001A</v>
          </cell>
          <cell r="C333" t="str">
            <v>3M3X BARREL ASSY-DSC350SE</v>
          </cell>
          <cell r="D333" t="str">
            <v>F</v>
          </cell>
          <cell r="E333">
            <v>40</v>
          </cell>
          <cell r="F333">
            <v>0</v>
          </cell>
          <cell r="H333" t="str">
            <v>C71</v>
          </cell>
          <cell r="J333">
            <v>0</v>
          </cell>
        </row>
        <row r="334">
          <cell r="B334" t="str">
            <v>Q9007177001A</v>
          </cell>
          <cell r="C334" t="str">
            <v>FRONT COVER ASSY-DSC350SE_GRAY</v>
          </cell>
          <cell r="D334" t="str">
            <v>F</v>
          </cell>
          <cell r="E334">
            <v>30</v>
          </cell>
          <cell r="F334">
            <v>422</v>
          </cell>
          <cell r="G334" t="str">
            <v>KRW</v>
          </cell>
          <cell r="I334" t="str">
            <v>대호전자</v>
          </cell>
          <cell r="J334">
            <v>0</v>
          </cell>
        </row>
        <row r="335">
          <cell r="B335" t="str">
            <v>Q9007177101A</v>
          </cell>
          <cell r="C335" t="str">
            <v>BACK COVER ASSY-DSC350SE_GRAY</v>
          </cell>
          <cell r="D335" t="str">
            <v>F</v>
          </cell>
          <cell r="F335">
            <v>37705</v>
          </cell>
          <cell r="G335" t="str">
            <v>KRW</v>
          </cell>
          <cell r="H335" t="str">
            <v>C22</v>
          </cell>
          <cell r="I335" t="str">
            <v>(주)유니온</v>
          </cell>
          <cell r="J335">
            <v>0</v>
          </cell>
        </row>
        <row r="336">
          <cell r="B336" t="str">
            <v>Q9007177201A</v>
          </cell>
          <cell r="C336" t="str">
            <v>BATTERY COVER ASSY-DSC350SE_GRAY</v>
          </cell>
          <cell r="D336" t="str">
            <v>E</v>
          </cell>
          <cell r="E336">
            <v>50</v>
          </cell>
          <cell r="F336">
            <v>0</v>
          </cell>
          <cell r="J336">
            <v>0</v>
          </cell>
        </row>
        <row r="337">
          <cell r="B337" t="str">
            <v>Q9008048401A</v>
          </cell>
          <cell r="C337" t="str">
            <v>MAIN CONDENSER ASSY-DSC350SE</v>
          </cell>
          <cell r="D337" t="str">
            <v>E</v>
          </cell>
          <cell r="E337">
            <v>50</v>
          </cell>
          <cell r="F337">
            <v>0</v>
          </cell>
          <cell r="H337" t="str">
            <v>C71</v>
          </cell>
          <cell r="J337">
            <v>0</v>
          </cell>
        </row>
        <row r="338">
          <cell r="B338" t="str">
            <v>Q9008048501A</v>
          </cell>
          <cell r="C338" t="str">
            <v>CCD FPCB ASSY-DSC350SE</v>
          </cell>
          <cell r="D338" t="str">
            <v>F</v>
          </cell>
          <cell r="F338">
            <v>34840</v>
          </cell>
          <cell r="G338" t="str">
            <v>KRW</v>
          </cell>
          <cell r="H338" t="str">
            <v>C71</v>
          </cell>
          <cell r="I338" t="str">
            <v>(주)유니온</v>
          </cell>
          <cell r="J338">
            <v>0</v>
          </cell>
        </row>
        <row r="339">
          <cell r="B339" t="str">
            <v>Q9008048601A</v>
          </cell>
          <cell r="C339" t="str">
            <v>POWER PCB ASSY-DSC350SE</v>
          </cell>
          <cell r="D339" t="str">
            <v>F</v>
          </cell>
          <cell r="F339">
            <v>24029</v>
          </cell>
          <cell r="G339" t="str">
            <v>KRW</v>
          </cell>
          <cell r="I339" t="str">
            <v>(주)유니온</v>
          </cell>
          <cell r="J339">
            <v>0</v>
          </cell>
        </row>
        <row r="340">
          <cell r="B340" t="str">
            <v>Q9008048701A</v>
          </cell>
          <cell r="C340" t="str">
            <v>POWER PCB ASSY_SMD-DSC350SE</v>
          </cell>
          <cell r="D340" t="str">
            <v>X</v>
          </cell>
          <cell r="F340">
            <v>0</v>
          </cell>
          <cell r="J340">
            <v>0</v>
          </cell>
        </row>
        <row r="341">
          <cell r="B341" t="str">
            <v>Q9008048801A</v>
          </cell>
          <cell r="C341" t="str">
            <v>MAIN PCB ASSY-DSC350SE</v>
          </cell>
          <cell r="D341" t="str">
            <v>F</v>
          </cell>
          <cell r="F341">
            <v>75785</v>
          </cell>
          <cell r="G341" t="str">
            <v>KRW</v>
          </cell>
          <cell r="I341" t="str">
            <v>서일전자공업(주)</v>
          </cell>
          <cell r="J341">
            <v>0</v>
          </cell>
        </row>
        <row r="342">
          <cell r="B342" t="str">
            <v>Q9008048901A</v>
          </cell>
          <cell r="C342" t="str">
            <v>MAIN PCB ASSY_SMD-DSC350SE</v>
          </cell>
          <cell r="D342" t="str">
            <v>X</v>
          </cell>
          <cell r="F342">
            <v>0</v>
          </cell>
          <cell r="J342">
            <v>0</v>
          </cell>
        </row>
        <row r="343">
          <cell r="B343" t="str">
            <v>Q9008049001A</v>
          </cell>
          <cell r="C343" t="str">
            <v>STROBO PCB ASSY-DSC350SE</v>
          </cell>
          <cell r="D343" t="str">
            <v>F</v>
          </cell>
          <cell r="F343">
            <v>5756</v>
          </cell>
          <cell r="G343" t="str">
            <v>KRW</v>
          </cell>
          <cell r="I343" t="str">
            <v>(주)유니온</v>
          </cell>
          <cell r="J343">
            <v>0</v>
          </cell>
        </row>
        <row r="344">
          <cell r="B344" t="str">
            <v>Q9008049101A</v>
          </cell>
          <cell r="C344" t="str">
            <v>STROBO PCB ASSY_SMD-DSC350SE</v>
          </cell>
          <cell r="D344" t="str">
            <v>X</v>
          </cell>
          <cell r="F344">
            <v>0</v>
          </cell>
          <cell r="J344">
            <v>0</v>
          </cell>
        </row>
        <row r="345">
          <cell r="B345" t="str">
            <v>Q9008049201A</v>
          </cell>
          <cell r="C345" t="str">
            <v>REFLECTOR ASSY-DSC350SE</v>
          </cell>
          <cell r="D345" t="str">
            <v>X</v>
          </cell>
          <cell r="F345">
            <v>0</v>
          </cell>
          <cell r="J345">
            <v>0</v>
          </cell>
        </row>
        <row r="346">
          <cell r="B346" t="str">
            <v>Q9008049301A</v>
          </cell>
          <cell r="C346" t="str">
            <v>DIAL FPCB ASSY-DSC350SE</v>
          </cell>
          <cell r="D346" t="str">
            <v>E</v>
          </cell>
          <cell r="E346">
            <v>50</v>
          </cell>
          <cell r="F346">
            <v>0</v>
          </cell>
          <cell r="H346" t="str">
            <v>C71</v>
          </cell>
          <cell r="J346">
            <v>0</v>
          </cell>
        </row>
        <row r="347">
          <cell r="B347" t="str">
            <v>Q9008049401A</v>
          </cell>
          <cell r="C347" t="str">
            <v>MODE CONTACT ASSY-DSC350SE</v>
          </cell>
          <cell r="D347" t="str">
            <v>E</v>
          </cell>
          <cell r="E347">
            <v>50</v>
          </cell>
          <cell r="F347">
            <v>0</v>
          </cell>
          <cell r="H347" t="str">
            <v>C71</v>
          </cell>
          <cell r="J347">
            <v>0</v>
          </cell>
        </row>
        <row r="348">
          <cell r="B348" t="str">
            <v>Q9008049501A</v>
          </cell>
          <cell r="C348" t="str">
            <v>LED PCB ASSY-DSC350SE</v>
          </cell>
          <cell r="D348" t="str">
            <v>E</v>
          </cell>
          <cell r="E348">
            <v>50</v>
          </cell>
          <cell r="F348">
            <v>0</v>
          </cell>
          <cell r="H348" t="str">
            <v>C71</v>
          </cell>
          <cell r="J348">
            <v>0</v>
          </cell>
        </row>
        <row r="349">
          <cell r="B349" t="str">
            <v>Q9008049601A</v>
          </cell>
          <cell r="C349" t="str">
            <v>LCD PCB ASSY-DSC350SE</v>
          </cell>
          <cell r="D349" t="str">
            <v>X</v>
          </cell>
          <cell r="F349">
            <v>0</v>
          </cell>
          <cell r="J349">
            <v>0</v>
          </cell>
        </row>
        <row r="350">
          <cell r="B350" t="str">
            <v>Q9008050701A</v>
          </cell>
          <cell r="C350" t="str">
            <v>CCD FPCB ASSY_SMD-DSC350SE</v>
          </cell>
          <cell r="D350" t="str">
            <v>X</v>
          </cell>
          <cell r="F350">
            <v>0</v>
          </cell>
          <cell r="J350">
            <v>0</v>
          </cell>
        </row>
        <row r="351">
          <cell r="B351" t="str">
            <v>Q9008050801A</v>
          </cell>
          <cell r="C351" t="str">
            <v>LCD PCB ASSY_SMD-DSC350SE</v>
          </cell>
          <cell r="D351" t="str">
            <v>X</v>
          </cell>
          <cell r="F351">
            <v>0</v>
          </cell>
          <cell r="J351">
            <v>0</v>
          </cell>
        </row>
        <row r="352">
          <cell r="B352" t="str">
            <v>Q9010044201A</v>
          </cell>
          <cell r="C352" t="str">
            <v>USB CABLE ASSY-DSC210</v>
          </cell>
          <cell r="D352" t="str">
            <v>E</v>
          </cell>
          <cell r="E352">
            <v>50</v>
          </cell>
          <cell r="F352">
            <v>0</v>
          </cell>
          <cell r="J352">
            <v>0</v>
          </cell>
        </row>
        <row r="353">
          <cell r="B353" t="str">
            <v>Q9363150471</v>
          </cell>
          <cell r="C353" t="str">
            <v>CHIP TRANSISTOR[KTA 1504S.ASY(KEC)]</v>
          </cell>
          <cell r="D353" t="str">
            <v>F</v>
          </cell>
          <cell r="F353">
            <v>28</v>
          </cell>
          <cell r="G353" t="str">
            <v>KRW</v>
          </cell>
          <cell r="H353" t="str">
            <v>C53</v>
          </cell>
          <cell r="I353" t="str">
            <v>(주)유니온</v>
          </cell>
          <cell r="J353">
            <v>0</v>
          </cell>
        </row>
        <row r="354">
          <cell r="B354" t="str">
            <v>Q9761173007</v>
          </cell>
          <cell r="C354" t="str">
            <v>SCREW</v>
          </cell>
          <cell r="D354" t="str">
            <v>F</v>
          </cell>
          <cell r="F354">
            <v>2</v>
          </cell>
          <cell r="G354" t="str">
            <v>KRW</v>
          </cell>
          <cell r="H354" t="str">
            <v>C80</v>
          </cell>
          <cell r="I354" t="str">
            <v>한국유니온정공</v>
          </cell>
          <cell r="J354">
            <v>0</v>
          </cell>
        </row>
        <row r="355">
          <cell r="B355" t="str">
            <v>Q9761173501</v>
          </cell>
          <cell r="C355" t="str">
            <v>SCREW</v>
          </cell>
          <cell r="D355" t="str">
            <v>F</v>
          </cell>
          <cell r="F355">
            <v>2</v>
          </cell>
          <cell r="G355" t="str">
            <v>KRW</v>
          </cell>
          <cell r="H355" t="str">
            <v>C80</v>
          </cell>
          <cell r="I355" t="str">
            <v>한국유니온정공</v>
          </cell>
          <cell r="J355">
            <v>0</v>
          </cell>
        </row>
        <row r="356">
          <cell r="B356" t="str">
            <v>Q9761174001</v>
          </cell>
          <cell r="C356" t="str">
            <v>SCREW</v>
          </cell>
          <cell r="D356" t="str">
            <v>F</v>
          </cell>
          <cell r="F356">
            <v>2</v>
          </cell>
          <cell r="G356" t="str">
            <v>KRW</v>
          </cell>
          <cell r="H356" t="str">
            <v>C80</v>
          </cell>
          <cell r="I356" t="str">
            <v>한국유니온정공</v>
          </cell>
          <cell r="J356">
            <v>0</v>
          </cell>
        </row>
        <row r="357">
          <cell r="B357" t="str">
            <v>Q9761174007</v>
          </cell>
          <cell r="C357" t="str">
            <v>SCREW</v>
          </cell>
          <cell r="D357" t="str">
            <v>F</v>
          </cell>
          <cell r="F357">
            <v>2</v>
          </cell>
          <cell r="G357" t="str">
            <v>KRW</v>
          </cell>
          <cell r="H357" t="str">
            <v>C80</v>
          </cell>
          <cell r="I357" t="str">
            <v>케이엠에스티(주)</v>
          </cell>
          <cell r="J357">
            <v>0</v>
          </cell>
        </row>
        <row r="358">
          <cell r="B358" t="str">
            <v>Q9765143012</v>
          </cell>
          <cell r="C358" t="str">
            <v>SCREW</v>
          </cell>
          <cell r="D358" t="str">
            <v>F</v>
          </cell>
          <cell r="F358">
            <v>4</v>
          </cell>
          <cell r="G358" t="str">
            <v>KRW</v>
          </cell>
          <cell r="H358" t="str">
            <v>C80</v>
          </cell>
          <cell r="I358" t="str">
            <v>케이엠에스티(주)</v>
          </cell>
          <cell r="J358">
            <v>0</v>
          </cell>
        </row>
        <row r="359">
          <cell r="B359" t="str">
            <v>QP950250403L</v>
          </cell>
          <cell r="C359" t="str">
            <v>WARRANTY CARD_2001.07</v>
          </cell>
          <cell r="D359" t="str">
            <v>F</v>
          </cell>
          <cell r="F359">
            <v>41</v>
          </cell>
          <cell r="G359" t="str">
            <v>KRW</v>
          </cell>
          <cell r="H359" t="str">
            <v>C65</v>
          </cell>
          <cell r="I359" t="str">
            <v>삼영인쇄(주)</v>
          </cell>
          <cell r="J359">
            <v>0</v>
          </cell>
        </row>
        <row r="360">
          <cell r="B360" t="str">
            <v>QP960210101A</v>
          </cell>
          <cell r="C360" t="str">
            <v>P.E BAG(S/ZOOM용)</v>
          </cell>
          <cell r="D360" t="str">
            <v>F</v>
          </cell>
          <cell r="F360">
            <v>5</v>
          </cell>
          <cell r="G360" t="str">
            <v>KRW</v>
          </cell>
          <cell r="H360" t="str">
            <v>C65</v>
          </cell>
          <cell r="I360" t="str">
            <v>대림비닐공업사</v>
          </cell>
          <cell r="J360">
            <v>0</v>
          </cell>
        </row>
        <row r="361">
          <cell r="B361" t="str">
            <v>QSPALANOD3050</v>
          </cell>
          <cell r="C361" t="str">
            <v>ALUMINIUM</v>
          </cell>
          <cell r="D361" t="str">
            <v>F</v>
          </cell>
          <cell r="F361">
            <v>35.299999999999997</v>
          </cell>
          <cell r="G361" t="str">
            <v>DEM</v>
          </cell>
          <cell r="H361" t="str">
            <v>C90</v>
          </cell>
          <cell r="I361" t="str">
            <v>ALANOD ALUMINIUM</v>
          </cell>
          <cell r="J361">
            <v>0</v>
          </cell>
        </row>
        <row r="362">
          <cell r="B362" t="str">
            <v>QSPC52UEB1527</v>
          </cell>
          <cell r="C362" t="str">
            <v>PHOSPHOR BRONZE</v>
          </cell>
          <cell r="D362" t="str">
            <v>F</v>
          </cell>
          <cell r="F362">
            <v>35000</v>
          </cell>
          <cell r="G362" t="str">
            <v>KRW</v>
          </cell>
          <cell r="H362" t="str">
            <v>C60</v>
          </cell>
          <cell r="I362" t="str">
            <v>성광금속</v>
          </cell>
          <cell r="J362">
            <v>0</v>
          </cell>
        </row>
        <row r="363">
          <cell r="B363" t="str">
            <v>QSPG400XX4710</v>
          </cell>
          <cell r="C363" t="str">
            <v>POLYURETHANE SHEET</v>
          </cell>
          <cell r="D363" t="str">
            <v>F</v>
          </cell>
          <cell r="F363">
            <v>582</v>
          </cell>
          <cell r="G363" t="str">
            <v>JPY</v>
          </cell>
          <cell r="H363" t="str">
            <v>C64</v>
          </cell>
          <cell r="I363" t="str">
            <v>KANEKO METAL CO.</v>
          </cell>
          <cell r="J363">
            <v>0</v>
          </cell>
        </row>
      </sheetData>
      <sheetData sheetId="6"/>
      <sheetData sheetId="7" refreshError="1"/>
      <sheetData sheetId="8" refreshError="1"/>
      <sheetData sheetId="9" refreshError="1"/>
      <sheetData sheetId="10" refreshError="1"/>
      <sheetData sheetId="11" refreshError="1"/>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refreshError="1"/>
      <sheetData sheetId="1"/>
      <sheetData sheetId="2" refreshError="1"/>
      <sheetData sheetId="3"/>
      <sheetData sheetId="4" refreshError="1"/>
      <sheetData sheetId="5" refreshError="1">
        <row r="6">
          <cell r="B6" t="str">
            <v>CG1601</v>
          </cell>
          <cell r="C6" t="str">
            <v>Digimax 350SE(APGYK)</v>
          </cell>
          <cell r="D6" t="str">
            <v>E</v>
          </cell>
          <cell r="F6">
            <v>0</v>
          </cell>
          <cell r="J6">
            <v>0</v>
          </cell>
        </row>
        <row r="7">
          <cell r="B7" t="str">
            <v>CG1601D</v>
          </cell>
          <cell r="C7" t="str">
            <v>Digimax 350SE(APGYK)</v>
          </cell>
          <cell r="D7" t="str">
            <v>E</v>
          </cell>
          <cell r="E7">
            <v>50</v>
          </cell>
          <cell r="F7">
            <v>0</v>
          </cell>
          <cell r="J7">
            <v>0</v>
          </cell>
        </row>
        <row r="8">
          <cell r="B8" t="str">
            <v>Q0401001201A</v>
          </cell>
          <cell r="C8" t="str">
            <v>CHIP DIODE[KDS160-RTK]</v>
          </cell>
          <cell r="D8" t="str">
            <v>F</v>
          </cell>
          <cell r="F8">
            <v>34</v>
          </cell>
          <cell r="G8" t="str">
            <v>KRW</v>
          </cell>
          <cell r="H8" t="str">
            <v>C53</v>
          </cell>
          <cell r="I8" t="str">
            <v>(주)케이이씨구미</v>
          </cell>
          <cell r="J8">
            <v>0</v>
          </cell>
        </row>
        <row r="9">
          <cell r="B9" t="str">
            <v>Q0403001601A</v>
          </cell>
          <cell r="C9" t="str">
            <v>DIODE-KDS160E(ESC)</v>
          </cell>
          <cell r="D9" t="str">
            <v>F</v>
          </cell>
          <cell r="F9">
            <v>0</v>
          </cell>
          <cell r="H9" t="str">
            <v>C22</v>
          </cell>
          <cell r="J9">
            <v>0</v>
          </cell>
        </row>
        <row r="10">
          <cell r="B10" t="str">
            <v>Q0403001701A</v>
          </cell>
          <cell r="C10" t="str">
            <v>DIODE SCHOTTKY-RB050(PMDS)</v>
          </cell>
          <cell r="D10" t="str">
            <v>F</v>
          </cell>
          <cell r="F10">
            <v>0</v>
          </cell>
          <cell r="H10" t="str">
            <v>C22</v>
          </cell>
          <cell r="J10">
            <v>0</v>
          </cell>
        </row>
        <row r="11">
          <cell r="B11" t="str">
            <v>Q0403001801A</v>
          </cell>
          <cell r="C11" t="str">
            <v>DIODE ZENER-KDZ2.7V(USC)</v>
          </cell>
          <cell r="D11" t="str">
            <v>F</v>
          </cell>
          <cell r="F11">
            <v>0</v>
          </cell>
          <cell r="H11" t="str">
            <v>C22</v>
          </cell>
          <cell r="J11">
            <v>0</v>
          </cell>
        </row>
        <row r="12">
          <cell r="B12" t="str">
            <v>Q0403001901A</v>
          </cell>
          <cell r="C12" t="str">
            <v>DIODE ZENER-KDZ4.3V(USC)/UDZ 4.3B</v>
          </cell>
          <cell r="D12" t="str">
            <v>F</v>
          </cell>
          <cell r="F12">
            <v>26</v>
          </cell>
          <cell r="G12" t="str">
            <v>KRW</v>
          </cell>
          <cell r="H12" t="str">
            <v>C22</v>
          </cell>
          <cell r="I12" t="str">
            <v>(주)로옴전자코리</v>
          </cell>
          <cell r="J12">
            <v>0</v>
          </cell>
        </row>
        <row r="13">
          <cell r="B13" t="str">
            <v>Q0403002001A</v>
          </cell>
          <cell r="C13" t="str">
            <v>DIODE SCHOTTKY-M1FH3</v>
          </cell>
          <cell r="D13" t="str">
            <v>F</v>
          </cell>
          <cell r="F13">
            <v>0</v>
          </cell>
          <cell r="H13" t="str">
            <v>C22</v>
          </cell>
          <cell r="J13">
            <v>0</v>
          </cell>
        </row>
        <row r="14">
          <cell r="B14" t="str">
            <v>Q0403002101A</v>
          </cell>
          <cell r="C14" t="str">
            <v>DIODE ZENER-UDZ15B</v>
          </cell>
          <cell r="D14" t="str">
            <v>F</v>
          </cell>
          <cell r="F14">
            <v>0</v>
          </cell>
          <cell r="H14" t="str">
            <v>C22</v>
          </cell>
          <cell r="J14">
            <v>0</v>
          </cell>
        </row>
        <row r="15">
          <cell r="B15" t="str">
            <v>Q0404000901A</v>
          </cell>
          <cell r="C15" t="str">
            <v>DIODE SCHOTTKY-RB501V-40TE-17</v>
          </cell>
          <cell r="D15" t="str">
            <v>F</v>
          </cell>
          <cell r="F15">
            <v>56</v>
          </cell>
          <cell r="G15" t="str">
            <v>KRW</v>
          </cell>
          <cell r="H15" t="str">
            <v>C56</v>
          </cell>
          <cell r="I15" t="str">
            <v>(주)로옴전자코리</v>
          </cell>
          <cell r="J15">
            <v>0</v>
          </cell>
        </row>
        <row r="16">
          <cell r="B16" t="str">
            <v>Q0404001101A</v>
          </cell>
          <cell r="C16" t="str">
            <v>DIODE SCHOTTKY-RB060</v>
          </cell>
          <cell r="D16" t="str">
            <v>F</v>
          </cell>
          <cell r="F16">
            <v>155</v>
          </cell>
          <cell r="G16" t="str">
            <v>KRW</v>
          </cell>
          <cell r="H16" t="str">
            <v>C56</v>
          </cell>
          <cell r="I16" t="str">
            <v>(주)로옴전자코리</v>
          </cell>
          <cell r="J16">
            <v>0</v>
          </cell>
        </row>
        <row r="17">
          <cell r="B17" t="str">
            <v>Q0407000501A</v>
          </cell>
          <cell r="C17" t="str">
            <v>ULTRA MINI MOLD DIODE 6PIN[UMP11NTN]</v>
          </cell>
          <cell r="D17" t="str">
            <v>F</v>
          </cell>
          <cell r="F17">
            <v>59</v>
          </cell>
          <cell r="G17" t="str">
            <v>KRW</v>
          </cell>
          <cell r="H17" t="str">
            <v>C56</v>
          </cell>
          <cell r="I17" t="str">
            <v>(주)로옴전자코리</v>
          </cell>
          <cell r="J17">
            <v>0</v>
          </cell>
        </row>
        <row r="18">
          <cell r="B18" t="str">
            <v>Q0501007101A</v>
          </cell>
          <cell r="C18" t="str">
            <v>CHIP BRT[DTC114YUA]</v>
          </cell>
          <cell r="D18" t="str">
            <v>F</v>
          </cell>
          <cell r="F18">
            <v>28</v>
          </cell>
          <cell r="G18" t="str">
            <v>KRW</v>
          </cell>
          <cell r="H18" t="str">
            <v>C56</v>
          </cell>
          <cell r="I18" t="str">
            <v>(주)로옴전자코리</v>
          </cell>
          <cell r="J18">
            <v>0</v>
          </cell>
        </row>
        <row r="19">
          <cell r="B19" t="str">
            <v>Q0501007201A</v>
          </cell>
          <cell r="C19" t="str">
            <v>CHIP BRT[DTA114YUA]</v>
          </cell>
          <cell r="D19" t="str">
            <v>F</v>
          </cell>
          <cell r="F19">
            <v>29</v>
          </cell>
          <cell r="G19" t="str">
            <v>KRW</v>
          </cell>
          <cell r="H19" t="str">
            <v>C56</v>
          </cell>
          <cell r="I19" t="str">
            <v>(주)로옴전자코리</v>
          </cell>
          <cell r="J19">
            <v>0</v>
          </cell>
        </row>
        <row r="20">
          <cell r="B20" t="str">
            <v>Q0501008901A</v>
          </cell>
          <cell r="C20" t="str">
            <v>CHIP TR-UMT2907</v>
          </cell>
          <cell r="D20" t="str">
            <v>F</v>
          </cell>
          <cell r="F20">
            <v>34</v>
          </cell>
          <cell r="G20" t="str">
            <v>KRW</v>
          </cell>
          <cell r="H20" t="str">
            <v>C56</v>
          </cell>
          <cell r="I20" t="str">
            <v>(주)로옴전자코리</v>
          </cell>
          <cell r="J20">
            <v>0</v>
          </cell>
        </row>
        <row r="21">
          <cell r="B21" t="str">
            <v>Q0501009001A</v>
          </cell>
          <cell r="C21" t="str">
            <v>CHIP TR-UMT3904</v>
          </cell>
          <cell r="D21" t="str">
            <v>F</v>
          </cell>
          <cell r="F21">
            <v>31</v>
          </cell>
          <cell r="G21" t="str">
            <v>KRW</v>
          </cell>
          <cell r="H21" t="str">
            <v>C56</v>
          </cell>
          <cell r="I21" t="str">
            <v>(주)로옴전자코리</v>
          </cell>
          <cell r="J21">
            <v>0</v>
          </cell>
        </row>
        <row r="22">
          <cell r="B22" t="str">
            <v>Q0501009101A</v>
          </cell>
          <cell r="C22" t="str">
            <v>CHIP TR-UMC2N</v>
          </cell>
          <cell r="D22" t="str">
            <v>F</v>
          </cell>
          <cell r="F22">
            <v>53</v>
          </cell>
          <cell r="G22" t="str">
            <v>KRW</v>
          </cell>
          <cell r="H22" t="str">
            <v>C56</v>
          </cell>
          <cell r="I22" t="str">
            <v>(주)로옴전자코리</v>
          </cell>
          <cell r="J22">
            <v>0</v>
          </cell>
        </row>
        <row r="23">
          <cell r="B23" t="str">
            <v>Q0501009701A</v>
          </cell>
          <cell r="C23" t="str">
            <v>CHIP TRANSISTOR-DSC350SE</v>
          </cell>
          <cell r="D23" t="str">
            <v>F</v>
          </cell>
          <cell r="F23">
            <v>0</v>
          </cell>
          <cell r="H23" t="str">
            <v>C22</v>
          </cell>
          <cell r="J23">
            <v>0</v>
          </cell>
        </row>
        <row r="24">
          <cell r="B24" t="str">
            <v>Q0501010201A</v>
          </cell>
          <cell r="C24" t="str">
            <v>CHIP BRT-KRC407E/DTC114YE(EMT)</v>
          </cell>
          <cell r="D24" t="str">
            <v>F</v>
          </cell>
          <cell r="F24">
            <v>23</v>
          </cell>
          <cell r="G24" t="str">
            <v>KRW</v>
          </cell>
          <cell r="H24" t="str">
            <v>C22</v>
          </cell>
          <cell r="I24" t="str">
            <v>(주)로옴전자코리</v>
          </cell>
          <cell r="J24">
            <v>0</v>
          </cell>
        </row>
        <row r="25">
          <cell r="B25" t="str">
            <v>Q0501010301A</v>
          </cell>
          <cell r="C25" t="str">
            <v>CHIP BRT-KRC404E/DTC144EE(EMT)</v>
          </cell>
          <cell r="D25" t="str">
            <v>F</v>
          </cell>
          <cell r="F25">
            <v>23</v>
          </cell>
          <cell r="G25" t="str">
            <v>KRW</v>
          </cell>
          <cell r="H25" t="str">
            <v>C22</v>
          </cell>
          <cell r="I25" t="str">
            <v>(주)로옴전자코리</v>
          </cell>
          <cell r="J25">
            <v>0</v>
          </cell>
        </row>
        <row r="26">
          <cell r="B26" t="str">
            <v>Q0501010401A</v>
          </cell>
          <cell r="C26" t="str">
            <v>CHIP TRANSISTOR-2SA1774</v>
          </cell>
          <cell r="D26" t="str">
            <v>F</v>
          </cell>
          <cell r="F26">
            <v>21</v>
          </cell>
          <cell r="G26" t="str">
            <v>KRW</v>
          </cell>
          <cell r="H26" t="str">
            <v>C22</v>
          </cell>
          <cell r="I26" t="str">
            <v>(주)로옴전자코리</v>
          </cell>
          <cell r="J26">
            <v>0</v>
          </cell>
        </row>
        <row r="27">
          <cell r="B27" t="str">
            <v>Q0501010501A</v>
          </cell>
          <cell r="C27" t="str">
            <v>CHIP TRANSISTOR-KTC4082(UMT3)</v>
          </cell>
          <cell r="D27" t="str">
            <v>F</v>
          </cell>
          <cell r="F27">
            <v>0</v>
          </cell>
          <cell r="H27" t="str">
            <v>C22</v>
          </cell>
          <cell r="J27">
            <v>0</v>
          </cell>
        </row>
        <row r="28">
          <cell r="B28" t="str">
            <v>Q0501010601A</v>
          </cell>
          <cell r="C28" t="str">
            <v>CHIP TRANSISTOR-UMY1N(UMT5)</v>
          </cell>
          <cell r="D28" t="str">
            <v>F</v>
          </cell>
          <cell r="F28">
            <v>52</v>
          </cell>
          <cell r="G28" t="str">
            <v>KRW</v>
          </cell>
          <cell r="H28" t="str">
            <v>C22</v>
          </cell>
          <cell r="I28" t="str">
            <v>(주)로옴전자코리</v>
          </cell>
          <cell r="J28">
            <v>0</v>
          </cell>
        </row>
        <row r="29">
          <cell r="B29" t="str">
            <v>Q0504000201A</v>
          </cell>
          <cell r="C29" t="str">
            <v>CHIP BRT-DTC144EUA</v>
          </cell>
          <cell r="D29" t="str">
            <v>F</v>
          </cell>
          <cell r="F29">
            <v>29</v>
          </cell>
          <cell r="G29" t="str">
            <v>KRW</v>
          </cell>
          <cell r="H29" t="str">
            <v>C56</v>
          </cell>
          <cell r="I29" t="str">
            <v>(주)로옴전자코리</v>
          </cell>
          <cell r="J29">
            <v>0</v>
          </cell>
        </row>
        <row r="30">
          <cell r="B30" t="str">
            <v>Q0505000901A</v>
          </cell>
          <cell r="C30" t="str">
            <v>CHIP FET[2SK2867]</v>
          </cell>
          <cell r="D30" t="str">
            <v>F</v>
          </cell>
          <cell r="F30">
            <v>183</v>
          </cell>
          <cell r="G30" t="str">
            <v>KRW</v>
          </cell>
          <cell r="H30" t="str">
            <v>C53</v>
          </cell>
          <cell r="I30" t="str">
            <v>(주)유니온</v>
          </cell>
          <cell r="J30">
            <v>0</v>
          </cell>
        </row>
        <row r="31">
          <cell r="B31" t="str">
            <v>Q0505001001A</v>
          </cell>
          <cell r="C31" t="str">
            <v>CHIP TR-SI2305</v>
          </cell>
          <cell r="D31" t="str">
            <v>F</v>
          </cell>
          <cell r="F31">
            <v>0.2</v>
          </cell>
          <cell r="G31" t="str">
            <v>USD</v>
          </cell>
          <cell r="H31" t="str">
            <v>V02</v>
          </cell>
          <cell r="I31" t="str">
            <v>TEMIC(S) PTE LTD</v>
          </cell>
          <cell r="J31">
            <v>0</v>
          </cell>
        </row>
        <row r="32">
          <cell r="B32" t="str">
            <v>Q0505001201A</v>
          </cell>
          <cell r="C32" t="str">
            <v>MOSFET-DSC350SE</v>
          </cell>
          <cell r="D32" t="str">
            <v>F</v>
          </cell>
          <cell r="F32">
            <v>0</v>
          </cell>
          <cell r="H32" t="str">
            <v>C26</v>
          </cell>
          <cell r="J32">
            <v>0</v>
          </cell>
        </row>
        <row r="33">
          <cell r="B33" t="str">
            <v>Q0505001301A</v>
          </cell>
          <cell r="C33" t="str">
            <v>MOSFET-XP161(SOT89)</v>
          </cell>
          <cell r="D33" t="str">
            <v>F</v>
          </cell>
          <cell r="F33">
            <v>220</v>
          </cell>
          <cell r="G33" t="str">
            <v>KRW</v>
          </cell>
          <cell r="H33" t="str">
            <v>C22</v>
          </cell>
          <cell r="I33" t="str">
            <v>(주)아이에스티</v>
          </cell>
          <cell r="J33">
            <v>0</v>
          </cell>
        </row>
        <row r="34">
          <cell r="B34" t="str">
            <v>Q0505001401A</v>
          </cell>
          <cell r="C34" t="str">
            <v>MOSFET-XP162(SOT89)</v>
          </cell>
          <cell r="D34" t="str">
            <v>F</v>
          </cell>
          <cell r="F34">
            <v>220</v>
          </cell>
          <cell r="G34" t="str">
            <v>KRW</v>
          </cell>
          <cell r="H34" t="str">
            <v>C22</v>
          </cell>
          <cell r="I34" t="str">
            <v>(주)아이에스티</v>
          </cell>
          <cell r="J34">
            <v>0</v>
          </cell>
        </row>
        <row r="35">
          <cell r="B35" t="str">
            <v>Q0506001101A</v>
          </cell>
          <cell r="C35" t="str">
            <v>CHIP TR-UMZ1N</v>
          </cell>
          <cell r="D35" t="str">
            <v>F</v>
          </cell>
          <cell r="F35">
            <v>48</v>
          </cell>
          <cell r="G35" t="str">
            <v>KRW</v>
          </cell>
          <cell r="H35" t="str">
            <v>C56</v>
          </cell>
          <cell r="I35" t="str">
            <v>(주)로옴전자코리</v>
          </cell>
          <cell r="J35">
            <v>0</v>
          </cell>
        </row>
        <row r="36">
          <cell r="B36" t="str">
            <v>Q0506001201A</v>
          </cell>
          <cell r="C36" t="str">
            <v>ARRAY VARISTOR-V18MLN41206L/AVNC18S06Q</v>
          </cell>
          <cell r="D36" t="str">
            <v>F</v>
          </cell>
          <cell r="F36">
            <v>0</v>
          </cell>
          <cell r="H36" t="str">
            <v>C22</v>
          </cell>
          <cell r="J36">
            <v>0</v>
          </cell>
        </row>
        <row r="37">
          <cell r="B37" t="str">
            <v>Q0506001301A</v>
          </cell>
          <cell r="C37" t="str">
            <v>VARISTOR-V0402MHS03</v>
          </cell>
          <cell r="D37" t="str">
            <v>F</v>
          </cell>
          <cell r="F37">
            <v>0</v>
          </cell>
          <cell r="J37">
            <v>0</v>
          </cell>
        </row>
        <row r="38">
          <cell r="B38" t="str">
            <v>Q0509000601A</v>
          </cell>
          <cell r="C38" t="str">
            <v>PHOTO TR-ST_1CL3H</v>
          </cell>
          <cell r="D38" t="str">
            <v>F</v>
          </cell>
          <cell r="F38">
            <v>215</v>
          </cell>
          <cell r="G38" t="str">
            <v>KRW</v>
          </cell>
          <cell r="H38" t="str">
            <v>C22</v>
          </cell>
          <cell r="I38" t="str">
            <v>(주)아이에스티</v>
          </cell>
          <cell r="J38">
            <v>0</v>
          </cell>
        </row>
        <row r="39">
          <cell r="B39" t="str">
            <v>Q0601002401A</v>
          </cell>
          <cell r="C39" t="str">
            <v>AF LED</v>
          </cell>
          <cell r="D39" t="str">
            <v>F</v>
          </cell>
          <cell r="F39">
            <v>66</v>
          </cell>
          <cell r="G39" t="str">
            <v>KRW</v>
          </cell>
          <cell r="H39" t="str">
            <v>C50</v>
          </cell>
          <cell r="I39" t="str">
            <v>(주)유니온</v>
          </cell>
          <cell r="J39">
            <v>0</v>
          </cell>
        </row>
        <row r="40">
          <cell r="B40" t="str">
            <v>Q0601002501A</v>
          </cell>
          <cell r="C40" t="str">
            <v>SB LED</v>
          </cell>
          <cell r="D40" t="str">
            <v>F</v>
          </cell>
          <cell r="F40">
            <v>5</v>
          </cell>
          <cell r="G40" t="str">
            <v>JPY</v>
          </cell>
          <cell r="H40" t="str">
            <v>C50</v>
          </cell>
          <cell r="I40" t="str">
            <v>STANLEY</v>
          </cell>
          <cell r="J40">
            <v>0</v>
          </cell>
        </row>
        <row r="41">
          <cell r="B41" t="str">
            <v>Q0601004301A</v>
          </cell>
          <cell r="C41" t="str">
            <v>SELF LED-WR3311_V</v>
          </cell>
          <cell r="D41" t="str">
            <v>F</v>
          </cell>
          <cell r="F41">
            <v>65</v>
          </cell>
          <cell r="G41" t="str">
            <v>KRW</v>
          </cell>
          <cell r="H41" t="str">
            <v>C22</v>
          </cell>
          <cell r="I41" t="str">
            <v>(주)아이에스티</v>
          </cell>
          <cell r="J41">
            <v>0</v>
          </cell>
        </row>
        <row r="42">
          <cell r="B42" t="str">
            <v>Q0604000701A</v>
          </cell>
          <cell r="C42" t="str">
            <v>CCD_ICX252AQF-DSC350SE</v>
          </cell>
          <cell r="D42" t="str">
            <v>F</v>
          </cell>
          <cell r="F42">
            <v>24.3</v>
          </cell>
          <cell r="G42" t="str">
            <v>USD</v>
          </cell>
          <cell r="H42" t="str">
            <v>C91</v>
          </cell>
          <cell r="I42" t="str">
            <v>한국유에스씨전자</v>
          </cell>
          <cell r="J42">
            <v>0</v>
          </cell>
        </row>
        <row r="43">
          <cell r="B43" t="str">
            <v>Q0611002801A</v>
          </cell>
          <cell r="C43" t="str">
            <v>XE TUBE-DSC350SE</v>
          </cell>
          <cell r="D43" t="str">
            <v>F</v>
          </cell>
          <cell r="F43">
            <v>0.34</v>
          </cell>
          <cell r="G43" t="str">
            <v>USD</v>
          </cell>
          <cell r="H43" t="str">
            <v>C26</v>
          </cell>
          <cell r="I43" t="str">
            <v>PERKINELMER OPTO</v>
          </cell>
          <cell r="J43">
            <v>0</v>
          </cell>
        </row>
        <row r="44">
          <cell r="B44" t="str">
            <v>Q0704007801A</v>
          </cell>
          <cell r="C44" t="str">
            <v>LCD DRIVER-DSC350SE</v>
          </cell>
          <cell r="D44" t="str">
            <v>F</v>
          </cell>
          <cell r="F44">
            <v>3.1</v>
          </cell>
          <cell r="G44" t="str">
            <v>USD</v>
          </cell>
          <cell r="H44" t="str">
            <v>C91</v>
          </cell>
          <cell r="I44" t="str">
            <v>한국유에스씨전자</v>
          </cell>
          <cell r="J44">
            <v>0</v>
          </cell>
        </row>
        <row r="45">
          <cell r="B45" t="str">
            <v>Q0704007901A</v>
          </cell>
          <cell r="C45" t="str">
            <v>TFT LCD-DSC350SE</v>
          </cell>
          <cell r="D45" t="str">
            <v>F</v>
          </cell>
          <cell r="F45">
            <v>2500</v>
          </cell>
          <cell r="G45" t="str">
            <v>JPY</v>
          </cell>
          <cell r="H45" t="str">
            <v>C91</v>
          </cell>
          <cell r="I45" t="str">
            <v>USC CORP.</v>
          </cell>
          <cell r="J45">
            <v>0</v>
          </cell>
        </row>
        <row r="46">
          <cell r="B46" t="str">
            <v>Q0803000401A</v>
          </cell>
          <cell r="C46" t="str">
            <v>NOT GATE-TC7S04FU-TE85R/KIC7S04FU-RTK</v>
          </cell>
          <cell r="D46" t="str">
            <v>F</v>
          </cell>
          <cell r="F46">
            <v>110</v>
          </cell>
          <cell r="G46" t="str">
            <v>KRW</v>
          </cell>
          <cell r="H46" t="str">
            <v>C26</v>
          </cell>
          <cell r="I46" t="str">
            <v>(주)케이이씨구미</v>
          </cell>
          <cell r="J46">
            <v>0</v>
          </cell>
        </row>
        <row r="47">
          <cell r="B47" t="str">
            <v>Q0803000501A</v>
          </cell>
          <cell r="C47" t="str">
            <v>AND GATE-TC7S08FU-TE85R/KIC7S08FU-RTK</v>
          </cell>
          <cell r="D47" t="str">
            <v>F</v>
          </cell>
          <cell r="F47">
            <v>0.06</v>
          </cell>
          <cell r="G47" t="str">
            <v>USD</v>
          </cell>
          <cell r="H47" t="str">
            <v>C26</v>
          </cell>
          <cell r="I47" t="str">
            <v>ST Microelectron</v>
          </cell>
          <cell r="J47">
            <v>0</v>
          </cell>
        </row>
        <row r="48">
          <cell r="B48" t="str">
            <v>Q0803000601A</v>
          </cell>
          <cell r="C48" t="str">
            <v>OR GATE-TC7S32FU-TE85R/KIC7W32FU-RTK</v>
          </cell>
          <cell r="D48" t="str">
            <v>F</v>
          </cell>
          <cell r="F48">
            <v>0.06</v>
          </cell>
          <cell r="G48" t="str">
            <v>USD</v>
          </cell>
          <cell r="H48" t="str">
            <v>C26</v>
          </cell>
          <cell r="I48" t="str">
            <v>ST Microelectron</v>
          </cell>
          <cell r="J48">
            <v>0</v>
          </cell>
        </row>
        <row r="49">
          <cell r="B49" t="str">
            <v>Q0803000701A</v>
          </cell>
          <cell r="C49" t="str">
            <v>DUAL OR GATE-TC7W32FU-TE12L/KIC7W32-T1</v>
          </cell>
          <cell r="D49" t="str">
            <v>F</v>
          </cell>
          <cell r="F49">
            <v>219</v>
          </cell>
          <cell r="G49" t="str">
            <v>KRW</v>
          </cell>
          <cell r="H49" t="str">
            <v>C56</v>
          </cell>
          <cell r="I49" t="str">
            <v>(주)케이이씨구미</v>
          </cell>
          <cell r="J49">
            <v>0</v>
          </cell>
        </row>
        <row r="50">
          <cell r="B50" t="str">
            <v>Q0803000801A</v>
          </cell>
          <cell r="C50" t="str">
            <v>AND GATE-KIC7W08FU</v>
          </cell>
          <cell r="D50" t="str">
            <v>F</v>
          </cell>
          <cell r="F50">
            <v>0</v>
          </cell>
          <cell r="H50" t="str">
            <v>C22</v>
          </cell>
          <cell r="J50">
            <v>0</v>
          </cell>
        </row>
        <row r="51">
          <cell r="B51" t="str">
            <v>Q0803000901A</v>
          </cell>
          <cell r="C51" t="str">
            <v>NOT GATE-KIC7W04FU(SM8)</v>
          </cell>
          <cell r="D51" t="str">
            <v>F</v>
          </cell>
          <cell r="F51">
            <v>0</v>
          </cell>
          <cell r="H51" t="str">
            <v>C22</v>
          </cell>
          <cell r="J51">
            <v>0</v>
          </cell>
        </row>
        <row r="52">
          <cell r="B52" t="str">
            <v>Q0809001201A</v>
          </cell>
          <cell r="C52" t="str">
            <v>BUS TRANCEIVER-74LVC245APW</v>
          </cell>
          <cell r="D52" t="str">
            <v>F</v>
          </cell>
          <cell r="F52">
            <v>0.19</v>
          </cell>
          <cell r="G52" t="str">
            <v>USD</v>
          </cell>
          <cell r="H52" t="str">
            <v>V02</v>
          </cell>
          <cell r="I52" t="str">
            <v>Philips Electron</v>
          </cell>
          <cell r="J52">
            <v>0</v>
          </cell>
        </row>
        <row r="53">
          <cell r="B53" t="str">
            <v>Q0809001401A</v>
          </cell>
          <cell r="C53" t="str">
            <v>ESD SUPRESSORS-DIGIMAX220SE</v>
          </cell>
          <cell r="D53" t="str">
            <v>F</v>
          </cell>
          <cell r="F53">
            <v>53</v>
          </cell>
          <cell r="G53" t="str">
            <v>KRW</v>
          </cell>
          <cell r="H53" t="str">
            <v>C22</v>
          </cell>
          <cell r="I53" t="str">
            <v>삼주리틀휴즈(주)</v>
          </cell>
          <cell r="J53">
            <v>0</v>
          </cell>
        </row>
        <row r="54">
          <cell r="B54" t="str">
            <v>Q0809001701A</v>
          </cell>
          <cell r="C54" t="str">
            <v>ESD SUPRESSORS-DIGIMAX220SE</v>
          </cell>
          <cell r="D54" t="str">
            <v>F</v>
          </cell>
          <cell r="F54">
            <v>0.13</v>
          </cell>
          <cell r="G54" t="str">
            <v>USD</v>
          </cell>
          <cell r="H54" t="str">
            <v>C26</v>
          </cell>
          <cell r="I54" t="str">
            <v>ST Microelectron</v>
          </cell>
          <cell r="J54">
            <v>0</v>
          </cell>
        </row>
        <row r="55">
          <cell r="B55" t="str">
            <v>Q0809001801A</v>
          </cell>
          <cell r="C55" t="str">
            <v>ESD SUPRESSORS-DSC350SE</v>
          </cell>
          <cell r="D55" t="str">
            <v>F</v>
          </cell>
          <cell r="F55">
            <v>0</v>
          </cell>
          <cell r="J55">
            <v>0</v>
          </cell>
        </row>
        <row r="56">
          <cell r="B56" t="str">
            <v>Q0902006001A</v>
          </cell>
          <cell r="C56" t="str">
            <v>MICROCONTROLLER-DSC350SE</v>
          </cell>
          <cell r="D56" t="str">
            <v>F</v>
          </cell>
          <cell r="F56">
            <v>0</v>
          </cell>
          <cell r="H56" t="str">
            <v>C22</v>
          </cell>
          <cell r="J56">
            <v>0</v>
          </cell>
        </row>
        <row r="57">
          <cell r="B57" t="str">
            <v>Q0902006101A</v>
          </cell>
          <cell r="C57" t="str">
            <v>COACH-LC(ZR36420BGC)</v>
          </cell>
          <cell r="D57" t="str">
            <v>F</v>
          </cell>
          <cell r="F57">
            <v>11.5</v>
          </cell>
          <cell r="G57" t="str">
            <v>USD</v>
          </cell>
          <cell r="H57" t="str">
            <v>C26</v>
          </cell>
          <cell r="I57" t="str">
            <v>FM COM</v>
          </cell>
          <cell r="J57">
            <v>0</v>
          </cell>
        </row>
        <row r="58">
          <cell r="B58" t="str">
            <v>Q0909000901A</v>
          </cell>
          <cell r="C58" t="str">
            <v>CDS &amp; ADC_CXD3406GA-DSE350SE</v>
          </cell>
          <cell r="D58" t="str">
            <v>F</v>
          </cell>
          <cell r="F58">
            <v>4.3</v>
          </cell>
          <cell r="G58" t="str">
            <v>USD</v>
          </cell>
          <cell r="H58" t="str">
            <v>C91</v>
          </cell>
          <cell r="I58" t="str">
            <v>한국유에스씨전자</v>
          </cell>
          <cell r="J58">
            <v>0</v>
          </cell>
        </row>
        <row r="59">
          <cell r="B59" t="str">
            <v>Q0958905801A</v>
          </cell>
          <cell r="C59" t="str">
            <v>FRONT TAPE-A[양면접착테이퍼]</v>
          </cell>
          <cell r="D59" t="str">
            <v>F</v>
          </cell>
          <cell r="F59">
            <v>4</v>
          </cell>
          <cell r="G59" t="str">
            <v>KRW</v>
          </cell>
          <cell r="H59" t="str">
            <v>C57</v>
          </cell>
          <cell r="I59" t="str">
            <v>제일산업</v>
          </cell>
          <cell r="J59">
            <v>0</v>
          </cell>
        </row>
        <row r="60">
          <cell r="B60" t="str">
            <v>Q0958905901A</v>
          </cell>
          <cell r="C60" t="str">
            <v>FRONT TAPE-B[양면접착테이퍼]</v>
          </cell>
          <cell r="D60" t="str">
            <v>F</v>
          </cell>
          <cell r="F60">
            <v>4</v>
          </cell>
          <cell r="G60" t="str">
            <v>KRW</v>
          </cell>
          <cell r="H60" t="str">
            <v>C57</v>
          </cell>
          <cell r="I60" t="str">
            <v>제일산업</v>
          </cell>
          <cell r="J60">
            <v>0</v>
          </cell>
        </row>
        <row r="61">
          <cell r="B61" t="str">
            <v>Q0961214301A</v>
          </cell>
          <cell r="C61" t="str">
            <v>BOND TAPE-A[3X SLIM ZOOM]</v>
          </cell>
          <cell r="D61" t="str">
            <v>F</v>
          </cell>
          <cell r="F61">
            <v>2</v>
          </cell>
          <cell r="G61" t="str">
            <v>KRW</v>
          </cell>
          <cell r="H61" t="str">
            <v>C57</v>
          </cell>
          <cell r="I61" t="str">
            <v>제일산업</v>
          </cell>
          <cell r="J61">
            <v>0</v>
          </cell>
        </row>
        <row r="62">
          <cell r="B62" t="str">
            <v>Q0980108501A</v>
          </cell>
          <cell r="C62" t="str">
            <v>REASE SPRING</v>
          </cell>
          <cell r="D62" t="str">
            <v>F</v>
          </cell>
          <cell r="F62">
            <v>10</v>
          </cell>
          <cell r="G62" t="str">
            <v>KRW</v>
          </cell>
          <cell r="H62" t="str">
            <v>C80</v>
          </cell>
          <cell r="I62" t="str">
            <v>삼현(주)</v>
          </cell>
          <cell r="J62">
            <v>0</v>
          </cell>
        </row>
        <row r="63">
          <cell r="B63" t="str">
            <v>Q0992460601A</v>
          </cell>
          <cell r="C63" t="str">
            <v>TRIG TRANS[TSZ-45LS(UNION)4.9*6.0.BU]</v>
          </cell>
          <cell r="D63" t="str">
            <v>F</v>
          </cell>
          <cell r="F63">
            <v>95</v>
          </cell>
          <cell r="G63" t="str">
            <v>KRW</v>
          </cell>
          <cell r="H63" t="str">
            <v>C53</v>
          </cell>
          <cell r="I63" t="str">
            <v>(주)유니온</v>
          </cell>
          <cell r="J63">
            <v>0</v>
          </cell>
        </row>
        <row r="64">
          <cell r="B64" t="str">
            <v>Q1003001601A</v>
          </cell>
          <cell r="C64" t="str">
            <v>SHUTTER DRIVER-DSC350SE</v>
          </cell>
          <cell r="D64" t="str">
            <v>F</v>
          </cell>
          <cell r="F64">
            <v>79</v>
          </cell>
          <cell r="G64" t="str">
            <v>JPY</v>
          </cell>
          <cell r="I64" t="str">
            <v>NIDEC COPAL CORP</v>
          </cell>
          <cell r="J64">
            <v>0</v>
          </cell>
        </row>
        <row r="65">
          <cell r="B65" t="str">
            <v>Q1003001701A</v>
          </cell>
          <cell r="C65" t="str">
            <v>MOTOR DRIVER-BH6573FV(TSSOP-24)</v>
          </cell>
          <cell r="D65" t="str">
            <v>F</v>
          </cell>
          <cell r="F65">
            <v>0</v>
          </cell>
          <cell r="H65" t="str">
            <v>C22</v>
          </cell>
          <cell r="J65">
            <v>0</v>
          </cell>
        </row>
        <row r="66">
          <cell r="B66" t="str">
            <v>Q1009000701A</v>
          </cell>
          <cell r="C66" t="str">
            <v>RTC CONTROLLER-RTC-8564(VSOJ-20)[RTC M</v>
          </cell>
          <cell r="D66" t="str">
            <v>F</v>
          </cell>
          <cell r="F66">
            <v>120</v>
          </cell>
          <cell r="G66" t="str">
            <v>JPY</v>
          </cell>
          <cell r="H66" t="str">
            <v>C50</v>
          </cell>
          <cell r="I66" t="str">
            <v>SEIKO EPSON IND</v>
          </cell>
          <cell r="J66">
            <v>0</v>
          </cell>
        </row>
        <row r="67">
          <cell r="B67" t="str">
            <v>Q1009000901A</v>
          </cell>
          <cell r="C67" t="str">
            <v>PWM CONTROLER-BD9731</v>
          </cell>
          <cell r="D67" t="str">
            <v>F</v>
          </cell>
          <cell r="F67">
            <v>2000</v>
          </cell>
          <cell r="G67" t="str">
            <v>KRW</v>
          </cell>
          <cell r="H67" t="str">
            <v>C22</v>
          </cell>
          <cell r="I67" t="str">
            <v>(주)로옴전자코리</v>
          </cell>
          <cell r="J67">
            <v>0</v>
          </cell>
        </row>
        <row r="68">
          <cell r="B68" t="str">
            <v>Q1103001901A</v>
          </cell>
          <cell r="C68" t="str">
            <v>SERIAL EEPROM-DSC350SE</v>
          </cell>
          <cell r="D68" t="str">
            <v>F</v>
          </cell>
          <cell r="F68">
            <v>0.14000000000000001</v>
          </cell>
          <cell r="G68" t="str">
            <v>USD</v>
          </cell>
          <cell r="H68" t="str">
            <v>C26</v>
          </cell>
          <cell r="I68" t="str">
            <v>ST Microelectron</v>
          </cell>
          <cell r="J68">
            <v>0</v>
          </cell>
        </row>
        <row r="69">
          <cell r="B69" t="str">
            <v>Q1106000401A</v>
          </cell>
          <cell r="C69" t="str">
            <v>SDRAM-K4S641633D-GN96</v>
          </cell>
          <cell r="D69" t="str">
            <v>F</v>
          </cell>
          <cell r="F69">
            <v>5850</v>
          </cell>
          <cell r="G69" t="str">
            <v>KRW</v>
          </cell>
          <cell r="I69" t="str">
            <v>삼테크(주)</v>
          </cell>
          <cell r="J69">
            <v>0</v>
          </cell>
        </row>
        <row r="70">
          <cell r="B70" t="str">
            <v>Q1107001201A</v>
          </cell>
          <cell r="C70" t="str">
            <v>FLASH MEMORY(MX29LV800TXBC-90)</v>
          </cell>
          <cell r="D70" t="str">
            <v>F</v>
          </cell>
          <cell r="F70">
            <v>0</v>
          </cell>
          <cell r="H70" t="str">
            <v>C26</v>
          </cell>
          <cell r="J70">
            <v>0</v>
          </cell>
        </row>
        <row r="71">
          <cell r="B71" t="str">
            <v>Q1107001501A</v>
          </cell>
          <cell r="C71" t="str">
            <v>CF CARD_16MB-DSC350SE</v>
          </cell>
          <cell r="D71" t="str">
            <v>F</v>
          </cell>
          <cell r="F71">
            <v>11.46</v>
          </cell>
          <cell r="G71" t="str">
            <v>USD</v>
          </cell>
          <cell r="H71" t="str">
            <v>C26</v>
          </cell>
          <cell r="I71" t="str">
            <v>SANDISk CORPORAT</v>
          </cell>
          <cell r="J71">
            <v>0</v>
          </cell>
        </row>
        <row r="72">
          <cell r="B72" t="str">
            <v>Q1201000601A</v>
          </cell>
          <cell r="C72" t="str">
            <v>VIDEO OP AMP-TSH70(SOT23-5)/LM7131ACM</v>
          </cell>
          <cell r="D72" t="str">
            <v>F</v>
          </cell>
          <cell r="F72">
            <v>0.4</v>
          </cell>
          <cell r="G72" t="str">
            <v>USD</v>
          </cell>
          <cell r="H72" t="str">
            <v>C26</v>
          </cell>
          <cell r="I72" t="str">
            <v>내셔널세미콘넥타</v>
          </cell>
          <cell r="J72">
            <v>0</v>
          </cell>
        </row>
        <row r="73">
          <cell r="B73" t="str">
            <v>Q1201000701A</v>
          </cell>
          <cell r="C73" t="str">
            <v>MIC AMP-NJM2110V(SSOP-8)</v>
          </cell>
          <cell r="D73" t="str">
            <v>F</v>
          </cell>
          <cell r="F73">
            <v>0</v>
          </cell>
          <cell r="H73" t="str">
            <v>C22</v>
          </cell>
          <cell r="J73">
            <v>0</v>
          </cell>
        </row>
        <row r="74">
          <cell r="B74" t="str">
            <v>Q1202000401A</v>
          </cell>
          <cell r="C74" t="str">
            <v>COMPARATORS-DSC350SE</v>
          </cell>
          <cell r="D74" t="str">
            <v>F</v>
          </cell>
          <cell r="F74">
            <v>0.17</v>
          </cell>
          <cell r="G74" t="str">
            <v>USD</v>
          </cell>
          <cell r="H74" t="str">
            <v>C26</v>
          </cell>
          <cell r="I74" t="str">
            <v>ST Microelectron</v>
          </cell>
          <cell r="J74">
            <v>0</v>
          </cell>
        </row>
        <row r="75">
          <cell r="B75" t="str">
            <v>Q1203001301A</v>
          </cell>
          <cell r="C75" t="str">
            <v>REGULATOR-AAT 3220IGY-3.3-T1(SOT23-3)</v>
          </cell>
          <cell r="D75" t="str">
            <v>F</v>
          </cell>
          <cell r="F75">
            <v>0.11</v>
          </cell>
          <cell r="G75" t="str">
            <v>USD</v>
          </cell>
          <cell r="H75" t="str">
            <v>C63</v>
          </cell>
          <cell r="I75" t="str">
            <v>Advanced Analogi</v>
          </cell>
          <cell r="J75">
            <v>0</v>
          </cell>
        </row>
        <row r="76">
          <cell r="B76" t="str">
            <v>Q1203001801A</v>
          </cell>
          <cell r="C76" t="str">
            <v>SWITCHING REGURATOR-DSC350SE</v>
          </cell>
          <cell r="D76" t="str">
            <v>F</v>
          </cell>
          <cell r="F76">
            <v>0.79</v>
          </cell>
          <cell r="G76" t="str">
            <v>USD</v>
          </cell>
          <cell r="H76" t="str">
            <v>C26</v>
          </cell>
          <cell r="I76" t="str">
            <v>LINEAR TECHNOLOG</v>
          </cell>
          <cell r="J76">
            <v>0</v>
          </cell>
        </row>
        <row r="77">
          <cell r="B77" t="str">
            <v>Q1203001901A</v>
          </cell>
          <cell r="C77" t="str">
            <v>SWITCHING REGURATOR-XC9301</v>
          </cell>
          <cell r="D77" t="str">
            <v>F</v>
          </cell>
          <cell r="F77">
            <v>550</v>
          </cell>
          <cell r="G77" t="str">
            <v>KRW</v>
          </cell>
          <cell r="H77" t="str">
            <v>C22</v>
          </cell>
          <cell r="I77" t="str">
            <v>(주)아이에스티</v>
          </cell>
          <cell r="J77">
            <v>0</v>
          </cell>
        </row>
        <row r="78">
          <cell r="B78" t="str">
            <v>Q1203002001A</v>
          </cell>
          <cell r="C78" t="str">
            <v>VOLTAGE REGULATOR-XC62HR3002(SOT89-5)</v>
          </cell>
          <cell r="D78" t="str">
            <v>F</v>
          </cell>
          <cell r="F78">
            <v>280</v>
          </cell>
          <cell r="G78" t="str">
            <v>KRW</v>
          </cell>
          <cell r="H78" t="str">
            <v>C22</v>
          </cell>
          <cell r="I78" t="str">
            <v>(주)아이에스티</v>
          </cell>
          <cell r="J78">
            <v>0</v>
          </cell>
        </row>
        <row r="79">
          <cell r="B79" t="str">
            <v>Q1208001701A</v>
          </cell>
          <cell r="C79" t="str">
            <v>VOLTAGE DETECTOR-DSC350SE</v>
          </cell>
          <cell r="D79" t="str">
            <v>F</v>
          </cell>
          <cell r="F79">
            <v>0</v>
          </cell>
          <cell r="H79" t="str">
            <v>C26</v>
          </cell>
          <cell r="J79">
            <v>0</v>
          </cell>
        </row>
        <row r="80">
          <cell r="B80" t="str">
            <v>Q1407000401A</v>
          </cell>
          <cell r="C80" t="str">
            <v>IGBT-CY25AAJ-8F DSC350SE</v>
          </cell>
          <cell r="D80" t="str">
            <v>F</v>
          </cell>
          <cell r="F80">
            <v>90</v>
          </cell>
          <cell r="G80" t="str">
            <v>JPY</v>
          </cell>
          <cell r="H80" t="str">
            <v>C26</v>
          </cell>
          <cell r="I80" t="str">
            <v>SETSUYO TRADING</v>
          </cell>
          <cell r="J80">
            <v>0</v>
          </cell>
        </row>
        <row r="81">
          <cell r="B81" t="str">
            <v>Q2007001901A</v>
          </cell>
          <cell r="C81" t="str">
            <v>CHIP RESISTOR[47K옴(R7:1608)]</v>
          </cell>
          <cell r="D81" t="str">
            <v>F</v>
          </cell>
          <cell r="F81">
            <v>3</v>
          </cell>
          <cell r="G81" t="str">
            <v>KRW</v>
          </cell>
          <cell r="H81" t="str">
            <v>C56</v>
          </cell>
          <cell r="I81" t="str">
            <v>삼성전기(주)영업</v>
          </cell>
          <cell r="J81">
            <v>0</v>
          </cell>
        </row>
        <row r="82">
          <cell r="B82" t="str">
            <v>Q2007012201A</v>
          </cell>
          <cell r="C82" t="str">
            <v>CHIP RESISTOR[RC1608J101CS]</v>
          </cell>
          <cell r="D82" t="str">
            <v>F</v>
          </cell>
          <cell r="F82">
            <v>3</v>
          </cell>
          <cell r="G82" t="str">
            <v>KRW</v>
          </cell>
          <cell r="H82" t="str">
            <v>C56</v>
          </cell>
          <cell r="I82" t="str">
            <v>삼성전기(주)영업</v>
          </cell>
          <cell r="J82">
            <v>0</v>
          </cell>
        </row>
        <row r="83">
          <cell r="B83" t="str">
            <v>Q2007012301A</v>
          </cell>
          <cell r="C83" t="str">
            <v>CHIP RESISTOR[RC1608J105CS]</v>
          </cell>
          <cell r="D83" t="str">
            <v>F</v>
          </cell>
          <cell r="F83">
            <v>3</v>
          </cell>
          <cell r="G83" t="str">
            <v>KRW</v>
          </cell>
          <cell r="H83" t="str">
            <v>C56</v>
          </cell>
          <cell r="I83" t="str">
            <v>삼성전기(주)영업</v>
          </cell>
          <cell r="J83">
            <v>0</v>
          </cell>
        </row>
        <row r="84">
          <cell r="B84" t="str">
            <v>Q2007012401A</v>
          </cell>
          <cell r="C84" t="str">
            <v>CHIP RESISTOR[RC1608J333CS]</v>
          </cell>
          <cell r="D84" t="str">
            <v>F</v>
          </cell>
          <cell r="F84">
            <v>3</v>
          </cell>
          <cell r="G84" t="str">
            <v>KRW</v>
          </cell>
          <cell r="H84" t="str">
            <v>C56</v>
          </cell>
          <cell r="I84" t="str">
            <v>삼성전기(주)영업</v>
          </cell>
          <cell r="J84">
            <v>0</v>
          </cell>
        </row>
        <row r="85">
          <cell r="B85" t="str">
            <v>Q2007013401A</v>
          </cell>
          <cell r="C85" t="str">
            <v>CHIP RESISTOR[RC1608J205CS.(REEL)]</v>
          </cell>
          <cell r="D85" t="str">
            <v>F</v>
          </cell>
          <cell r="F85">
            <v>3</v>
          </cell>
          <cell r="G85" t="str">
            <v>KRW</v>
          </cell>
          <cell r="H85" t="str">
            <v>C56</v>
          </cell>
          <cell r="I85" t="str">
            <v>삼성전기(주)영업</v>
          </cell>
          <cell r="J85">
            <v>0</v>
          </cell>
        </row>
        <row r="86">
          <cell r="B86" t="str">
            <v>Q2007014901A</v>
          </cell>
          <cell r="C86" t="str">
            <v>CHIP RESISTOR</v>
          </cell>
          <cell r="D86" t="str">
            <v>F</v>
          </cell>
          <cell r="F86">
            <v>3</v>
          </cell>
          <cell r="G86" t="str">
            <v>KRW</v>
          </cell>
          <cell r="H86" t="str">
            <v>C56</v>
          </cell>
          <cell r="I86" t="str">
            <v>삼성전기(주)영업</v>
          </cell>
          <cell r="J86">
            <v>0</v>
          </cell>
        </row>
        <row r="87">
          <cell r="B87" t="str">
            <v>Q2007015201A</v>
          </cell>
          <cell r="C87" t="str">
            <v>CHIP RESISTOR[RC1608J222CS.(REEL)]</v>
          </cell>
          <cell r="D87" t="str">
            <v>F</v>
          </cell>
          <cell r="F87">
            <v>2</v>
          </cell>
          <cell r="G87" t="str">
            <v>KRW</v>
          </cell>
          <cell r="H87" t="str">
            <v>C56</v>
          </cell>
          <cell r="I87" t="str">
            <v>델타코퍼레이션</v>
          </cell>
          <cell r="J87">
            <v>0</v>
          </cell>
        </row>
        <row r="88">
          <cell r="B88" t="str">
            <v>Q2007015301A</v>
          </cell>
          <cell r="C88" t="str">
            <v>CHIP RESISTOR[RC1608J223CS.(REEL)]</v>
          </cell>
          <cell r="D88" t="str">
            <v>F</v>
          </cell>
          <cell r="F88">
            <v>3</v>
          </cell>
          <cell r="G88" t="str">
            <v>KRW</v>
          </cell>
          <cell r="H88" t="str">
            <v>C56</v>
          </cell>
          <cell r="I88" t="str">
            <v>삼성전기(주)영업</v>
          </cell>
          <cell r="J88">
            <v>0</v>
          </cell>
        </row>
        <row r="89">
          <cell r="B89" t="str">
            <v>Q2007015501A</v>
          </cell>
          <cell r="C89" t="str">
            <v>CHIP RESISTOR[RC1608J303CS.(REEL)]</v>
          </cell>
          <cell r="D89" t="str">
            <v>F</v>
          </cell>
          <cell r="F89">
            <v>3</v>
          </cell>
          <cell r="G89" t="str">
            <v>KRW</v>
          </cell>
          <cell r="H89" t="str">
            <v>C56</v>
          </cell>
          <cell r="I89" t="str">
            <v>삼성전기(주)영업</v>
          </cell>
          <cell r="J89">
            <v>0</v>
          </cell>
        </row>
        <row r="90">
          <cell r="B90" t="str">
            <v>Q2007016301A</v>
          </cell>
          <cell r="C90" t="str">
            <v>CHIP RESISTOR[RC1608J821CS.(REEL)]</v>
          </cell>
          <cell r="D90" t="str">
            <v>F</v>
          </cell>
          <cell r="F90">
            <v>2</v>
          </cell>
          <cell r="G90" t="str">
            <v>KRW</v>
          </cell>
          <cell r="H90" t="str">
            <v>C56</v>
          </cell>
          <cell r="I90" t="str">
            <v>삼성전기(주)영업</v>
          </cell>
          <cell r="J90">
            <v>0</v>
          </cell>
        </row>
        <row r="91">
          <cell r="B91" t="str">
            <v>Q2007016901A</v>
          </cell>
          <cell r="C91" t="str">
            <v>CHIP RESISTOR</v>
          </cell>
          <cell r="D91" t="str">
            <v>F</v>
          </cell>
          <cell r="F91">
            <v>3</v>
          </cell>
          <cell r="G91" t="str">
            <v>KRW</v>
          </cell>
          <cell r="H91" t="str">
            <v>C56</v>
          </cell>
          <cell r="I91" t="str">
            <v>삼성전기(주)영업</v>
          </cell>
          <cell r="J91">
            <v>0</v>
          </cell>
        </row>
        <row r="92">
          <cell r="B92" t="str">
            <v>Q2007017501A</v>
          </cell>
          <cell r="C92" t="str">
            <v>CHIP RESISTOR[RC1608J102CS]</v>
          </cell>
          <cell r="D92" t="str">
            <v>F</v>
          </cell>
          <cell r="F92">
            <v>3</v>
          </cell>
          <cell r="G92" t="str">
            <v>KRW</v>
          </cell>
          <cell r="H92" t="str">
            <v>C56</v>
          </cell>
          <cell r="I92" t="str">
            <v>삼성전기(주)영업</v>
          </cell>
          <cell r="J92">
            <v>0</v>
          </cell>
        </row>
        <row r="93">
          <cell r="B93" t="str">
            <v>Q2007019801A</v>
          </cell>
          <cell r="C93" t="str">
            <v>CHIP RESISTOR[RC1608J151CS]</v>
          </cell>
          <cell r="D93" t="str">
            <v>F</v>
          </cell>
          <cell r="F93">
            <v>3</v>
          </cell>
          <cell r="G93" t="str">
            <v>KRW</v>
          </cell>
          <cell r="H93" t="str">
            <v>C56</v>
          </cell>
          <cell r="I93" t="str">
            <v>삼성전기(주)영업</v>
          </cell>
          <cell r="J93">
            <v>0</v>
          </cell>
        </row>
        <row r="94">
          <cell r="B94" t="str">
            <v>Q2007031401A</v>
          </cell>
          <cell r="C94" t="str">
            <v>CHIP RESISTOR-RC1608J000CS</v>
          </cell>
          <cell r="D94" t="str">
            <v>F</v>
          </cell>
          <cell r="F94">
            <v>3</v>
          </cell>
          <cell r="G94" t="str">
            <v>KRW</v>
          </cell>
          <cell r="H94" t="str">
            <v>C56</v>
          </cell>
          <cell r="I94" t="str">
            <v>삼성전기(주)영업</v>
          </cell>
          <cell r="J94">
            <v>0</v>
          </cell>
        </row>
        <row r="95">
          <cell r="B95" t="str">
            <v>Q2007031501A</v>
          </cell>
          <cell r="C95" t="str">
            <v>CHIP RESISTOR-RC1608J100CS</v>
          </cell>
          <cell r="D95" t="str">
            <v>F</v>
          </cell>
          <cell r="F95">
            <v>3</v>
          </cell>
          <cell r="G95" t="str">
            <v>KRW</v>
          </cell>
          <cell r="H95" t="str">
            <v>C56</v>
          </cell>
          <cell r="I95" t="str">
            <v>삼성전기(주)영업</v>
          </cell>
          <cell r="J95">
            <v>0</v>
          </cell>
        </row>
        <row r="96">
          <cell r="B96" t="str">
            <v>Q2007031601A</v>
          </cell>
          <cell r="C96" t="str">
            <v>CHIP RESISTOR-RC1608J103CS</v>
          </cell>
          <cell r="D96" t="str">
            <v>F</v>
          </cell>
          <cell r="F96">
            <v>3</v>
          </cell>
          <cell r="G96" t="str">
            <v>KRW</v>
          </cell>
          <cell r="H96" t="str">
            <v>C56</v>
          </cell>
          <cell r="I96" t="str">
            <v>삼성전기(주)영업</v>
          </cell>
          <cell r="J96">
            <v>0</v>
          </cell>
        </row>
        <row r="97">
          <cell r="B97" t="str">
            <v>Q2007032801A</v>
          </cell>
          <cell r="C97" t="str">
            <v>CHIP RESISTOR-RC1608J332CS</v>
          </cell>
          <cell r="D97" t="str">
            <v>F</v>
          </cell>
          <cell r="F97">
            <v>3</v>
          </cell>
          <cell r="G97" t="str">
            <v>KRW</v>
          </cell>
          <cell r="H97" t="str">
            <v>C56</v>
          </cell>
          <cell r="I97" t="str">
            <v>삼성전기(주)영업</v>
          </cell>
          <cell r="J97">
            <v>0</v>
          </cell>
        </row>
        <row r="98">
          <cell r="B98" t="str">
            <v>Q2007034301A</v>
          </cell>
          <cell r="C98" t="str">
            <v>CHIP RESISTOR ARRAY-MNR14P2ABJ101</v>
          </cell>
          <cell r="D98" t="str">
            <v>F</v>
          </cell>
          <cell r="F98">
            <v>14</v>
          </cell>
          <cell r="G98" t="str">
            <v>KRW</v>
          </cell>
          <cell r="H98" t="str">
            <v>C56</v>
          </cell>
          <cell r="I98" t="str">
            <v>(주)로옴전자코리</v>
          </cell>
          <cell r="J98">
            <v>0</v>
          </cell>
        </row>
        <row r="99">
          <cell r="B99" t="str">
            <v>Q2007035101A</v>
          </cell>
          <cell r="C99" t="str">
            <v>CHIP RESISTOR-OR(1005)</v>
          </cell>
          <cell r="D99" t="str">
            <v>F</v>
          </cell>
          <cell r="F99">
            <v>3</v>
          </cell>
          <cell r="G99" t="str">
            <v>KRW</v>
          </cell>
          <cell r="H99" t="str">
            <v>C56</v>
          </cell>
          <cell r="I99" t="str">
            <v>델타코퍼레이션</v>
          </cell>
          <cell r="J99">
            <v>0</v>
          </cell>
        </row>
        <row r="100">
          <cell r="B100" t="str">
            <v>Q2007035301A</v>
          </cell>
          <cell r="C100" t="str">
            <v>CHIP RESISTOR-100K(1005)</v>
          </cell>
          <cell r="D100" t="str">
            <v>F</v>
          </cell>
          <cell r="F100">
            <v>3</v>
          </cell>
          <cell r="G100" t="str">
            <v>KRW</v>
          </cell>
          <cell r="H100" t="str">
            <v>C56</v>
          </cell>
          <cell r="I100" t="str">
            <v>델타코퍼레이션</v>
          </cell>
          <cell r="J100">
            <v>0</v>
          </cell>
        </row>
        <row r="101">
          <cell r="B101" t="str">
            <v>Q2007035401A</v>
          </cell>
          <cell r="C101" t="str">
            <v>CHIP RESISTOR-100R(1005)</v>
          </cell>
          <cell r="D101" t="str">
            <v>F</v>
          </cell>
          <cell r="F101">
            <v>3</v>
          </cell>
          <cell r="G101" t="str">
            <v>KRW</v>
          </cell>
          <cell r="H101" t="str">
            <v>C56</v>
          </cell>
          <cell r="I101" t="str">
            <v>델타코퍼레이션</v>
          </cell>
          <cell r="J101">
            <v>0</v>
          </cell>
        </row>
        <row r="102">
          <cell r="B102" t="str">
            <v>Q2007035501A</v>
          </cell>
          <cell r="C102" t="str">
            <v>CHIP RESISTOR-10K(1005)</v>
          </cell>
          <cell r="D102" t="str">
            <v>F</v>
          </cell>
          <cell r="F102">
            <v>3</v>
          </cell>
          <cell r="G102" t="str">
            <v>KRW</v>
          </cell>
          <cell r="H102" t="str">
            <v>C22</v>
          </cell>
          <cell r="I102" t="str">
            <v>델타코퍼레이션</v>
          </cell>
          <cell r="J102">
            <v>0</v>
          </cell>
        </row>
        <row r="103">
          <cell r="B103" t="str">
            <v>Q2007035701A</v>
          </cell>
          <cell r="C103" t="str">
            <v>CHIP RESISTOR-1K(1005)</v>
          </cell>
          <cell r="D103" t="str">
            <v>F</v>
          </cell>
          <cell r="F103">
            <v>3</v>
          </cell>
          <cell r="G103" t="str">
            <v>KRW</v>
          </cell>
          <cell r="H103" t="str">
            <v>C22</v>
          </cell>
          <cell r="I103" t="str">
            <v>델타코퍼레이션</v>
          </cell>
          <cell r="J103">
            <v>0</v>
          </cell>
        </row>
        <row r="104">
          <cell r="B104" t="str">
            <v>Q2007035801A</v>
          </cell>
          <cell r="C104" t="str">
            <v>CHIP RESISTOR-1K5(1005)</v>
          </cell>
          <cell r="D104" t="str">
            <v>F</v>
          </cell>
          <cell r="F104">
            <v>3</v>
          </cell>
          <cell r="G104" t="str">
            <v>KRW</v>
          </cell>
          <cell r="H104" t="str">
            <v>C22</v>
          </cell>
          <cell r="I104" t="str">
            <v>델타코퍼레이션</v>
          </cell>
          <cell r="J104">
            <v>0</v>
          </cell>
        </row>
        <row r="105">
          <cell r="B105" t="str">
            <v>Q2007036001A</v>
          </cell>
          <cell r="C105" t="str">
            <v>CHIP RESISTOR-200R(1005)</v>
          </cell>
          <cell r="D105" t="str">
            <v>F</v>
          </cell>
          <cell r="F105">
            <v>3</v>
          </cell>
          <cell r="G105" t="str">
            <v>KRW</v>
          </cell>
          <cell r="H105" t="str">
            <v>C22</v>
          </cell>
          <cell r="I105" t="str">
            <v>델타코퍼레이션</v>
          </cell>
          <cell r="J105">
            <v>0</v>
          </cell>
        </row>
        <row r="106">
          <cell r="B106" t="str">
            <v>Q2007036201A</v>
          </cell>
          <cell r="C106" t="str">
            <v>CHIP RESISTOR-24K(1005)</v>
          </cell>
          <cell r="D106" t="str">
            <v>F</v>
          </cell>
          <cell r="F106">
            <v>3</v>
          </cell>
          <cell r="G106" t="str">
            <v>KRW</v>
          </cell>
          <cell r="H106" t="str">
            <v>C22</v>
          </cell>
          <cell r="I106" t="str">
            <v>삼성전기(주)영업</v>
          </cell>
          <cell r="J106">
            <v>0</v>
          </cell>
        </row>
        <row r="107">
          <cell r="B107" t="str">
            <v>Q2007036501A</v>
          </cell>
          <cell r="C107" t="str">
            <v>CHIP RESISTOR-33K(1005)</v>
          </cell>
          <cell r="D107" t="str">
            <v>F</v>
          </cell>
          <cell r="F107">
            <v>3</v>
          </cell>
          <cell r="G107" t="str">
            <v>KRW</v>
          </cell>
          <cell r="H107" t="str">
            <v>C22</v>
          </cell>
          <cell r="I107" t="str">
            <v>삼성전기(주)영업</v>
          </cell>
          <cell r="J107">
            <v>0</v>
          </cell>
        </row>
        <row r="108">
          <cell r="B108" t="str">
            <v>Q2007036701A</v>
          </cell>
          <cell r="C108" t="str">
            <v>CHIP RESISTOR-47K(1005)</v>
          </cell>
          <cell r="D108" t="str">
            <v>F</v>
          </cell>
          <cell r="F108">
            <v>3</v>
          </cell>
          <cell r="G108" t="str">
            <v>KRW</v>
          </cell>
          <cell r="H108" t="str">
            <v>C22</v>
          </cell>
          <cell r="I108" t="str">
            <v>델타코퍼레이션</v>
          </cell>
          <cell r="J108">
            <v>0</v>
          </cell>
        </row>
        <row r="109">
          <cell r="B109" t="str">
            <v>Q2007036801A</v>
          </cell>
          <cell r="C109" t="str">
            <v>CHIP RESISTOR-4K7(1005)</v>
          </cell>
          <cell r="D109" t="str">
            <v>F</v>
          </cell>
          <cell r="F109">
            <v>3</v>
          </cell>
          <cell r="G109" t="str">
            <v>KRW</v>
          </cell>
          <cell r="H109" t="str">
            <v>C22</v>
          </cell>
          <cell r="I109" t="str">
            <v>델타코퍼레이션</v>
          </cell>
          <cell r="J109">
            <v>0</v>
          </cell>
        </row>
        <row r="110">
          <cell r="B110" t="str">
            <v>Q2007037401A</v>
          </cell>
          <cell r="C110" t="str">
            <v>CHIP RESISTOR-RC1005J224CS</v>
          </cell>
          <cell r="D110" t="str">
            <v>F</v>
          </cell>
          <cell r="F110">
            <v>3</v>
          </cell>
          <cell r="G110" t="str">
            <v>KRW</v>
          </cell>
          <cell r="H110" t="str">
            <v>C56</v>
          </cell>
          <cell r="I110" t="str">
            <v>삼성전기(주)영업</v>
          </cell>
          <cell r="J110">
            <v>0</v>
          </cell>
        </row>
        <row r="111">
          <cell r="B111" t="str">
            <v>Q2007037501A</v>
          </cell>
          <cell r="C111" t="str">
            <v>CHIP RESISTOR-RC1005J332CS</v>
          </cell>
          <cell r="D111" t="str">
            <v>F</v>
          </cell>
          <cell r="F111">
            <v>3</v>
          </cell>
          <cell r="G111" t="str">
            <v>KRW</v>
          </cell>
          <cell r="H111" t="str">
            <v>C56</v>
          </cell>
          <cell r="I111" t="str">
            <v>삼성전기(주)영업</v>
          </cell>
          <cell r="J111">
            <v>0</v>
          </cell>
        </row>
        <row r="112">
          <cell r="B112" t="str">
            <v>Q2007037601A</v>
          </cell>
          <cell r="C112" t="str">
            <v>CHIP RESISTOR-RC1005J222CS</v>
          </cell>
          <cell r="D112" t="str">
            <v>F</v>
          </cell>
          <cell r="F112">
            <v>3</v>
          </cell>
          <cell r="G112" t="str">
            <v>KRW</v>
          </cell>
          <cell r="H112" t="str">
            <v>C56</v>
          </cell>
          <cell r="I112" t="str">
            <v>델타코퍼레이션</v>
          </cell>
          <cell r="J112">
            <v>0</v>
          </cell>
        </row>
        <row r="113">
          <cell r="B113" t="str">
            <v>Q2007037901A</v>
          </cell>
          <cell r="C113" t="str">
            <v>CHIP RESISTOR-RC1005J220CS</v>
          </cell>
          <cell r="D113" t="str">
            <v>F</v>
          </cell>
          <cell r="F113">
            <v>3</v>
          </cell>
          <cell r="G113" t="str">
            <v>KRW</v>
          </cell>
          <cell r="H113" t="str">
            <v>C56</v>
          </cell>
          <cell r="I113" t="str">
            <v>삼성전기(주)영업</v>
          </cell>
          <cell r="J113">
            <v>0</v>
          </cell>
        </row>
        <row r="114">
          <cell r="B114" t="str">
            <v>Q2007038201A</v>
          </cell>
          <cell r="C114" t="str">
            <v>CHIP CAPACITOR-75R(1005)</v>
          </cell>
          <cell r="D114" t="str">
            <v>F</v>
          </cell>
          <cell r="F114">
            <v>0</v>
          </cell>
          <cell r="H114" t="str">
            <v>C22</v>
          </cell>
          <cell r="J114">
            <v>0</v>
          </cell>
        </row>
        <row r="115">
          <cell r="B115" t="str">
            <v>Q2007039501A</v>
          </cell>
          <cell r="C115" t="str">
            <v>CHIP RESISTOR(1005)-RC1005F433CS</v>
          </cell>
          <cell r="D115" t="str">
            <v>F</v>
          </cell>
          <cell r="F115">
            <v>0</v>
          </cell>
          <cell r="J115">
            <v>0</v>
          </cell>
        </row>
        <row r="116">
          <cell r="B116" t="str">
            <v>Q2007039601A</v>
          </cell>
          <cell r="C116" t="str">
            <v>CHIP RESISTOR(1005)-RC1005J100CS</v>
          </cell>
          <cell r="D116" t="str">
            <v>F</v>
          </cell>
          <cell r="F116">
            <v>0</v>
          </cell>
          <cell r="H116" t="str">
            <v>C22</v>
          </cell>
          <cell r="J116">
            <v>0</v>
          </cell>
        </row>
        <row r="117">
          <cell r="B117" t="str">
            <v>Q2007039701A</v>
          </cell>
          <cell r="C117" t="str">
            <v>CHIP RESISTOR(1005)-RC1005F102CS</v>
          </cell>
          <cell r="D117" t="str">
            <v>F</v>
          </cell>
          <cell r="F117">
            <v>0</v>
          </cell>
          <cell r="H117" t="str">
            <v>C11</v>
          </cell>
          <cell r="J117">
            <v>0</v>
          </cell>
        </row>
        <row r="118">
          <cell r="B118" t="str">
            <v>Q2007039801A</v>
          </cell>
          <cell r="C118" t="str">
            <v>CHIP RESISTOR(1005)-RC1005J123CS</v>
          </cell>
          <cell r="D118" t="str">
            <v>F</v>
          </cell>
          <cell r="F118">
            <v>0</v>
          </cell>
          <cell r="H118" t="str">
            <v>C22</v>
          </cell>
          <cell r="J118">
            <v>0</v>
          </cell>
        </row>
        <row r="119">
          <cell r="B119" t="str">
            <v>Q2007039901A</v>
          </cell>
          <cell r="C119" t="str">
            <v>CHIP RESISTOR(1005)-RC1005J124CS</v>
          </cell>
          <cell r="D119" t="str">
            <v>F</v>
          </cell>
          <cell r="F119">
            <v>0</v>
          </cell>
          <cell r="H119" t="str">
            <v>C22</v>
          </cell>
          <cell r="J119">
            <v>0</v>
          </cell>
        </row>
        <row r="120">
          <cell r="B120" t="str">
            <v>Q2007040001A</v>
          </cell>
          <cell r="C120" t="str">
            <v>CHIP RESISTOR(1005)-RC1005J153CS</v>
          </cell>
          <cell r="D120" t="str">
            <v>F</v>
          </cell>
          <cell r="F120">
            <v>0</v>
          </cell>
          <cell r="H120" t="str">
            <v>C22</v>
          </cell>
          <cell r="J120">
            <v>0</v>
          </cell>
        </row>
        <row r="121">
          <cell r="B121" t="str">
            <v>Q2007040101A</v>
          </cell>
          <cell r="C121" t="str">
            <v>CHIP RESISTOR(1005)-RC1005F201CS</v>
          </cell>
          <cell r="D121" t="str">
            <v>F</v>
          </cell>
          <cell r="F121">
            <v>0</v>
          </cell>
          <cell r="H121" t="str">
            <v>C22</v>
          </cell>
          <cell r="J121">
            <v>0</v>
          </cell>
        </row>
        <row r="122">
          <cell r="B122" t="str">
            <v>Q2007040201A</v>
          </cell>
          <cell r="C122" t="str">
            <v>CHIP RESISTOR(1005)-RC1005J223CS</v>
          </cell>
          <cell r="D122" t="str">
            <v>F</v>
          </cell>
          <cell r="F122">
            <v>0</v>
          </cell>
          <cell r="H122" t="str">
            <v>C22</v>
          </cell>
          <cell r="J122">
            <v>0</v>
          </cell>
        </row>
        <row r="123">
          <cell r="B123" t="str">
            <v>Q2007040301A</v>
          </cell>
          <cell r="C123" t="str">
            <v>CHIP RESISTOR(1005)-RC1005J303CS</v>
          </cell>
          <cell r="D123" t="str">
            <v>F</v>
          </cell>
          <cell r="F123">
            <v>0</v>
          </cell>
          <cell r="H123" t="str">
            <v>C22</v>
          </cell>
          <cell r="J123">
            <v>0</v>
          </cell>
        </row>
        <row r="124">
          <cell r="B124" t="str">
            <v>Q2007040401A</v>
          </cell>
          <cell r="C124" t="str">
            <v>CHIP RESISTOR(1005)-RC1005J331CS</v>
          </cell>
          <cell r="D124" t="str">
            <v>F</v>
          </cell>
          <cell r="F124">
            <v>0</v>
          </cell>
          <cell r="H124" t="str">
            <v>C22</v>
          </cell>
          <cell r="J124">
            <v>0</v>
          </cell>
        </row>
        <row r="125">
          <cell r="B125" t="str">
            <v>Q2007040601A</v>
          </cell>
          <cell r="C125" t="str">
            <v>CHIP RESISTOR(1005)-RC1005J470CS</v>
          </cell>
          <cell r="D125" t="str">
            <v>F</v>
          </cell>
          <cell r="F125">
            <v>0</v>
          </cell>
          <cell r="H125" t="str">
            <v>C22</v>
          </cell>
          <cell r="J125">
            <v>0</v>
          </cell>
        </row>
        <row r="126">
          <cell r="B126" t="str">
            <v>Q2007040701A</v>
          </cell>
          <cell r="C126" t="str">
            <v>CHIP RESISTOR(1005)-RC1005J513CS</v>
          </cell>
          <cell r="D126" t="str">
            <v>F</v>
          </cell>
          <cell r="F126">
            <v>0</v>
          </cell>
          <cell r="H126" t="str">
            <v>C22</v>
          </cell>
          <cell r="J126">
            <v>0</v>
          </cell>
        </row>
        <row r="127">
          <cell r="B127" t="str">
            <v>Q2007040801A</v>
          </cell>
          <cell r="C127" t="str">
            <v>CHIP RESISTOR(1005)-RC1005J682CS</v>
          </cell>
          <cell r="D127" t="str">
            <v>F</v>
          </cell>
          <cell r="F127">
            <v>0</v>
          </cell>
          <cell r="H127" t="str">
            <v>C22</v>
          </cell>
          <cell r="J127">
            <v>0</v>
          </cell>
        </row>
        <row r="128">
          <cell r="B128" t="str">
            <v>Q2007041001A</v>
          </cell>
          <cell r="C128" t="str">
            <v>CHIP RESISTOR(1608)-RC1608J203CS</v>
          </cell>
          <cell r="D128" t="str">
            <v>F</v>
          </cell>
          <cell r="F128">
            <v>0</v>
          </cell>
          <cell r="H128" t="str">
            <v>C22</v>
          </cell>
          <cell r="J128">
            <v>0</v>
          </cell>
        </row>
        <row r="129">
          <cell r="B129" t="str">
            <v>Q2007041101A</v>
          </cell>
          <cell r="C129" t="str">
            <v>CHIP RESISTOR(1608)-RC1608F010CS</v>
          </cell>
          <cell r="D129" t="str">
            <v>F</v>
          </cell>
          <cell r="F129">
            <v>0</v>
          </cell>
          <cell r="H129" t="str">
            <v>C22</v>
          </cell>
          <cell r="J129">
            <v>0</v>
          </cell>
        </row>
        <row r="130">
          <cell r="B130" t="str">
            <v>Q2007041201A</v>
          </cell>
          <cell r="C130" t="str">
            <v>CHIP RESISTOR(1005,1%)-RC1005F471CS</v>
          </cell>
          <cell r="D130" t="str">
            <v>F</v>
          </cell>
          <cell r="F130">
            <v>0</v>
          </cell>
          <cell r="H130" t="str">
            <v>C22</v>
          </cell>
          <cell r="J130">
            <v>0</v>
          </cell>
        </row>
        <row r="131">
          <cell r="B131" t="str">
            <v>Q2007041301A</v>
          </cell>
          <cell r="C131" t="str">
            <v>CHIP RESISTOR(1005)-RC1005J241CS</v>
          </cell>
          <cell r="D131" t="str">
            <v>F</v>
          </cell>
          <cell r="F131">
            <v>0</v>
          </cell>
          <cell r="H131" t="str">
            <v>C22</v>
          </cell>
          <cell r="J131">
            <v>0</v>
          </cell>
        </row>
        <row r="132">
          <cell r="B132" t="str">
            <v>Q2007041401A</v>
          </cell>
          <cell r="C132" t="str">
            <v>CHIP RESISTOR(1005,1%)-RC1005F821CS</v>
          </cell>
          <cell r="D132" t="str">
            <v>F</v>
          </cell>
          <cell r="F132">
            <v>0</v>
          </cell>
          <cell r="H132" t="str">
            <v>C22</v>
          </cell>
          <cell r="J132">
            <v>0</v>
          </cell>
        </row>
        <row r="133">
          <cell r="B133" t="str">
            <v>Q2007041501A</v>
          </cell>
          <cell r="C133" t="str">
            <v>CHIP RESISTOR(1608)-RC1608F431CS</v>
          </cell>
          <cell r="D133" t="str">
            <v>F</v>
          </cell>
          <cell r="F133">
            <v>0</v>
          </cell>
          <cell r="H133" t="str">
            <v>C22</v>
          </cell>
          <cell r="J133">
            <v>0</v>
          </cell>
        </row>
        <row r="134">
          <cell r="B134" t="str">
            <v>Q2007041701A</v>
          </cell>
          <cell r="C134" t="str">
            <v>CHIP RESISTOR(1608)-RC1608J470CS</v>
          </cell>
          <cell r="D134" t="str">
            <v>F</v>
          </cell>
          <cell r="F134">
            <v>0</v>
          </cell>
          <cell r="H134" t="str">
            <v>C22</v>
          </cell>
          <cell r="J134">
            <v>0</v>
          </cell>
        </row>
        <row r="135">
          <cell r="B135" t="str">
            <v>Q2007041801A</v>
          </cell>
          <cell r="C135" t="str">
            <v>CHIP RESISTOR(1005)-RC1005J392CS</v>
          </cell>
          <cell r="D135" t="str">
            <v>F</v>
          </cell>
          <cell r="F135">
            <v>0</v>
          </cell>
          <cell r="H135" t="str">
            <v>C22</v>
          </cell>
          <cell r="J135">
            <v>0</v>
          </cell>
        </row>
        <row r="136">
          <cell r="B136" t="str">
            <v>Q2007041901A</v>
          </cell>
          <cell r="C136" t="str">
            <v>CHIP RESISTOR(1005)-RC1005J391CS</v>
          </cell>
          <cell r="D136" t="str">
            <v>F</v>
          </cell>
          <cell r="F136">
            <v>0</v>
          </cell>
          <cell r="H136" t="str">
            <v>C22</v>
          </cell>
          <cell r="J136">
            <v>0</v>
          </cell>
        </row>
        <row r="137">
          <cell r="B137" t="str">
            <v>Q2007042001A</v>
          </cell>
          <cell r="C137" t="str">
            <v>CHIP RESISTOR(1005)-RC1005F273CS</v>
          </cell>
          <cell r="D137" t="str">
            <v>F</v>
          </cell>
          <cell r="F137">
            <v>0</v>
          </cell>
          <cell r="J137">
            <v>0</v>
          </cell>
        </row>
        <row r="138">
          <cell r="B138" t="str">
            <v>Q2007042101A</v>
          </cell>
          <cell r="C138" t="str">
            <v>CHIP RESISTOR(1005)-RC1005F302CS</v>
          </cell>
          <cell r="D138" t="str">
            <v>F</v>
          </cell>
          <cell r="F138">
            <v>0</v>
          </cell>
          <cell r="J138">
            <v>0</v>
          </cell>
        </row>
        <row r="139">
          <cell r="B139" t="str">
            <v>Q2007042201A</v>
          </cell>
          <cell r="C139" t="str">
            <v>CHIP RESISTOR-RC1608F123CS</v>
          </cell>
          <cell r="D139" t="str">
            <v>F</v>
          </cell>
          <cell r="F139">
            <v>0</v>
          </cell>
          <cell r="J139">
            <v>0</v>
          </cell>
        </row>
        <row r="140">
          <cell r="B140" t="str">
            <v>Q2011000201A</v>
          </cell>
          <cell r="C140" t="str">
            <v>NR801.2.3.4[MNR14EOABJ333]</v>
          </cell>
          <cell r="D140" t="str">
            <v>F</v>
          </cell>
          <cell r="F140">
            <v>14</v>
          </cell>
          <cell r="G140" t="str">
            <v>KRW</v>
          </cell>
          <cell r="H140" t="str">
            <v>C56</v>
          </cell>
          <cell r="I140" t="str">
            <v>(주)로옴전자코리</v>
          </cell>
          <cell r="J140">
            <v>0</v>
          </cell>
        </row>
        <row r="141">
          <cell r="B141" t="str">
            <v>Q2201000301A</v>
          </cell>
          <cell r="C141" t="str">
            <v>CHIP CERAMIC COND(GHM1735 X7R 333K 250</v>
          </cell>
          <cell r="D141" t="str">
            <v>F</v>
          </cell>
          <cell r="F141">
            <v>83</v>
          </cell>
          <cell r="G141" t="str">
            <v>KRW</v>
          </cell>
          <cell r="H141" t="str">
            <v>C86</v>
          </cell>
          <cell r="I141" t="str">
            <v>(주)유니온</v>
          </cell>
          <cell r="J141">
            <v>0</v>
          </cell>
        </row>
        <row r="142">
          <cell r="B142" t="str">
            <v>Q2203007601A</v>
          </cell>
          <cell r="C142" t="str">
            <v>CHIP CAPACITOR-CL10B103KBNC</v>
          </cell>
          <cell r="D142" t="str">
            <v>F</v>
          </cell>
          <cell r="F142">
            <v>7</v>
          </cell>
          <cell r="G142" t="str">
            <v>KRW</v>
          </cell>
          <cell r="H142" t="str">
            <v>C56</v>
          </cell>
          <cell r="I142" t="str">
            <v>삼성전기(주)영업</v>
          </cell>
          <cell r="J142">
            <v>0</v>
          </cell>
        </row>
        <row r="143">
          <cell r="B143" t="str">
            <v>Q2203007701A</v>
          </cell>
          <cell r="C143" t="str">
            <v>CHIP CAPACITOR-CL10B104KONC</v>
          </cell>
          <cell r="D143" t="str">
            <v>F</v>
          </cell>
          <cell r="F143">
            <v>15</v>
          </cell>
          <cell r="G143" t="str">
            <v>KRW</v>
          </cell>
          <cell r="H143" t="str">
            <v>C56</v>
          </cell>
          <cell r="I143" t="str">
            <v>삼성전기(주)영업</v>
          </cell>
          <cell r="J143">
            <v>0</v>
          </cell>
        </row>
        <row r="144">
          <cell r="B144" t="str">
            <v>Q2203008201A</v>
          </cell>
          <cell r="C144" t="str">
            <v>CHIP CAPACITOR-CL10C222KBNC</v>
          </cell>
          <cell r="D144" t="str">
            <v>F</v>
          </cell>
          <cell r="F144">
            <v>6</v>
          </cell>
          <cell r="G144" t="str">
            <v>KRW</v>
          </cell>
          <cell r="H144" t="str">
            <v>C56</v>
          </cell>
          <cell r="I144" t="str">
            <v>삼성전기(주)영업</v>
          </cell>
          <cell r="J144">
            <v>0</v>
          </cell>
        </row>
        <row r="145">
          <cell r="B145" t="str">
            <v>Q2203009501A</v>
          </cell>
          <cell r="C145" t="str">
            <v>CHIP CAPACITOR-CL05C101JBNC</v>
          </cell>
          <cell r="D145" t="str">
            <v>F</v>
          </cell>
          <cell r="F145">
            <v>10</v>
          </cell>
          <cell r="G145" t="str">
            <v>KRW</v>
          </cell>
          <cell r="H145" t="str">
            <v>C22</v>
          </cell>
          <cell r="I145" t="str">
            <v>델타코퍼레이션</v>
          </cell>
          <cell r="J145">
            <v>0</v>
          </cell>
        </row>
        <row r="146">
          <cell r="B146" t="str">
            <v>Q2203009801A</v>
          </cell>
          <cell r="C146" t="str">
            <v>CHIP CAPACITOR-CL05C220JBNC</v>
          </cell>
          <cell r="D146" t="str">
            <v>F</v>
          </cell>
          <cell r="F146">
            <v>0</v>
          </cell>
          <cell r="H146" t="str">
            <v>C22</v>
          </cell>
          <cell r="J146">
            <v>0</v>
          </cell>
        </row>
        <row r="147">
          <cell r="B147" t="str">
            <v>Q2203010101A</v>
          </cell>
          <cell r="C147" t="str">
            <v>CHIP CAPACITOR-CL05B682KANC</v>
          </cell>
          <cell r="D147" t="str">
            <v>F</v>
          </cell>
          <cell r="F147">
            <v>0</v>
          </cell>
          <cell r="H147" t="str">
            <v>C22</v>
          </cell>
          <cell r="J147">
            <v>0</v>
          </cell>
        </row>
        <row r="148">
          <cell r="B148" t="str">
            <v>Q2203010301A</v>
          </cell>
          <cell r="C148" t="str">
            <v>CHIP CAPACITOR-CL05C820JBNC</v>
          </cell>
          <cell r="D148" t="str">
            <v>F</v>
          </cell>
          <cell r="F148">
            <v>10</v>
          </cell>
          <cell r="G148" t="str">
            <v>KRW</v>
          </cell>
          <cell r="H148" t="str">
            <v>C22</v>
          </cell>
          <cell r="I148" t="str">
            <v>델타코퍼레이션</v>
          </cell>
          <cell r="J148">
            <v>0</v>
          </cell>
        </row>
        <row r="149">
          <cell r="B149" t="str">
            <v>Q2203010901A</v>
          </cell>
          <cell r="C149" t="str">
            <v>CHIP CAPACITOR-CL10B221JBNC</v>
          </cell>
          <cell r="D149" t="str">
            <v>F</v>
          </cell>
          <cell r="F149">
            <v>12</v>
          </cell>
          <cell r="G149" t="str">
            <v>KRW</v>
          </cell>
          <cell r="H149" t="str">
            <v>C56</v>
          </cell>
          <cell r="I149" t="str">
            <v>델타코퍼레이션</v>
          </cell>
          <cell r="J149">
            <v>0</v>
          </cell>
        </row>
        <row r="150">
          <cell r="B150" t="str">
            <v>Q2203011001A</v>
          </cell>
          <cell r="C150" t="str">
            <v>CHIP CAPACITOR-CL10C331JBNC</v>
          </cell>
          <cell r="D150" t="str">
            <v>F</v>
          </cell>
          <cell r="F150">
            <v>12</v>
          </cell>
          <cell r="G150" t="str">
            <v>KRW</v>
          </cell>
          <cell r="H150" t="str">
            <v>C56</v>
          </cell>
          <cell r="I150" t="str">
            <v>리텍세미컴</v>
          </cell>
          <cell r="J150">
            <v>0</v>
          </cell>
        </row>
        <row r="151">
          <cell r="B151" t="str">
            <v>Q2203011301A</v>
          </cell>
          <cell r="C151" t="str">
            <v>CHIP CAPACITOR(1005)-CL05B103KBNC</v>
          </cell>
          <cell r="D151" t="str">
            <v>F</v>
          </cell>
          <cell r="F151">
            <v>7</v>
          </cell>
          <cell r="G151" t="str">
            <v>KRW</v>
          </cell>
          <cell r="H151" t="str">
            <v>C56</v>
          </cell>
          <cell r="I151" t="str">
            <v>델타코퍼레이션</v>
          </cell>
          <cell r="J151">
            <v>0</v>
          </cell>
        </row>
        <row r="152">
          <cell r="B152" t="str">
            <v>Q2203011401A</v>
          </cell>
          <cell r="C152" t="str">
            <v>CHIP CAPACITOR(1005)-CL05B104ZBNC</v>
          </cell>
          <cell r="D152" t="str">
            <v>F</v>
          </cell>
          <cell r="F152">
            <v>8</v>
          </cell>
          <cell r="G152" t="str">
            <v>KRW</v>
          </cell>
          <cell r="H152" t="str">
            <v>C56</v>
          </cell>
          <cell r="I152" t="str">
            <v>델타코퍼레이션</v>
          </cell>
          <cell r="J152">
            <v>0</v>
          </cell>
        </row>
        <row r="153">
          <cell r="B153" t="str">
            <v>Q2203011501A</v>
          </cell>
          <cell r="C153" t="str">
            <v>CHIP CAPACITOR(1005)-CL05B102KBNC</v>
          </cell>
          <cell r="D153" t="str">
            <v>F</v>
          </cell>
          <cell r="F153">
            <v>8</v>
          </cell>
          <cell r="G153" t="str">
            <v>KRW</v>
          </cell>
          <cell r="H153" t="str">
            <v>C56</v>
          </cell>
          <cell r="I153" t="str">
            <v>델타코퍼레이션</v>
          </cell>
          <cell r="J153">
            <v>0</v>
          </cell>
        </row>
        <row r="154">
          <cell r="B154" t="str">
            <v>Q2203012601A</v>
          </cell>
          <cell r="C154" t="str">
            <v>DIODE_HIGH VOLTAGE-DSC350SE</v>
          </cell>
          <cell r="D154" t="str">
            <v>F</v>
          </cell>
          <cell r="F154">
            <v>13</v>
          </cell>
          <cell r="G154" t="str">
            <v>JPY</v>
          </cell>
          <cell r="H154" t="str">
            <v>C26</v>
          </cell>
          <cell r="I154" t="str">
            <v>TOEI CORPORATION</v>
          </cell>
          <cell r="J154">
            <v>0</v>
          </cell>
        </row>
        <row r="155">
          <cell r="B155" t="str">
            <v>Q2203012701A</v>
          </cell>
          <cell r="C155" t="str">
            <v>CHIP CAPACITOR-DSC350SE</v>
          </cell>
          <cell r="D155" t="str">
            <v>F</v>
          </cell>
          <cell r="F155">
            <v>0</v>
          </cell>
          <cell r="H155" t="str">
            <v>C26</v>
          </cell>
          <cell r="J155">
            <v>0</v>
          </cell>
        </row>
        <row r="156">
          <cell r="B156" t="str">
            <v>Q2203012801A</v>
          </cell>
          <cell r="C156" t="str">
            <v>CHIP CAPACITOR-DSC350SE</v>
          </cell>
          <cell r="D156" t="str">
            <v>F</v>
          </cell>
          <cell r="F156">
            <v>0</v>
          </cell>
          <cell r="H156" t="str">
            <v>C26</v>
          </cell>
          <cell r="J156">
            <v>0</v>
          </cell>
        </row>
        <row r="157">
          <cell r="B157" t="str">
            <v>Q2203012901A</v>
          </cell>
          <cell r="C157" t="str">
            <v>CHIP CAPACITOR-DSC350SE</v>
          </cell>
          <cell r="D157" t="str">
            <v>F</v>
          </cell>
          <cell r="F157">
            <v>0</v>
          </cell>
          <cell r="H157" t="str">
            <v>C26</v>
          </cell>
          <cell r="J157">
            <v>0</v>
          </cell>
        </row>
        <row r="158">
          <cell r="B158" t="str">
            <v>Q2203013001A</v>
          </cell>
          <cell r="C158" t="str">
            <v>CHIP CAPACITOR(1608)-CL10F105ZPNC</v>
          </cell>
          <cell r="D158" t="str">
            <v>F</v>
          </cell>
          <cell r="F158">
            <v>0</v>
          </cell>
          <cell r="H158" t="str">
            <v>C22</v>
          </cell>
          <cell r="J158">
            <v>0</v>
          </cell>
        </row>
        <row r="159">
          <cell r="B159" t="str">
            <v>Q2203013201A</v>
          </cell>
          <cell r="C159" t="str">
            <v>CHIP CAPACITOR(1005)-CL05CO40KBNC</v>
          </cell>
          <cell r="D159" t="str">
            <v>F</v>
          </cell>
          <cell r="F159">
            <v>0</v>
          </cell>
          <cell r="H159" t="str">
            <v>C22</v>
          </cell>
          <cell r="J159">
            <v>0</v>
          </cell>
        </row>
        <row r="160">
          <cell r="B160" t="str">
            <v>Q2203013301A</v>
          </cell>
          <cell r="C160" t="str">
            <v>CHIP CAPACITOR(1005)-CL05C121JBNC</v>
          </cell>
          <cell r="D160" t="str">
            <v>F</v>
          </cell>
          <cell r="F160">
            <v>0</v>
          </cell>
          <cell r="H160" t="str">
            <v>C22</v>
          </cell>
          <cell r="J160">
            <v>0</v>
          </cell>
        </row>
        <row r="161">
          <cell r="B161" t="str">
            <v>Q2203013401A</v>
          </cell>
          <cell r="C161" t="str">
            <v>CHIP CAPACITOR(1005)-CL05B222KBNC</v>
          </cell>
          <cell r="D161" t="str">
            <v>F</v>
          </cell>
          <cell r="F161">
            <v>0</v>
          </cell>
          <cell r="H161" t="str">
            <v>C22</v>
          </cell>
          <cell r="J161">
            <v>0</v>
          </cell>
        </row>
        <row r="162">
          <cell r="B162" t="str">
            <v>Q2203013501A</v>
          </cell>
          <cell r="C162" t="str">
            <v>CHIP CAPACITOR(1005)-CL05B271KBNC</v>
          </cell>
          <cell r="D162" t="str">
            <v>F</v>
          </cell>
          <cell r="F162">
            <v>0</v>
          </cell>
          <cell r="H162" t="str">
            <v>C22</v>
          </cell>
          <cell r="J162">
            <v>0</v>
          </cell>
        </row>
        <row r="163">
          <cell r="B163" t="str">
            <v>Q2203013601A</v>
          </cell>
          <cell r="C163" t="str">
            <v>CHIP CAPACITOR(1005)-CL05B270KBNC</v>
          </cell>
          <cell r="D163" t="str">
            <v>F</v>
          </cell>
          <cell r="F163">
            <v>0</v>
          </cell>
          <cell r="H163" t="str">
            <v>C22</v>
          </cell>
          <cell r="J163">
            <v>0</v>
          </cell>
        </row>
        <row r="164">
          <cell r="B164" t="str">
            <v>Q2203013701A</v>
          </cell>
          <cell r="C164" t="str">
            <v>CHIP CAPACITOR(1005)-CL05B333KONC</v>
          </cell>
          <cell r="D164" t="str">
            <v>F</v>
          </cell>
          <cell r="F164">
            <v>0</v>
          </cell>
          <cell r="H164" t="str">
            <v>C22</v>
          </cell>
          <cell r="J164">
            <v>0</v>
          </cell>
        </row>
        <row r="165">
          <cell r="B165" t="str">
            <v>Q2203013801A</v>
          </cell>
          <cell r="C165" t="str">
            <v>CHIP CAPACITOR(1005)-CL05B391KBNC</v>
          </cell>
          <cell r="D165" t="str">
            <v>F</v>
          </cell>
          <cell r="F165">
            <v>0</v>
          </cell>
          <cell r="H165" t="str">
            <v>C22</v>
          </cell>
          <cell r="J165">
            <v>0</v>
          </cell>
        </row>
        <row r="166">
          <cell r="B166" t="str">
            <v>Q2203013901A</v>
          </cell>
          <cell r="C166" t="str">
            <v>CHIP CAPACITOR(1005)-CL05B683KONC</v>
          </cell>
          <cell r="D166" t="str">
            <v>F</v>
          </cell>
          <cell r="F166">
            <v>0</v>
          </cell>
          <cell r="H166" t="str">
            <v>C22</v>
          </cell>
          <cell r="J166">
            <v>0</v>
          </cell>
        </row>
        <row r="167">
          <cell r="B167" t="str">
            <v>Q2203014001A</v>
          </cell>
          <cell r="C167" t="str">
            <v>CHIP CAPACITOR(1005)-CL05C3R9CBKN</v>
          </cell>
          <cell r="D167" t="str">
            <v>F</v>
          </cell>
          <cell r="F167">
            <v>0</v>
          </cell>
          <cell r="H167" t="str">
            <v>C22</v>
          </cell>
          <cell r="J167">
            <v>0</v>
          </cell>
        </row>
        <row r="168">
          <cell r="B168" t="str">
            <v>Q2203014101A</v>
          </cell>
          <cell r="C168" t="str">
            <v>CHIP CAPACITOR(1005)-CL05C8R2CBNC</v>
          </cell>
          <cell r="D168" t="str">
            <v>F</v>
          </cell>
          <cell r="F168">
            <v>0</v>
          </cell>
          <cell r="H168" t="str">
            <v>C22</v>
          </cell>
          <cell r="J168">
            <v>0</v>
          </cell>
        </row>
        <row r="169">
          <cell r="B169" t="str">
            <v>Q2203014301A</v>
          </cell>
          <cell r="C169" t="str">
            <v>CHIP CAPACITOR(3216)-CL31F335ZONE</v>
          </cell>
          <cell r="D169" t="str">
            <v>F</v>
          </cell>
          <cell r="F169">
            <v>0</v>
          </cell>
          <cell r="H169" t="str">
            <v>C22</v>
          </cell>
          <cell r="J169">
            <v>0</v>
          </cell>
        </row>
        <row r="170">
          <cell r="B170" t="str">
            <v>Q2203014501A</v>
          </cell>
          <cell r="C170" t="str">
            <v>CHIP CAPACITOR(1005)-CL05C100DBNC</v>
          </cell>
          <cell r="D170" t="str">
            <v>F</v>
          </cell>
          <cell r="F170">
            <v>0</v>
          </cell>
          <cell r="H170" t="str">
            <v>C22</v>
          </cell>
          <cell r="J170">
            <v>0</v>
          </cell>
        </row>
        <row r="171">
          <cell r="B171" t="str">
            <v>Q2203014601A</v>
          </cell>
          <cell r="C171" t="str">
            <v>CHIP TANTAL CAPACITOR-10㎌/10V(A)</v>
          </cell>
          <cell r="D171" t="str">
            <v>F</v>
          </cell>
          <cell r="F171">
            <v>0</v>
          </cell>
          <cell r="H171" t="str">
            <v>C22</v>
          </cell>
          <cell r="J171">
            <v>0</v>
          </cell>
        </row>
        <row r="172">
          <cell r="B172" t="str">
            <v>Q2203014701A</v>
          </cell>
          <cell r="C172" t="str">
            <v>CHIP CAPACITOR(2012)-CL21F105ZBNC</v>
          </cell>
          <cell r="D172" t="str">
            <v>F</v>
          </cell>
          <cell r="F172">
            <v>0</v>
          </cell>
          <cell r="J172">
            <v>0</v>
          </cell>
        </row>
        <row r="173">
          <cell r="B173" t="str">
            <v>Q2203014801A</v>
          </cell>
          <cell r="C173" t="str">
            <v>CHIP CAPACITOR(1608)-CL1OC100CBNC</v>
          </cell>
          <cell r="D173" t="str">
            <v>F</v>
          </cell>
          <cell r="F173">
            <v>0</v>
          </cell>
          <cell r="H173" t="str">
            <v>C22</v>
          </cell>
          <cell r="J173">
            <v>0</v>
          </cell>
        </row>
        <row r="174">
          <cell r="B174" t="str">
            <v>Q2203015001A</v>
          </cell>
          <cell r="C174" t="str">
            <v>CHIP CAPACITOR(1005,5%)-CL05B104JPNC</v>
          </cell>
          <cell r="D174" t="str">
            <v>F</v>
          </cell>
          <cell r="F174">
            <v>0</v>
          </cell>
          <cell r="J174">
            <v>0</v>
          </cell>
        </row>
        <row r="175">
          <cell r="B175" t="str">
            <v>Q2203015601A</v>
          </cell>
          <cell r="C175" t="str">
            <v>CHIP CAPACITOR(3216)-CL31F226ZPNE</v>
          </cell>
          <cell r="D175" t="str">
            <v>F</v>
          </cell>
          <cell r="F175">
            <v>0</v>
          </cell>
          <cell r="H175" t="str">
            <v>C22</v>
          </cell>
          <cell r="J175">
            <v>0</v>
          </cell>
        </row>
        <row r="176">
          <cell r="B176" t="str">
            <v>Q2203015701A</v>
          </cell>
          <cell r="C176" t="str">
            <v>CHIP CAPACITOR(2012)-CL21F475ZPNC</v>
          </cell>
          <cell r="D176" t="str">
            <v>F</v>
          </cell>
          <cell r="F176">
            <v>0</v>
          </cell>
          <cell r="H176" t="str">
            <v>C22</v>
          </cell>
          <cell r="J176">
            <v>0</v>
          </cell>
        </row>
        <row r="177">
          <cell r="B177" t="str">
            <v>Q2203015901A</v>
          </cell>
          <cell r="C177" t="str">
            <v>CHIP CAPACITOR(1608)-CL10C221JBNC</v>
          </cell>
          <cell r="D177" t="str">
            <v>F</v>
          </cell>
          <cell r="F177">
            <v>0</v>
          </cell>
          <cell r="J177">
            <v>0</v>
          </cell>
        </row>
        <row r="178">
          <cell r="B178" t="str">
            <v>Q2203016001A</v>
          </cell>
          <cell r="C178" t="str">
            <v>CHIP CAPACITOR(1005)-CL05B103JBNC</v>
          </cell>
          <cell r="D178" t="str">
            <v>F</v>
          </cell>
          <cell r="F178">
            <v>0</v>
          </cell>
          <cell r="J178">
            <v>0</v>
          </cell>
        </row>
        <row r="179">
          <cell r="B179" t="str">
            <v>Q2203016101A</v>
          </cell>
          <cell r="C179" t="str">
            <v>CHIP TANTAL CAPACITOR-TPM0J106PSSR</v>
          </cell>
          <cell r="D179" t="str">
            <v>F</v>
          </cell>
          <cell r="F179">
            <v>0</v>
          </cell>
          <cell r="J179">
            <v>0</v>
          </cell>
        </row>
        <row r="180">
          <cell r="B180" t="str">
            <v>Q2401004601A</v>
          </cell>
          <cell r="C180" t="str">
            <v>MAIN CONDENSOR[180UF/300V]</v>
          </cell>
          <cell r="D180" t="str">
            <v>F</v>
          </cell>
          <cell r="F180">
            <v>0.44</v>
          </cell>
          <cell r="G180" t="str">
            <v>USD</v>
          </cell>
          <cell r="H180" t="str">
            <v>C17</v>
          </cell>
          <cell r="I180" t="str">
            <v>DALON ELECTRONIC</v>
          </cell>
          <cell r="J180">
            <v>0</v>
          </cell>
        </row>
        <row r="181">
          <cell r="B181" t="str">
            <v>Q2403005301A</v>
          </cell>
          <cell r="C181" t="str">
            <v>CHIP TANTAL CAPACITOR-DIGIMAX220SE</v>
          </cell>
          <cell r="D181" t="str">
            <v>F</v>
          </cell>
          <cell r="F181">
            <v>110</v>
          </cell>
          <cell r="G181" t="str">
            <v>KRW</v>
          </cell>
          <cell r="I181" t="str">
            <v>에스엔티전자(주)</v>
          </cell>
          <cell r="J181">
            <v>0</v>
          </cell>
        </row>
        <row r="182">
          <cell r="B182" t="str">
            <v>Q2403005501A</v>
          </cell>
          <cell r="C182" t="str">
            <v>CHIP TANTAL CAPACITOR-DIGIMAX220SE</v>
          </cell>
          <cell r="D182" t="str">
            <v>F</v>
          </cell>
          <cell r="F182">
            <v>230</v>
          </cell>
          <cell r="G182" t="str">
            <v>KRW</v>
          </cell>
          <cell r="I182" t="str">
            <v>에스엔티전자(주)</v>
          </cell>
          <cell r="J182">
            <v>0</v>
          </cell>
        </row>
        <row r="183">
          <cell r="B183" t="str">
            <v>Q2403005801A</v>
          </cell>
          <cell r="C183" t="str">
            <v>CHIP TANTAL CAPACITOR-DIGIMAX220SE</v>
          </cell>
          <cell r="D183" t="str">
            <v>F</v>
          </cell>
          <cell r="F183">
            <v>0</v>
          </cell>
          <cell r="J183">
            <v>0</v>
          </cell>
        </row>
        <row r="184">
          <cell r="B184" t="str">
            <v>Q2603002201A</v>
          </cell>
          <cell r="C184" t="str">
            <v>TRANSFOMER-CLQ52(CCD)</v>
          </cell>
          <cell r="D184" t="str">
            <v>F</v>
          </cell>
          <cell r="F184">
            <v>0.4</v>
          </cell>
          <cell r="G184" t="str">
            <v>USD</v>
          </cell>
          <cell r="H184" t="str">
            <v>C22</v>
          </cell>
          <cell r="I184" t="str">
            <v>SUMIDA TRADING C</v>
          </cell>
          <cell r="J184">
            <v>0</v>
          </cell>
        </row>
        <row r="185">
          <cell r="B185" t="str">
            <v>Q2603002501A</v>
          </cell>
          <cell r="C185" t="str">
            <v>OSC TRANS-SM22</v>
          </cell>
          <cell r="D185" t="str">
            <v>F</v>
          </cell>
          <cell r="F185">
            <v>0</v>
          </cell>
          <cell r="H185" t="str">
            <v>C22</v>
          </cell>
          <cell r="J185">
            <v>0</v>
          </cell>
        </row>
        <row r="186">
          <cell r="B186" t="str">
            <v>Q2701001001A</v>
          </cell>
          <cell r="C186" t="str">
            <v>INDUCTOR-DSC350SE</v>
          </cell>
          <cell r="D186" t="str">
            <v>F</v>
          </cell>
          <cell r="F186">
            <v>0.25</v>
          </cell>
          <cell r="G186" t="str">
            <v>USD</v>
          </cell>
          <cell r="H186" t="str">
            <v>C26</v>
          </cell>
          <cell r="I186" t="str">
            <v>TOKO HONGKONG</v>
          </cell>
          <cell r="J186">
            <v>0</v>
          </cell>
        </row>
        <row r="187">
          <cell r="B187" t="str">
            <v>Q2703001001A</v>
          </cell>
          <cell r="C187" t="str">
            <v>CHIP COIL-FLC32-470K [INDUCTOR]</v>
          </cell>
          <cell r="D187" t="str">
            <v>F</v>
          </cell>
          <cell r="F187">
            <v>6</v>
          </cell>
          <cell r="G187" t="str">
            <v>JPY</v>
          </cell>
          <cell r="H187" t="str">
            <v>C50</v>
          </cell>
          <cell r="I187" t="str">
            <v>RIVER ELETEC COR</v>
          </cell>
          <cell r="J187">
            <v>0</v>
          </cell>
        </row>
        <row r="188">
          <cell r="B188" t="str">
            <v>Q2703001301A</v>
          </cell>
          <cell r="C188" t="str">
            <v>FERRITE BAED(POWER)-HF70ACC201209-T[CO</v>
          </cell>
          <cell r="D188" t="str">
            <v>F</v>
          </cell>
          <cell r="F188">
            <v>8</v>
          </cell>
          <cell r="G188" t="str">
            <v>JPY</v>
          </cell>
          <cell r="H188" t="str">
            <v>V02</v>
          </cell>
          <cell r="I188" t="str">
            <v>T.E ELECTRONIC</v>
          </cell>
          <cell r="J188">
            <v>0</v>
          </cell>
        </row>
        <row r="189">
          <cell r="B189" t="str">
            <v>Q2703001401A</v>
          </cell>
          <cell r="C189" t="str">
            <v>FERRITE BAED(SIGNAL)-ACB1608M-040-T</v>
          </cell>
          <cell r="D189" t="str">
            <v>F</v>
          </cell>
          <cell r="F189">
            <v>6</v>
          </cell>
          <cell r="G189" t="str">
            <v>JPY</v>
          </cell>
          <cell r="H189" t="str">
            <v>V02</v>
          </cell>
          <cell r="I189" t="str">
            <v>T.E ELECTRONIC</v>
          </cell>
          <cell r="J189">
            <v>0</v>
          </cell>
        </row>
        <row r="190">
          <cell r="B190" t="str">
            <v>Q2703001901A</v>
          </cell>
          <cell r="C190" t="str">
            <v>FERRITE BEAD(SIGNAL)-HB-1M1608-601JT</v>
          </cell>
          <cell r="D190" t="str">
            <v>F</v>
          </cell>
          <cell r="F190">
            <v>26</v>
          </cell>
          <cell r="G190" t="str">
            <v>KRW</v>
          </cell>
          <cell r="H190" t="str">
            <v>C56</v>
          </cell>
          <cell r="I190" t="str">
            <v>(주)쎄라텍</v>
          </cell>
          <cell r="J190">
            <v>0</v>
          </cell>
        </row>
        <row r="191">
          <cell r="B191" t="str">
            <v>Q2703002501A</v>
          </cell>
          <cell r="C191" t="str">
            <v>CHIP INDUCTOR-DSC350SE</v>
          </cell>
          <cell r="D191" t="str">
            <v>F</v>
          </cell>
          <cell r="F191">
            <v>13</v>
          </cell>
          <cell r="G191" t="str">
            <v>JPY</v>
          </cell>
          <cell r="H191" t="str">
            <v>C26</v>
          </cell>
          <cell r="I191" t="str">
            <v>RIVER ELETEC COR</v>
          </cell>
          <cell r="J191">
            <v>0</v>
          </cell>
        </row>
        <row r="192">
          <cell r="B192" t="str">
            <v>Q2703002701A</v>
          </cell>
          <cell r="C192" t="str">
            <v>CHIP INDUCTOR-DSC350SE</v>
          </cell>
          <cell r="D192" t="str">
            <v>F</v>
          </cell>
          <cell r="F192">
            <v>10</v>
          </cell>
          <cell r="G192" t="str">
            <v>JPY</v>
          </cell>
          <cell r="H192" t="str">
            <v>C26</v>
          </cell>
          <cell r="I192" t="str">
            <v>TDK</v>
          </cell>
          <cell r="J192">
            <v>0</v>
          </cell>
        </row>
        <row r="193">
          <cell r="B193" t="str">
            <v>Q2703002801A</v>
          </cell>
          <cell r="C193" t="str">
            <v>FERRITE BEAD-DSC350SE</v>
          </cell>
          <cell r="D193" t="str">
            <v>F</v>
          </cell>
          <cell r="F193">
            <v>2</v>
          </cell>
          <cell r="G193" t="str">
            <v>JPY</v>
          </cell>
          <cell r="H193" t="str">
            <v>C26</v>
          </cell>
          <cell r="I193" t="str">
            <v>TDK</v>
          </cell>
          <cell r="J193">
            <v>0</v>
          </cell>
        </row>
        <row r="194">
          <cell r="B194" t="str">
            <v>Q2703002901A</v>
          </cell>
          <cell r="C194" t="str">
            <v>FERRITE BEAD-DSC350SE</v>
          </cell>
          <cell r="D194" t="str">
            <v>F</v>
          </cell>
          <cell r="F194">
            <v>2</v>
          </cell>
          <cell r="G194" t="str">
            <v>JPY</v>
          </cell>
          <cell r="H194" t="str">
            <v>C26</v>
          </cell>
          <cell r="I194" t="str">
            <v>TDK</v>
          </cell>
          <cell r="J194">
            <v>0</v>
          </cell>
        </row>
        <row r="195">
          <cell r="B195" t="str">
            <v>Q2703003001A</v>
          </cell>
          <cell r="C195" t="str">
            <v>CHIP INDUCTOR-CDRH4D28_220</v>
          </cell>
          <cell r="D195" t="str">
            <v>F</v>
          </cell>
          <cell r="F195">
            <v>0.25</v>
          </cell>
          <cell r="G195" t="str">
            <v>USD</v>
          </cell>
          <cell r="H195" t="str">
            <v>C22</v>
          </cell>
          <cell r="I195" t="str">
            <v>SUMIDA TRADING C</v>
          </cell>
          <cell r="J195">
            <v>0</v>
          </cell>
        </row>
        <row r="196">
          <cell r="B196" t="str">
            <v>Q2703003301A</v>
          </cell>
          <cell r="C196" t="str">
            <v>CHIP INDUCTOR-FI_B2012_472KJT/CIL21J4R</v>
          </cell>
          <cell r="D196" t="str">
            <v>F</v>
          </cell>
          <cell r="F196">
            <v>0</v>
          </cell>
          <cell r="H196" t="str">
            <v>C22</v>
          </cell>
          <cell r="J196">
            <v>0</v>
          </cell>
        </row>
        <row r="197">
          <cell r="B197" t="str">
            <v>Q2801000801A</v>
          </cell>
          <cell r="C197" t="str">
            <v>X TAL-FCX03(36.00M)</v>
          </cell>
          <cell r="D197" t="str">
            <v>F</v>
          </cell>
          <cell r="F197">
            <v>63</v>
          </cell>
          <cell r="G197" t="str">
            <v>JPY</v>
          </cell>
          <cell r="H197" t="str">
            <v>C50</v>
          </cell>
          <cell r="I197" t="str">
            <v>RIVER ELETEC COR</v>
          </cell>
          <cell r="J197">
            <v>0</v>
          </cell>
        </row>
        <row r="198">
          <cell r="B198" t="str">
            <v>Q2801001301A</v>
          </cell>
          <cell r="C198" t="str">
            <v>X-TAL-FCX03(12.00M)</v>
          </cell>
          <cell r="D198" t="str">
            <v>F</v>
          </cell>
          <cell r="F198">
            <v>63</v>
          </cell>
          <cell r="G198" t="str">
            <v>JPY</v>
          </cell>
          <cell r="H198" t="str">
            <v>C50</v>
          </cell>
          <cell r="I198" t="str">
            <v>RIVER ELETEC COR</v>
          </cell>
          <cell r="J198">
            <v>0</v>
          </cell>
        </row>
        <row r="199">
          <cell r="B199" t="str">
            <v>Q2801001401A</v>
          </cell>
          <cell r="C199" t="str">
            <v>X-TAL-FCX03(13.50M)</v>
          </cell>
          <cell r="D199" t="str">
            <v>F</v>
          </cell>
          <cell r="F199">
            <v>63</v>
          </cell>
          <cell r="G199" t="str">
            <v>JPY</v>
          </cell>
          <cell r="H199" t="str">
            <v>C50</v>
          </cell>
          <cell r="I199" t="str">
            <v>RIVER ELETEC COR</v>
          </cell>
          <cell r="J199">
            <v>0</v>
          </cell>
        </row>
        <row r="200">
          <cell r="B200" t="str">
            <v>Q2801001701A</v>
          </cell>
          <cell r="C200" t="str">
            <v>RESONANT-CSTCR6M00G53-R0</v>
          </cell>
          <cell r="D200" t="str">
            <v>F</v>
          </cell>
          <cell r="F200">
            <v>11</v>
          </cell>
          <cell r="G200" t="str">
            <v>JPY</v>
          </cell>
          <cell r="H200" t="str">
            <v>C26</v>
          </cell>
          <cell r="I200" t="str">
            <v>MURATA CO.</v>
          </cell>
          <cell r="J200">
            <v>0</v>
          </cell>
        </row>
        <row r="201">
          <cell r="B201" t="str">
            <v>Q2901000401A</v>
          </cell>
          <cell r="C201" t="str">
            <v>COMMON MODE FILTER-DSC220SE</v>
          </cell>
          <cell r="D201" t="str">
            <v>F</v>
          </cell>
          <cell r="F201">
            <v>0</v>
          </cell>
          <cell r="J201">
            <v>0</v>
          </cell>
        </row>
        <row r="202">
          <cell r="B202" t="str">
            <v>Q2901000501A</v>
          </cell>
          <cell r="C202" t="str">
            <v>COMMON MODE FILTER-DSC220SE</v>
          </cell>
          <cell r="D202" t="str">
            <v>F</v>
          </cell>
          <cell r="F202">
            <v>39</v>
          </cell>
          <cell r="G202" t="str">
            <v>JPY</v>
          </cell>
          <cell r="H202" t="str">
            <v>C15</v>
          </cell>
          <cell r="I202" t="str">
            <v>MURATA CO.</v>
          </cell>
          <cell r="J202">
            <v>0</v>
          </cell>
        </row>
        <row r="203">
          <cell r="B203" t="str">
            <v>Q2904000801A</v>
          </cell>
          <cell r="C203" t="str">
            <v>OLPF-DSC350SE</v>
          </cell>
          <cell r="D203" t="str">
            <v>F</v>
          </cell>
          <cell r="F203">
            <v>195</v>
          </cell>
          <cell r="G203" t="str">
            <v>JPY</v>
          </cell>
          <cell r="H203" t="str">
            <v>C91</v>
          </cell>
          <cell r="I203" t="str">
            <v>DAISHINKU CORP.</v>
          </cell>
          <cell r="J203">
            <v>0</v>
          </cell>
        </row>
        <row r="204">
          <cell r="B204" t="str">
            <v>Q3301000601A</v>
          </cell>
          <cell r="C204" t="str">
            <v>VIDEO용 EMI CORE-ZCAP2035-0930A(TDK)</v>
          </cell>
          <cell r="D204" t="str">
            <v>F</v>
          </cell>
          <cell r="F204">
            <v>640</v>
          </cell>
          <cell r="G204" t="str">
            <v>KRW</v>
          </cell>
          <cell r="H204" t="str">
            <v>C53</v>
          </cell>
          <cell r="I204" t="str">
            <v>웰컴텍</v>
          </cell>
          <cell r="J204">
            <v>0</v>
          </cell>
        </row>
        <row r="205">
          <cell r="B205" t="str">
            <v>Q3403000201A</v>
          </cell>
          <cell r="C205" t="str">
            <v>RELEASE SWITCH-DSC350SE</v>
          </cell>
          <cell r="D205" t="str">
            <v>F</v>
          </cell>
          <cell r="F205">
            <v>12</v>
          </cell>
          <cell r="G205" t="str">
            <v>JPY</v>
          </cell>
          <cell r="H205" t="str">
            <v>C26</v>
          </cell>
          <cell r="I205" t="str">
            <v>SHINMEI ELECTRIC</v>
          </cell>
          <cell r="J205">
            <v>0</v>
          </cell>
        </row>
        <row r="206">
          <cell r="B206" t="str">
            <v>Q3404001001A</v>
          </cell>
          <cell r="C206" t="str">
            <v>TACT SWITCH-DSC350SE</v>
          </cell>
          <cell r="D206" t="str">
            <v>F</v>
          </cell>
          <cell r="F206">
            <v>8</v>
          </cell>
          <cell r="G206" t="str">
            <v>JPY</v>
          </cell>
          <cell r="H206" t="str">
            <v>C26</v>
          </cell>
          <cell r="I206" t="str">
            <v>ALPS</v>
          </cell>
          <cell r="J206">
            <v>0</v>
          </cell>
        </row>
        <row r="207">
          <cell r="B207" t="str">
            <v>Q3404001101A</v>
          </cell>
          <cell r="C207" t="str">
            <v>TACT SWITCH-DSC350SE</v>
          </cell>
          <cell r="D207" t="str">
            <v>F</v>
          </cell>
          <cell r="F207">
            <v>100</v>
          </cell>
          <cell r="G207" t="str">
            <v>JPY</v>
          </cell>
          <cell r="H207" t="str">
            <v>C26</v>
          </cell>
          <cell r="I207" t="str">
            <v>ALPS</v>
          </cell>
          <cell r="J207">
            <v>0</v>
          </cell>
        </row>
        <row r="208">
          <cell r="B208" t="str">
            <v>Q3409000301A</v>
          </cell>
          <cell r="C208" t="str">
            <v>LOAD SWITCH-DIGIMAX220SE</v>
          </cell>
          <cell r="D208" t="str">
            <v>F</v>
          </cell>
          <cell r="F208">
            <v>0.18</v>
          </cell>
          <cell r="G208" t="str">
            <v>USD</v>
          </cell>
          <cell r="H208" t="str">
            <v>C26</v>
          </cell>
          <cell r="I208" t="str">
            <v>Advanced Analogi</v>
          </cell>
          <cell r="J208">
            <v>0</v>
          </cell>
        </row>
        <row r="209">
          <cell r="B209" t="str">
            <v>Q3409000801A</v>
          </cell>
          <cell r="C209" t="str">
            <v>DETECT SWITCH-DSC350SE</v>
          </cell>
          <cell r="D209" t="str">
            <v>F</v>
          </cell>
          <cell r="F209">
            <v>10</v>
          </cell>
          <cell r="G209" t="str">
            <v>JPY</v>
          </cell>
          <cell r="H209" t="str">
            <v>C26</v>
          </cell>
          <cell r="I209" t="str">
            <v>SHINMEI ELECTRIC</v>
          </cell>
          <cell r="J209">
            <v>0</v>
          </cell>
        </row>
        <row r="210">
          <cell r="B210" t="str">
            <v>Q3409000901A</v>
          </cell>
          <cell r="C210" t="str">
            <v>ANALOG SWITCH-KIC7W66FU</v>
          </cell>
          <cell r="D210" t="str">
            <v>F</v>
          </cell>
          <cell r="F210">
            <v>0</v>
          </cell>
          <cell r="J210">
            <v>0</v>
          </cell>
        </row>
        <row r="211">
          <cell r="B211" t="str">
            <v>Q3601000201A</v>
          </cell>
          <cell r="C211" t="str">
            <v>CHIP FUSE-FCC20(2A)</v>
          </cell>
          <cell r="D211" t="str">
            <v>F</v>
          </cell>
          <cell r="F211">
            <v>120</v>
          </cell>
          <cell r="G211" t="str">
            <v>KRW</v>
          </cell>
          <cell r="H211" t="str">
            <v>C56</v>
          </cell>
          <cell r="I211" t="str">
            <v>서일전자공업(주)</v>
          </cell>
          <cell r="J211">
            <v>0</v>
          </cell>
        </row>
        <row r="212">
          <cell r="B212" t="str">
            <v>Q3708002401A</v>
          </cell>
          <cell r="C212" t="str">
            <v>CF EJECTOR(CONNECTOR HOUSING)-JC26FSLH</v>
          </cell>
          <cell r="D212" t="str">
            <v>F</v>
          </cell>
          <cell r="F212">
            <v>72</v>
          </cell>
          <cell r="G212" t="str">
            <v>JPY</v>
          </cell>
          <cell r="H212" t="str">
            <v>C46</v>
          </cell>
          <cell r="I212" t="str">
            <v>JAPAN AVIATION E</v>
          </cell>
          <cell r="J212">
            <v>0</v>
          </cell>
        </row>
        <row r="213">
          <cell r="B213" t="str">
            <v>Q3708003401A</v>
          </cell>
          <cell r="C213" t="str">
            <v>CONNECTOR-04_6239_020_001_800(LENS)</v>
          </cell>
          <cell r="D213" t="str">
            <v>F</v>
          </cell>
          <cell r="F213">
            <v>239</v>
          </cell>
          <cell r="G213" t="str">
            <v>KRW</v>
          </cell>
          <cell r="H213" t="str">
            <v>C22</v>
          </cell>
          <cell r="I213" t="str">
            <v>교세라엘코코리아</v>
          </cell>
          <cell r="J213">
            <v>0</v>
          </cell>
        </row>
        <row r="214">
          <cell r="B214" t="str">
            <v>Q3708003501A</v>
          </cell>
          <cell r="C214" t="str">
            <v>CONNECTOR-04_6239_024_001_800(KEY&amp;LCD)</v>
          </cell>
          <cell r="D214" t="str">
            <v>F</v>
          </cell>
          <cell r="F214">
            <v>279</v>
          </cell>
          <cell r="G214" t="str">
            <v>KRW</v>
          </cell>
          <cell r="H214" t="str">
            <v>C22</v>
          </cell>
          <cell r="I214" t="str">
            <v>교세라엘코코리아</v>
          </cell>
          <cell r="J214">
            <v>0</v>
          </cell>
        </row>
        <row r="215">
          <cell r="B215" t="str">
            <v>Q3708003601A</v>
          </cell>
          <cell r="C215" t="str">
            <v>CONNECTOR-24_5645_060_000_829(MAIN&amp;POW</v>
          </cell>
          <cell r="D215" t="str">
            <v>F</v>
          </cell>
          <cell r="F215">
            <v>631</v>
          </cell>
          <cell r="G215" t="str">
            <v>KRW</v>
          </cell>
          <cell r="H215" t="str">
            <v>C22</v>
          </cell>
          <cell r="I215" t="str">
            <v>교세라엘코코리아</v>
          </cell>
          <cell r="J215">
            <v>0</v>
          </cell>
        </row>
        <row r="216">
          <cell r="B216" t="str">
            <v>Q3708003701A</v>
          </cell>
          <cell r="C216" t="str">
            <v>CONNECTOR-14_5645_060_000_829(MAIN&amp;POW</v>
          </cell>
          <cell r="D216" t="str">
            <v>F</v>
          </cell>
          <cell r="F216">
            <v>533</v>
          </cell>
          <cell r="G216" t="str">
            <v>KRW</v>
          </cell>
          <cell r="H216" t="str">
            <v>C22</v>
          </cell>
          <cell r="I216" t="str">
            <v>교세라엘코코리아</v>
          </cell>
          <cell r="J216">
            <v>0</v>
          </cell>
        </row>
        <row r="217">
          <cell r="B217" t="str">
            <v>Q3708003801A</v>
          </cell>
          <cell r="C217" t="str">
            <v>CONNECTOR-04_6254_012_000_800</v>
          </cell>
          <cell r="D217" t="str">
            <v>F</v>
          </cell>
          <cell r="F217">
            <v>0</v>
          </cell>
          <cell r="H217" t="str">
            <v>C22</v>
          </cell>
          <cell r="J217">
            <v>0</v>
          </cell>
        </row>
        <row r="218">
          <cell r="B218" t="str">
            <v>Q3708003901A</v>
          </cell>
          <cell r="C218" t="str">
            <v>CONNECTOR-21FXL_RSM1_TB</v>
          </cell>
          <cell r="D218" t="str">
            <v>F</v>
          </cell>
          <cell r="F218">
            <v>0</v>
          </cell>
          <cell r="H218" t="str">
            <v>C22</v>
          </cell>
          <cell r="J218">
            <v>0</v>
          </cell>
        </row>
        <row r="219">
          <cell r="B219" t="str">
            <v>Q3708004001A</v>
          </cell>
          <cell r="C219" t="str">
            <v>CONNECTOR-24FLH_SM1_TB</v>
          </cell>
          <cell r="D219" t="str">
            <v>F</v>
          </cell>
          <cell r="F219">
            <v>0</v>
          </cell>
          <cell r="H219" t="str">
            <v>C22</v>
          </cell>
          <cell r="J219">
            <v>0</v>
          </cell>
        </row>
        <row r="220">
          <cell r="B220" t="str">
            <v>Q3711000301A</v>
          </cell>
          <cell r="C220" t="str">
            <v>CF HEADER-JC26-BB16-E800</v>
          </cell>
          <cell r="D220" t="str">
            <v>F</v>
          </cell>
          <cell r="F220">
            <v>71</v>
          </cell>
          <cell r="G220" t="str">
            <v>JPY</v>
          </cell>
          <cell r="H220" t="str">
            <v>C46</v>
          </cell>
          <cell r="I220" t="str">
            <v>JAPAN AVIATION E</v>
          </cell>
          <cell r="J220">
            <v>0</v>
          </cell>
        </row>
        <row r="221">
          <cell r="B221" t="str">
            <v>Q3717000301A</v>
          </cell>
          <cell r="C221" t="str">
            <v>CONNECTOR(MAIN-SUB)</v>
          </cell>
          <cell r="D221" t="str">
            <v>F</v>
          </cell>
          <cell r="F221">
            <v>20</v>
          </cell>
          <cell r="G221" t="str">
            <v>JPY</v>
          </cell>
          <cell r="H221" t="str">
            <v>C46</v>
          </cell>
          <cell r="I221" t="str">
            <v>JAPAN AVIATION E</v>
          </cell>
          <cell r="J221">
            <v>0</v>
          </cell>
        </row>
        <row r="222">
          <cell r="B222" t="str">
            <v>Q3717000701A</v>
          </cell>
          <cell r="C222" t="str">
            <v>CONNECTOR(SUB-MAIN)</v>
          </cell>
          <cell r="D222" t="str">
            <v>F</v>
          </cell>
          <cell r="F222">
            <v>25</v>
          </cell>
          <cell r="G222" t="str">
            <v>JPY</v>
          </cell>
          <cell r="H222" t="str">
            <v>C46</v>
          </cell>
          <cell r="I222" t="str">
            <v>JAPAN AVIATION E</v>
          </cell>
          <cell r="J222">
            <v>0</v>
          </cell>
        </row>
        <row r="223">
          <cell r="B223" t="str">
            <v>Q3722000401A</v>
          </cell>
          <cell r="C223" t="str">
            <v>USB JACK</v>
          </cell>
          <cell r="D223" t="str">
            <v>F</v>
          </cell>
          <cell r="F223">
            <v>19</v>
          </cell>
          <cell r="G223" t="str">
            <v>JPY</v>
          </cell>
          <cell r="H223" t="str">
            <v>C56</v>
          </cell>
          <cell r="I223" t="str">
            <v>SAMSUNG JAPAN CO</v>
          </cell>
          <cell r="J223">
            <v>0</v>
          </cell>
        </row>
        <row r="224">
          <cell r="B224" t="str">
            <v>Q3722000701A</v>
          </cell>
          <cell r="C224" t="str">
            <v>VIDEO JACK-DSC350SE</v>
          </cell>
          <cell r="D224" t="str">
            <v>F</v>
          </cell>
          <cell r="F224">
            <v>22</v>
          </cell>
          <cell r="G224" t="str">
            <v>JPY</v>
          </cell>
          <cell r="H224" t="str">
            <v>C26</v>
          </cell>
          <cell r="I224" t="str">
            <v>EX CO.,LTD</v>
          </cell>
          <cell r="J224">
            <v>0</v>
          </cell>
        </row>
        <row r="225">
          <cell r="B225" t="str">
            <v>Q3722000801A</v>
          </cell>
          <cell r="C225" t="str">
            <v>DC JACK-DSC350SE</v>
          </cell>
          <cell r="D225" t="str">
            <v>F</v>
          </cell>
          <cell r="F225">
            <v>0.22</v>
          </cell>
          <cell r="G225" t="str">
            <v>USD</v>
          </cell>
          <cell r="H225" t="str">
            <v>C26</v>
          </cell>
          <cell r="I225" t="str">
            <v>HON HAI PRECISIO</v>
          </cell>
          <cell r="J225">
            <v>0</v>
          </cell>
        </row>
        <row r="226">
          <cell r="B226" t="str">
            <v>Q3801002201A</v>
          </cell>
          <cell r="C226" t="str">
            <v>VOICE CODEC-DSC350SE</v>
          </cell>
          <cell r="D226" t="str">
            <v>F</v>
          </cell>
          <cell r="F226">
            <v>1.65</v>
          </cell>
          <cell r="G226" t="str">
            <v>USD</v>
          </cell>
          <cell r="H226" t="str">
            <v>C26</v>
          </cell>
          <cell r="I226" t="str">
            <v>TEXAS INSTRUMEN</v>
          </cell>
          <cell r="J226">
            <v>0</v>
          </cell>
        </row>
        <row r="227">
          <cell r="B227" t="str">
            <v>Q3802000401A</v>
          </cell>
          <cell r="C227" t="str">
            <v>USB CABLE-1.5 SMALL CONNECTOR</v>
          </cell>
          <cell r="D227" t="str">
            <v>F</v>
          </cell>
          <cell r="F227">
            <v>116</v>
          </cell>
          <cell r="G227" t="str">
            <v>JPY</v>
          </cell>
          <cell r="H227" t="str">
            <v>C56</v>
          </cell>
          <cell r="I227" t="str">
            <v>SAMSUNG JAPAN CO</v>
          </cell>
          <cell r="J227">
            <v>0</v>
          </cell>
        </row>
        <row r="228">
          <cell r="B228" t="str">
            <v>Q3802001801A</v>
          </cell>
          <cell r="C228" t="str">
            <v>A/V CABLE-DSC350SE_1.5 M</v>
          </cell>
          <cell r="D228" t="str">
            <v>F</v>
          </cell>
          <cell r="F228">
            <v>0</v>
          </cell>
          <cell r="H228" t="str">
            <v>C22</v>
          </cell>
          <cell r="J228">
            <v>0</v>
          </cell>
        </row>
        <row r="229">
          <cell r="B229" t="str">
            <v>Q3811075601A</v>
          </cell>
          <cell r="C229" t="str">
            <v>LEAD WIRE-DSC350SE</v>
          </cell>
          <cell r="D229" t="str">
            <v>F</v>
          </cell>
          <cell r="F229">
            <v>0</v>
          </cell>
          <cell r="J229">
            <v>0</v>
          </cell>
        </row>
        <row r="230">
          <cell r="B230" t="str">
            <v>Q3811075701A</v>
          </cell>
          <cell r="C230" t="str">
            <v>LEAD WIRE-DSC350SE</v>
          </cell>
          <cell r="D230" t="str">
            <v>F</v>
          </cell>
          <cell r="F230">
            <v>0</v>
          </cell>
          <cell r="J230">
            <v>0</v>
          </cell>
        </row>
        <row r="231">
          <cell r="B231" t="str">
            <v>Q3811075801A</v>
          </cell>
          <cell r="C231" t="str">
            <v>LEAD WIRE-DSC350SE</v>
          </cell>
          <cell r="D231" t="str">
            <v>F</v>
          </cell>
          <cell r="F231">
            <v>0</v>
          </cell>
          <cell r="J231">
            <v>0</v>
          </cell>
        </row>
        <row r="232">
          <cell r="B232" t="str">
            <v>Q3811075901A</v>
          </cell>
          <cell r="C232" t="str">
            <v>LEAD WIRE-DSC350SE</v>
          </cell>
          <cell r="D232" t="str">
            <v>F</v>
          </cell>
          <cell r="F232">
            <v>0</v>
          </cell>
          <cell r="J232">
            <v>0</v>
          </cell>
        </row>
        <row r="233">
          <cell r="B233" t="str">
            <v>Q3811076201A</v>
          </cell>
          <cell r="C233" t="str">
            <v>LEAD WIRE-DSC350SE</v>
          </cell>
          <cell r="D233" t="str">
            <v>F</v>
          </cell>
          <cell r="F233">
            <v>0</v>
          </cell>
          <cell r="J233">
            <v>0</v>
          </cell>
        </row>
        <row r="234">
          <cell r="B234" t="str">
            <v>Q3811076301A</v>
          </cell>
          <cell r="C234" t="str">
            <v>LEAD WIRE-DSC350SE</v>
          </cell>
          <cell r="D234" t="str">
            <v>F</v>
          </cell>
          <cell r="F234">
            <v>0</v>
          </cell>
          <cell r="J234">
            <v>0</v>
          </cell>
        </row>
        <row r="235">
          <cell r="B235" t="str">
            <v>Q3811076401A</v>
          </cell>
          <cell r="C235" t="str">
            <v>LEAD WIRE-DSC350SE</v>
          </cell>
          <cell r="D235" t="str">
            <v>F</v>
          </cell>
          <cell r="F235">
            <v>0</v>
          </cell>
          <cell r="J235">
            <v>0</v>
          </cell>
        </row>
        <row r="236">
          <cell r="B236" t="str">
            <v>Q3811076501A</v>
          </cell>
          <cell r="C236" t="str">
            <v>LEAD WIRE-DSC350SE</v>
          </cell>
          <cell r="D236" t="str">
            <v>F</v>
          </cell>
          <cell r="F236">
            <v>0</v>
          </cell>
          <cell r="J236">
            <v>0</v>
          </cell>
        </row>
        <row r="237">
          <cell r="B237" t="str">
            <v>Q3811076601A</v>
          </cell>
          <cell r="C237" t="str">
            <v>LEAD WIRE-DSC350SE</v>
          </cell>
          <cell r="D237" t="str">
            <v>F</v>
          </cell>
          <cell r="F237">
            <v>0</v>
          </cell>
          <cell r="J237">
            <v>0</v>
          </cell>
        </row>
        <row r="238">
          <cell r="B238" t="str">
            <v>Q3811076701A</v>
          </cell>
          <cell r="C238" t="str">
            <v>LEAD WIRE-DSC350SE</v>
          </cell>
          <cell r="D238" t="str">
            <v>F</v>
          </cell>
          <cell r="F238">
            <v>0</v>
          </cell>
          <cell r="J238">
            <v>0</v>
          </cell>
        </row>
        <row r="239">
          <cell r="B239" t="str">
            <v>Q3811076801A</v>
          </cell>
          <cell r="C239" t="str">
            <v>LEAD WIRE-DSC350SE</v>
          </cell>
          <cell r="D239" t="str">
            <v>F</v>
          </cell>
          <cell r="F239">
            <v>0</v>
          </cell>
          <cell r="J239">
            <v>0</v>
          </cell>
        </row>
        <row r="240">
          <cell r="B240" t="str">
            <v>Q3811076901A</v>
          </cell>
          <cell r="C240" t="str">
            <v>LEAD WIRE-DSC350SE</v>
          </cell>
          <cell r="D240" t="str">
            <v>F</v>
          </cell>
          <cell r="F240">
            <v>0</v>
          </cell>
          <cell r="J240">
            <v>0</v>
          </cell>
        </row>
        <row r="241">
          <cell r="B241" t="str">
            <v>Q4101023601A</v>
          </cell>
          <cell r="C241" t="str">
            <v>LCD F PCB-DSC350SE</v>
          </cell>
          <cell r="D241" t="str">
            <v>F</v>
          </cell>
          <cell r="F241">
            <v>0</v>
          </cell>
          <cell r="H241" t="str">
            <v>C22</v>
          </cell>
          <cell r="J241">
            <v>0</v>
          </cell>
        </row>
        <row r="242">
          <cell r="B242" t="str">
            <v>Q4102004801A</v>
          </cell>
          <cell r="C242" t="str">
            <v>MODE PCB-DSC350SE</v>
          </cell>
          <cell r="D242" t="str">
            <v>F</v>
          </cell>
          <cell r="F242">
            <v>391</v>
          </cell>
          <cell r="G242" t="str">
            <v>KRW</v>
          </cell>
          <cell r="H242" t="str">
            <v>C22</v>
          </cell>
          <cell r="I242" t="str">
            <v>(주)에스아이플렉</v>
          </cell>
          <cell r="J242">
            <v>0</v>
          </cell>
        </row>
        <row r="243">
          <cell r="B243" t="str">
            <v>Q4102004901A</v>
          </cell>
          <cell r="C243" t="str">
            <v>CCD FPCB-DSC350SE</v>
          </cell>
          <cell r="D243" t="str">
            <v>F</v>
          </cell>
          <cell r="F243">
            <v>0</v>
          </cell>
          <cell r="H243" t="str">
            <v>C22</v>
          </cell>
          <cell r="J243">
            <v>0</v>
          </cell>
        </row>
        <row r="244">
          <cell r="B244" t="str">
            <v>Q4103010001A</v>
          </cell>
          <cell r="C244" t="str">
            <v>LED PCB-DSC350SE</v>
          </cell>
          <cell r="D244" t="str">
            <v>F</v>
          </cell>
          <cell r="F244">
            <v>0</v>
          </cell>
          <cell r="H244" t="str">
            <v>C22</v>
          </cell>
          <cell r="J244">
            <v>0</v>
          </cell>
        </row>
        <row r="245">
          <cell r="B245" t="str">
            <v>Q4103010101A</v>
          </cell>
          <cell r="C245" t="str">
            <v>PHOTO PCB-DSC350SE</v>
          </cell>
          <cell r="D245" t="str">
            <v>F</v>
          </cell>
          <cell r="F245">
            <v>0</v>
          </cell>
          <cell r="H245" t="str">
            <v>C22</v>
          </cell>
          <cell r="J245">
            <v>0</v>
          </cell>
        </row>
        <row r="246">
          <cell r="B246" t="str">
            <v>Q4104015601A</v>
          </cell>
          <cell r="C246" t="str">
            <v>MAIN PCB-DSC350SE</v>
          </cell>
          <cell r="D246" t="str">
            <v>F</v>
          </cell>
          <cell r="F246">
            <v>0</v>
          </cell>
          <cell r="H246" t="str">
            <v>C22</v>
          </cell>
          <cell r="J246">
            <v>0</v>
          </cell>
        </row>
        <row r="247">
          <cell r="B247" t="str">
            <v>Q4104015701A</v>
          </cell>
          <cell r="C247" t="str">
            <v>POWER PCB-DSC350SE</v>
          </cell>
          <cell r="D247" t="str">
            <v>F</v>
          </cell>
          <cell r="F247">
            <v>0</v>
          </cell>
          <cell r="H247" t="str">
            <v>C22</v>
          </cell>
          <cell r="J247">
            <v>0</v>
          </cell>
        </row>
        <row r="248">
          <cell r="B248" t="str">
            <v>Q4104015801A</v>
          </cell>
          <cell r="C248" t="str">
            <v>STROBO PCB-DSC350SE</v>
          </cell>
          <cell r="D248" t="str">
            <v>F</v>
          </cell>
          <cell r="F248">
            <v>0</v>
          </cell>
          <cell r="H248" t="str">
            <v>C22</v>
          </cell>
          <cell r="J248">
            <v>0</v>
          </cell>
        </row>
        <row r="249">
          <cell r="B249" t="str">
            <v>Q4104016201A</v>
          </cell>
          <cell r="C249" t="str">
            <v>LCD PCB-DSC350SE</v>
          </cell>
          <cell r="D249" t="str">
            <v>F</v>
          </cell>
          <cell r="F249">
            <v>0</v>
          </cell>
          <cell r="H249" t="str">
            <v>C22</v>
          </cell>
          <cell r="J249">
            <v>0</v>
          </cell>
        </row>
        <row r="250">
          <cell r="B250" t="str">
            <v>Q4301001701A</v>
          </cell>
          <cell r="C250" t="str">
            <v>BUTTON CELL BATTERY-MC621</v>
          </cell>
          <cell r="D250" t="str">
            <v>F</v>
          </cell>
          <cell r="F250">
            <v>0.48</v>
          </cell>
          <cell r="G250" t="str">
            <v>USD</v>
          </cell>
          <cell r="H250" t="str">
            <v>C50</v>
          </cell>
          <cell r="I250" t="str">
            <v>VARTA BATTERIES</v>
          </cell>
          <cell r="J250">
            <v>0</v>
          </cell>
        </row>
        <row r="251">
          <cell r="B251" t="str">
            <v>Q4301001801A</v>
          </cell>
          <cell r="C251" t="str">
            <v>ALKALINE BATTERY-DSC210</v>
          </cell>
          <cell r="D251" t="str">
            <v>F</v>
          </cell>
          <cell r="F251">
            <v>226</v>
          </cell>
          <cell r="G251" t="str">
            <v>KRW</v>
          </cell>
          <cell r="H251" t="str">
            <v>C50</v>
          </cell>
          <cell r="I251" t="str">
            <v>질레트코리아(유)</v>
          </cell>
          <cell r="J251">
            <v>0</v>
          </cell>
        </row>
        <row r="252">
          <cell r="B252" t="str">
            <v>Q4609002901A</v>
          </cell>
          <cell r="C252" t="str">
            <v>DRIVER/MGI PHOTOSUITE_EUROPE(BLUE)/DIG</v>
          </cell>
          <cell r="D252" t="str">
            <v>F</v>
          </cell>
          <cell r="F252">
            <v>3050</v>
          </cell>
          <cell r="G252" t="str">
            <v>KRW</v>
          </cell>
          <cell r="H252" t="str">
            <v>C65</v>
          </cell>
          <cell r="I252" t="str">
            <v>(주)세미르</v>
          </cell>
          <cell r="J252">
            <v>0</v>
          </cell>
        </row>
        <row r="253">
          <cell r="B253" t="str">
            <v>Q4719000301A</v>
          </cell>
          <cell r="C253" t="str">
            <v>SPEAKER-SG_1708M11(8 ohm)</v>
          </cell>
          <cell r="D253" t="str">
            <v>F</v>
          </cell>
          <cell r="F253">
            <v>0</v>
          </cell>
          <cell r="H253" t="str">
            <v>C22</v>
          </cell>
          <cell r="J253">
            <v>0</v>
          </cell>
        </row>
        <row r="254">
          <cell r="B254" t="str">
            <v>Q4719000401A</v>
          </cell>
          <cell r="C254" t="str">
            <v>MICROPHONE-SKB_2742T_A34</v>
          </cell>
          <cell r="D254" t="str">
            <v>F</v>
          </cell>
          <cell r="F254">
            <v>0</v>
          </cell>
          <cell r="H254" t="str">
            <v>C22</v>
          </cell>
          <cell r="J254">
            <v>0</v>
          </cell>
        </row>
        <row r="255">
          <cell r="B255" t="str">
            <v>Q6001016001A</v>
          </cell>
          <cell r="C255" t="str">
            <v>CARD HOLDER SCREW-DSC210</v>
          </cell>
          <cell r="D255" t="str">
            <v>F</v>
          </cell>
          <cell r="F255">
            <v>4</v>
          </cell>
          <cell r="G255" t="str">
            <v>KRW</v>
          </cell>
          <cell r="H255" t="str">
            <v>C80</v>
          </cell>
          <cell r="I255" t="str">
            <v>케이엠에스티(주)</v>
          </cell>
          <cell r="J255">
            <v>0</v>
          </cell>
        </row>
        <row r="256">
          <cell r="B256" t="str">
            <v>Q6003024201A</v>
          </cell>
          <cell r="C256" t="str">
            <v>SCREW</v>
          </cell>
          <cell r="D256" t="str">
            <v>F</v>
          </cell>
          <cell r="F256">
            <v>3</v>
          </cell>
          <cell r="G256" t="str">
            <v>KRW</v>
          </cell>
          <cell r="H256" t="str">
            <v>C80</v>
          </cell>
          <cell r="I256" t="str">
            <v>케이엠에스티(주)</v>
          </cell>
          <cell r="J256">
            <v>0</v>
          </cell>
        </row>
        <row r="257">
          <cell r="B257" t="str">
            <v>Q6003028101A</v>
          </cell>
          <cell r="C257" t="str">
            <v>SCREW-M1.4xP0.45xL2.5xD4.0</v>
          </cell>
          <cell r="D257" t="str">
            <v>F</v>
          </cell>
          <cell r="F257">
            <v>5</v>
          </cell>
          <cell r="G257" t="str">
            <v>KRW</v>
          </cell>
          <cell r="H257" t="str">
            <v>C20</v>
          </cell>
          <cell r="I257" t="str">
            <v>(주)서울금속</v>
          </cell>
          <cell r="J257">
            <v>0</v>
          </cell>
        </row>
        <row r="258">
          <cell r="B258" t="str">
            <v>Q6003028201A</v>
          </cell>
          <cell r="C258" t="str">
            <v>SCREW-TAPTITE BH</v>
          </cell>
          <cell r="D258" t="str">
            <v>F</v>
          </cell>
          <cell r="F258">
            <v>3</v>
          </cell>
          <cell r="G258" t="str">
            <v>KRW</v>
          </cell>
          <cell r="H258" t="str">
            <v>C52</v>
          </cell>
          <cell r="I258" t="str">
            <v>(주)서울금속</v>
          </cell>
          <cell r="J258">
            <v>0</v>
          </cell>
        </row>
        <row r="259">
          <cell r="B259" t="str">
            <v>Q6003029701A</v>
          </cell>
          <cell r="C259" t="str">
            <v>SCREW 5X0.5X0.5X1.7-DSC350SE</v>
          </cell>
          <cell r="D259" t="str">
            <v>F</v>
          </cell>
          <cell r="F259">
            <v>14</v>
          </cell>
          <cell r="G259" t="str">
            <v>KRW</v>
          </cell>
          <cell r="H259" t="str">
            <v>C20</v>
          </cell>
          <cell r="I259" t="str">
            <v>(주)서울금속</v>
          </cell>
          <cell r="J259">
            <v>0</v>
          </cell>
        </row>
        <row r="260">
          <cell r="B260" t="str">
            <v>Q6003033301A</v>
          </cell>
          <cell r="C260" t="str">
            <v>CCD PLATE SCREW-DSC350SE</v>
          </cell>
          <cell r="D260" t="str">
            <v>F</v>
          </cell>
          <cell r="F260">
            <v>10</v>
          </cell>
          <cell r="G260" t="str">
            <v>KRW</v>
          </cell>
          <cell r="H260" t="str">
            <v>C20</v>
          </cell>
          <cell r="I260" t="str">
            <v>(주)서울금속</v>
          </cell>
          <cell r="J260">
            <v>0</v>
          </cell>
        </row>
        <row r="261">
          <cell r="B261" t="str">
            <v>Q6107040501A</v>
          </cell>
          <cell r="C261" t="str">
            <v>RELEASE SPRING-IP5X</v>
          </cell>
          <cell r="D261" t="str">
            <v>F</v>
          </cell>
          <cell r="F261">
            <v>15</v>
          </cell>
          <cell r="G261" t="str">
            <v>KRW</v>
          </cell>
          <cell r="H261" t="str">
            <v>C80</v>
          </cell>
          <cell r="I261" t="str">
            <v>삼현(주)</v>
          </cell>
          <cell r="J261">
            <v>0</v>
          </cell>
        </row>
        <row r="262">
          <cell r="B262" t="str">
            <v>Q6107045702B</v>
          </cell>
          <cell r="C262" t="str">
            <v>BATTERY HG SPRING-DSC350SE</v>
          </cell>
          <cell r="D262" t="str">
            <v>F</v>
          </cell>
          <cell r="F262">
            <v>30</v>
          </cell>
          <cell r="G262" t="str">
            <v>KRW</v>
          </cell>
          <cell r="H262" t="str">
            <v>C20</v>
          </cell>
          <cell r="I262" t="str">
            <v>삼원정공(주)</v>
          </cell>
          <cell r="J262">
            <v>0</v>
          </cell>
        </row>
        <row r="263">
          <cell r="B263" t="str">
            <v>Q6107050101A</v>
          </cell>
          <cell r="C263" t="str">
            <v>5 FUNCTION SPRING-DSC350SE</v>
          </cell>
          <cell r="D263" t="str">
            <v>F</v>
          </cell>
          <cell r="F263">
            <v>18</v>
          </cell>
          <cell r="G263" t="str">
            <v>KRW</v>
          </cell>
          <cell r="H263" t="str">
            <v>C20</v>
          </cell>
          <cell r="I263" t="str">
            <v>대원강업(주)창원</v>
          </cell>
          <cell r="J263">
            <v>0</v>
          </cell>
        </row>
        <row r="264">
          <cell r="B264" t="str">
            <v>Q6804037401A</v>
          </cell>
          <cell r="C264" t="str">
            <v>HOLOGRAM STICKER_D350</v>
          </cell>
          <cell r="D264" t="str">
            <v>F</v>
          </cell>
          <cell r="F264">
            <v>0</v>
          </cell>
          <cell r="H264" t="str">
            <v>C65</v>
          </cell>
          <cell r="J264">
            <v>0</v>
          </cell>
        </row>
        <row r="265">
          <cell r="B265" t="str">
            <v>Q6806123401A</v>
          </cell>
          <cell r="C265" t="str">
            <v>U/MANUAL_DIGIMAX_350SE_ENG</v>
          </cell>
          <cell r="D265" t="str">
            <v>F</v>
          </cell>
          <cell r="F265">
            <v>2635</v>
          </cell>
          <cell r="G265" t="str">
            <v>KRW</v>
          </cell>
          <cell r="H265" t="str">
            <v>C65</v>
          </cell>
          <cell r="I265" t="str">
            <v>삼영인쇄(주)</v>
          </cell>
          <cell r="J265">
            <v>0</v>
          </cell>
        </row>
        <row r="266">
          <cell r="B266" t="str">
            <v>Q6901128801A</v>
          </cell>
          <cell r="C266" t="str">
            <v>C/T BOX_DIGIMAX 210SE(1/10EA)</v>
          </cell>
          <cell r="D266" t="str">
            <v>F</v>
          </cell>
          <cell r="F266">
            <v>1600</v>
          </cell>
          <cell r="G266" t="str">
            <v>KRW</v>
          </cell>
          <cell r="H266" t="str">
            <v>C65</v>
          </cell>
          <cell r="I266" t="str">
            <v>(주)대세기업</v>
          </cell>
          <cell r="J266">
            <v>0</v>
          </cell>
        </row>
        <row r="267">
          <cell r="B267" t="str">
            <v>Q6901139301A</v>
          </cell>
          <cell r="C267" t="str">
            <v>PLASTIC BOX-DSC210</v>
          </cell>
          <cell r="D267" t="str">
            <v>F</v>
          </cell>
          <cell r="F267">
            <v>160</v>
          </cell>
          <cell r="G267" t="str">
            <v>KRW</v>
          </cell>
          <cell r="H267" t="str">
            <v>C65</v>
          </cell>
          <cell r="I267" t="str">
            <v>광희전자</v>
          </cell>
          <cell r="J267">
            <v>0</v>
          </cell>
        </row>
        <row r="268">
          <cell r="B268" t="str">
            <v>Q6901156901A</v>
          </cell>
          <cell r="C268" t="str">
            <v>INNER BOX_DIGIMAX 350SE</v>
          </cell>
          <cell r="D268" t="str">
            <v>F</v>
          </cell>
          <cell r="F268">
            <v>485</v>
          </cell>
          <cell r="G268" t="str">
            <v>KRW</v>
          </cell>
          <cell r="H268" t="str">
            <v>C65</v>
          </cell>
          <cell r="I268" t="str">
            <v>삼영인쇄(주)</v>
          </cell>
          <cell r="J268">
            <v>0</v>
          </cell>
        </row>
        <row r="269">
          <cell r="B269" t="str">
            <v>Q6901157101A</v>
          </cell>
          <cell r="C269" t="str">
            <v>G/T BOX_DIGIMAX_350SE_EXP/AUS/USA/CAN</v>
          </cell>
          <cell r="D269" t="str">
            <v>F</v>
          </cell>
          <cell r="F269">
            <v>750</v>
          </cell>
          <cell r="G269" t="str">
            <v>KRW</v>
          </cell>
          <cell r="H269" t="str">
            <v>C65</v>
          </cell>
          <cell r="I269" t="str">
            <v>삼영인쇄(주)</v>
          </cell>
          <cell r="J269">
            <v>0</v>
          </cell>
        </row>
        <row r="270">
          <cell r="B270" t="str">
            <v>Q6904021701A</v>
          </cell>
          <cell r="C270" t="str">
            <v>SKIN CASE_D350SE_KOR/EXP</v>
          </cell>
          <cell r="D270" t="str">
            <v>F</v>
          </cell>
          <cell r="F270">
            <v>3500</v>
          </cell>
          <cell r="G270" t="str">
            <v>KRW</v>
          </cell>
          <cell r="H270" t="str">
            <v>C65</v>
          </cell>
          <cell r="I270" t="str">
            <v>삼양케이스(주)</v>
          </cell>
          <cell r="J270">
            <v>0</v>
          </cell>
        </row>
        <row r="271">
          <cell r="B271" t="str">
            <v>Q6909009401A</v>
          </cell>
          <cell r="C271" t="str">
            <v>P.E BAG_DIGIMAX 210SE</v>
          </cell>
          <cell r="D271" t="str">
            <v>F</v>
          </cell>
          <cell r="F271">
            <v>22</v>
          </cell>
          <cell r="G271" t="str">
            <v>KRW</v>
          </cell>
          <cell r="H271" t="str">
            <v>C65</v>
          </cell>
          <cell r="I271" t="str">
            <v>(주)신우아이피</v>
          </cell>
          <cell r="J271">
            <v>0</v>
          </cell>
        </row>
        <row r="272">
          <cell r="B272" t="str">
            <v>Q7011035002A</v>
          </cell>
          <cell r="C272" t="str">
            <v>MODE CONTACT-IP5X</v>
          </cell>
          <cell r="D272" t="str">
            <v>F</v>
          </cell>
          <cell r="E272">
            <v>30</v>
          </cell>
          <cell r="F272">
            <v>9</v>
          </cell>
          <cell r="G272" t="str">
            <v>KRW</v>
          </cell>
          <cell r="H272" t="str">
            <v>C60</v>
          </cell>
          <cell r="I272" t="str">
            <v>삼기엠.티(주)</v>
          </cell>
          <cell r="J272">
            <v>0</v>
          </cell>
        </row>
        <row r="273">
          <cell r="B273" t="str">
            <v>Q7011037001A</v>
          </cell>
          <cell r="C273" t="str">
            <v>BATTERY CONTACT_A-DSC350SE</v>
          </cell>
          <cell r="D273" t="str">
            <v>F</v>
          </cell>
          <cell r="F273">
            <v>47</v>
          </cell>
          <cell r="G273" t="str">
            <v>KRW</v>
          </cell>
          <cell r="H273" t="str">
            <v>C60</v>
          </cell>
          <cell r="I273" t="str">
            <v>삼기엠.티(주)</v>
          </cell>
          <cell r="J273">
            <v>0</v>
          </cell>
        </row>
        <row r="274">
          <cell r="B274" t="str">
            <v>Q7011037101A</v>
          </cell>
          <cell r="C274" t="str">
            <v>BATTERY CONTACT_B-DSC350SE</v>
          </cell>
          <cell r="D274" t="str">
            <v>F</v>
          </cell>
          <cell r="F274">
            <v>36</v>
          </cell>
          <cell r="G274" t="str">
            <v>KRW</v>
          </cell>
          <cell r="H274" t="str">
            <v>C60</v>
          </cell>
          <cell r="I274" t="str">
            <v>삼기엠.티(주)</v>
          </cell>
          <cell r="J274">
            <v>0</v>
          </cell>
        </row>
        <row r="275">
          <cell r="B275" t="str">
            <v>Q7011037201A</v>
          </cell>
          <cell r="C275" t="str">
            <v>BODY FRAME-DSC350SE</v>
          </cell>
          <cell r="D275" t="str">
            <v>F</v>
          </cell>
          <cell r="F275">
            <v>70</v>
          </cell>
          <cell r="G275" t="str">
            <v>KRW</v>
          </cell>
          <cell r="H275" t="str">
            <v>C60</v>
          </cell>
          <cell r="I275" t="str">
            <v>성광정밀</v>
          </cell>
          <cell r="J275">
            <v>0</v>
          </cell>
        </row>
        <row r="276">
          <cell r="B276" t="str">
            <v>Q7012065801A</v>
          </cell>
          <cell r="C276" t="str">
            <v>FRONT PANEL CAP-DSC 350SE</v>
          </cell>
          <cell r="D276" t="str">
            <v>F</v>
          </cell>
          <cell r="F276">
            <v>710</v>
          </cell>
          <cell r="G276" t="str">
            <v>KRW</v>
          </cell>
          <cell r="H276" t="str">
            <v>C60</v>
          </cell>
          <cell r="I276" t="str">
            <v>(주)성광사</v>
          </cell>
          <cell r="J276">
            <v>0</v>
          </cell>
        </row>
        <row r="277">
          <cell r="B277" t="str">
            <v>Q7012067201A</v>
          </cell>
          <cell r="C277" t="str">
            <v>CCD PLATE-DSC350SE</v>
          </cell>
          <cell r="D277" t="str">
            <v>F</v>
          </cell>
          <cell r="F277">
            <v>21</v>
          </cell>
          <cell r="G277" t="str">
            <v>KRW</v>
          </cell>
          <cell r="H277" t="str">
            <v>C60</v>
          </cell>
          <cell r="I277" t="str">
            <v>성광정밀</v>
          </cell>
          <cell r="J277">
            <v>0</v>
          </cell>
        </row>
        <row r="278">
          <cell r="B278" t="str">
            <v>Q7014003501A</v>
          </cell>
          <cell r="C278" t="str">
            <v>REFLECTOR-DSC350SE</v>
          </cell>
          <cell r="D278" t="str">
            <v>F</v>
          </cell>
          <cell r="E278">
            <v>30</v>
          </cell>
          <cell r="F278">
            <v>15</v>
          </cell>
          <cell r="G278" t="str">
            <v>KRW</v>
          </cell>
          <cell r="H278" t="str">
            <v>C60</v>
          </cell>
          <cell r="I278" t="str">
            <v>진성</v>
          </cell>
          <cell r="J278">
            <v>0</v>
          </cell>
        </row>
        <row r="279">
          <cell r="B279" t="str">
            <v>Q7017025104A</v>
          </cell>
          <cell r="C279" t="str">
            <v>MODE DIAL GUIDE-IP5X</v>
          </cell>
          <cell r="D279" t="str">
            <v>F</v>
          </cell>
          <cell r="F279">
            <v>17</v>
          </cell>
          <cell r="G279" t="str">
            <v>KRW</v>
          </cell>
          <cell r="H279" t="str">
            <v>C60</v>
          </cell>
          <cell r="I279" t="str">
            <v>성광정밀</v>
          </cell>
          <cell r="J279">
            <v>0</v>
          </cell>
        </row>
        <row r="280">
          <cell r="B280" t="str">
            <v>Q7017025203A</v>
          </cell>
          <cell r="C280" t="str">
            <v>DIAL CLICK-IP5X</v>
          </cell>
          <cell r="D280" t="str">
            <v>F</v>
          </cell>
          <cell r="F280">
            <v>11</v>
          </cell>
          <cell r="G280" t="str">
            <v>KRW</v>
          </cell>
          <cell r="H280" t="str">
            <v>C60</v>
          </cell>
          <cell r="I280" t="str">
            <v>성광정밀</v>
          </cell>
          <cell r="J280">
            <v>0</v>
          </cell>
        </row>
        <row r="281">
          <cell r="B281" t="str">
            <v>Q7017030901A</v>
          </cell>
          <cell r="C281" t="str">
            <v>LOGO PLATE-3X WIDE</v>
          </cell>
          <cell r="D281" t="str">
            <v>F</v>
          </cell>
          <cell r="F281">
            <v>200</v>
          </cell>
          <cell r="G281" t="str">
            <v>KRW</v>
          </cell>
          <cell r="H281" t="str">
            <v>C60</v>
          </cell>
          <cell r="I281" t="str">
            <v>(주)에스알</v>
          </cell>
          <cell r="J281">
            <v>0</v>
          </cell>
        </row>
        <row r="282">
          <cell r="B282" t="str">
            <v>Q7017031001A</v>
          </cell>
          <cell r="C282" t="str">
            <v>LCD GUIDE PLATE-DSC350SE</v>
          </cell>
          <cell r="D282" t="str">
            <v>F</v>
          </cell>
          <cell r="F282">
            <v>10</v>
          </cell>
          <cell r="G282" t="str">
            <v>KRW</v>
          </cell>
          <cell r="H282" t="str">
            <v>C60</v>
          </cell>
          <cell r="I282" t="str">
            <v>삼기엠.티(주)</v>
          </cell>
          <cell r="J282">
            <v>0</v>
          </cell>
        </row>
        <row r="283">
          <cell r="B283" t="str">
            <v>Q7017031204B</v>
          </cell>
          <cell r="C283" t="str">
            <v>BATTERY PLATE-DSC350SE</v>
          </cell>
          <cell r="D283" t="str">
            <v>F</v>
          </cell>
          <cell r="F283">
            <v>54</v>
          </cell>
          <cell r="G283" t="str">
            <v>KRW</v>
          </cell>
          <cell r="H283" t="str">
            <v>C60</v>
          </cell>
          <cell r="I283" t="str">
            <v>성광정밀</v>
          </cell>
          <cell r="J283">
            <v>0</v>
          </cell>
        </row>
        <row r="284">
          <cell r="B284" t="str">
            <v>Q7017031301B</v>
          </cell>
          <cell r="C284" t="str">
            <v>STRAP FIX PLATE-DSC350SE</v>
          </cell>
          <cell r="D284" t="str">
            <v>F</v>
          </cell>
          <cell r="F284">
            <v>14</v>
          </cell>
          <cell r="G284" t="str">
            <v>KRW</v>
          </cell>
          <cell r="H284" t="str">
            <v>C60</v>
          </cell>
          <cell r="I284" t="str">
            <v>성광정밀</v>
          </cell>
          <cell r="J284">
            <v>0</v>
          </cell>
        </row>
        <row r="285">
          <cell r="B285" t="str">
            <v>Q7211053305A</v>
          </cell>
          <cell r="C285" t="str">
            <v>MODE CONTACT GUIDE-IP5X</v>
          </cell>
          <cell r="D285" t="str">
            <v>F</v>
          </cell>
          <cell r="F285">
            <v>23</v>
          </cell>
          <cell r="G285" t="str">
            <v>KRW</v>
          </cell>
          <cell r="H285" t="str">
            <v>C36</v>
          </cell>
          <cell r="I285" t="str">
            <v>(주)대봉정밀</v>
          </cell>
          <cell r="J285">
            <v>0</v>
          </cell>
        </row>
        <row r="286">
          <cell r="B286" t="str">
            <v>Q7211058903A</v>
          </cell>
          <cell r="C286" t="str">
            <v>BATTERY CHAMBER-DSC350SE</v>
          </cell>
          <cell r="D286" t="str">
            <v>F</v>
          </cell>
          <cell r="F286">
            <v>240</v>
          </cell>
          <cell r="G286" t="str">
            <v>KRW</v>
          </cell>
          <cell r="H286" t="str">
            <v>C28</v>
          </cell>
          <cell r="I286" t="str">
            <v>인성엔프라(주)</v>
          </cell>
          <cell r="J286">
            <v>0</v>
          </cell>
        </row>
        <row r="287">
          <cell r="B287" t="str">
            <v>Q7211059102A</v>
          </cell>
          <cell r="C287" t="str">
            <v>TRIPOD CONNECTOR-DSC350SE</v>
          </cell>
          <cell r="D287" t="str">
            <v>F</v>
          </cell>
          <cell r="F287">
            <v>23</v>
          </cell>
          <cell r="G287" t="str">
            <v>KRW</v>
          </cell>
          <cell r="H287" t="str">
            <v>C28</v>
          </cell>
          <cell r="I287" t="str">
            <v>인성엔프라(주)</v>
          </cell>
          <cell r="J287">
            <v>0</v>
          </cell>
        </row>
        <row r="288">
          <cell r="B288" t="str">
            <v>Q7214086902A</v>
          </cell>
          <cell r="C288" t="str">
            <v>FRESNEL LENS-DSC350SE</v>
          </cell>
          <cell r="D288" t="str">
            <v>F</v>
          </cell>
          <cell r="F288">
            <v>0</v>
          </cell>
          <cell r="J288">
            <v>0</v>
          </cell>
        </row>
        <row r="289">
          <cell r="B289" t="str">
            <v>Q7214087001A</v>
          </cell>
          <cell r="C289" t="str">
            <v>REFLECTOR HOLDER-DSC350SE</v>
          </cell>
          <cell r="D289" t="str">
            <v>F</v>
          </cell>
          <cell r="F289">
            <v>29</v>
          </cell>
          <cell r="G289" t="str">
            <v>KRW</v>
          </cell>
          <cell r="H289" t="str">
            <v>C28</v>
          </cell>
          <cell r="I289" t="str">
            <v>인성엔프라(주)</v>
          </cell>
          <cell r="J289">
            <v>0</v>
          </cell>
        </row>
        <row r="290">
          <cell r="B290" t="str">
            <v>Q7217162705A</v>
          </cell>
          <cell r="C290" t="str">
            <v>MODE DIAL-IP5X</v>
          </cell>
          <cell r="D290" t="str">
            <v>F</v>
          </cell>
          <cell r="F290">
            <v>0.04</v>
          </cell>
          <cell r="G290" t="str">
            <v>USD</v>
          </cell>
          <cell r="H290" t="str">
            <v>C58</v>
          </cell>
          <cell r="I290" t="str">
            <v>TSOE</v>
          </cell>
          <cell r="J290">
            <v>0</v>
          </cell>
        </row>
        <row r="291">
          <cell r="B291" t="str">
            <v>Q7217223403A</v>
          </cell>
          <cell r="C291" t="str">
            <v>FRONT COVER-DSC350SE</v>
          </cell>
          <cell r="D291" t="str">
            <v>F</v>
          </cell>
          <cell r="F291">
            <v>764</v>
          </cell>
          <cell r="G291" t="str">
            <v>KRW</v>
          </cell>
          <cell r="H291" t="str">
            <v>C28</v>
          </cell>
          <cell r="I291" t="str">
            <v>태진정밀(주)</v>
          </cell>
          <cell r="J291">
            <v>0</v>
          </cell>
        </row>
        <row r="292">
          <cell r="B292" t="str">
            <v>Q7217223505A</v>
          </cell>
          <cell r="C292" t="str">
            <v>BACK COVER-DSC350SE</v>
          </cell>
          <cell r="D292" t="str">
            <v>F</v>
          </cell>
          <cell r="F292">
            <v>782</v>
          </cell>
          <cell r="G292" t="str">
            <v>KRW</v>
          </cell>
          <cell r="H292" t="str">
            <v>C28</v>
          </cell>
          <cell r="I292" t="str">
            <v>태진정밀(주)</v>
          </cell>
          <cell r="J292">
            <v>0</v>
          </cell>
        </row>
        <row r="293">
          <cell r="B293" t="str">
            <v>Q7217223703A</v>
          </cell>
          <cell r="C293" t="str">
            <v>BATTERY COVER 1-DSC350SE</v>
          </cell>
          <cell r="D293" t="str">
            <v>F</v>
          </cell>
          <cell r="F293">
            <v>188</v>
          </cell>
          <cell r="G293" t="str">
            <v>KRW</v>
          </cell>
          <cell r="H293" t="str">
            <v>C28</v>
          </cell>
          <cell r="I293" t="str">
            <v>태진정밀(주)</v>
          </cell>
          <cell r="J293">
            <v>0</v>
          </cell>
        </row>
        <row r="294">
          <cell r="B294" t="str">
            <v>Q7217224001A</v>
          </cell>
          <cell r="C294" t="str">
            <v>EP WINDOW-DSC350SE</v>
          </cell>
          <cell r="D294" t="str">
            <v>F</v>
          </cell>
          <cell r="F294">
            <v>114</v>
          </cell>
          <cell r="G294" t="str">
            <v>KRW</v>
          </cell>
          <cell r="H294" t="str">
            <v>C28</v>
          </cell>
          <cell r="I294" t="str">
            <v>두손정밀(주)</v>
          </cell>
          <cell r="J294">
            <v>0</v>
          </cell>
        </row>
        <row r="295">
          <cell r="B295" t="str">
            <v>Q7217224101A</v>
          </cell>
          <cell r="C295" t="str">
            <v>FINDER WINDOW-DSC350SE</v>
          </cell>
          <cell r="D295" t="str">
            <v>F</v>
          </cell>
          <cell r="F295">
            <v>84</v>
          </cell>
          <cell r="G295" t="str">
            <v>KRW</v>
          </cell>
          <cell r="H295" t="str">
            <v>C28</v>
          </cell>
          <cell r="I295" t="str">
            <v>두손정밀(주)</v>
          </cell>
          <cell r="J295">
            <v>0</v>
          </cell>
        </row>
        <row r="296">
          <cell r="B296" t="str">
            <v>Q7217224202B</v>
          </cell>
          <cell r="C296" t="str">
            <v>M-DIAL LED WINDOW-DSC350SE</v>
          </cell>
          <cell r="D296" t="str">
            <v>F</v>
          </cell>
          <cell r="F296">
            <v>57</v>
          </cell>
          <cell r="G296" t="str">
            <v>KRW</v>
          </cell>
          <cell r="H296" t="str">
            <v>C28</v>
          </cell>
          <cell r="I296" t="str">
            <v>두손정밀(주)</v>
          </cell>
          <cell r="J296">
            <v>0</v>
          </cell>
        </row>
        <row r="297">
          <cell r="B297" t="str">
            <v>Q7217224303A</v>
          </cell>
          <cell r="C297" t="str">
            <v>ZOOM BUTTON-DSC350SE</v>
          </cell>
          <cell r="D297" t="str">
            <v>F</v>
          </cell>
          <cell r="F297">
            <v>0</v>
          </cell>
          <cell r="J297">
            <v>0</v>
          </cell>
        </row>
        <row r="298">
          <cell r="B298" t="str">
            <v>Q7217224402C</v>
          </cell>
          <cell r="C298" t="str">
            <v>POWER  BUTTON-DSC350SE</v>
          </cell>
          <cell r="D298" t="str">
            <v>F</v>
          </cell>
          <cell r="F298">
            <v>28</v>
          </cell>
          <cell r="G298" t="str">
            <v>KRW</v>
          </cell>
          <cell r="H298" t="str">
            <v>C28</v>
          </cell>
          <cell r="I298" t="str">
            <v>제일정공(주)</v>
          </cell>
          <cell r="J298">
            <v>0</v>
          </cell>
        </row>
        <row r="299">
          <cell r="B299" t="str">
            <v>Q7217224506B</v>
          </cell>
          <cell r="C299" t="str">
            <v>5 FUNCTION BUTTON-DSC350SE</v>
          </cell>
          <cell r="D299" t="str">
            <v>F</v>
          </cell>
          <cell r="F299">
            <v>108</v>
          </cell>
          <cell r="G299" t="str">
            <v>KRW</v>
          </cell>
          <cell r="H299" t="str">
            <v>C28</v>
          </cell>
          <cell r="I299" t="str">
            <v>태진정밀(주)</v>
          </cell>
          <cell r="J299">
            <v>0</v>
          </cell>
        </row>
        <row r="300">
          <cell r="B300" t="str">
            <v>Q7217224603C</v>
          </cell>
          <cell r="C300" t="str">
            <v>MONITOR BUTTON-DSC350SE</v>
          </cell>
          <cell r="D300" t="str">
            <v>F</v>
          </cell>
          <cell r="F300">
            <v>110</v>
          </cell>
          <cell r="G300" t="str">
            <v>KRW</v>
          </cell>
          <cell r="H300" t="str">
            <v>C28</v>
          </cell>
          <cell r="I300" t="str">
            <v>태진정밀(주)</v>
          </cell>
          <cell r="J300">
            <v>0</v>
          </cell>
        </row>
        <row r="301">
          <cell r="B301" t="str">
            <v>Q7217224703B</v>
          </cell>
          <cell r="C301" t="str">
            <v>MENU BUTTON-DSC350SE</v>
          </cell>
          <cell r="D301" t="str">
            <v>F</v>
          </cell>
          <cell r="F301">
            <v>110</v>
          </cell>
          <cell r="G301" t="str">
            <v>KRW</v>
          </cell>
          <cell r="H301" t="str">
            <v>C28</v>
          </cell>
          <cell r="I301" t="str">
            <v>태진정밀(주)</v>
          </cell>
          <cell r="J301">
            <v>0</v>
          </cell>
        </row>
        <row r="302">
          <cell r="B302" t="str">
            <v>Q7217224802A</v>
          </cell>
          <cell r="C302" t="str">
            <v>DIAL HOLDER-DSC350SE</v>
          </cell>
          <cell r="D302" t="str">
            <v>F</v>
          </cell>
          <cell r="F302">
            <v>30</v>
          </cell>
          <cell r="G302" t="str">
            <v>KRW</v>
          </cell>
          <cell r="H302" t="str">
            <v>C28</v>
          </cell>
          <cell r="I302" t="str">
            <v>인성엔프라(주)</v>
          </cell>
          <cell r="J302">
            <v>0</v>
          </cell>
        </row>
        <row r="303">
          <cell r="B303" t="str">
            <v>Q7217224902A</v>
          </cell>
          <cell r="C303" t="str">
            <v>RELEASE BUTTON-DSC350SE</v>
          </cell>
          <cell r="D303" t="str">
            <v>F</v>
          </cell>
          <cell r="F303">
            <v>133</v>
          </cell>
          <cell r="G303" t="str">
            <v>KRW</v>
          </cell>
          <cell r="H303" t="str">
            <v>C28</v>
          </cell>
          <cell r="I303" t="str">
            <v>(주)동양테크윈</v>
          </cell>
          <cell r="J303">
            <v>0</v>
          </cell>
        </row>
        <row r="304">
          <cell r="B304" t="str">
            <v>Q7217225001A</v>
          </cell>
          <cell r="C304" t="str">
            <v>MONITOR WINDOW-DSC350SE</v>
          </cell>
          <cell r="D304" t="str">
            <v>F</v>
          </cell>
          <cell r="F304">
            <v>350</v>
          </cell>
          <cell r="G304" t="str">
            <v>KRW</v>
          </cell>
          <cell r="H304" t="str">
            <v>C28</v>
          </cell>
          <cell r="I304" t="str">
            <v>두손정밀(주)</v>
          </cell>
          <cell r="J304">
            <v>0</v>
          </cell>
        </row>
        <row r="305">
          <cell r="B305" t="str">
            <v>Q7217247301A</v>
          </cell>
          <cell r="C305" t="str">
            <v>B GRIP COVER-DSC350SE_GRAY</v>
          </cell>
          <cell r="D305" t="str">
            <v>F</v>
          </cell>
          <cell r="F305">
            <v>342</v>
          </cell>
          <cell r="G305" t="str">
            <v>KRW</v>
          </cell>
          <cell r="H305" t="str">
            <v>C28</v>
          </cell>
          <cell r="I305" t="str">
            <v>태진정밀(주)</v>
          </cell>
          <cell r="J305">
            <v>0</v>
          </cell>
        </row>
        <row r="306">
          <cell r="B306" t="str">
            <v>Q7217247401A</v>
          </cell>
          <cell r="C306" t="str">
            <v>INNER FRONT COVER-DSC350SE_GRAY</v>
          </cell>
          <cell r="D306" t="str">
            <v>F</v>
          </cell>
          <cell r="F306">
            <v>619</v>
          </cell>
          <cell r="G306" t="str">
            <v>KRW</v>
          </cell>
          <cell r="H306" t="str">
            <v>C28</v>
          </cell>
          <cell r="I306" t="str">
            <v>태진정밀(주)</v>
          </cell>
          <cell r="J306">
            <v>0</v>
          </cell>
        </row>
        <row r="307">
          <cell r="B307" t="str">
            <v>Q7217247601A</v>
          </cell>
          <cell r="C307" t="str">
            <v>BATTERY COVER 2-DSC350SE_GRAY</v>
          </cell>
          <cell r="D307" t="str">
            <v>F</v>
          </cell>
          <cell r="F307">
            <v>164</v>
          </cell>
          <cell r="G307" t="str">
            <v>KRW</v>
          </cell>
          <cell r="H307" t="str">
            <v>C28</v>
          </cell>
          <cell r="I307" t="str">
            <v>태진정밀(주)</v>
          </cell>
          <cell r="J307">
            <v>0</v>
          </cell>
        </row>
        <row r="308">
          <cell r="B308" t="str">
            <v>Q7309033601A</v>
          </cell>
          <cell r="C308" t="str">
            <v>EP RUBBER-DSC350SE</v>
          </cell>
          <cell r="D308" t="str">
            <v>F</v>
          </cell>
          <cell r="F308">
            <v>100</v>
          </cell>
          <cell r="G308" t="str">
            <v>KRW</v>
          </cell>
          <cell r="I308" t="str">
            <v>두창화학</v>
          </cell>
          <cell r="J308">
            <v>0</v>
          </cell>
        </row>
        <row r="309">
          <cell r="B309" t="str">
            <v>Q7309033701A</v>
          </cell>
          <cell r="C309" t="str">
            <v>JACK DOOR-DSC350SE</v>
          </cell>
          <cell r="D309" t="str">
            <v>F</v>
          </cell>
          <cell r="F309">
            <v>93</v>
          </cell>
          <cell r="G309" t="str">
            <v>KRW</v>
          </cell>
          <cell r="I309" t="str">
            <v>두창화학</v>
          </cell>
          <cell r="J309">
            <v>0</v>
          </cell>
        </row>
        <row r="310">
          <cell r="B310" t="str">
            <v>Q7309033801A</v>
          </cell>
          <cell r="C310" t="str">
            <v>OLPF CUSHION-DSC350SE</v>
          </cell>
          <cell r="D310" t="str">
            <v>F</v>
          </cell>
          <cell r="F310">
            <v>45</v>
          </cell>
          <cell r="G310" t="str">
            <v>KRW</v>
          </cell>
          <cell r="I310" t="str">
            <v>두창화학</v>
          </cell>
          <cell r="J310">
            <v>0</v>
          </cell>
        </row>
        <row r="311">
          <cell r="B311" t="str">
            <v>Q7309033901A</v>
          </cell>
          <cell r="C311" t="str">
            <v>PRESSURE RUBBER-DSC350SE</v>
          </cell>
          <cell r="D311" t="str">
            <v>F</v>
          </cell>
          <cell r="F311">
            <v>25</v>
          </cell>
          <cell r="G311" t="str">
            <v>KRW</v>
          </cell>
          <cell r="I311" t="str">
            <v>두창화학</v>
          </cell>
          <cell r="J311">
            <v>0</v>
          </cell>
        </row>
        <row r="312">
          <cell r="B312" t="str">
            <v>Q7309034001A</v>
          </cell>
          <cell r="C312" t="str">
            <v>XE-TUBE BEND-DSC350SE</v>
          </cell>
          <cell r="D312" t="str">
            <v>F</v>
          </cell>
          <cell r="F312">
            <v>30</v>
          </cell>
          <cell r="G312" t="str">
            <v>KRW</v>
          </cell>
          <cell r="I312" t="str">
            <v>두창화학</v>
          </cell>
          <cell r="J312">
            <v>0</v>
          </cell>
        </row>
        <row r="313">
          <cell r="B313" t="str">
            <v>Q7309035601A</v>
          </cell>
          <cell r="C313" t="str">
            <v>MIC CAP-DSC350SE</v>
          </cell>
          <cell r="D313" t="str">
            <v>F</v>
          </cell>
          <cell r="F313">
            <v>70</v>
          </cell>
          <cell r="G313" t="str">
            <v>KRW</v>
          </cell>
          <cell r="I313" t="str">
            <v>두창화학</v>
          </cell>
          <cell r="J313">
            <v>0</v>
          </cell>
        </row>
        <row r="314">
          <cell r="B314" t="str">
            <v>Q7309035701A</v>
          </cell>
          <cell r="C314" t="str">
            <v>SPEAKER RUBBER-DSC350SE</v>
          </cell>
          <cell r="D314" t="str">
            <v>F</v>
          </cell>
          <cell r="F314">
            <v>50</v>
          </cell>
          <cell r="G314" t="str">
            <v>KRW</v>
          </cell>
          <cell r="I314" t="str">
            <v>두창화학</v>
          </cell>
          <cell r="J314">
            <v>0</v>
          </cell>
        </row>
        <row r="315">
          <cell r="B315" t="str">
            <v>Q7409001301A</v>
          </cell>
          <cell r="C315" t="str">
            <v>SHIELD-D[K40 FOAM 4X-SLIM]</v>
          </cell>
          <cell r="D315" t="str">
            <v>F</v>
          </cell>
          <cell r="F315">
            <v>4</v>
          </cell>
          <cell r="G315" t="str">
            <v>KRW</v>
          </cell>
          <cell r="H315" t="str">
            <v>C57</v>
          </cell>
          <cell r="I315" t="str">
            <v>대산산업</v>
          </cell>
          <cell r="J315">
            <v>0</v>
          </cell>
        </row>
        <row r="316">
          <cell r="B316" t="str">
            <v>Q7409044001A</v>
          </cell>
          <cell r="C316" t="str">
            <v>TAPE-F[절연 TAPE(T=0.1)]</v>
          </cell>
          <cell r="D316" t="str">
            <v>F</v>
          </cell>
          <cell r="F316">
            <v>4</v>
          </cell>
          <cell r="G316" t="str">
            <v>KRW</v>
          </cell>
          <cell r="H316" t="str">
            <v>C57</v>
          </cell>
          <cell r="I316" t="str">
            <v>석일산업</v>
          </cell>
          <cell r="J316">
            <v>0</v>
          </cell>
        </row>
        <row r="317">
          <cell r="B317" t="str">
            <v>Q7409078901A</v>
          </cell>
          <cell r="C317" t="str">
            <v>REAR SHEET TAPE</v>
          </cell>
          <cell r="D317" t="str">
            <v>F</v>
          </cell>
          <cell r="F317">
            <v>4</v>
          </cell>
          <cell r="G317" t="str">
            <v>KRW</v>
          </cell>
          <cell r="H317" t="str">
            <v>C57</v>
          </cell>
          <cell r="I317" t="str">
            <v>제일산업</v>
          </cell>
          <cell r="J317">
            <v>0</v>
          </cell>
        </row>
        <row r="318">
          <cell r="B318" t="str">
            <v>Q7409100101A</v>
          </cell>
          <cell r="C318" t="str">
            <v>F TAPE A-IP5X</v>
          </cell>
          <cell r="D318" t="str">
            <v>F</v>
          </cell>
          <cell r="F318">
            <v>2</v>
          </cell>
          <cell r="G318" t="str">
            <v>KRW</v>
          </cell>
          <cell r="H318" t="str">
            <v>C57</v>
          </cell>
          <cell r="I318" t="str">
            <v>석일산업</v>
          </cell>
          <cell r="J318">
            <v>0</v>
          </cell>
        </row>
        <row r="319">
          <cell r="B319" t="str">
            <v>Q7409111601A</v>
          </cell>
          <cell r="C319" t="str">
            <v>RELEASE WASHER-QS4XN</v>
          </cell>
          <cell r="D319" t="str">
            <v>F</v>
          </cell>
          <cell r="F319">
            <v>4</v>
          </cell>
          <cell r="G319" t="str">
            <v>KRW</v>
          </cell>
          <cell r="H319" t="str">
            <v>C60</v>
          </cell>
          <cell r="I319" t="str">
            <v>한국유니온정공</v>
          </cell>
          <cell r="J319">
            <v>0</v>
          </cell>
        </row>
        <row r="320">
          <cell r="B320" t="str">
            <v>Q7409113501A</v>
          </cell>
          <cell r="C320" t="str">
            <v>PRESSURE SPONGE-DSC350SE</v>
          </cell>
          <cell r="D320" t="str">
            <v>F</v>
          </cell>
          <cell r="F320">
            <v>5</v>
          </cell>
          <cell r="G320" t="str">
            <v>KRW</v>
          </cell>
          <cell r="H320" t="str">
            <v>C57</v>
          </cell>
          <cell r="I320" t="str">
            <v>대산산업</v>
          </cell>
          <cell r="J320">
            <v>0</v>
          </cell>
        </row>
        <row r="321">
          <cell r="B321" t="str">
            <v>Q7409113601A</v>
          </cell>
          <cell r="C321" t="str">
            <v>FCC MARK STICKER_DSC_350SE</v>
          </cell>
          <cell r="D321" t="str">
            <v>F</v>
          </cell>
          <cell r="F321">
            <v>16</v>
          </cell>
          <cell r="G321" t="str">
            <v>KRW</v>
          </cell>
          <cell r="H321" t="str">
            <v>C57</v>
          </cell>
          <cell r="I321" t="str">
            <v>석일산업</v>
          </cell>
          <cell r="J321">
            <v>0</v>
          </cell>
        </row>
        <row r="322">
          <cell r="B322" t="str">
            <v>Q7409114801A</v>
          </cell>
          <cell r="C322" t="str">
            <v>MONITOR CUSHION-DSC350SE</v>
          </cell>
          <cell r="D322" t="str">
            <v>F</v>
          </cell>
          <cell r="F322">
            <v>78</v>
          </cell>
          <cell r="G322" t="str">
            <v>KRW</v>
          </cell>
          <cell r="H322" t="str">
            <v>C57</v>
          </cell>
          <cell r="I322" t="str">
            <v>대산산업</v>
          </cell>
          <cell r="J322">
            <v>0</v>
          </cell>
        </row>
        <row r="323">
          <cell r="B323" t="str">
            <v>Q7409115002A</v>
          </cell>
          <cell r="C323" t="str">
            <v>BARREL CUTION-DSC350SE</v>
          </cell>
          <cell r="D323" t="str">
            <v>F</v>
          </cell>
          <cell r="F323">
            <v>98</v>
          </cell>
          <cell r="G323" t="str">
            <v>KRW</v>
          </cell>
          <cell r="H323" t="str">
            <v>C57</v>
          </cell>
          <cell r="I323" t="str">
            <v>대산산업</v>
          </cell>
          <cell r="J323">
            <v>0</v>
          </cell>
        </row>
        <row r="324">
          <cell r="B324" t="str">
            <v>Q7409119401A</v>
          </cell>
          <cell r="C324" t="str">
            <v>SHIELD PLATE-DSC350SE</v>
          </cell>
          <cell r="D324" t="str">
            <v>F</v>
          </cell>
          <cell r="F324">
            <v>7</v>
          </cell>
          <cell r="G324" t="str">
            <v>KRW</v>
          </cell>
          <cell r="H324" t="str">
            <v>C57</v>
          </cell>
          <cell r="I324" t="str">
            <v>대산산업</v>
          </cell>
          <cell r="J324">
            <v>0</v>
          </cell>
        </row>
        <row r="325">
          <cell r="B325" t="str">
            <v>Q7409120101A</v>
          </cell>
          <cell r="C325" t="str">
            <v>LCD PCB TAPE-DSC350SE</v>
          </cell>
          <cell r="D325" t="str">
            <v>F</v>
          </cell>
          <cell r="F325">
            <v>47</v>
          </cell>
          <cell r="G325" t="str">
            <v>KRW</v>
          </cell>
          <cell r="H325" t="str">
            <v>C57</v>
          </cell>
          <cell r="I325" t="str">
            <v>석일산업</v>
          </cell>
          <cell r="J325">
            <v>0</v>
          </cell>
        </row>
        <row r="326">
          <cell r="B326" t="str">
            <v>Q7409121102B</v>
          </cell>
          <cell r="C326" t="str">
            <v>F RUBBER TAPE-DSC350SE</v>
          </cell>
          <cell r="D326" t="str">
            <v>F</v>
          </cell>
          <cell r="F326">
            <v>35</v>
          </cell>
          <cell r="G326" t="str">
            <v>KRW</v>
          </cell>
          <cell r="H326" t="str">
            <v>C57</v>
          </cell>
          <cell r="I326" t="str">
            <v>석일산업</v>
          </cell>
          <cell r="J326">
            <v>0</v>
          </cell>
        </row>
        <row r="327">
          <cell r="B327" t="str">
            <v>Q7409121701A</v>
          </cell>
          <cell r="C327" t="str">
            <v>STRAP_DIGIMAX_350SE_WRIST</v>
          </cell>
          <cell r="D327" t="str">
            <v>F</v>
          </cell>
          <cell r="F327">
            <v>180</v>
          </cell>
          <cell r="G327" t="str">
            <v>KRW</v>
          </cell>
          <cell r="H327" t="str">
            <v>C65</v>
          </cell>
          <cell r="I327" t="str">
            <v>한림엔터프라이즈</v>
          </cell>
          <cell r="J327">
            <v>0</v>
          </cell>
        </row>
        <row r="328">
          <cell r="B328" t="str">
            <v>Q7411082502B</v>
          </cell>
          <cell r="C328" t="str">
            <v>BATTERY HINGE AXIS-DSC350SE</v>
          </cell>
          <cell r="D328" t="str">
            <v>F</v>
          </cell>
          <cell r="F328">
            <v>13</v>
          </cell>
          <cell r="G328" t="str">
            <v>KRW</v>
          </cell>
          <cell r="H328" t="str">
            <v>C20</v>
          </cell>
          <cell r="I328" t="str">
            <v>삼현(주)</v>
          </cell>
          <cell r="J328">
            <v>0</v>
          </cell>
        </row>
        <row r="329">
          <cell r="B329" t="str">
            <v>Q7411082602B</v>
          </cell>
          <cell r="C329" t="str">
            <v>STRAP LINK-DSC350SE</v>
          </cell>
          <cell r="D329" t="str">
            <v>F</v>
          </cell>
          <cell r="F329">
            <v>0</v>
          </cell>
          <cell r="H329" t="str">
            <v>C20</v>
          </cell>
          <cell r="J329">
            <v>0</v>
          </cell>
        </row>
        <row r="330">
          <cell r="B330" t="str">
            <v>Q7411085001A</v>
          </cell>
          <cell r="C330" t="str">
            <v>MODE DIAL CAP-DSC350SE</v>
          </cell>
          <cell r="D330" t="str">
            <v>F</v>
          </cell>
          <cell r="F330">
            <v>910</v>
          </cell>
          <cell r="G330" t="str">
            <v>KRW</v>
          </cell>
          <cell r="H330" t="str">
            <v>C60</v>
          </cell>
          <cell r="I330" t="str">
            <v>(주)성광사</v>
          </cell>
          <cell r="J330">
            <v>0</v>
          </cell>
        </row>
        <row r="331">
          <cell r="B331" t="str">
            <v>Q9001088301A</v>
          </cell>
          <cell r="C331" t="str">
            <v>BODY ASSY 1-DSC350SE</v>
          </cell>
          <cell r="D331" t="str">
            <v>E</v>
          </cell>
          <cell r="E331">
            <v>50</v>
          </cell>
          <cell r="F331">
            <v>0</v>
          </cell>
          <cell r="J331">
            <v>0</v>
          </cell>
        </row>
        <row r="332">
          <cell r="B332" t="str">
            <v>Q9001088401A</v>
          </cell>
          <cell r="C332" t="str">
            <v>BODY ASSY 2-DSC350SE</v>
          </cell>
          <cell r="D332" t="str">
            <v>F</v>
          </cell>
          <cell r="E332">
            <v>30</v>
          </cell>
          <cell r="F332">
            <v>2750</v>
          </cell>
          <cell r="G332" t="str">
            <v>KRW</v>
          </cell>
          <cell r="I332" t="str">
            <v>대호전자</v>
          </cell>
          <cell r="J332">
            <v>0</v>
          </cell>
        </row>
        <row r="333">
          <cell r="B333" t="str">
            <v>Q9002106001A</v>
          </cell>
          <cell r="C333" t="str">
            <v>3M3X BARREL ASSY-DSC350SE</v>
          </cell>
          <cell r="D333" t="str">
            <v>F</v>
          </cell>
          <cell r="E333">
            <v>40</v>
          </cell>
          <cell r="F333">
            <v>0</v>
          </cell>
          <cell r="H333" t="str">
            <v>C71</v>
          </cell>
          <cell r="J333">
            <v>0</v>
          </cell>
        </row>
        <row r="334">
          <cell r="B334" t="str">
            <v>Q9007177001A</v>
          </cell>
          <cell r="C334" t="str">
            <v>FRONT COVER ASSY-DSC350SE_GRAY</v>
          </cell>
          <cell r="D334" t="str">
            <v>F</v>
          </cell>
          <cell r="E334">
            <v>30</v>
          </cell>
          <cell r="F334">
            <v>422</v>
          </cell>
          <cell r="G334" t="str">
            <v>KRW</v>
          </cell>
          <cell r="I334" t="str">
            <v>대호전자</v>
          </cell>
          <cell r="J334">
            <v>0</v>
          </cell>
        </row>
        <row r="335">
          <cell r="B335" t="str">
            <v>Q9007177101A</v>
          </cell>
          <cell r="C335" t="str">
            <v>BACK COVER ASSY-DSC350SE_GRAY</v>
          </cell>
          <cell r="D335" t="str">
            <v>F</v>
          </cell>
          <cell r="F335">
            <v>37705</v>
          </cell>
          <cell r="G335" t="str">
            <v>KRW</v>
          </cell>
          <cell r="H335" t="str">
            <v>C22</v>
          </cell>
          <cell r="I335" t="str">
            <v>(주)유니온</v>
          </cell>
          <cell r="J335">
            <v>0</v>
          </cell>
        </row>
        <row r="336">
          <cell r="B336" t="str">
            <v>Q9007177201A</v>
          </cell>
          <cell r="C336" t="str">
            <v>BATTERY COVER ASSY-DSC350SE_GRAY</v>
          </cell>
          <cell r="D336" t="str">
            <v>E</v>
          </cell>
          <cell r="E336">
            <v>50</v>
          </cell>
          <cell r="F336">
            <v>0</v>
          </cell>
          <cell r="J336">
            <v>0</v>
          </cell>
        </row>
        <row r="337">
          <cell r="B337" t="str">
            <v>Q9008048401A</v>
          </cell>
          <cell r="C337" t="str">
            <v>MAIN CONDENSER ASSY-DSC350SE</v>
          </cell>
          <cell r="D337" t="str">
            <v>E</v>
          </cell>
          <cell r="E337">
            <v>50</v>
          </cell>
          <cell r="F337">
            <v>0</v>
          </cell>
          <cell r="H337" t="str">
            <v>C71</v>
          </cell>
          <cell r="J337">
            <v>0</v>
          </cell>
        </row>
        <row r="338">
          <cell r="B338" t="str">
            <v>Q9008048501A</v>
          </cell>
          <cell r="C338" t="str">
            <v>CCD FPCB ASSY-DSC350SE</v>
          </cell>
          <cell r="D338" t="str">
            <v>F</v>
          </cell>
          <cell r="F338">
            <v>34840</v>
          </cell>
          <cell r="G338" t="str">
            <v>KRW</v>
          </cell>
          <cell r="H338" t="str">
            <v>C71</v>
          </cell>
          <cell r="I338" t="str">
            <v>(주)유니온</v>
          </cell>
          <cell r="J338">
            <v>0</v>
          </cell>
        </row>
        <row r="339">
          <cell r="B339" t="str">
            <v>Q9008048601A</v>
          </cell>
          <cell r="C339" t="str">
            <v>POWER PCB ASSY-DSC350SE</v>
          </cell>
          <cell r="D339" t="str">
            <v>F</v>
          </cell>
          <cell r="F339">
            <v>24029</v>
          </cell>
          <cell r="G339" t="str">
            <v>KRW</v>
          </cell>
          <cell r="I339" t="str">
            <v>(주)유니온</v>
          </cell>
          <cell r="J339">
            <v>0</v>
          </cell>
        </row>
        <row r="340">
          <cell r="B340" t="str">
            <v>Q9008048701A</v>
          </cell>
          <cell r="C340" t="str">
            <v>POWER PCB ASSY_SMD-DSC350SE</v>
          </cell>
          <cell r="D340" t="str">
            <v>X</v>
          </cell>
          <cell r="F340">
            <v>0</v>
          </cell>
          <cell r="J340">
            <v>0</v>
          </cell>
        </row>
        <row r="341">
          <cell r="B341" t="str">
            <v>Q9008048801A</v>
          </cell>
          <cell r="C341" t="str">
            <v>MAIN PCB ASSY-DSC350SE</v>
          </cell>
          <cell r="D341" t="str">
            <v>F</v>
          </cell>
          <cell r="F341">
            <v>75785</v>
          </cell>
          <cell r="G341" t="str">
            <v>KRW</v>
          </cell>
          <cell r="I341" t="str">
            <v>서일전자공업(주)</v>
          </cell>
          <cell r="J341">
            <v>0</v>
          </cell>
        </row>
        <row r="342">
          <cell r="B342" t="str">
            <v>Q9008048901A</v>
          </cell>
          <cell r="C342" t="str">
            <v>MAIN PCB ASSY_SMD-DSC350SE</v>
          </cell>
          <cell r="D342" t="str">
            <v>X</v>
          </cell>
          <cell r="F342">
            <v>0</v>
          </cell>
          <cell r="J342">
            <v>0</v>
          </cell>
        </row>
        <row r="343">
          <cell r="B343" t="str">
            <v>Q9008049001A</v>
          </cell>
          <cell r="C343" t="str">
            <v>STROBO PCB ASSY-DSC350SE</v>
          </cell>
          <cell r="D343" t="str">
            <v>F</v>
          </cell>
          <cell r="F343">
            <v>5756</v>
          </cell>
          <cell r="G343" t="str">
            <v>KRW</v>
          </cell>
          <cell r="I343" t="str">
            <v>(주)유니온</v>
          </cell>
          <cell r="J343">
            <v>0</v>
          </cell>
        </row>
        <row r="344">
          <cell r="B344" t="str">
            <v>Q9008049101A</v>
          </cell>
          <cell r="C344" t="str">
            <v>STROBO PCB ASSY_SMD-DSC350SE</v>
          </cell>
          <cell r="D344" t="str">
            <v>X</v>
          </cell>
          <cell r="F344">
            <v>0</v>
          </cell>
          <cell r="J344">
            <v>0</v>
          </cell>
        </row>
        <row r="345">
          <cell r="B345" t="str">
            <v>Q9008049201A</v>
          </cell>
          <cell r="C345" t="str">
            <v>REFLECTOR ASSY-DSC350SE</v>
          </cell>
          <cell r="D345" t="str">
            <v>X</v>
          </cell>
          <cell r="F345">
            <v>0</v>
          </cell>
          <cell r="J345">
            <v>0</v>
          </cell>
        </row>
        <row r="346">
          <cell r="B346" t="str">
            <v>Q9008049301A</v>
          </cell>
          <cell r="C346" t="str">
            <v>DIAL FPCB ASSY-DSC350SE</v>
          </cell>
          <cell r="D346" t="str">
            <v>E</v>
          </cell>
          <cell r="E346">
            <v>50</v>
          </cell>
          <cell r="F346">
            <v>0</v>
          </cell>
          <cell r="H346" t="str">
            <v>C71</v>
          </cell>
          <cell r="J346">
            <v>0</v>
          </cell>
        </row>
        <row r="347">
          <cell r="B347" t="str">
            <v>Q9008049401A</v>
          </cell>
          <cell r="C347" t="str">
            <v>MODE CONTACT ASSY-DSC350SE</v>
          </cell>
          <cell r="D347" t="str">
            <v>E</v>
          </cell>
          <cell r="E347">
            <v>50</v>
          </cell>
          <cell r="F347">
            <v>0</v>
          </cell>
          <cell r="H347" t="str">
            <v>C71</v>
          </cell>
          <cell r="J347">
            <v>0</v>
          </cell>
        </row>
        <row r="348">
          <cell r="B348" t="str">
            <v>Q9008049501A</v>
          </cell>
          <cell r="C348" t="str">
            <v>LED PCB ASSY-DSC350SE</v>
          </cell>
          <cell r="D348" t="str">
            <v>E</v>
          </cell>
          <cell r="E348">
            <v>50</v>
          </cell>
          <cell r="F348">
            <v>0</v>
          </cell>
          <cell r="H348" t="str">
            <v>C71</v>
          </cell>
          <cell r="J348">
            <v>0</v>
          </cell>
        </row>
        <row r="349">
          <cell r="B349" t="str">
            <v>Q9008049601A</v>
          </cell>
          <cell r="C349" t="str">
            <v>LCD PCB ASSY-DSC350SE</v>
          </cell>
          <cell r="D349" t="str">
            <v>X</v>
          </cell>
          <cell r="F349">
            <v>0</v>
          </cell>
          <cell r="J349">
            <v>0</v>
          </cell>
        </row>
        <row r="350">
          <cell r="B350" t="str">
            <v>Q9008050701A</v>
          </cell>
          <cell r="C350" t="str">
            <v>CCD FPCB ASSY_SMD-DSC350SE</v>
          </cell>
          <cell r="D350" t="str">
            <v>X</v>
          </cell>
          <cell r="F350">
            <v>0</v>
          </cell>
          <cell r="J350">
            <v>0</v>
          </cell>
        </row>
        <row r="351">
          <cell r="B351" t="str">
            <v>Q9008050801A</v>
          </cell>
          <cell r="C351" t="str">
            <v>LCD PCB ASSY_SMD-DSC350SE</v>
          </cell>
          <cell r="D351" t="str">
            <v>X</v>
          </cell>
          <cell r="F351">
            <v>0</v>
          </cell>
          <cell r="J351">
            <v>0</v>
          </cell>
        </row>
        <row r="352">
          <cell r="B352" t="str">
            <v>Q9010044201A</v>
          </cell>
          <cell r="C352" t="str">
            <v>USB CABLE ASSY-DSC210</v>
          </cell>
          <cell r="D352" t="str">
            <v>E</v>
          </cell>
          <cell r="E352">
            <v>50</v>
          </cell>
          <cell r="F352">
            <v>0</v>
          </cell>
          <cell r="J352">
            <v>0</v>
          </cell>
        </row>
        <row r="353">
          <cell r="B353" t="str">
            <v>Q9363150471</v>
          </cell>
          <cell r="C353" t="str">
            <v>CHIP TRANSISTOR[KTA 1504S.ASY(KEC)]</v>
          </cell>
          <cell r="D353" t="str">
            <v>F</v>
          </cell>
          <cell r="F353">
            <v>28</v>
          </cell>
          <cell r="G353" t="str">
            <v>KRW</v>
          </cell>
          <cell r="H353" t="str">
            <v>C53</v>
          </cell>
          <cell r="I353" t="str">
            <v>(주)유니온</v>
          </cell>
          <cell r="J353">
            <v>0</v>
          </cell>
        </row>
        <row r="354">
          <cell r="B354" t="str">
            <v>Q9761173007</v>
          </cell>
          <cell r="C354" t="str">
            <v>SCREW</v>
          </cell>
          <cell r="D354" t="str">
            <v>F</v>
          </cell>
          <cell r="F354">
            <v>2</v>
          </cell>
          <cell r="G354" t="str">
            <v>KRW</v>
          </cell>
          <cell r="H354" t="str">
            <v>C80</v>
          </cell>
          <cell r="I354" t="str">
            <v>한국유니온정공</v>
          </cell>
          <cell r="J354">
            <v>0</v>
          </cell>
        </row>
        <row r="355">
          <cell r="B355" t="str">
            <v>Q9761173501</v>
          </cell>
          <cell r="C355" t="str">
            <v>SCREW</v>
          </cell>
          <cell r="D355" t="str">
            <v>F</v>
          </cell>
          <cell r="F355">
            <v>2</v>
          </cell>
          <cell r="G355" t="str">
            <v>KRW</v>
          </cell>
          <cell r="H355" t="str">
            <v>C80</v>
          </cell>
          <cell r="I355" t="str">
            <v>한국유니온정공</v>
          </cell>
          <cell r="J355">
            <v>0</v>
          </cell>
        </row>
        <row r="356">
          <cell r="B356" t="str">
            <v>Q9761174001</v>
          </cell>
          <cell r="C356" t="str">
            <v>SCREW</v>
          </cell>
          <cell r="D356" t="str">
            <v>F</v>
          </cell>
          <cell r="F356">
            <v>2</v>
          </cell>
          <cell r="G356" t="str">
            <v>KRW</v>
          </cell>
          <cell r="H356" t="str">
            <v>C80</v>
          </cell>
          <cell r="I356" t="str">
            <v>한국유니온정공</v>
          </cell>
          <cell r="J356">
            <v>0</v>
          </cell>
        </row>
        <row r="357">
          <cell r="B357" t="str">
            <v>Q9761174007</v>
          </cell>
          <cell r="C357" t="str">
            <v>SCREW</v>
          </cell>
          <cell r="D357" t="str">
            <v>F</v>
          </cell>
          <cell r="F357">
            <v>2</v>
          </cell>
          <cell r="G357" t="str">
            <v>KRW</v>
          </cell>
          <cell r="H357" t="str">
            <v>C80</v>
          </cell>
          <cell r="I357" t="str">
            <v>케이엠에스티(주)</v>
          </cell>
          <cell r="J357">
            <v>0</v>
          </cell>
        </row>
        <row r="358">
          <cell r="B358" t="str">
            <v>Q9765143012</v>
          </cell>
          <cell r="C358" t="str">
            <v>SCREW</v>
          </cell>
          <cell r="D358" t="str">
            <v>F</v>
          </cell>
          <cell r="F358">
            <v>4</v>
          </cell>
          <cell r="G358" t="str">
            <v>KRW</v>
          </cell>
          <cell r="H358" t="str">
            <v>C80</v>
          </cell>
          <cell r="I358" t="str">
            <v>케이엠에스티(주)</v>
          </cell>
          <cell r="J358">
            <v>0</v>
          </cell>
        </row>
        <row r="359">
          <cell r="B359" t="str">
            <v>QP950250403L</v>
          </cell>
          <cell r="C359" t="str">
            <v>WARRANTY CARD_2001.07</v>
          </cell>
          <cell r="D359" t="str">
            <v>F</v>
          </cell>
          <cell r="F359">
            <v>41</v>
          </cell>
          <cell r="G359" t="str">
            <v>KRW</v>
          </cell>
          <cell r="H359" t="str">
            <v>C65</v>
          </cell>
          <cell r="I359" t="str">
            <v>삼영인쇄(주)</v>
          </cell>
          <cell r="J359">
            <v>0</v>
          </cell>
        </row>
        <row r="360">
          <cell r="B360" t="str">
            <v>QP960210101A</v>
          </cell>
          <cell r="C360" t="str">
            <v>P.E BAG(S/ZOOM용)</v>
          </cell>
          <cell r="D360" t="str">
            <v>F</v>
          </cell>
          <cell r="F360">
            <v>5</v>
          </cell>
          <cell r="G360" t="str">
            <v>KRW</v>
          </cell>
          <cell r="H360" t="str">
            <v>C65</v>
          </cell>
          <cell r="I360" t="str">
            <v>대림비닐공업사</v>
          </cell>
          <cell r="J360">
            <v>0</v>
          </cell>
        </row>
        <row r="361">
          <cell r="B361" t="str">
            <v>QSPALANOD3050</v>
          </cell>
          <cell r="C361" t="str">
            <v>ALUMINIUM</v>
          </cell>
          <cell r="D361" t="str">
            <v>F</v>
          </cell>
          <cell r="F361">
            <v>35.299999999999997</v>
          </cell>
          <cell r="G361" t="str">
            <v>DEM</v>
          </cell>
          <cell r="H361" t="str">
            <v>C90</v>
          </cell>
          <cell r="I361" t="str">
            <v>ALANOD ALUMINIUM</v>
          </cell>
          <cell r="J361">
            <v>0</v>
          </cell>
        </row>
        <row r="362">
          <cell r="B362" t="str">
            <v>QSPC52UEB1527</v>
          </cell>
          <cell r="C362" t="str">
            <v>PHOSPHOR BRONZE</v>
          </cell>
          <cell r="D362" t="str">
            <v>F</v>
          </cell>
          <cell r="F362">
            <v>35000</v>
          </cell>
          <cell r="G362" t="str">
            <v>KRW</v>
          </cell>
          <cell r="H362" t="str">
            <v>C60</v>
          </cell>
          <cell r="I362" t="str">
            <v>성광금속</v>
          </cell>
          <cell r="J362">
            <v>0</v>
          </cell>
        </row>
        <row r="363">
          <cell r="B363" t="str">
            <v>QSPG400XX4710</v>
          </cell>
          <cell r="C363" t="str">
            <v>POLYURETHANE SHEET</v>
          </cell>
          <cell r="D363" t="str">
            <v>F</v>
          </cell>
          <cell r="F363">
            <v>582</v>
          </cell>
          <cell r="G363" t="str">
            <v>JPY</v>
          </cell>
          <cell r="H363" t="str">
            <v>C64</v>
          </cell>
          <cell r="I363" t="str">
            <v>KANEKO METAL CO.</v>
          </cell>
          <cell r="J363">
            <v>0</v>
          </cell>
        </row>
      </sheetData>
      <sheetData sheetId="6"/>
      <sheetData sheetId="7" refreshError="1"/>
      <sheetData sheetId="8" refreshError="1"/>
      <sheetData sheetId="9" refreshError="1"/>
      <sheetData sheetId="10" refreshError="1"/>
      <sheetData sheetId="11" refreshError="1"/>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기본데이타"/>
    </sheetNames>
    <sheetDataSet>
      <sheetData sheetId="0" refreshError="1">
        <row r="5">
          <cell r="C5" t="str">
            <v>(주)가나다건설</v>
          </cell>
        </row>
        <row r="6">
          <cell r="C6" t="str">
            <v>홍길동</v>
          </cell>
        </row>
        <row r="8">
          <cell r="C8" t="str">
            <v>서울 서초구 서초동 123-456</v>
          </cell>
        </row>
        <row r="9">
          <cell r="C9" t="str">
            <v>전기 345-456</v>
          </cell>
        </row>
        <row r="12">
          <cell r="C12" t="str">
            <v>1996년 4월 1일</v>
          </cell>
        </row>
      </sheetData>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기본데이타"/>
    </sheetNames>
    <sheetDataSet>
      <sheetData sheetId="0" refreshError="1">
        <row r="5">
          <cell r="C5" t="str">
            <v>(주)가나다건설</v>
          </cell>
        </row>
        <row r="6">
          <cell r="C6" t="str">
            <v>홍길동</v>
          </cell>
        </row>
        <row r="8">
          <cell r="C8" t="str">
            <v>서울 서초구 서초동 123-456</v>
          </cell>
        </row>
        <row r="9">
          <cell r="C9" t="str">
            <v>전기 345-456</v>
          </cell>
        </row>
        <row r="12">
          <cell r="C12" t="str">
            <v>1996년 4월 1일</v>
          </cell>
        </row>
      </sheetData>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매출이익(실적)"/>
      <sheetName val="매출이익(경영대비)"/>
      <sheetName val="판매관리비"/>
      <sheetName val="지급이자 (인센티브)"/>
      <sheetName val="지급이자"/>
      <sheetName val="자금수지(실적)"/>
      <sheetName val="자금수지(실적-광학기기)"/>
      <sheetName val="이연상각"/>
      <sheetName val="이연상각 (2)"/>
      <sheetName val="자산증가"/>
      <sheetName val="VXXXXX"/>
      <sheetName val="개발비요약"/>
      <sheetName val="인력계획"/>
      <sheetName val="계정별 총계"/>
      <sheetName val="DSC공통경비"/>
      <sheetName val="기종계"/>
      <sheetName val="D1"/>
      <sheetName val="D2"/>
      <sheetName val="UC1"/>
      <sheetName val="UC2"/>
      <sheetName val="G1"/>
      <sheetName val="G2"/>
      <sheetName val="H1"/>
      <sheetName val="OEM"/>
      <sheetName val="요소기술"/>
      <sheetName val="위탁개발비내역"/>
      <sheetName val="국내출장"/>
      <sheetName val="해외출장"/>
      <sheetName val="출장기준"/>
      <sheetName val="항공료기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매출이익(실적)"/>
      <sheetName val="매출이익(경영대비)"/>
      <sheetName val="판매관리비"/>
      <sheetName val="지급이자 (인센티브)"/>
      <sheetName val="지급이자"/>
      <sheetName val="자금수지(실적)"/>
      <sheetName val="자금수지(실적-광학기기)"/>
      <sheetName val="이연상각"/>
      <sheetName val="이연상각 (2)"/>
      <sheetName val="자산증가"/>
      <sheetName val="VXXXXX"/>
      <sheetName val="개발비요약"/>
      <sheetName val="인력계획"/>
      <sheetName val="계정별 총계"/>
      <sheetName val="DSC공통경비"/>
      <sheetName val="기종계"/>
      <sheetName val="D1"/>
      <sheetName val="D2"/>
      <sheetName val="UC1"/>
      <sheetName val="UC2"/>
      <sheetName val="G1"/>
      <sheetName val="G2"/>
      <sheetName val="H1"/>
      <sheetName val="OEM"/>
      <sheetName val="요소기술"/>
      <sheetName val="위탁개발비내역"/>
      <sheetName val="국내출장"/>
      <sheetName val="해외출장"/>
      <sheetName val="출장기준"/>
      <sheetName val="항공료기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1월월보"/>
      <sheetName val="원가(전체_년간)"/>
      <sheetName val="원가T (2)"/>
      <sheetName val="분석(4)"/>
      <sheetName val="분석(5)"/>
      <sheetName val="종합"/>
      <sheetName val="월별실적"/>
      <sheetName val="기종별절감"/>
      <sheetName val="g1"/>
      <sheetName val="g2"/>
      <sheetName val="g3"/>
      <sheetName val="g4"/>
      <sheetName val="TOTAL추이도"/>
      <sheetName val="1월(확)"/>
      <sheetName val="2월"/>
      <sheetName val="3월(확)"/>
      <sheetName val="4월"/>
      <sheetName val="5월"/>
      <sheetName val="Sheet1"/>
      <sheetName val="6월"/>
      <sheetName val="상반기"/>
      <sheetName val="종합추이"/>
      <sheetName val="LOSS감소"/>
      <sheetName val="사출성형"/>
      <sheetName val="확정레이 (3)"/>
      <sheetName val="코팅4"/>
      <sheetName val="코팅4 (2)"/>
      <sheetName val="코팅5월"/>
      <sheetName val="kk"/>
      <sheetName val="k"/>
      <sheetName val="kkk"/>
      <sheetName val="kkkk"/>
      <sheetName val="kkkk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1월월보"/>
      <sheetName val="원가(전체_년간)"/>
      <sheetName val="원가T (2)"/>
      <sheetName val="분석(4)"/>
      <sheetName val="분석(5)"/>
      <sheetName val="종합"/>
      <sheetName val="월별실적"/>
      <sheetName val="기종별절감"/>
      <sheetName val="g1"/>
      <sheetName val="g2"/>
      <sheetName val="g3"/>
      <sheetName val="g4"/>
      <sheetName val="TOTAL추이도"/>
      <sheetName val="1월(확)"/>
      <sheetName val="2월"/>
      <sheetName val="3월(확)"/>
      <sheetName val="4월"/>
      <sheetName val="5월"/>
      <sheetName val="Sheet1"/>
      <sheetName val="6월"/>
      <sheetName val="상반기"/>
      <sheetName val="종합추이"/>
      <sheetName val="LOSS감소"/>
      <sheetName val="사출성형"/>
      <sheetName val="확정레이 (3)"/>
      <sheetName val="코팅4"/>
      <sheetName val="코팅4 (2)"/>
      <sheetName val="코팅5월"/>
      <sheetName val="kk"/>
      <sheetName val="k"/>
      <sheetName val="kkk"/>
      <sheetName val="kkkk"/>
      <sheetName val="kkkk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21.xml><?xml version="1.0" encoding="utf-8"?>
<externalLink xmlns="http://schemas.openxmlformats.org/spreadsheetml/2006/main">
  <externalBook xmlns:r="http://schemas.openxmlformats.org/officeDocument/2006/relationships" r:id="rId1">
    <sheetNames>
      <sheetName val="#REF"/>
    </sheetNames>
    <sheetDataSet>
      <sheetData sheetId="0" refreshError="1"/>
    </sheetDataSet>
  </externalBook>
</externalLink>
</file>

<file path=xl/externalLinks/externalLink22.xml><?xml version="1.0" encoding="utf-8"?>
<externalLink xmlns="http://schemas.openxmlformats.org/spreadsheetml/2006/main">
  <externalBook xmlns:r="http://schemas.openxmlformats.org/officeDocument/2006/relationships" r:id="rId1">
    <sheetNames>
      <sheetName val="#REF"/>
    </sheetNames>
    <sheetDataSet>
      <sheetData sheetId="0" refreshError="1"/>
    </sheetDataSet>
  </externalBook>
</externalLink>
</file>

<file path=xl/externalLinks/externalLink23.xml><?xml version="1.0" encoding="utf-8"?>
<externalLink xmlns="http://schemas.openxmlformats.org/spreadsheetml/2006/main">
  <externalBook xmlns:r="http://schemas.openxmlformats.org/officeDocument/2006/relationships" r:id="rId1">
    <sheetNames>
      <sheetName val="O_970122"/>
      <sheetName val="공"/>
    </sheetNames>
    <sheetDataSet>
      <sheetData sheetId="0"/>
      <sheetData sheetId="1"/>
    </sheetDataSet>
  </externalBook>
</externalLink>
</file>

<file path=xl/externalLinks/externalLink24.xml><?xml version="1.0" encoding="utf-8"?>
<externalLink xmlns="http://schemas.openxmlformats.org/spreadsheetml/2006/main">
  <externalBook xmlns:r="http://schemas.openxmlformats.org/officeDocument/2006/relationships" r:id="rId1">
    <sheetNames>
      <sheetName val="O_970122"/>
      <sheetName val="공"/>
    </sheetNames>
    <sheetDataSet>
      <sheetData sheetId="0"/>
      <sheetData sheetId="1"/>
    </sheetDataSet>
  </externalBook>
</externalLink>
</file>

<file path=xl/externalLinks/externalLink25.xml><?xml version="1.0" encoding="utf-8"?>
<externalLink xmlns="http://schemas.openxmlformats.org/spreadsheetml/2006/main">
  <externalBook xmlns:r="http://schemas.openxmlformats.org/officeDocument/2006/relationships" r:id="rId1">
    <sheetNames>
      <sheetName val="제조 경영"/>
    </sheetNames>
    <sheetDataSet>
      <sheetData sheetId="0" refreshError="1"/>
    </sheetDataSet>
  </externalBook>
</externalLink>
</file>

<file path=xl/externalLinks/externalLink26.xml><?xml version="1.0" encoding="utf-8"?>
<externalLink xmlns="http://schemas.openxmlformats.org/spreadsheetml/2006/main">
  <externalBook xmlns:r="http://schemas.openxmlformats.org/officeDocument/2006/relationships" r:id="rId1">
    <sheetNames>
      <sheetName val="제조 경영"/>
    </sheetNames>
    <sheetDataSet>
      <sheetData sheetId="0" refreshError="1"/>
    </sheetDataSet>
  </externalBook>
</externalLink>
</file>

<file path=xl/externalLinks/externalLink27.xml><?xml version="1.0" encoding="utf-8"?>
<externalLink xmlns="http://schemas.openxmlformats.org/spreadsheetml/2006/main">
  <externalBook xmlns:r="http://schemas.openxmlformats.org/officeDocument/2006/relationships" r:id="rId1">
    <sheetNames>
      <sheetName val="사기정계"/>
      <sheetName val="공"/>
      <sheetName val="O_970122"/>
      <sheetName val="실적"/>
      <sheetName val="재고자산"/>
    </sheetNames>
    <sheetDataSet>
      <sheetData sheetId="0"/>
      <sheetData sheetId="1"/>
      <sheetData sheetId="2"/>
      <sheetData sheetId="3"/>
      <sheetData sheetId="4"/>
    </sheetDataSet>
  </externalBook>
</externalLink>
</file>

<file path=xl/externalLinks/externalLink28.xml><?xml version="1.0" encoding="utf-8"?>
<externalLink xmlns="http://schemas.openxmlformats.org/spreadsheetml/2006/main">
  <externalBook xmlns:r="http://schemas.openxmlformats.org/officeDocument/2006/relationships" r:id="rId1">
    <sheetNames>
      <sheetName val="사기정계"/>
      <sheetName val="공"/>
      <sheetName val="O_970122"/>
      <sheetName val="실적"/>
      <sheetName val="재고자산"/>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hyperlink" Target="mailto:havanthong1986@gmail.com" TargetMode="External" Id="rId1"/><Relationship Type="http://schemas.openxmlformats.org/officeDocument/2006/relationships/drawing" Target="/xl/drawings/drawing4.xml" Id="rId2"/><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O26"/>
  <sheetViews>
    <sheetView topLeftCell="A10" workbookViewId="0">
      <selection activeCell="G14" sqref="G14:K14"/>
    </sheetView>
  </sheetViews>
  <sheetFormatPr baseColWidth="8" defaultRowHeight="16.5"/>
  <cols>
    <col width="2" customWidth="1" style="133" min="1" max="1"/>
    <col width="8.875" customWidth="1" style="133" min="2" max="12"/>
    <col width="9" customWidth="1" style="133" min="13" max="14"/>
    <col width="0.5" customWidth="1" style="133" min="15" max="15"/>
    <col width="8.875" customWidth="1" style="133" min="16" max="256"/>
    <col width="2" customWidth="1" style="133" min="257" max="257"/>
    <col width="8.875" customWidth="1" style="133" min="258" max="268"/>
    <col width="9" customWidth="1" style="133" min="269" max="270"/>
    <col width="0.5" customWidth="1" style="133" min="271" max="271"/>
    <col width="8.875" customWidth="1" style="133" min="272" max="512"/>
    <col width="2" customWidth="1" style="133" min="513" max="513"/>
    <col width="8.875" customWidth="1" style="133" min="514" max="524"/>
    <col width="9" customWidth="1" style="133" min="525" max="526"/>
    <col width="0.5" customWidth="1" style="133" min="527" max="527"/>
    <col width="8.875" customWidth="1" style="133" min="528" max="768"/>
    <col width="2" customWidth="1" style="133" min="769" max="769"/>
    <col width="8.875" customWidth="1" style="133" min="770" max="780"/>
    <col width="9" customWidth="1" style="133" min="781" max="782"/>
    <col width="0.5" customWidth="1" style="133" min="783" max="783"/>
    <col width="8.875" customWidth="1" style="133" min="784" max="1024"/>
    <col width="2" customWidth="1" style="133" min="1025" max="1025"/>
    <col width="8.875" customWidth="1" style="133" min="1026" max="1036"/>
    <col width="9" customWidth="1" style="133" min="1037" max="1038"/>
    <col width="0.5" customWidth="1" style="133" min="1039" max="1039"/>
    <col width="8.875" customWidth="1" style="133" min="1040" max="1280"/>
    <col width="2" customWidth="1" style="133" min="1281" max="1281"/>
    <col width="8.875" customWidth="1" style="133" min="1282" max="1292"/>
    <col width="9" customWidth="1" style="133" min="1293" max="1294"/>
    <col width="0.5" customWidth="1" style="133" min="1295" max="1295"/>
    <col width="8.875" customWidth="1" style="133" min="1296" max="1536"/>
    <col width="2" customWidth="1" style="133" min="1537" max="1537"/>
    <col width="8.875" customWidth="1" style="133" min="1538" max="1548"/>
    <col width="9" customWidth="1" style="133" min="1549" max="1550"/>
    <col width="0.5" customWidth="1" style="133" min="1551" max="1551"/>
    <col width="8.875" customWidth="1" style="133" min="1552" max="1792"/>
    <col width="2" customWidth="1" style="133" min="1793" max="1793"/>
    <col width="8.875" customWidth="1" style="133" min="1794" max="1804"/>
    <col width="9" customWidth="1" style="133" min="1805" max="1806"/>
    <col width="0.5" customWidth="1" style="133" min="1807" max="1807"/>
    <col width="8.875" customWidth="1" style="133" min="1808" max="2048"/>
    <col width="2" customWidth="1" style="133" min="2049" max="2049"/>
    <col width="8.875" customWidth="1" style="133" min="2050" max="2060"/>
    <col width="9" customWidth="1" style="133" min="2061" max="2062"/>
    <col width="0.5" customWidth="1" style="133" min="2063" max="2063"/>
    <col width="8.875" customWidth="1" style="133" min="2064" max="2304"/>
    <col width="2" customWidth="1" style="133" min="2305" max="2305"/>
    <col width="8.875" customWidth="1" style="133" min="2306" max="2316"/>
    <col width="9" customWidth="1" style="133" min="2317" max="2318"/>
    <col width="0.5" customWidth="1" style="133" min="2319" max="2319"/>
    <col width="8.875" customWidth="1" style="133" min="2320" max="2560"/>
    <col width="2" customWidth="1" style="133" min="2561" max="2561"/>
    <col width="8.875" customWidth="1" style="133" min="2562" max="2572"/>
    <col width="9" customWidth="1" style="133" min="2573" max="2574"/>
    <col width="0.5" customWidth="1" style="133" min="2575" max="2575"/>
    <col width="8.875" customWidth="1" style="133" min="2576" max="2816"/>
    <col width="2" customWidth="1" style="133" min="2817" max="2817"/>
    <col width="8.875" customWidth="1" style="133" min="2818" max="2828"/>
    <col width="9" customWidth="1" style="133" min="2829" max="2830"/>
    <col width="0.5" customWidth="1" style="133" min="2831" max="2831"/>
    <col width="8.875" customWidth="1" style="133" min="2832" max="3072"/>
    <col width="2" customWidth="1" style="133" min="3073" max="3073"/>
    <col width="8.875" customWidth="1" style="133" min="3074" max="3084"/>
    <col width="9" customWidth="1" style="133" min="3085" max="3086"/>
    <col width="0.5" customWidth="1" style="133" min="3087" max="3087"/>
    <col width="8.875" customWidth="1" style="133" min="3088" max="3328"/>
    <col width="2" customWidth="1" style="133" min="3329" max="3329"/>
    <col width="8.875" customWidth="1" style="133" min="3330" max="3340"/>
    <col width="9" customWidth="1" style="133" min="3341" max="3342"/>
    <col width="0.5" customWidth="1" style="133" min="3343" max="3343"/>
    <col width="8.875" customWidth="1" style="133" min="3344" max="3584"/>
    <col width="2" customWidth="1" style="133" min="3585" max="3585"/>
    <col width="8.875" customWidth="1" style="133" min="3586" max="3596"/>
    <col width="9" customWidth="1" style="133" min="3597" max="3598"/>
    <col width="0.5" customWidth="1" style="133" min="3599" max="3599"/>
    <col width="8.875" customWidth="1" style="133" min="3600" max="3840"/>
    <col width="2" customWidth="1" style="133" min="3841" max="3841"/>
    <col width="8.875" customWidth="1" style="133" min="3842" max="3852"/>
    <col width="9" customWidth="1" style="133" min="3853" max="3854"/>
    <col width="0.5" customWidth="1" style="133" min="3855" max="3855"/>
    <col width="8.875" customWidth="1" style="133" min="3856" max="4096"/>
    <col width="2" customWidth="1" style="133" min="4097" max="4097"/>
    <col width="8.875" customWidth="1" style="133" min="4098" max="4108"/>
    <col width="9" customWidth="1" style="133" min="4109" max="4110"/>
    <col width="0.5" customWidth="1" style="133" min="4111" max="4111"/>
    <col width="8.875" customWidth="1" style="133" min="4112" max="4352"/>
    <col width="2" customWidth="1" style="133" min="4353" max="4353"/>
    <col width="8.875" customWidth="1" style="133" min="4354" max="4364"/>
    <col width="9" customWidth="1" style="133" min="4365" max="4366"/>
    <col width="0.5" customWidth="1" style="133" min="4367" max="4367"/>
    <col width="8.875" customWidth="1" style="133" min="4368" max="4608"/>
    <col width="2" customWidth="1" style="133" min="4609" max="4609"/>
    <col width="8.875" customWidth="1" style="133" min="4610" max="4620"/>
    <col width="9" customWidth="1" style="133" min="4621" max="4622"/>
    <col width="0.5" customWidth="1" style="133" min="4623" max="4623"/>
    <col width="8.875" customWidth="1" style="133" min="4624" max="4864"/>
    <col width="2" customWidth="1" style="133" min="4865" max="4865"/>
    <col width="8.875" customWidth="1" style="133" min="4866" max="4876"/>
    <col width="9" customWidth="1" style="133" min="4877" max="4878"/>
    <col width="0.5" customWidth="1" style="133" min="4879" max="4879"/>
    <col width="8.875" customWidth="1" style="133" min="4880" max="5120"/>
    <col width="2" customWidth="1" style="133" min="5121" max="5121"/>
    <col width="8.875" customWidth="1" style="133" min="5122" max="5132"/>
    <col width="9" customWidth="1" style="133" min="5133" max="5134"/>
    <col width="0.5" customWidth="1" style="133" min="5135" max="5135"/>
    <col width="8.875" customWidth="1" style="133" min="5136" max="5376"/>
    <col width="2" customWidth="1" style="133" min="5377" max="5377"/>
    <col width="8.875" customWidth="1" style="133" min="5378" max="5388"/>
    <col width="9" customWidth="1" style="133" min="5389" max="5390"/>
    <col width="0.5" customWidth="1" style="133" min="5391" max="5391"/>
    <col width="8.875" customWidth="1" style="133" min="5392" max="5632"/>
    <col width="2" customWidth="1" style="133" min="5633" max="5633"/>
    <col width="8.875" customWidth="1" style="133" min="5634" max="5644"/>
    <col width="9" customWidth="1" style="133" min="5645" max="5646"/>
    <col width="0.5" customWidth="1" style="133" min="5647" max="5647"/>
    <col width="8.875" customWidth="1" style="133" min="5648" max="5888"/>
    <col width="2" customWidth="1" style="133" min="5889" max="5889"/>
    <col width="8.875" customWidth="1" style="133" min="5890" max="5900"/>
    <col width="9" customWidth="1" style="133" min="5901" max="5902"/>
    <col width="0.5" customWidth="1" style="133" min="5903" max="5903"/>
    <col width="8.875" customWidth="1" style="133" min="5904" max="6144"/>
    <col width="2" customWidth="1" style="133" min="6145" max="6145"/>
    <col width="8.875" customWidth="1" style="133" min="6146" max="6156"/>
    <col width="9" customWidth="1" style="133" min="6157" max="6158"/>
    <col width="0.5" customWidth="1" style="133" min="6159" max="6159"/>
    <col width="8.875" customWidth="1" style="133" min="6160" max="6400"/>
    <col width="2" customWidth="1" style="133" min="6401" max="6401"/>
    <col width="8.875" customWidth="1" style="133" min="6402" max="6412"/>
    <col width="9" customWidth="1" style="133" min="6413" max="6414"/>
    <col width="0.5" customWidth="1" style="133" min="6415" max="6415"/>
    <col width="8.875" customWidth="1" style="133" min="6416" max="6656"/>
    <col width="2" customWidth="1" style="133" min="6657" max="6657"/>
    <col width="8.875" customWidth="1" style="133" min="6658" max="6668"/>
    <col width="9" customWidth="1" style="133" min="6669" max="6670"/>
    <col width="0.5" customWidth="1" style="133" min="6671" max="6671"/>
    <col width="8.875" customWidth="1" style="133" min="6672" max="6912"/>
    <col width="2" customWidth="1" style="133" min="6913" max="6913"/>
    <col width="8.875" customWidth="1" style="133" min="6914" max="6924"/>
    <col width="9" customWidth="1" style="133" min="6925" max="6926"/>
    <col width="0.5" customWidth="1" style="133" min="6927" max="6927"/>
    <col width="8.875" customWidth="1" style="133" min="6928" max="7168"/>
    <col width="2" customWidth="1" style="133" min="7169" max="7169"/>
    <col width="8.875" customWidth="1" style="133" min="7170" max="7180"/>
    <col width="9" customWidth="1" style="133" min="7181" max="7182"/>
    <col width="0.5" customWidth="1" style="133" min="7183" max="7183"/>
    <col width="8.875" customWidth="1" style="133" min="7184" max="7424"/>
    <col width="2" customWidth="1" style="133" min="7425" max="7425"/>
    <col width="8.875" customWidth="1" style="133" min="7426" max="7436"/>
    <col width="9" customWidth="1" style="133" min="7437" max="7438"/>
    <col width="0.5" customWidth="1" style="133" min="7439" max="7439"/>
    <col width="8.875" customWidth="1" style="133" min="7440" max="7680"/>
    <col width="2" customWidth="1" style="133" min="7681" max="7681"/>
    <col width="8.875" customWidth="1" style="133" min="7682" max="7692"/>
    <col width="9" customWidth="1" style="133" min="7693" max="7694"/>
    <col width="0.5" customWidth="1" style="133" min="7695" max="7695"/>
    <col width="8.875" customWidth="1" style="133" min="7696" max="7936"/>
    <col width="2" customWidth="1" style="133" min="7937" max="7937"/>
    <col width="8.875" customWidth="1" style="133" min="7938" max="7948"/>
    <col width="9" customWidth="1" style="133" min="7949" max="7950"/>
    <col width="0.5" customWidth="1" style="133" min="7951" max="7951"/>
    <col width="8.875" customWidth="1" style="133" min="7952" max="8192"/>
    <col width="2" customWidth="1" style="133" min="8193" max="8193"/>
    <col width="8.875" customWidth="1" style="133" min="8194" max="8204"/>
    <col width="9" customWidth="1" style="133" min="8205" max="8206"/>
    <col width="0.5" customWidth="1" style="133" min="8207" max="8207"/>
    <col width="8.875" customWidth="1" style="133" min="8208" max="8448"/>
    <col width="2" customWidth="1" style="133" min="8449" max="8449"/>
    <col width="8.875" customWidth="1" style="133" min="8450" max="8460"/>
    <col width="9" customWidth="1" style="133" min="8461" max="8462"/>
    <col width="0.5" customWidth="1" style="133" min="8463" max="8463"/>
    <col width="8.875" customWidth="1" style="133" min="8464" max="8704"/>
    <col width="2" customWidth="1" style="133" min="8705" max="8705"/>
    <col width="8.875" customWidth="1" style="133" min="8706" max="8716"/>
    <col width="9" customWidth="1" style="133" min="8717" max="8718"/>
    <col width="0.5" customWidth="1" style="133" min="8719" max="8719"/>
    <col width="8.875" customWidth="1" style="133" min="8720" max="8960"/>
    <col width="2" customWidth="1" style="133" min="8961" max="8961"/>
    <col width="8.875" customWidth="1" style="133" min="8962" max="8972"/>
    <col width="9" customWidth="1" style="133" min="8973" max="8974"/>
    <col width="0.5" customWidth="1" style="133" min="8975" max="8975"/>
    <col width="8.875" customWidth="1" style="133" min="8976" max="9216"/>
    <col width="2" customWidth="1" style="133" min="9217" max="9217"/>
    <col width="8.875" customWidth="1" style="133" min="9218" max="9228"/>
    <col width="9" customWidth="1" style="133" min="9229" max="9230"/>
    <col width="0.5" customWidth="1" style="133" min="9231" max="9231"/>
    <col width="8.875" customWidth="1" style="133" min="9232" max="9472"/>
    <col width="2" customWidth="1" style="133" min="9473" max="9473"/>
    <col width="8.875" customWidth="1" style="133" min="9474" max="9484"/>
    <col width="9" customWidth="1" style="133" min="9485" max="9486"/>
    <col width="0.5" customWidth="1" style="133" min="9487" max="9487"/>
    <col width="8.875" customWidth="1" style="133" min="9488" max="9728"/>
    <col width="2" customWidth="1" style="133" min="9729" max="9729"/>
    <col width="8.875" customWidth="1" style="133" min="9730" max="9740"/>
    <col width="9" customWidth="1" style="133" min="9741" max="9742"/>
    <col width="0.5" customWidth="1" style="133" min="9743" max="9743"/>
    <col width="8.875" customWidth="1" style="133" min="9744" max="9984"/>
    <col width="2" customWidth="1" style="133" min="9985" max="9985"/>
    <col width="8.875" customWidth="1" style="133" min="9986" max="9996"/>
    <col width="9" customWidth="1" style="133" min="9997" max="9998"/>
    <col width="0.5" customWidth="1" style="133" min="9999" max="9999"/>
    <col width="8.875" customWidth="1" style="133" min="10000" max="10240"/>
    <col width="2" customWidth="1" style="133" min="10241" max="10241"/>
    <col width="8.875" customWidth="1" style="133" min="10242" max="10252"/>
    <col width="9" customWidth="1" style="133" min="10253" max="10254"/>
    <col width="0.5" customWidth="1" style="133" min="10255" max="10255"/>
    <col width="8.875" customWidth="1" style="133" min="10256" max="10496"/>
    <col width="2" customWidth="1" style="133" min="10497" max="10497"/>
    <col width="8.875" customWidth="1" style="133" min="10498" max="10508"/>
    <col width="9" customWidth="1" style="133" min="10509" max="10510"/>
    <col width="0.5" customWidth="1" style="133" min="10511" max="10511"/>
    <col width="8.875" customWidth="1" style="133" min="10512" max="10752"/>
    <col width="2" customWidth="1" style="133" min="10753" max="10753"/>
    <col width="8.875" customWidth="1" style="133" min="10754" max="10764"/>
    <col width="9" customWidth="1" style="133" min="10765" max="10766"/>
    <col width="0.5" customWidth="1" style="133" min="10767" max="10767"/>
    <col width="8.875" customWidth="1" style="133" min="10768" max="11008"/>
    <col width="2" customWidth="1" style="133" min="11009" max="11009"/>
    <col width="8.875" customWidth="1" style="133" min="11010" max="11020"/>
    <col width="9" customWidth="1" style="133" min="11021" max="11022"/>
    <col width="0.5" customWidth="1" style="133" min="11023" max="11023"/>
    <col width="8.875" customWidth="1" style="133" min="11024" max="11264"/>
    <col width="2" customWidth="1" style="133" min="11265" max="11265"/>
    <col width="8.875" customWidth="1" style="133" min="11266" max="11276"/>
    <col width="9" customWidth="1" style="133" min="11277" max="11278"/>
    <col width="0.5" customWidth="1" style="133" min="11279" max="11279"/>
    <col width="8.875" customWidth="1" style="133" min="11280" max="11520"/>
    <col width="2" customWidth="1" style="133" min="11521" max="11521"/>
    <col width="8.875" customWidth="1" style="133" min="11522" max="11532"/>
    <col width="9" customWidth="1" style="133" min="11533" max="11534"/>
    <col width="0.5" customWidth="1" style="133" min="11535" max="11535"/>
    <col width="8.875" customWidth="1" style="133" min="11536" max="11776"/>
    <col width="2" customWidth="1" style="133" min="11777" max="11777"/>
    <col width="8.875" customWidth="1" style="133" min="11778" max="11788"/>
    <col width="9" customWidth="1" style="133" min="11789" max="11790"/>
    <col width="0.5" customWidth="1" style="133" min="11791" max="11791"/>
    <col width="8.875" customWidth="1" style="133" min="11792" max="12032"/>
    <col width="2" customWidth="1" style="133" min="12033" max="12033"/>
    <col width="8.875" customWidth="1" style="133" min="12034" max="12044"/>
    <col width="9" customWidth="1" style="133" min="12045" max="12046"/>
    <col width="0.5" customWidth="1" style="133" min="12047" max="12047"/>
    <col width="8.875" customWidth="1" style="133" min="12048" max="12288"/>
    <col width="2" customWidth="1" style="133" min="12289" max="12289"/>
    <col width="8.875" customWidth="1" style="133" min="12290" max="12300"/>
    <col width="9" customWidth="1" style="133" min="12301" max="12302"/>
    <col width="0.5" customWidth="1" style="133" min="12303" max="12303"/>
    <col width="8.875" customWidth="1" style="133" min="12304" max="12544"/>
    <col width="2" customWidth="1" style="133" min="12545" max="12545"/>
    <col width="8.875" customWidth="1" style="133" min="12546" max="12556"/>
    <col width="9" customWidth="1" style="133" min="12557" max="12558"/>
    <col width="0.5" customWidth="1" style="133" min="12559" max="12559"/>
    <col width="8.875" customWidth="1" style="133" min="12560" max="12800"/>
    <col width="2" customWidth="1" style="133" min="12801" max="12801"/>
    <col width="8.875" customWidth="1" style="133" min="12802" max="12812"/>
    <col width="9" customWidth="1" style="133" min="12813" max="12814"/>
    <col width="0.5" customWidth="1" style="133" min="12815" max="12815"/>
    <col width="8.875" customWidth="1" style="133" min="12816" max="13056"/>
    <col width="2" customWidth="1" style="133" min="13057" max="13057"/>
    <col width="8.875" customWidth="1" style="133" min="13058" max="13068"/>
    <col width="9" customWidth="1" style="133" min="13069" max="13070"/>
    <col width="0.5" customWidth="1" style="133" min="13071" max="13071"/>
    <col width="8.875" customWidth="1" style="133" min="13072" max="13312"/>
    <col width="2" customWidth="1" style="133" min="13313" max="13313"/>
    <col width="8.875" customWidth="1" style="133" min="13314" max="13324"/>
    <col width="9" customWidth="1" style="133" min="13325" max="13326"/>
    <col width="0.5" customWidth="1" style="133" min="13327" max="13327"/>
    <col width="8.875" customWidth="1" style="133" min="13328" max="13568"/>
    <col width="2" customWidth="1" style="133" min="13569" max="13569"/>
    <col width="8.875" customWidth="1" style="133" min="13570" max="13580"/>
    <col width="9" customWidth="1" style="133" min="13581" max="13582"/>
    <col width="0.5" customWidth="1" style="133" min="13583" max="13583"/>
    <col width="8.875" customWidth="1" style="133" min="13584" max="13824"/>
    <col width="2" customWidth="1" style="133" min="13825" max="13825"/>
    <col width="8.875" customWidth="1" style="133" min="13826" max="13836"/>
    <col width="9" customWidth="1" style="133" min="13837" max="13838"/>
    <col width="0.5" customWidth="1" style="133" min="13839" max="13839"/>
    <col width="8.875" customWidth="1" style="133" min="13840" max="14080"/>
    <col width="2" customWidth="1" style="133" min="14081" max="14081"/>
    <col width="8.875" customWidth="1" style="133" min="14082" max="14092"/>
    <col width="9" customWidth="1" style="133" min="14093" max="14094"/>
    <col width="0.5" customWidth="1" style="133" min="14095" max="14095"/>
    <col width="8.875" customWidth="1" style="133" min="14096" max="14336"/>
    <col width="2" customWidth="1" style="133" min="14337" max="14337"/>
    <col width="8.875" customWidth="1" style="133" min="14338" max="14348"/>
    <col width="9" customWidth="1" style="133" min="14349" max="14350"/>
    <col width="0.5" customWidth="1" style="133" min="14351" max="14351"/>
    <col width="8.875" customWidth="1" style="133" min="14352" max="14592"/>
    <col width="2" customWidth="1" style="133" min="14593" max="14593"/>
    <col width="8.875" customWidth="1" style="133" min="14594" max="14604"/>
    <col width="9" customWidth="1" style="133" min="14605" max="14606"/>
    <col width="0.5" customWidth="1" style="133" min="14607" max="14607"/>
    <col width="8.875" customWidth="1" style="133" min="14608" max="14848"/>
    <col width="2" customWidth="1" style="133" min="14849" max="14849"/>
    <col width="8.875" customWidth="1" style="133" min="14850" max="14860"/>
    <col width="9" customWidth="1" style="133" min="14861" max="14862"/>
    <col width="0.5" customWidth="1" style="133" min="14863" max="14863"/>
    <col width="8.875" customWidth="1" style="133" min="14864" max="15104"/>
    <col width="2" customWidth="1" style="133" min="15105" max="15105"/>
    <col width="8.875" customWidth="1" style="133" min="15106" max="15116"/>
    <col width="9" customWidth="1" style="133" min="15117" max="15118"/>
    <col width="0.5" customWidth="1" style="133" min="15119" max="15119"/>
    <col width="8.875" customWidth="1" style="133" min="15120" max="15360"/>
    <col width="2" customWidth="1" style="133" min="15361" max="15361"/>
    <col width="8.875" customWidth="1" style="133" min="15362" max="15372"/>
    <col width="9" customWidth="1" style="133" min="15373" max="15374"/>
    <col width="0.5" customWidth="1" style="133" min="15375" max="15375"/>
    <col width="8.875" customWidth="1" style="133" min="15376" max="15616"/>
    <col width="2" customWidth="1" style="133" min="15617" max="15617"/>
    <col width="8.875" customWidth="1" style="133" min="15618" max="15628"/>
    <col width="9" customWidth="1" style="133" min="15629" max="15630"/>
    <col width="0.5" customWidth="1" style="133" min="15631" max="15631"/>
    <col width="8.875" customWidth="1" style="133" min="15632" max="15872"/>
    <col width="2" customWidth="1" style="133" min="15873" max="15873"/>
    <col width="8.875" customWidth="1" style="133" min="15874" max="15884"/>
    <col width="9" customWidth="1" style="133" min="15885" max="15886"/>
    <col width="0.5" customWidth="1" style="133" min="15887" max="15887"/>
    <col width="8.875" customWidth="1" style="133" min="15888" max="16128"/>
    <col width="2" customWidth="1" style="133" min="16129" max="16129"/>
    <col width="8.875" customWidth="1" style="133" min="16130" max="16140"/>
    <col width="9" customWidth="1" style="133" min="16141" max="16142"/>
    <col width="0.5" customWidth="1" style="133" min="16143" max="16143"/>
    <col width="8.875" customWidth="1" style="133" min="16144" max="16384"/>
  </cols>
  <sheetData>
    <row r="1" ht="11.25" customHeight="1" s="340" thickBot="1">
      <c r="B1" s="140" t="n"/>
      <c r="C1" s="140" t="n"/>
      <c r="D1" s="140" t="n"/>
      <c r="E1" s="140" t="n"/>
      <c r="F1" s="140" t="n"/>
      <c r="G1" s="140" t="n"/>
      <c r="H1" s="140" t="n"/>
      <c r="I1" s="140" t="n"/>
      <c r="J1" s="140" t="n"/>
      <c r="K1" s="140" t="n"/>
    </row>
    <row r="2">
      <c r="B2" s="134" t="n"/>
      <c r="C2" s="135" t="n"/>
      <c r="D2" s="135" t="n"/>
      <c r="E2" s="135" t="n"/>
      <c r="F2" s="135" t="n"/>
      <c r="G2" s="135" t="n"/>
      <c r="H2" s="135" t="n"/>
      <c r="I2" s="135" t="n"/>
      <c r="J2" s="135" t="n"/>
      <c r="K2" s="135" t="n"/>
      <c r="L2" s="135" t="n"/>
      <c r="M2" s="135" t="n"/>
      <c r="N2" s="135" t="n"/>
      <c r="O2" s="136" t="n"/>
    </row>
    <row r="3">
      <c r="B3" s="137" t="n"/>
      <c r="O3" s="138" t="n"/>
    </row>
    <row r="4">
      <c r="B4" s="137" t="n"/>
      <c r="O4" s="138" t="n"/>
    </row>
    <row r="5">
      <c r="B5" s="137" t="n"/>
      <c r="O5" s="138" t="n"/>
    </row>
    <row r="6">
      <c r="B6" s="137" t="n"/>
      <c r="O6" s="138" t="n"/>
    </row>
    <row r="7">
      <c r="B7" s="137" t="n"/>
      <c r="O7" s="138" t="n"/>
    </row>
    <row r="8">
      <c r="B8" s="137" t="n"/>
      <c r="O8" s="138" t="n"/>
    </row>
    <row r="9">
      <c r="B9" s="137" t="n"/>
      <c r="O9" s="138" t="n"/>
    </row>
    <row r="10">
      <c r="B10" s="137" t="n"/>
      <c r="O10" s="138" t="n"/>
    </row>
    <row r="11">
      <c r="B11" s="137" t="n"/>
      <c r="O11" s="138" t="n"/>
    </row>
    <row r="12">
      <c r="B12" s="137" t="n"/>
      <c r="O12" s="138" t="n"/>
    </row>
    <row r="13" ht="20.25" customHeight="1" s="340">
      <c r="B13" s="139" t="n"/>
      <c r="C13" s="140" t="n"/>
      <c r="D13" s="140" t="n"/>
      <c r="E13" s="204" t="inlineStr">
        <is>
          <t>Supplier name</t>
        </is>
      </c>
      <c r="F13" s="341" t="n"/>
      <c r="G13" s="205" t="n"/>
      <c r="H13" s="342" t="n"/>
      <c r="I13" s="342" t="n"/>
      <c r="J13" s="342" t="n"/>
      <c r="K13" s="341" t="n"/>
      <c r="O13" s="138" t="n"/>
    </row>
    <row r="14" ht="20.25" customHeight="1" s="340">
      <c r="B14" s="139" t="n"/>
      <c r="C14" s="140" t="n"/>
      <c r="D14" s="140" t="n"/>
      <c r="E14" s="204" t="inlineStr">
        <is>
          <t>Major Product</t>
        </is>
      </c>
      <c r="F14" s="341" t="n"/>
      <c r="G14" s="205" t="n"/>
      <c r="H14" s="342" t="n"/>
      <c r="I14" s="342" t="n"/>
      <c r="J14" s="342" t="n"/>
      <c r="K14" s="341" t="n"/>
      <c r="O14" s="138" t="n"/>
    </row>
    <row r="15" ht="20.25" customHeight="1" s="340">
      <c r="B15" s="141" t="n"/>
      <c r="C15" s="140" t="n"/>
      <c r="D15" s="140" t="n"/>
      <c r="E15" s="204" t="inlineStr">
        <is>
          <t>Audit Object</t>
        </is>
      </c>
      <c r="F15" s="341" t="n"/>
      <c r="G15" s="205" t="n"/>
      <c r="H15" s="342" t="n"/>
      <c r="I15" s="342" t="n"/>
      <c r="J15" s="342" t="n"/>
      <c r="K15" s="341" t="n"/>
      <c r="O15" s="138" t="n"/>
    </row>
    <row r="16" ht="20.25" customHeight="1" s="340">
      <c r="B16" s="139" t="n"/>
      <c r="C16" s="140" t="n"/>
      <c r="D16" s="142" t="n"/>
      <c r="E16" s="204" t="inlineStr">
        <is>
          <t>Date of Audit</t>
        </is>
      </c>
      <c r="F16" s="341" t="n"/>
      <c r="G16" s="205" t="n"/>
      <c r="H16" s="342" t="n"/>
      <c r="I16" s="342" t="n"/>
      <c r="J16" s="342" t="n"/>
      <c r="K16" s="341" t="n"/>
      <c r="O16" s="138" t="n"/>
    </row>
    <row r="17" ht="20.25" customHeight="1" s="340">
      <c r="B17" s="139" t="n"/>
      <c r="C17" s="140" t="n"/>
      <c r="D17" s="140" t="n"/>
      <c r="E17" s="204" t="inlineStr">
        <is>
          <t>Auditor</t>
        </is>
      </c>
      <c r="F17" s="341" t="n"/>
      <c r="G17" s="205" t="n"/>
      <c r="H17" s="342" t="n"/>
      <c r="I17" s="342" t="n"/>
      <c r="J17" s="342" t="n"/>
      <c r="K17" s="341" t="n"/>
      <c r="L17" s="140" t="n"/>
      <c r="M17" s="140" t="n"/>
      <c r="N17" s="140" t="n"/>
      <c r="O17" s="143" t="n"/>
    </row>
    <row r="18" ht="20.25" customHeight="1" s="340">
      <c r="B18" s="139" t="n"/>
      <c r="C18" s="140" t="n"/>
      <c r="D18" s="140" t="n"/>
      <c r="E18" s="204" t="inlineStr">
        <is>
          <t>Grade</t>
        </is>
      </c>
      <c r="F18" s="341" t="n"/>
      <c r="G18" s="205" t="n"/>
      <c r="H18" s="342" t="n"/>
      <c r="I18" s="342" t="n"/>
      <c r="J18" s="342" t="n"/>
      <c r="K18" s="341" t="n"/>
      <c r="L18" s="140" t="n"/>
      <c r="M18" s="140" t="n"/>
      <c r="N18" s="140" t="n"/>
      <c r="O18" s="143" t="n"/>
    </row>
    <row r="19" ht="20.25" customHeight="1" s="340">
      <c r="B19" s="139" t="n"/>
      <c r="C19" s="140" t="n"/>
      <c r="D19" s="140" t="n"/>
      <c r="E19" s="204" t="inlineStr">
        <is>
          <t>Result</t>
        </is>
      </c>
      <c r="F19" s="341" t="n"/>
      <c r="G19" s="205" t="n"/>
      <c r="H19" s="342" t="n"/>
      <c r="I19" s="342" t="n"/>
      <c r="J19" s="342" t="n"/>
      <c r="K19" s="341" t="n"/>
      <c r="L19" s="140" t="n"/>
      <c r="M19" s="140" t="n"/>
      <c r="N19" s="140" t="n"/>
      <c r="O19" s="143" t="n"/>
    </row>
    <row r="20">
      <c r="B20" s="137" t="n"/>
      <c r="O20" s="138" t="n"/>
    </row>
    <row r="21">
      <c r="B21" s="137" t="n"/>
      <c r="O21" s="138" t="n"/>
    </row>
    <row r="22" ht="29.25" customFormat="1" customHeight="1" s="144">
      <c r="B22" s="343" t="inlineStr">
        <is>
          <t>M&amp;C Electronics Vina</t>
        </is>
      </c>
      <c r="O22" s="344" t="n"/>
    </row>
    <row r="23" ht="21" customHeight="1" s="340">
      <c r="B23" s="345" t="n"/>
      <c r="O23" s="344" t="n"/>
    </row>
    <row r="24">
      <c r="B24" s="137" t="n"/>
      <c r="O24" s="138" t="n"/>
    </row>
    <row r="25">
      <c r="B25" s="137" t="n"/>
      <c r="O25" s="138" t="n"/>
    </row>
    <row r="26" ht="17.25" customHeight="1" s="340" thickBot="1">
      <c r="B26" s="145" t="n"/>
      <c r="C26" s="146" t="n"/>
      <c r="D26" s="146" t="n"/>
      <c r="E26" s="146" t="n"/>
      <c r="F26" s="146" t="n"/>
      <c r="G26" s="146" t="n"/>
      <c r="H26" s="146" t="n"/>
      <c r="I26" s="146" t="n"/>
      <c r="J26" s="146" t="n"/>
      <c r="K26" s="146" t="n"/>
      <c r="L26" s="146" t="n"/>
      <c r="M26" s="146" t="n"/>
      <c r="N26" s="146" t="n"/>
      <c r="O26" s="147" t="n"/>
    </row>
  </sheetData>
  <mergeCells count="16">
    <mergeCell ref="G17:K17"/>
    <mergeCell ref="E16:F16"/>
    <mergeCell ref="B23:O23"/>
    <mergeCell ref="E15:F15"/>
    <mergeCell ref="G15:K15"/>
    <mergeCell ref="E19:F19"/>
    <mergeCell ref="G16:K16"/>
    <mergeCell ref="G14:K14"/>
    <mergeCell ref="E13:F13"/>
    <mergeCell ref="E14:F14"/>
    <mergeCell ref="G13:K13"/>
    <mergeCell ref="G19:K19"/>
    <mergeCell ref="E17:F17"/>
    <mergeCell ref="E18:F18"/>
    <mergeCell ref="B22:O22"/>
    <mergeCell ref="G18:K18"/>
  </mergeCells>
  <pageMargins left="0.7086614173228347" right="0.7086614173228347" top="0.7480314960629921" bottom="0.7480314960629921" header="0.3149606299212598" footer="0.3149606299212598"/>
  <pageSetup orientation="landscape" paperSize="9" verticalDpi="120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Y30"/>
  <sheetViews>
    <sheetView showGridLines="0" view="pageBreakPreview" zoomScale="80" zoomScaleNormal="85" zoomScaleSheetLayoutView="80" workbookViewId="0">
      <selection activeCell="H16" sqref="H16:J16"/>
    </sheetView>
  </sheetViews>
  <sheetFormatPr baseColWidth="8" defaultColWidth="7.125" defaultRowHeight="12.75"/>
  <cols>
    <col width="3.125" customWidth="1" style="10" min="1" max="1"/>
    <col width="2.625" customWidth="1" style="10" min="2" max="2"/>
    <col width="7.375" customWidth="1" style="10" min="3" max="3"/>
    <col width="16.125" customWidth="1" style="10" min="4" max="4"/>
    <col width="5.875" customWidth="1" style="10" min="5" max="10"/>
    <col width="6.625" customWidth="1" style="10" min="11" max="13"/>
    <col width="8.25" customWidth="1" style="10" min="14" max="18"/>
    <col width="1.375" customWidth="1" style="10" min="19" max="19"/>
    <col width="7.125" customWidth="1" style="10" min="20" max="16384"/>
  </cols>
  <sheetData>
    <row r="1" ht="50.1" customHeight="1" s="340">
      <c r="B1" s="1" t="inlineStr">
        <is>
          <t>Quality Process Audit Result Report</t>
        </is>
      </c>
      <c r="K1" s="3" t="n"/>
    </row>
    <row r="2" ht="6" customHeight="1" s="340"/>
    <row r="3" ht="30" customHeight="1" s="340">
      <c r="C3" s="3" t="inlineStr">
        <is>
          <t>□ Audit Result</t>
        </is>
      </c>
      <c r="D3" s="4" t="n"/>
      <c r="E3" s="4" t="n"/>
      <c r="F3" s="4" t="n"/>
      <c r="G3" s="4" t="n"/>
      <c r="H3" s="4" t="n"/>
      <c r="I3" s="4" t="n"/>
      <c r="J3" s="4" t="n"/>
      <c r="K3" s="4" t="n"/>
      <c r="L3" s="4" t="n"/>
      <c r="M3" s="4" t="n"/>
      <c r="N3" s="4" t="n"/>
      <c r="O3" s="4" t="n"/>
      <c r="P3" s="4" t="n"/>
      <c r="Q3" s="4" t="n"/>
      <c r="R3" s="4" t="n"/>
    </row>
    <row r="4" ht="20.1" customFormat="1" customHeight="1" s="5">
      <c r="C4" s="253" t="inlineStr">
        <is>
          <t>Audit Object</t>
        </is>
      </c>
      <c r="D4" s="346" t="n"/>
      <c r="E4" s="347" t="n"/>
      <c r="F4" s="348">
        <f>Cover.!G14</f>
        <v/>
      </c>
      <c r="G4" s="342" t="n"/>
      <c r="H4" s="342" t="n"/>
      <c r="I4" s="341" t="n"/>
      <c r="J4" s="222" t="inlineStr">
        <is>
          <t>Grade</t>
        </is>
      </c>
      <c r="K4" s="342" t="n"/>
      <c r="L4" s="341" t="n"/>
      <c r="M4" s="255">
        <f>Cover.!G18</f>
        <v/>
      </c>
      <c r="N4" s="341" t="n"/>
      <c r="O4" s="222" t="inlineStr">
        <is>
          <t>Date of Audit</t>
        </is>
      </c>
      <c r="P4" s="341" t="n"/>
      <c r="Q4" s="256" t="n">
        <v>43777</v>
      </c>
      <c r="R4" s="341" t="n"/>
    </row>
    <row r="5" ht="20.1" customFormat="1" customHeight="1" s="5">
      <c r="C5" s="222" t="inlineStr">
        <is>
          <t>Major Product</t>
        </is>
      </c>
      <c r="D5" s="342" t="n"/>
      <c r="E5" s="341" t="n"/>
      <c r="F5" s="255">
        <f>Cover.!G15</f>
        <v/>
      </c>
      <c r="G5" s="342" t="n"/>
      <c r="H5" s="342" t="n"/>
      <c r="I5" s="341" t="n"/>
      <c r="J5" s="222" t="inlineStr">
        <is>
          <t>Auditor</t>
        </is>
      </c>
      <c r="K5" s="342" t="n"/>
      <c r="L5" s="341" t="n"/>
      <c r="M5" s="348">
        <f>Cover.!G17</f>
        <v/>
      </c>
      <c r="N5" s="341" t="n"/>
      <c r="O5" s="222" t="inlineStr">
        <is>
          <t>Auditee</t>
        </is>
      </c>
      <c r="P5" s="341" t="n"/>
      <c r="Q5" s="348" t="inlineStr">
        <is>
          <t>하우 씨</t>
        </is>
      </c>
      <c r="R5" s="341" t="n"/>
    </row>
    <row r="6" ht="11.25" customHeight="1" s="340"/>
    <row r="7" ht="9.75" customHeight="1" s="340"/>
    <row r="8" ht="18.95" customHeight="1" s="340">
      <c r="C8" s="3" t="inlineStr">
        <is>
          <t>□Scores and Grade by sector</t>
        </is>
      </c>
    </row>
    <row r="9" ht="22.5" customHeight="1" s="340">
      <c r="C9" s="241" t="inlineStr">
        <is>
          <t>No</t>
        </is>
      </c>
      <c r="D9" s="241" t="inlineStr">
        <is>
          <t>evaluation sector</t>
        </is>
      </c>
      <c r="E9" s="241" t="inlineStr">
        <is>
          <t>Evaluation requiment</t>
        </is>
      </c>
      <c r="F9" s="342" t="n"/>
      <c r="G9" s="341" t="n"/>
      <c r="H9" s="241" t="inlineStr">
        <is>
          <t>Evaluation result</t>
        </is>
      </c>
      <c r="I9" s="342" t="n"/>
      <c r="J9" s="342" t="n"/>
      <c r="K9" s="342" t="n"/>
      <c r="L9" s="341" t="n"/>
      <c r="M9" s="241" t="inlineStr">
        <is>
          <t>note</t>
        </is>
      </c>
      <c r="O9" s="6" t="n"/>
      <c r="P9" s="6" t="n"/>
      <c r="Q9" s="6" t="n"/>
      <c r="R9" s="6" t="n"/>
      <c r="S9" s="6" t="n"/>
      <c r="T9" s="6" t="n"/>
      <c r="U9" s="6" t="n"/>
    </row>
    <row r="10" ht="17.25" customHeight="1" s="340">
      <c r="C10" s="349" t="n"/>
      <c r="D10" s="349" t="n"/>
      <c r="E10" s="241" t="inlineStr">
        <is>
          <t>the whole</t>
        </is>
      </c>
      <c r="F10" s="342" t="n"/>
      <c r="G10" s="341" t="n"/>
      <c r="H10" s="242" t="inlineStr">
        <is>
          <t>Result</t>
        </is>
      </c>
      <c r="I10" s="342" t="n"/>
      <c r="J10" s="341" t="n"/>
      <c r="K10" s="242" t="inlineStr">
        <is>
          <t>Degree of Completion</t>
        </is>
      </c>
      <c r="L10" s="341" t="n"/>
      <c r="M10" s="349" t="n"/>
      <c r="O10" s="6" t="n"/>
      <c r="P10" s="6" t="n"/>
      <c r="Q10" s="6" t="n"/>
      <c r="R10" s="6" t="n"/>
      <c r="S10" s="6" t="n"/>
      <c r="T10" s="6" t="n"/>
      <c r="U10" s="6" t="n"/>
    </row>
    <row r="11" ht="24.75" customHeight="1" s="340">
      <c r="C11" s="7" t="n">
        <v>1</v>
      </c>
      <c r="D11" s="56" t="inlineStr">
        <is>
          <t>Material Management</t>
        </is>
      </c>
      <c r="E11" s="350">
        <f>'Checksheet QPA'!E51</f>
        <v/>
      </c>
      <c r="F11" s="342" t="n"/>
      <c r="G11" s="341" t="n"/>
      <c r="H11" s="351" t="n"/>
      <c r="I11" s="342" t="n"/>
      <c r="J11" s="341" t="n"/>
      <c r="K11" s="352">
        <f>H11/E11*100</f>
        <v/>
      </c>
      <c r="L11" s="353" t="n"/>
      <c r="M11" s="8" t="n"/>
      <c r="O11" s="6" t="n"/>
      <c r="P11" s="6" t="n"/>
      <c r="Q11" s="6" t="n"/>
      <c r="R11" s="6" t="n"/>
      <c r="S11" s="6" t="n"/>
      <c r="T11" s="6" t="n"/>
      <c r="U11" s="6" t="n"/>
    </row>
    <row r="12" ht="24.75" customHeight="1" s="340">
      <c r="C12" s="227" t="n">
        <v>2</v>
      </c>
      <c r="D12" s="57" t="inlineStr">
        <is>
          <t>Material Inspection  and  Preparation</t>
        </is>
      </c>
      <c r="E12" s="350">
        <f>'Checksheet QPA'!E52</f>
        <v/>
      </c>
      <c r="F12" s="342" t="n"/>
      <c r="G12" s="341" t="n"/>
      <c r="H12" s="351" t="n"/>
      <c r="I12" s="342" t="n"/>
      <c r="J12" s="341" t="n"/>
      <c r="K12" s="352">
        <f>H12/E12*100</f>
        <v/>
      </c>
      <c r="L12" s="353" t="n"/>
      <c r="M12" s="9" t="n"/>
      <c r="O12" s="6" t="n"/>
      <c r="P12" s="6" t="n"/>
      <c r="Q12" s="6" t="n"/>
      <c r="R12" s="6" t="n"/>
      <c r="S12" s="6" t="n"/>
      <c r="T12" s="6" t="n"/>
      <c r="U12" s="6" t="n"/>
    </row>
    <row r="13" ht="24.75" customHeight="1" s="340">
      <c r="C13" s="227" t="n">
        <v>3</v>
      </c>
      <c r="D13" s="57" t="inlineStr">
        <is>
          <t>Production Process</t>
        </is>
      </c>
      <c r="E13" s="350">
        <f>'Checksheet QPA'!E53</f>
        <v/>
      </c>
      <c r="F13" s="342" t="n"/>
      <c r="G13" s="341" t="n"/>
      <c r="H13" s="351" t="n"/>
      <c r="I13" s="342" t="n"/>
      <c r="J13" s="341" t="n"/>
      <c r="K13" s="352">
        <f>H13/E13*100</f>
        <v/>
      </c>
      <c r="L13" s="353" t="n"/>
      <c r="M13" s="9" t="n"/>
      <c r="O13" s="6" t="n"/>
      <c r="P13" s="6" t="n"/>
      <c r="Q13" s="6" t="n"/>
      <c r="R13" s="6" t="n"/>
      <c r="S13" s="6" t="n"/>
      <c r="T13" s="6" t="n"/>
      <c r="U13" s="6" t="n"/>
    </row>
    <row r="14" ht="24.75" customHeight="1" s="340">
      <c r="C14" s="227" t="n">
        <v>4</v>
      </c>
      <c r="D14" s="57" t="inlineStr">
        <is>
          <t>Product Evaluation</t>
        </is>
      </c>
      <c r="E14" s="350">
        <f>'Checksheet QPA'!E54</f>
        <v/>
      </c>
      <c r="F14" s="342" t="n"/>
      <c r="G14" s="341" t="n"/>
      <c r="H14" s="351" t="n"/>
      <c r="I14" s="342" t="n"/>
      <c r="J14" s="341" t="n"/>
      <c r="K14" s="352">
        <f>H14/E14*100</f>
        <v/>
      </c>
      <c r="L14" s="353" t="n"/>
      <c r="M14" s="9" t="n"/>
      <c r="O14" s="6" t="n"/>
      <c r="P14" s="6" t="n"/>
      <c r="Q14" s="6" t="n"/>
      <c r="R14" s="6" t="n"/>
      <c r="S14" s="6" t="n"/>
      <c r="T14" s="6" t="n"/>
      <c r="U14" s="6" t="n"/>
      <c r="Y14" s="10" t="inlineStr">
        <is>
          <t xml:space="preserve">  </t>
        </is>
      </c>
    </row>
    <row r="15" ht="24.75" customHeight="1" s="340">
      <c r="C15" s="227" t="n">
        <v>5</v>
      </c>
      <c r="D15" s="57" t="inlineStr">
        <is>
          <t>Packing Management</t>
        </is>
      </c>
      <c r="E15" s="350">
        <f>'Checksheet QPA'!E55</f>
        <v/>
      </c>
      <c r="F15" s="342" t="n"/>
      <c r="G15" s="341" t="n"/>
      <c r="H15" s="351" t="n"/>
      <c r="I15" s="342" t="n"/>
      <c r="J15" s="341" t="n"/>
      <c r="K15" s="352">
        <f>H15/E15*100</f>
        <v/>
      </c>
      <c r="L15" s="353" t="n"/>
      <c r="M15" s="9" t="n"/>
      <c r="O15" s="6" t="n"/>
      <c r="P15" s="6" t="n"/>
      <c r="Q15" s="6" t="n"/>
      <c r="R15" s="6" t="n"/>
      <c r="S15" s="6" t="n"/>
      <c r="T15" s="6" t="n"/>
      <c r="U15" s="6" t="n"/>
    </row>
    <row r="16" ht="18.95" customHeight="1" s="340">
      <c r="C16" s="237" t="inlineStr">
        <is>
          <t>Evaluation Score/Grade</t>
        </is>
      </c>
      <c r="D16" s="341" t="n"/>
      <c r="E16" s="354">
        <f>SUM(H11:J15)</f>
        <v/>
      </c>
      <c r="F16" s="342" t="n"/>
      <c r="G16" s="341" t="n"/>
      <c r="H16" s="355">
        <f>IF(E16&gt;=90,"A",IF(E16&gt;=80,"B",IF(E16&gt;=70,"C",IF(E16&gt;=60,"D","E"))))</f>
        <v/>
      </c>
      <c r="I16" s="342" t="n"/>
      <c r="J16" s="341" t="n"/>
      <c r="K16" s="356">
        <f>IF(H16="A","Very Good",IF(H16="B"," Good",IF(H16="C","Need Improvement",IF(H16="D","Unsatisfactory","Unsatisfactory"))))</f>
        <v/>
      </c>
      <c r="L16" s="342" t="n"/>
      <c r="M16" s="341" t="n"/>
      <c r="N16" s="6" t="n"/>
      <c r="O16" s="6" t="n"/>
      <c r="P16" s="6" t="n"/>
      <c r="Q16" s="6" t="n"/>
      <c r="R16" s="6" t="n"/>
      <c r="S16" s="6" t="n"/>
      <c r="T16" s="6" t="n"/>
      <c r="U16" s="6" t="n"/>
    </row>
    <row r="17" ht="18.95" customHeight="1" s="340">
      <c r="C17" s="10" t="n"/>
      <c r="D17" s="11" t="n"/>
      <c r="E17" s="11" t="n"/>
      <c r="F17" s="11" t="n"/>
      <c r="G17" s="11" t="n"/>
      <c r="H17" s="11" t="n"/>
      <c r="I17" s="11" t="n"/>
      <c r="J17" s="10" t="inlineStr">
        <is>
          <t xml:space="preserve">    </t>
        </is>
      </c>
    </row>
    <row r="18" ht="18.95" customHeight="1" s="340">
      <c r="C18" s="3" t="inlineStr">
        <is>
          <t>□ Improvement object Status by type</t>
        </is>
      </c>
      <c r="E18" s="11" t="n"/>
      <c r="F18" s="11" t="n"/>
      <c r="G18" s="11" t="n"/>
      <c r="H18" s="11" t="n"/>
      <c r="I18" s="11" t="n"/>
      <c r="J18" s="10" t="n"/>
    </row>
    <row r="19" ht="21.75" customHeight="1" s="340">
      <c r="C19" s="226" t="inlineStr">
        <is>
          <t>Classification</t>
        </is>
      </c>
      <c r="D19" s="341" t="n"/>
      <c r="E19" s="357" t="inlineStr">
        <is>
          <t>Number of Cases</t>
        </is>
      </c>
      <c r="F19" s="342" t="n"/>
      <c r="G19" s="342" t="n"/>
      <c r="H19" s="341" t="n"/>
      <c r="I19" s="131" t="n"/>
      <c r="J19" s="10" t="n"/>
    </row>
    <row r="20" ht="21.75" customHeight="1" s="340">
      <c r="C20" s="57" t="inlineStr">
        <is>
          <t>Material Management</t>
        </is>
      </c>
      <c r="D20" s="341" t="n"/>
      <c r="E20" s="358" t="n"/>
      <c r="F20" s="342" t="n"/>
      <c r="G20" s="342" t="n"/>
      <c r="H20" s="341" t="n"/>
      <c r="I20" s="131" t="n"/>
      <c r="J20" s="10" t="n"/>
    </row>
    <row r="21" ht="21.75" customHeight="1" s="340">
      <c r="C21" s="57" t="inlineStr">
        <is>
          <t>Material Inspection  and  Preparation</t>
        </is>
      </c>
      <c r="D21" s="341" t="n"/>
      <c r="E21" s="358" t="n"/>
      <c r="F21" s="342" t="n"/>
      <c r="G21" s="342" t="n"/>
      <c r="H21" s="341" t="n"/>
      <c r="I21" s="131" t="n"/>
      <c r="J21" s="10" t="n"/>
    </row>
    <row r="22" ht="21.75" customHeight="1" s="340">
      <c r="C22" s="57" t="inlineStr">
        <is>
          <t>Production Process</t>
        </is>
      </c>
      <c r="D22" s="341" t="n"/>
      <c r="E22" s="358" t="n"/>
      <c r="F22" s="342" t="n"/>
      <c r="G22" s="342" t="n"/>
      <c r="H22" s="341" t="n"/>
      <c r="I22" s="131" t="n"/>
      <c r="J22" s="10" t="n"/>
    </row>
    <row r="23" ht="21.75" customHeight="1" s="340">
      <c r="C23" s="57" t="inlineStr">
        <is>
          <t>Product Evaluation</t>
        </is>
      </c>
      <c r="D23" s="341" t="n"/>
      <c r="E23" s="358" t="n"/>
      <c r="F23" s="342" t="n"/>
      <c r="G23" s="342" t="n"/>
      <c r="H23" s="341" t="n"/>
      <c r="I23" s="131" t="n"/>
      <c r="J23" s="10" t="n"/>
    </row>
    <row r="24" ht="21.75" customHeight="1" s="340">
      <c r="C24" s="57" t="inlineStr">
        <is>
          <t>Packing Management</t>
        </is>
      </c>
      <c r="D24" s="341" t="n"/>
      <c r="E24" s="358" t="n"/>
      <c r="F24" s="342" t="n"/>
      <c r="G24" s="342" t="n"/>
      <c r="H24" s="341" t="n"/>
      <c r="I24" s="131" t="n"/>
      <c r="J24" s="10" t="n"/>
    </row>
    <row r="25" ht="21.75" customHeight="1" s="340">
      <c r="C25" s="212" t="inlineStr">
        <is>
          <t>Total</t>
        </is>
      </c>
      <c r="D25" s="341" t="n"/>
      <c r="E25" s="359" t="n"/>
      <c r="F25" s="342" t="n"/>
      <c r="G25" s="342" t="n"/>
      <c r="H25" s="341" t="n"/>
      <c r="I25" s="131" t="n"/>
      <c r="J25" s="10" t="n"/>
    </row>
    <row r="26" ht="22.5" customHeight="1" s="340">
      <c r="C26" s="12" t="n"/>
      <c r="D26" s="12" t="n"/>
      <c r="E26" s="11" t="n"/>
      <c r="F26" s="11" t="n"/>
      <c r="G26" s="11" t="n"/>
      <c r="H26" s="11" t="n"/>
      <c r="I26" s="11" t="n"/>
      <c r="J26" s="6" t="n"/>
      <c r="K26" s="6" t="n"/>
      <c r="L26" s="6" t="n"/>
      <c r="M26" s="6" t="n"/>
    </row>
    <row r="27" ht="18.75" customHeight="1" s="340">
      <c r="C27" s="223" t="n"/>
    </row>
    <row r="28" ht="21" customHeight="1" s="340">
      <c r="D28" s="13" t="n"/>
      <c r="E28" s="6" t="n"/>
      <c r="F28" s="6" t="n"/>
      <c r="G28" s="6" t="n"/>
      <c r="H28" s="6" t="n"/>
      <c r="I28" s="6" t="n"/>
      <c r="N28" s="6" t="n"/>
      <c r="O28" s="6" t="n"/>
      <c r="P28" s="6" t="n"/>
      <c r="Q28" s="6" t="n"/>
      <c r="R28" s="6" t="n"/>
    </row>
    <row r="29" ht="30" customHeight="1" s="340">
      <c r="S29" s="14" t="n"/>
    </row>
    <row r="30" ht="15" customHeight="1" s="340">
      <c r="C30" s="15" t="n"/>
    </row>
    <row r="31" ht="18.75" customHeight="1" s="340"/>
    <row r="33" ht="18" customHeight="1" s="340"/>
    <row r="34" ht="18" customHeight="1" s="340"/>
    <row r="35" ht="18" customHeight="1" s="340"/>
    <row r="36" ht="18" customHeight="1" s="340"/>
    <row r="37" ht="18" customHeight="1" s="340"/>
    <row r="38" ht="18" customHeight="1" s="340"/>
    <row r="42" ht="18.75" customHeight="1" s="340"/>
    <row r="43" ht="18.75" customHeight="1" s="340"/>
    <row r="44" ht="18.75" customHeight="1" s="340"/>
  </sheetData>
  <mergeCells count="54">
    <mergeCell ref="C27:R27"/>
    <mergeCell ref="E10:G10"/>
    <mergeCell ref="C24:D24"/>
    <mergeCell ref="E13:G13"/>
    <mergeCell ref="K15:L15"/>
    <mergeCell ref="E9:G9"/>
    <mergeCell ref="J4:L4"/>
    <mergeCell ref="M5:N5"/>
    <mergeCell ref="E25:H25"/>
    <mergeCell ref="E15:G15"/>
    <mergeCell ref="H11:J11"/>
    <mergeCell ref="E22:H22"/>
    <mergeCell ref="H9:L9"/>
    <mergeCell ref="H16:J16"/>
    <mergeCell ref="C9:C10"/>
    <mergeCell ref="C20:D20"/>
    <mergeCell ref="K11:L11"/>
    <mergeCell ref="E11:G11"/>
    <mergeCell ref="C16:D16"/>
    <mergeCell ref="O5:P5"/>
    <mergeCell ref="C25:D25"/>
    <mergeCell ref="F4:I4"/>
    <mergeCell ref="Q5:R5"/>
    <mergeCell ref="H13:J13"/>
    <mergeCell ref="E21:H21"/>
    <mergeCell ref="H12:J12"/>
    <mergeCell ref="C22:D22"/>
    <mergeCell ref="O4:P4"/>
    <mergeCell ref="E24:H24"/>
    <mergeCell ref="Q4:R4"/>
    <mergeCell ref="E16:G16"/>
    <mergeCell ref="H15:J15"/>
    <mergeCell ref="D9:D10"/>
    <mergeCell ref="E23:H23"/>
    <mergeCell ref="K12:L12"/>
    <mergeCell ref="C21:D21"/>
    <mergeCell ref="H14:J14"/>
    <mergeCell ref="E20:H20"/>
    <mergeCell ref="E12:G12"/>
    <mergeCell ref="F5:I5"/>
    <mergeCell ref="K16:M16"/>
    <mergeCell ref="K14:L14"/>
    <mergeCell ref="C23:D23"/>
    <mergeCell ref="E19:H19"/>
    <mergeCell ref="J5:L5"/>
    <mergeCell ref="H10:J10"/>
    <mergeCell ref="C5:E5"/>
    <mergeCell ref="E14:G14"/>
    <mergeCell ref="M9:M10"/>
    <mergeCell ref="K10:L10"/>
    <mergeCell ref="C19:D19"/>
    <mergeCell ref="C4:E4"/>
    <mergeCell ref="K13:L13"/>
    <mergeCell ref="M4:N4"/>
  </mergeCells>
  <pageMargins left="0.1574803149606299" right="0.1574803149606299" top="0.1574803149606299" bottom="0.1574803149606299" header="0.1574803149606299" footer="0.1574803149606299"/>
  <pageSetup orientation="landscape" paperSize="9"/>
  <drawing xmlns:r="http://schemas.openxmlformats.org/officeDocument/2006/relationships" r:id="rId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N38"/>
  <sheetViews>
    <sheetView showGridLines="0" topLeftCell="E1" zoomScaleNormal="100" workbookViewId="0">
      <selection activeCell="F12" sqref="F12:F14"/>
    </sheetView>
  </sheetViews>
  <sheetFormatPr baseColWidth="8" defaultColWidth="8.875" defaultRowHeight="12.75"/>
  <cols>
    <col width="2.625" customWidth="1" style="16" min="1" max="1"/>
    <col width="15.25" bestFit="1" customWidth="1" style="16" min="2" max="2"/>
    <col width="4.875" bestFit="1" customWidth="1" style="16" min="3" max="3"/>
    <col width="37" customWidth="1" style="17" min="4" max="4"/>
    <col width="27.25" customWidth="1" style="17" min="5" max="5"/>
    <col width="53.75" customWidth="1" style="17" min="6" max="6"/>
    <col width="42.75" customWidth="1" style="17" min="7" max="7"/>
    <col width="8.75" customWidth="1" style="16" min="8" max="8"/>
    <col width="10.75" customWidth="1" style="16" min="9" max="9"/>
    <col width="15.625" bestFit="1" customWidth="1" style="17" min="10" max="10"/>
    <col width="11.5" customWidth="1" style="16" min="11" max="11"/>
    <col width="11" bestFit="1" customWidth="1" style="16" min="12" max="12"/>
    <col width="19.875" customWidth="1" style="16" min="13" max="13"/>
    <col width="10.25" bestFit="1" customWidth="1" style="16" min="14" max="14"/>
    <col width="2.625" customWidth="1" style="16" min="15" max="15"/>
    <col width="7.75" customWidth="1" style="16" min="16" max="25"/>
    <col width="8.125" customWidth="1" style="16" min="26" max="26"/>
    <col width="8.875" customWidth="1" style="16" min="27" max="16384"/>
  </cols>
  <sheetData>
    <row r="1"/>
    <row r="2" ht="23.25" customHeight="1" s="340">
      <c r="B2" s="18" t="inlineStr">
        <is>
          <t>Quality Process Audit Non-Conforming Item</t>
        </is>
      </c>
      <c r="K2" s="148" t="n"/>
      <c r="L2" s="148" t="n"/>
      <c r="M2" s="148" t="n"/>
      <c r="N2" s="149" t="n"/>
    </row>
    <row r="3">
      <c r="K3" s="150" t="n"/>
      <c r="L3" s="150" t="n"/>
      <c r="M3" s="150" t="n"/>
      <c r="N3" s="151" t="n"/>
    </row>
    <row r="4" ht="13.5" customHeight="1" s="340" thickBot="1">
      <c r="K4" s="19" t="n"/>
      <c r="L4" s="19" t="n"/>
      <c r="M4" s="19" t="n"/>
      <c r="N4" s="58" t="n"/>
    </row>
    <row r="5" hidden="1" ht="13.5" customHeight="1" s="340" thickBot="1">
      <c r="K5" s="19" t="n"/>
      <c r="L5" s="19" t="n"/>
      <c r="M5" s="19" t="inlineStr">
        <is>
          <t>해결</t>
        </is>
      </c>
      <c r="N5" s="58" t="n"/>
    </row>
    <row r="6" hidden="1" ht="13.5" customHeight="1" s="340" thickBot="1">
      <c r="K6" s="19" t="n"/>
      <c r="L6" s="19" t="n"/>
      <c r="M6" s="19" t="inlineStr">
        <is>
          <t>미결</t>
        </is>
      </c>
      <c r="N6" s="58" t="n"/>
    </row>
    <row r="7" hidden="1" ht="13.5" customHeight="1" s="340" thickBot="1"/>
    <row r="8" ht="22.5" customHeight="1" s="340">
      <c r="B8" s="360" t="inlineStr">
        <is>
          <t>Classification</t>
        </is>
      </c>
      <c r="C8" s="361" t="inlineStr">
        <is>
          <t>NO</t>
        </is>
      </c>
      <c r="D8" s="59" t="inlineStr">
        <is>
          <t>Problem</t>
        </is>
      </c>
      <c r="E8" s="60" t="n"/>
      <c r="F8" s="263" t="inlineStr">
        <is>
          <t>Countermeasure for Improvement</t>
        </is>
      </c>
      <c r="G8" s="362" t="n"/>
      <c r="H8" s="61" t="n"/>
      <c r="I8" s="61" t="n"/>
      <c r="J8" s="363" t="inlineStr">
        <is>
          <t>Confirmation Result</t>
        </is>
      </c>
      <c r="K8" s="362" t="n"/>
      <c r="L8" s="364" t="n"/>
      <c r="M8" s="365" t="inlineStr">
        <is>
          <t>Completion Status</t>
        </is>
      </c>
      <c r="N8" s="366" t="inlineStr">
        <is>
          <t>Reproducibility status</t>
        </is>
      </c>
    </row>
    <row r="9" ht="13.5" customHeight="1" s="340" thickBot="1">
      <c r="B9" s="367" t="n"/>
      <c r="C9" s="368" t="n"/>
      <c r="D9" s="62" t="inlineStr">
        <is>
          <t>Pointed-out Item</t>
        </is>
      </c>
      <c r="E9" s="63" t="inlineStr">
        <is>
          <t>Phenomenon</t>
        </is>
      </c>
      <c r="F9" s="64" t="inlineStr">
        <is>
          <t>Improvement Plan</t>
        </is>
      </c>
      <c r="G9" s="163" t="inlineStr">
        <is>
          <t>Picture</t>
        </is>
      </c>
      <c r="H9" s="62" t="inlineStr">
        <is>
          <t>Person in charge</t>
        </is>
      </c>
      <c r="I9" s="64" t="inlineStr">
        <is>
          <t>Schedule</t>
        </is>
      </c>
      <c r="J9" s="65" t="inlineStr">
        <is>
          <t>Confirmed content</t>
        </is>
      </c>
      <c r="K9" s="62" t="inlineStr">
        <is>
          <t>Schedule</t>
        </is>
      </c>
      <c r="L9" s="64" t="inlineStr">
        <is>
          <t>person in charge</t>
        </is>
      </c>
      <c r="M9" s="368" t="n"/>
      <c r="N9" s="369" t="n"/>
    </row>
    <row r="10" hidden="1" ht="135" customHeight="1" s="340" thickTop="1">
      <c r="B10" s="161" t="n"/>
      <c r="C10" s="20" t="n"/>
      <c r="D10" s="21" t="n"/>
      <c r="E10" s="22" t="n"/>
      <c r="F10" s="21" t="n"/>
      <c r="G10" s="22" t="n"/>
      <c r="H10" s="162" t="n"/>
      <c r="I10" s="24" t="n"/>
      <c r="J10" s="25" t="n"/>
      <c r="K10" s="26" t="n"/>
      <c r="L10" s="25" t="n"/>
      <c r="M10" s="26" t="n"/>
      <c r="N10" s="27" t="n"/>
    </row>
    <row r="11" hidden="1" ht="117" customHeight="1" s="340">
      <c r="B11" s="184" t="n"/>
      <c r="C11" s="185" t="n"/>
      <c r="D11" s="181" t="n"/>
      <c r="E11" s="183" t="n"/>
      <c r="F11" s="181" t="n"/>
      <c r="G11" s="183" t="n"/>
      <c r="H11" s="189" t="n"/>
      <c r="I11" s="190" t="n"/>
      <c r="J11" s="191" t="n"/>
      <c r="K11" s="192" t="n"/>
      <c r="L11" s="191" t="n"/>
      <c r="M11" s="192" t="n"/>
      <c r="N11" s="193" t="n"/>
    </row>
    <row r="12" ht="114" customHeight="1" s="340" thickTop="1">
      <c r="B12" s="187" t="n"/>
      <c r="C12" s="187" t="n"/>
      <c r="D12" s="188" t="n"/>
      <c r="E12" s="182" t="n"/>
      <c r="F12" s="182" t="n"/>
      <c r="G12" s="182" t="n"/>
      <c r="H12" s="196" t="n"/>
      <c r="I12" s="197" t="n"/>
      <c r="J12" s="198" t="n"/>
      <c r="K12" s="197" t="n"/>
      <c r="L12" s="199" t="n"/>
      <c r="M12" s="197" t="n"/>
      <c r="N12" s="200" t="n"/>
    </row>
    <row r="13" ht="107.25" customHeight="1" s="340">
      <c r="B13" s="187" t="n"/>
      <c r="C13" s="187" t="n"/>
      <c r="D13" s="188" t="n"/>
      <c r="E13" s="182" t="n"/>
      <c r="F13" s="182" t="n"/>
      <c r="G13" s="182" t="n"/>
      <c r="H13" s="196" t="n"/>
      <c r="I13" s="197" t="n"/>
      <c r="J13" s="198" t="n"/>
      <c r="K13" s="197" t="n"/>
      <c r="L13" s="199" t="n"/>
      <c r="M13" s="197" t="n"/>
      <c r="N13" s="200" t="n"/>
    </row>
    <row r="14" ht="107.25" customHeight="1" s="340">
      <c r="B14" s="187" t="n"/>
      <c r="C14" s="187" t="n"/>
      <c r="D14" s="188" t="n"/>
      <c r="E14" s="182" t="n"/>
      <c r="F14" s="182" t="n"/>
      <c r="G14" s="182" t="n"/>
      <c r="H14" s="196" t="n"/>
      <c r="I14" s="197" t="n"/>
      <c r="J14" s="198" t="n"/>
      <c r="K14" s="197" t="n"/>
      <c r="L14" s="199" t="n"/>
      <c r="M14" s="197" t="n"/>
      <c r="N14" s="200" t="n"/>
    </row>
    <row r="15" ht="112.5" customHeight="1" s="340">
      <c r="B15" s="187" t="n"/>
      <c r="C15" s="187" t="n"/>
      <c r="D15" s="188" t="n"/>
      <c r="E15" s="182" t="n"/>
      <c r="F15" s="182" t="n"/>
      <c r="G15" s="182" t="n"/>
      <c r="H15" s="196" t="n"/>
      <c r="I15" s="197" t="n"/>
      <c r="J15" s="198" t="n"/>
      <c r="K15" s="197" t="n"/>
      <c r="L15" s="199" t="n"/>
      <c r="M15" s="197" t="n"/>
      <c r="N15" s="200" t="n"/>
    </row>
    <row r="16" ht="114.75" customHeight="1" s="340">
      <c r="B16" s="187" t="n"/>
      <c r="C16" s="187" t="n"/>
      <c r="D16" s="188" t="n"/>
      <c r="E16" s="182" t="n"/>
      <c r="F16" s="182" t="n"/>
      <c r="G16" s="182" t="n"/>
      <c r="H16" s="196" t="n"/>
      <c r="I16" s="197" t="n"/>
      <c r="J16" s="198" t="n"/>
      <c r="K16" s="197" t="n"/>
      <c r="L16" s="199" t="n"/>
      <c r="M16" s="197" t="n"/>
      <c r="N16" s="200" t="n"/>
    </row>
    <row r="17">
      <c r="B17" s="186" t="n"/>
      <c r="C17" s="20" t="n"/>
      <c r="D17" s="21" t="n"/>
      <c r="E17" s="22" t="n"/>
      <c r="F17" s="23" t="n"/>
      <c r="G17" s="23" t="n"/>
      <c r="H17" s="194" t="n"/>
      <c r="I17" s="24" t="n"/>
      <c r="J17" s="25" t="n"/>
      <c r="K17" s="26" t="n"/>
      <c r="L17" s="195" t="n"/>
      <c r="M17" s="26" t="n"/>
      <c r="N17" s="27" t="n"/>
    </row>
    <row r="18">
      <c r="B18" s="28" t="n"/>
      <c r="C18" s="29" t="n"/>
      <c r="D18" s="30" t="n"/>
      <c r="E18" s="31" t="n"/>
      <c r="F18" s="32" t="n"/>
      <c r="G18" s="32" t="n"/>
      <c r="H18" s="33" t="n"/>
      <c r="I18" s="34" t="n"/>
      <c r="J18" s="35" t="n"/>
      <c r="K18" s="36" t="n"/>
      <c r="L18" s="37" t="n"/>
      <c r="M18" s="36" t="n"/>
      <c r="N18" s="38" t="n"/>
    </row>
    <row r="19">
      <c r="B19" s="28" t="n"/>
      <c r="C19" s="29" t="n"/>
      <c r="D19" s="30" t="n"/>
      <c r="E19" s="31" t="n"/>
      <c r="F19" s="32" t="n"/>
      <c r="G19" s="32" t="n"/>
      <c r="H19" s="33" t="n"/>
      <c r="I19" s="34" t="n"/>
      <c r="J19" s="35" t="n"/>
      <c r="K19" s="36" t="n"/>
      <c r="L19" s="37" t="n"/>
      <c r="M19" s="36" t="n"/>
      <c r="N19" s="38" t="n"/>
    </row>
    <row r="20">
      <c r="B20" s="28" t="n"/>
      <c r="C20" s="29" t="n"/>
      <c r="D20" s="30" t="n"/>
      <c r="E20" s="31" t="n"/>
      <c r="F20" s="32" t="n"/>
      <c r="G20" s="32" t="n"/>
      <c r="H20" s="33" t="n"/>
      <c r="I20" s="34" t="n"/>
      <c r="J20" s="35" t="n"/>
      <c r="K20" s="36" t="n"/>
      <c r="L20" s="37" t="n"/>
      <c r="M20" s="36" t="n"/>
      <c r="N20" s="38" t="n"/>
    </row>
    <row r="21">
      <c r="B21" s="28" t="n"/>
      <c r="C21" s="29" t="n"/>
      <c r="D21" s="30" t="n"/>
      <c r="E21" s="31" t="n"/>
      <c r="F21" s="32" t="n"/>
      <c r="G21" s="32" t="n"/>
      <c r="H21" s="33" t="n"/>
      <c r="I21" s="34" t="n"/>
      <c r="J21" s="35" t="n"/>
      <c r="K21" s="36" t="n"/>
      <c r="L21" s="37" t="n"/>
      <c r="M21" s="36" t="n"/>
      <c r="N21" s="38" t="n"/>
    </row>
    <row r="22">
      <c r="B22" s="28" t="n"/>
      <c r="C22" s="29" t="n"/>
      <c r="D22" s="30" t="n"/>
      <c r="E22" s="31" t="n"/>
      <c r="F22" s="32" t="n"/>
      <c r="G22" s="32" t="n"/>
      <c r="H22" s="33" t="n"/>
      <c r="I22" s="34" t="n"/>
      <c r="J22" s="35" t="n"/>
      <c r="K22" s="36" t="n"/>
      <c r="L22" s="37" t="n"/>
      <c r="M22" s="36" t="n"/>
      <c r="N22" s="38" t="n"/>
    </row>
    <row r="23">
      <c r="B23" s="28" t="n"/>
      <c r="C23" s="29" t="n"/>
      <c r="D23" s="30" t="n"/>
      <c r="E23" s="31" t="n"/>
      <c r="F23" s="32" t="n"/>
      <c r="G23" s="32" t="n"/>
      <c r="H23" s="33" t="n"/>
      <c r="I23" s="34" t="n"/>
      <c r="J23" s="35" t="n"/>
      <c r="K23" s="36" t="n"/>
      <c r="L23" s="37" t="n"/>
      <c r="M23" s="36" t="n"/>
      <c r="N23" s="38" t="n"/>
    </row>
    <row r="24">
      <c r="B24" s="28" t="n"/>
      <c r="C24" s="29" t="n"/>
      <c r="D24" s="30" t="n"/>
      <c r="E24" s="31" t="n"/>
      <c r="F24" s="32" t="n"/>
      <c r="G24" s="32" t="n"/>
      <c r="H24" s="33" t="n"/>
      <c r="I24" s="34" t="n"/>
      <c r="J24" s="35" t="n"/>
      <c r="K24" s="36" t="n"/>
      <c r="L24" s="37" t="n"/>
      <c r="M24" s="36" t="n"/>
      <c r="N24" s="38" t="n"/>
    </row>
    <row r="25">
      <c r="B25" s="28" t="n"/>
      <c r="C25" s="29" t="n"/>
      <c r="D25" s="30" t="n"/>
      <c r="E25" s="31" t="n"/>
      <c r="F25" s="32" t="n"/>
      <c r="G25" s="32" t="n"/>
      <c r="H25" s="33" t="n"/>
      <c r="I25" s="34" t="n"/>
      <c r="J25" s="35" t="n"/>
      <c r="K25" s="36" t="n"/>
      <c r="L25" s="37" t="n"/>
      <c r="M25" s="36" t="n"/>
      <c r="N25" s="38" t="n"/>
    </row>
    <row r="26">
      <c r="B26" s="28" t="n"/>
      <c r="C26" s="29" t="n"/>
      <c r="D26" s="30" t="n"/>
      <c r="E26" s="31" t="n"/>
      <c r="F26" s="32" t="n"/>
      <c r="G26" s="32" t="n"/>
      <c r="H26" s="33" t="n"/>
      <c r="I26" s="34" t="n"/>
      <c r="J26" s="35" t="n"/>
      <c r="K26" s="36" t="n"/>
      <c r="L26" s="37" t="n"/>
      <c r="M26" s="36" t="n"/>
      <c r="N26" s="38" t="n"/>
    </row>
    <row r="27">
      <c r="B27" s="28" t="n"/>
      <c r="C27" s="29" t="n"/>
      <c r="D27" s="30" t="n"/>
      <c r="E27" s="31" t="n"/>
      <c r="F27" s="32" t="n"/>
      <c r="G27" s="32" t="n"/>
      <c r="H27" s="33" t="n"/>
      <c r="I27" s="34" t="n"/>
      <c r="J27" s="35" t="n"/>
      <c r="K27" s="36" t="n"/>
      <c r="L27" s="37" t="n"/>
      <c r="M27" s="36" t="n"/>
      <c r="N27" s="38" t="n"/>
    </row>
    <row r="28">
      <c r="B28" s="28" t="n"/>
      <c r="C28" s="29" t="n"/>
      <c r="D28" s="30" t="n"/>
      <c r="E28" s="31" t="n"/>
      <c r="F28" s="39" t="n"/>
      <c r="G28" s="39" t="n"/>
      <c r="H28" s="40" t="n"/>
      <c r="I28" s="41" t="n"/>
      <c r="J28" s="42" t="n"/>
      <c r="K28" s="36" t="n"/>
      <c r="L28" s="37" t="n"/>
      <c r="M28" s="36" t="n"/>
      <c r="N28" s="38" t="n"/>
    </row>
    <row r="29">
      <c r="B29" s="43" t="n"/>
      <c r="C29" s="29" t="n"/>
      <c r="D29" s="30" t="n"/>
      <c r="E29" s="31" t="n"/>
      <c r="F29" s="32" t="n"/>
      <c r="G29" s="32" t="n"/>
      <c r="H29" s="40" t="n"/>
      <c r="I29" s="41" t="n"/>
      <c r="J29" s="35" t="n"/>
      <c r="K29" s="36" t="n"/>
      <c r="L29" s="37" t="n"/>
      <c r="M29" s="36" t="n"/>
      <c r="N29" s="38" t="n"/>
    </row>
    <row r="30">
      <c r="B30" s="43" t="n"/>
      <c r="C30" s="29" t="n"/>
      <c r="D30" s="30" t="n"/>
      <c r="E30" s="31" t="n"/>
      <c r="F30" s="32" t="n"/>
      <c r="G30" s="32" t="n"/>
      <c r="H30" s="33" t="n"/>
      <c r="I30" s="34" t="n"/>
      <c r="J30" s="35" t="n"/>
      <c r="K30" s="36" t="n"/>
      <c r="L30" s="37" t="n"/>
      <c r="M30" s="36" t="n"/>
      <c r="N30" s="38" t="n"/>
    </row>
    <row r="31">
      <c r="B31" s="43" t="n"/>
      <c r="C31" s="29" t="n"/>
      <c r="D31" s="30" t="n"/>
      <c r="E31" s="31" t="n"/>
      <c r="F31" s="32" t="n"/>
      <c r="G31" s="32" t="n"/>
      <c r="H31" s="33" t="n"/>
      <c r="I31" s="34" t="n"/>
      <c r="J31" s="35" t="n"/>
      <c r="K31" s="36" t="n"/>
      <c r="L31" s="37" t="n"/>
      <c r="M31" s="36" t="n"/>
      <c r="N31" s="38" t="n"/>
    </row>
    <row r="32">
      <c r="B32" s="43" t="n"/>
      <c r="C32" s="29" t="n"/>
      <c r="D32" s="30" t="n"/>
      <c r="E32" s="31" t="n"/>
      <c r="F32" s="32" t="n"/>
      <c r="G32" s="32" t="n"/>
      <c r="H32" s="33" t="n"/>
      <c r="I32" s="34" t="n"/>
      <c r="J32" s="35" t="n"/>
      <c r="K32" s="36" t="n"/>
      <c r="L32" s="37" t="n"/>
      <c r="M32" s="36" t="n"/>
      <c r="N32" s="38" t="n"/>
    </row>
    <row r="33">
      <c r="B33" s="43" t="n"/>
      <c r="C33" s="29" t="n"/>
      <c r="D33" s="30" t="n"/>
      <c r="E33" s="31" t="n"/>
      <c r="F33" s="32" t="n"/>
      <c r="G33" s="32" t="n"/>
      <c r="H33" s="33" t="n"/>
      <c r="I33" s="34" t="n"/>
      <c r="J33" s="35" t="n"/>
      <c r="K33" s="36" t="n"/>
      <c r="L33" s="37" t="n"/>
      <c r="M33" s="36" t="n"/>
      <c r="N33" s="38" t="n"/>
    </row>
    <row r="34">
      <c r="B34" s="43" t="n"/>
      <c r="C34" s="29" t="n"/>
      <c r="D34" s="30" t="n"/>
      <c r="E34" s="31" t="n"/>
      <c r="F34" s="32" t="n"/>
      <c r="G34" s="32" t="n"/>
      <c r="H34" s="33" t="n"/>
      <c r="I34" s="34" t="n"/>
      <c r="J34" s="35" t="n"/>
      <c r="K34" s="36" t="n"/>
      <c r="L34" s="37" t="n"/>
      <c r="M34" s="36" t="n"/>
      <c r="N34" s="38" t="n"/>
    </row>
    <row r="35">
      <c r="B35" s="43" t="n"/>
      <c r="C35" s="29" t="n"/>
      <c r="D35" s="30" t="n"/>
      <c r="E35" s="31" t="n"/>
      <c r="F35" s="32" t="n"/>
      <c r="G35" s="32" t="n"/>
      <c r="H35" s="33" t="n"/>
      <c r="I35" s="34" t="n"/>
      <c r="J35" s="35" t="n"/>
      <c r="K35" s="36" t="n"/>
      <c r="L35" s="37" t="n"/>
      <c r="M35" s="36" t="n"/>
      <c r="N35" s="38" t="n"/>
    </row>
    <row r="36">
      <c r="B36" s="43" t="n"/>
      <c r="C36" s="29" t="n"/>
      <c r="D36" s="30" t="n"/>
      <c r="E36" s="31" t="n"/>
      <c r="F36" s="32" t="n"/>
      <c r="G36" s="32" t="n"/>
      <c r="H36" s="33" t="n"/>
      <c r="I36" s="34" t="n"/>
      <c r="J36" s="35" t="n"/>
      <c r="K36" s="36" t="n"/>
      <c r="L36" s="37" t="n"/>
      <c r="M36" s="36" t="n"/>
      <c r="N36" s="38" t="n"/>
    </row>
    <row r="37">
      <c r="B37" s="43" t="n"/>
      <c r="C37" s="29" t="n"/>
      <c r="D37" s="30" t="n"/>
      <c r="E37" s="31" t="n"/>
      <c r="F37" s="32" t="n"/>
      <c r="G37" s="32" t="n"/>
      <c r="H37" s="40" t="n"/>
      <c r="I37" s="41" t="n"/>
      <c r="J37" s="35" t="n"/>
      <c r="K37" s="36" t="n"/>
      <c r="L37" s="37" t="n"/>
      <c r="M37" s="36" t="n"/>
      <c r="N37" s="38" t="n"/>
    </row>
    <row r="38" ht="13.5" customHeight="1" s="340" thickBot="1">
      <c r="B38" s="44" t="n"/>
      <c r="C38" s="45" t="n"/>
      <c r="D38" s="46" t="n"/>
      <c r="E38" s="47" t="n"/>
      <c r="F38" s="48" t="n"/>
      <c r="G38" s="48" t="n"/>
      <c r="H38" s="49" t="n"/>
      <c r="I38" s="50" t="n"/>
      <c r="J38" s="51" t="n"/>
      <c r="K38" s="52" t="n"/>
      <c r="L38" s="53" t="n"/>
      <c r="M38" s="52" t="n"/>
      <c r="N38" s="54" t="n"/>
    </row>
  </sheetData>
  <mergeCells count="6">
    <mergeCell ref="C8:C9"/>
    <mergeCell ref="N8:N9"/>
    <mergeCell ref="M8:M9"/>
    <mergeCell ref="B8:B9"/>
    <mergeCell ref="J8:L8"/>
    <mergeCell ref="F8:G8"/>
  </mergeCells>
  <conditionalFormatting sqref="M8">
    <cfRule type="cellIs" priority="1" operator="equal" stopIfTrue="1">
      <formula>"Y"</formula>
    </cfRule>
    <cfRule type="cellIs" priority="2" operator="equal" dxfId="0" stopIfTrue="1">
      <formula>"N"</formula>
    </cfRule>
  </conditionalFormatting>
  <dataValidations count="1">
    <dataValidation sqref="M12:M38" showDropDown="0" showInputMessage="1" showErrorMessage="1" allowBlank="1" type="list">
      <formula1>$M$5:$M$6</formula1>
    </dataValidation>
  </dataValidations>
  <pageMargins left="0.1574803149606299" right="0.1574803149606299" top="0.1574803149606299" bottom="0.1574803149606299" header="0.1574803149606299" footer="0.1574803149606299"/>
  <pageSetup orientation="landscape" paperSize="9" scale="58"/>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K71"/>
  <sheetViews>
    <sheetView tabSelected="1" view="pageBreakPreview" topLeftCell="A53" zoomScale="70" zoomScaleNormal="70" zoomScaleSheetLayoutView="70" workbookViewId="0">
      <selection activeCell="E68" sqref="E68"/>
    </sheetView>
  </sheetViews>
  <sheetFormatPr baseColWidth="8" defaultColWidth="7.25" defaultRowHeight="15.75"/>
  <cols>
    <col width="11.625" customWidth="1" style="128" min="1" max="1"/>
    <col width="22.25" customWidth="1" style="129" min="2" max="2"/>
    <col width="46.625" customWidth="1" style="90" min="3" max="3"/>
    <col width="50.625" customWidth="1" style="130" min="4" max="4"/>
    <col width="57.125" customWidth="1" style="90" min="5" max="5"/>
    <col width="12.75" customWidth="1" style="127" min="6" max="7"/>
    <col width="25.75" customWidth="1" style="90" min="8" max="8"/>
    <col width="7.25" customWidth="1" style="90" min="9" max="16384"/>
  </cols>
  <sheetData>
    <row r="1" ht="45.75" customHeight="1" s="340">
      <c r="A1" s="336" t="n"/>
      <c r="B1" s="370" t="n"/>
      <c r="C1" s="337" t="inlineStr">
        <is>
          <t>VENDOR QUALIFICATION CHECKSHEET</t>
        </is>
      </c>
      <c r="D1" s="371" t="n"/>
      <c r="E1" s="370" t="n"/>
      <c r="F1" s="372" t="inlineStr">
        <is>
          <t>양식 코드/양식 번호</t>
        </is>
      </c>
      <c r="G1" s="341" t="n"/>
      <c r="H1" s="66" t="inlineStr">
        <is>
          <t>PUR.04.00.07</t>
        </is>
      </c>
    </row>
    <row r="2" ht="45.75" customHeight="1" s="340">
      <c r="A2" s="373" t="n"/>
      <c r="B2" s="374" t="n"/>
      <c r="C2" s="375" t="n"/>
      <c r="D2" s="376" t="n"/>
      <c r="E2" s="353" t="n"/>
      <c r="F2" s="372" t="inlineStr">
        <is>
          <t>Effective Date/ 시행일</t>
        </is>
      </c>
      <c r="G2" s="341" t="n"/>
      <c r="H2" s="68" t="n">
        <v>42036</v>
      </c>
    </row>
    <row r="3" ht="45.75" customHeight="1" s="340">
      <c r="A3" s="375" t="n"/>
      <c r="B3" s="353" t="n"/>
      <c r="C3" s="327" t="inlineStr">
        <is>
          <t>첫 평가/처음으로 평가</t>
        </is>
      </c>
      <c r="D3" s="341" t="n"/>
      <c r="E3" s="152" t="inlineStr">
        <is>
          <t>o 재평가/재평가</t>
        </is>
      </c>
      <c r="F3" s="372" t="inlineStr">
        <is>
          <t>Page/ 합계 trang</t>
        </is>
      </c>
      <c r="G3" s="341" t="n"/>
      <c r="H3" s="69" t="inlineStr">
        <is>
          <t>06</t>
        </is>
      </c>
    </row>
    <row r="4" ht="33.75" customHeight="1" s="340">
      <c r="A4" s="329" t="inlineStr">
        <is>
          <t>공급업체 코드/ 공급업체 코드(ERP)</t>
        </is>
      </c>
      <c r="B4" s="341" t="n"/>
      <c r="C4" s="327" t="inlineStr">
        <is>
          <t>공급업체 이름/공급업체 이름</t>
        </is>
      </c>
      <c r="D4" s="341" t="n"/>
      <c r="E4" s="70" t="inlineStr">
        <is>
          <t>Address/ 주소</t>
        </is>
      </c>
      <c r="F4" s="336" t="inlineStr">
        <is>
          <t>제공되는 제품 유형/제공되는 제품 유형:</t>
        </is>
      </c>
      <c r="G4" s="342" t="n"/>
      <c r="H4" s="341" t="n"/>
    </row>
    <row r="5" ht="66" customHeight="1" s="340">
      <c r="A5" s="327" t="n"/>
      <c r="B5" s="341" t="n"/>
      <c r="C5" s="327" t="inlineStr">
        <is>
          <t>회사 TNHH SAMEUN electronics vina</t>
        </is>
      </c>
      <c r="D5" s="341" t="n"/>
      <c r="E5" s="71" t="inlineStr">
        <is>
          <t>Lot FJ-16, FJ-17 Song Khe Industrial Park, Noi Hoang (남부 지역), Tien Phong 면, Yen Dung District, Bac Giang Province.</t>
        </is>
      </c>
      <c r="F5" s="334" t="inlineStr">
        <is>
          <t>o 원자재/ 원자재 메인
o 부재료/ 보조재료</t>
        </is>
      </c>
      <c r="G5" s="342" t="n"/>
      <c r="H5" s="71" t="inlineStr">
        <is>
          <t>þ아웃소싱 자재/외주 소스로부터의 원자재þ</t>
        </is>
      </c>
    </row>
    <row r="6" ht="33.75" customHeight="1" s="340">
      <c r="A6" s="327" t="inlineStr">
        <is>
          <t>P.I.C/담당자</t>
        </is>
      </c>
      <c r="B6" s="341" t="n"/>
      <c r="C6" s="327" t="inlineStr">
        <is>
          <t>Job title/ 직위</t>
        </is>
      </c>
      <c r="D6" s="70" t="inlineStr">
        <is>
          <t>Department/ 팀 ban</t>
        </is>
      </c>
      <c r="E6" s="327" t="inlineStr">
        <is>
          <t>Email</t>
        </is>
      </c>
      <c r="F6" s="327" t="inlineStr">
        <is>
          <t>Phone No.</t>
        </is>
      </c>
      <c r="G6" s="342" t="n"/>
      <c r="H6" s="341" t="n"/>
    </row>
    <row r="7" ht="66" customHeight="1" s="340">
      <c r="A7" s="327" t="inlineStr">
        <is>
          <t>미스터 통</t>
        </is>
      </c>
      <c r="B7" s="341" t="n"/>
      <c r="C7" s="327" t="inlineStr">
        <is>
          <t>관리</t>
        </is>
      </c>
      <c r="D7" s="327" t="inlineStr">
        <is>
          <t>QC</t>
        </is>
      </c>
      <c r="E7" s="174" t="inlineStr">
        <is>
          <t>havanthong1986@gmail.com</t>
        </is>
      </c>
      <c r="F7" s="330" t="inlineStr">
        <is>
          <t>0984095563</t>
        </is>
      </c>
      <c r="G7" s="342" t="n"/>
      <c r="H7" s="341" t="n"/>
    </row>
    <row r="8" ht="10.5" customHeight="1" s="340">
      <c r="A8" s="90" t="n"/>
      <c r="B8" s="90" t="n"/>
      <c r="C8" s="90" t="n"/>
      <c r="D8" s="90" t="n"/>
      <c r="E8" s="90" t="n"/>
      <c r="F8" s="90" t="n"/>
      <c r="G8" s="90" t="n"/>
    </row>
    <row r="9" ht="35.25" customFormat="1" customHeight="1" s="75">
      <c r="A9" s="377" t="inlineStr">
        <is>
          <t>CONTENT OF EVALUATION</t>
        </is>
      </c>
      <c r="B9" s="342" t="n"/>
      <c r="C9" s="342" t="n"/>
      <c r="D9" s="342" t="n"/>
      <c r="E9" s="342" t="n"/>
      <c r="F9" s="342" t="n"/>
      <c r="G9" s="342" t="n"/>
      <c r="H9" s="341" t="n"/>
      <c r="J9" s="334" t="n"/>
      <c r="K9" s="342" t="n"/>
    </row>
    <row r="10" ht="21" customFormat="1" customHeight="1" s="75">
      <c r="A10" s="323" t="inlineStr">
        <is>
          <t>Section 1 - Warehouse for Materials</t>
        </is>
      </c>
      <c r="B10" s="371" t="n"/>
      <c r="C10" s="371" t="n"/>
      <c r="D10" s="370" t="n"/>
      <c r="E10" s="323" t="inlineStr">
        <is>
          <t>Sub total (Score)</t>
        </is>
      </c>
      <c r="F10" s="77">
        <f>SUM(F13:F15)</f>
        <v/>
      </c>
      <c r="G10" s="77">
        <f>SUM(G13:G15)</f>
        <v/>
      </c>
      <c r="H10" s="307" t="inlineStr">
        <is>
          <t>COMMENT</t>
        </is>
      </c>
    </row>
    <row r="11" ht="21" customFormat="1" customHeight="1" s="75">
      <c r="A11" s="375" t="n"/>
      <c r="B11" s="376" t="n"/>
      <c r="C11" s="376" t="n"/>
      <c r="D11" s="353" t="n"/>
      <c r="E11" s="323" t="inlineStr">
        <is>
          <t xml:space="preserve">Achievement rate </t>
        </is>
      </c>
      <c r="F11" s="78">
        <f>F10/100</f>
        <v/>
      </c>
      <c r="G11" s="78">
        <f>G10/100</f>
        <v/>
      </c>
      <c r="H11" s="378" t="n"/>
    </row>
    <row r="12" ht="31.5" customFormat="1" customHeight="1" s="75">
      <c r="A12" s="79" t="inlineStr">
        <is>
          <t>Question
Number</t>
        </is>
      </c>
      <c r="B12" s="79" t="inlineStr">
        <is>
          <t>Element</t>
        </is>
      </c>
      <c r="C12" s="80" t="inlineStr">
        <is>
          <t xml:space="preserve"> Requirement</t>
        </is>
      </c>
      <c r="D12" s="81" t="inlineStr">
        <is>
          <t>VNM</t>
        </is>
      </c>
      <c r="E12" s="80" t="inlineStr">
        <is>
          <t>Rating Criteria</t>
        </is>
      </c>
      <c r="F12" s="82" t="inlineStr">
        <is>
          <t xml:space="preserve"> Score</t>
        </is>
      </c>
      <c r="G12" s="82" t="inlineStr">
        <is>
          <t xml:space="preserve">Result </t>
        </is>
      </c>
      <c r="H12" s="349" t="n"/>
    </row>
    <row r="13" ht="204" customFormat="1" customHeight="1" s="75">
      <c r="A13" s="105" t="n">
        <v>1</v>
      </c>
      <c r="B13" s="106" t="inlineStr">
        <is>
          <t>Standard</t>
        </is>
      </c>
      <c r="C13" s="85" t="inlineStr">
        <is>
          <t xml:space="preserve">Is the material storage standard established, and are the warehoused materials structuralized for first-in/first-out, and is there management tools? 
</t>
        </is>
      </c>
      <c r="D13" s="85" t="inlineStr">
        <is>
          <t>자재보관기준이 확립되어 있는지, 선입선출 기준이 있는지, 관리 이력이 있는지?</t>
        </is>
      </c>
      <c r="E13" s="85" t="inlineStr">
        <is>
          <t>Score 1: No standard for first-in/first-out, and materials in need of first-in/first-out are not managed.
Score 2 : There is no management standard for first-in/first-out, but first-in/first-out is available for materias in need of it, or only the first-in/first-out management standard is retained.
Score 3: There is first-in/first-out management standard, but required is partial improvement of the management object, or a state of management. 
Score 4 : The first-in/first-out management standard is established, and first-in, first-out process is in progress according to the management standard.</t>
        </is>
      </c>
      <c r="F13" s="283" t="n">
        <v>4</v>
      </c>
      <c r="G13" s="283" t="n"/>
      <c r="H13" s="87" t="n"/>
    </row>
    <row r="14" ht="258" customFormat="1" customHeight="1" s="75">
      <c r="A14" s="105" t="n">
        <v>2</v>
      </c>
      <c r="B14" s="106" t="inlineStr">
        <is>
          <t>Environment</t>
        </is>
      </c>
      <c r="C14" s="173" t="inlineStr">
        <is>
          <t xml:space="preserve">Is the environmental condition of the warehouse under measurement control regularly? (temperature/humidity)
 </t>
        </is>
      </c>
      <c r="D14" s="85" t="inlineStr">
        <is>
          <t>완제품 보관환경(온도,습도)이 관리되고 있나요?</t>
        </is>
      </c>
      <c r="E14" s="85" t="inlineStr">
        <is>
          <t xml:space="preserve">Score 1: : The environmental condition is not defined, nor is the temperature/humidity managed. 
Score 2: : Although the environmental condition is not defiend, temperature/humdity is managed, or the environmental condition for materials storage is established.
Score 3: : The environmental condition is established, but a state of management needs to be improved.
Score 4: : The environmental condition is established, and it is managed according to the established standard. </t>
        </is>
      </c>
      <c r="F14" s="283" t="n">
        <v>4</v>
      </c>
      <c r="G14" s="283" t="n"/>
      <c r="H14" s="87" t="n"/>
    </row>
    <row r="15" ht="280.5" customFormat="1" customHeight="1" s="75">
      <c r="A15" s="105" t="n">
        <v>3</v>
      </c>
      <c r="B15" s="106" t="inlineStr">
        <is>
          <t>Layout</t>
        </is>
      </c>
      <c r="C15" s="85" t="inlineStr">
        <is>
          <t xml:space="preserve">Are the products classified by item in time of materials storage, and is there an identification mark for materials? 
 </t>
        </is>
      </c>
      <c r="D15" s="85" t="inlineStr">
        <is>
          <t>자재는 보관시 품목별로 분류되어 있으며, 자재에 대한 식별 표시가 있나요?</t>
        </is>
      </c>
      <c r="E15" s="85" t="inlineStr">
        <is>
          <t xml:space="preserve">
Score 1: There is no standard for identification of the stored materials, and it's difficult to identify the materials in storage.
Score 2 : Though there is no standard for identification of the materials in storage, the materials in storage are identified, or there is only the standard of identification management of the stored materials. 
Score 3: There is the identification standard of the materials in storage, but partial improvement is required. (difficulty in identifying some materials, etc.)
Score 4: There is the identification standard of the materials in storage, and materials are identified according to the standard. </t>
        </is>
      </c>
      <c r="F15" s="106" t="n">
        <v>4</v>
      </c>
      <c r="G15" s="106" t="n"/>
      <c r="H15" s="85" t="n"/>
    </row>
    <row r="16" ht="25.5" customFormat="1" customHeight="1" s="75">
      <c r="A16" s="323" t="inlineStr">
        <is>
          <t>Section 2- Material Inspection  and  Preparation</t>
        </is>
      </c>
      <c r="B16" s="371" t="n"/>
      <c r="C16" s="371" t="n"/>
      <c r="D16" s="370" t="n"/>
      <c r="E16" s="323" t="inlineStr">
        <is>
          <t>Sub total (Score)</t>
        </is>
      </c>
      <c r="F16" s="77">
        <f>SUM(F19:F23)</f>
        <v/>
      </c>
      <c r="G16" s="77">
        <f>SUM(G19:G23)</f>
        <v/>
      </c>
      <c r="H16" s="307" t="inlineStr">
        <is>
          <t>COMMENT</t>
        </is>
      </c>
    </row>
    <row r="17" ht="25.5" customFormat="1" customHeight="1" s="75">
      <c r="A17" s="375" t="n"/>
      <c r="B17" s="376" t="n"/>
      <c r="C17" s="376" t="n"/>
      <c r="D17" s="353" t="n"/>
      <c r="E17" s="323" t="inlineStr">
        <is>
          <t xml:space="preserve">Achievement rate </t>
        </is>
      </c>
      <c r="F17" s="78">
        <f>F16/100</f>
        <v/>
      </c>
      <c r="G17" s="78">
        <f>G16/100</f>
        <v/>
      </c>
      <c r="H17" s="378" t="n"/>
    </row>
    <row r="18" ht="32.25" customFormat="1" customHeight="1" s="90">
      <c r="A18" s="88" t="inlineStr">
        <is>
          <t>Question
Number</t>
        </is>
      </c>
      <c r="B18" s="88" t="inlineStr">
        <is>
          <t>Element</t>
        </is>
      </c>
      <c r="C18" s="89" t="inlineStr">
        <is>
          <t>Question / Requirement</t>
        </is>
      </c>
      <c r="D18" s="89" t="inlineStr">
        <is>
          <t>VNM</t>
        </is>
      </c>
      <c r="E18" s="89" t="inlineStr">
        <is>
          <t>Rating Criteria</t>
        </is>
      </c>
      <c r="F18" s="82" t="inlineStr">
        <is>
          <t xml:space="preserve"> Score</t>
        </is>
      </c>
      <c r="G18" s="82" t="inlineStr">
        <is>
          <t xml:space="preserve">Result </t>
        </is>
      </c>
      <c r="H18" s="349" t="n"/>
    </row>
    <row r="19" ht="153.75" customFormat="1" customHeight="1" s="90">
      <c r="A19" s="106" t="n">
        <v>1</v>
      </c>
      <c r="B19" s="85" t="inlineStr">
        <is>
          <t>Material Inspection  procedure</t>
        </is>
      </c>
      <c r="C19" s="85" t="inlineStr">
        <is>
          <t xml:space="preserve">
- Is there a process to control materials?
- Is there a standard for testing materials?
</t>
        </is>
      </c>
      <c r="D19" s="85" t="inlineStr">
        <is>
          <t>- 원재료를 관리하는 프로세스가 있나요?
- 원자재 테스트 기준이 있나요?</t>
        </is>
      </c>
      <c r="E19" s="91" t="inlineStr">
        <is>
          <t>Score 1. Do not meet requirement 1.1.
Score 2. Meet requirement 1.1. Only use of c.
Score 3. Meet requirement 1.1. Use of a or b.
Score 4. Meet all requirements.</t>
        </is>
      </c>
      <c r="F19" s="283" t="n">
        <v>4</v>
      </c>
      <c r="G19" s="283" t="n"/>
      <c r="H19" s="110" t="n"/>
    </row>
    <row r="20" ht="138" customFormat="1" customHeight="1" s="95">
      <c r="A20" s="106" t="n">
        <v>2</v>
      </c>
      <c r="B20" s="85" t="inlineStr">
        <is>
          <t xml:space="preserve"> Material Inspection (WH)</t>
        </is>
      </c>
      <c r="C20" s="85" t="inlineStr">
        <is>
          <t xml:space="preserve">Are below critical quality control points of the material inspected in incoming? 
- Part Number and Lot Number
- Maker/ Provider
- Status of product
- Packing condition
- Quantity / Weight
</t>
        </is>
      </c>
      <c r="D20" s="85" t="inlineStr">
        <is>
          <t>입고 시 원자재의 다음과 같은 중요한 품질 관리 사항이 평가됩니까?
- 제품코드 및 로트번호
- 제조자/공급자/만료일
-제품의 상태
- 포장 사양
- 수량 / 중량</t>
        </is>
      </c>
      <c r="E20" s="91" t="inlineStr">
        <is>
          <t>Score 1 - More than 3 critical control point missed to be inspected in incoming.
Score 2 - Some critical control points are inspected, but 2~3 critical control points missed.
Score 3 - Some critical control points are inspected, but one critical control points missed.
Score 4 - All critical control points are inspected in incoming</t>
        </is>
      </c>
      <c r="F20" s="283" t="n">
        <v>4</v>
      </c>
      <c r="G20" s="283" t="n"/>
      <c r="H20" s="94" t="n"/>
    </row>
    <row r="21" ht="120" customFormat="1" customHeight="1" s="95">
      <c r="A21" s="106" t="n">
        <v>3</v>
      </c>
      <c r="B21" s="85" t="inlineStr">
        <is>
          <t xml:space="preserve"> Material Inspection (IQC)</t>
        </is>
      </c>
      <c r="C21" s="85" t="inlineStr">
        <is>
          <t>Are below critical quality control points of material inspected ? 
- Appearance
- Mill sheet
-Passed MSDS, SGS certification.</t>
        </is>
      </c>
      <c r="D21" s="93" t="inlineStr">
        <is>
          <t>재료의 중요한 품질 관리 지점이 검사됩니까?
-외관
- 성분분석
- MSDS, SGS 인증..</t>
        </is>
      </c>
      <c r="E21" s="91" t="inlineStr">
        <is>
          <t>Score 1. Do not meet requirement 1.1.
Score 2. Meet requirement 1.1. Only use of c.
Score 3. Meet requirement 1.1. Use of a or b.
Score 4. Meet all requirements.</t>
        </is>
      </c>
      <c r="F21" s="283" t="n">
        <v>4</v>
      </c>
      <c r="G21" s="283" t="n"/>
      <c r="H21" s="94" t="n"/>
    </row>
    <row r="22" ht="120" customFormat="1" customHeight="1" s="95">
      <c r="A22" s="106" t="n">
        <v>4</v>
      </c>
      <c r="B22" s="85" t="inlineStr">
        <is>
          <t xml:space="preserve"> Material Inspection (IQC)</t>
        </is>
      </c>
      <c r="C22" s="96" t="inlineStr">
        <is>
          <t>- Do inspectors receive training in inspection and compliance methods?</t>
        </is>
      </c>
      <c r="D22" s="175" t="inlineStr">
        <is>
          <t>- 검사관은 검사방법 및 준수사항에 대한 교육을 받았는가?</t>
        </is>
      </c>
      <c r="E22" s="91" t="inlineStr">
        <is>
          <t>Score 1. Do not meet requirement 1.1.
Score 2. Meet requirement 1.1. Only use of c.
Score 3. Meet requirement 1.1. Use of a or b.
Score 4. Meet all requirements.</t>
        </is>
      </c>
      <c r="F22" s="283" t="n">
        <v>4</v>
      </c>
      <c r="G22" s="283" t="n"/>
      <c r="H22" s="94" t="n"/>
    </row>
    <row r="23" ht="132.75" customFormat="1" customHeight="1" s="95">
      <c r="A23" s="106" t="n">
        <v>5</v>
      </c>
      <c r="B23" s="85" t="inlineStr">
        <is>
          <t xml:space="preserve"> Material Inspection (IQC)</t>
        </is>
      </c>
      <c r="C23" s="96" t="inlineStr">
        <is>
          <t>- Are test standards set at the product inspection area?</t>
        </is>
      </c>
      <c r="D23" s="175" t="inlineStr">
        <is>
          <t>- 제품검사구역에 검사기준이 게시되어 있는가?</t>
        </is>
      </c>
      <c r="E23" s="91" t="inlineStr">
        <is>
          <t>Score 1. Do not meet requirement 1.1.
Score 2. Meet requirement 1.1. Only use of c.
Score 3. Meet requirement 1.1. Use of a or b.
Score 4. Meet all requirements.</t>
        </is>
      </c>
      <c r="F23" s="283" t="n">
        <v>4</v>
      </c>
      <c r="G23" s="283" t="n"/>
      <c r="H23" s="94" t="n"/>
    </row>
    <row r="24" ht="25.5" customFormat="1" customHeight="1" s="95">
      <c r="A24" s="323" t="inlineStr">
        <is>
          <t>Section 3- Production Process</t>
        </is>
      </c>
      <c r="B24" s="371" t="n"/>
      <c r="C24" s="371" t="n"/>
      <c r="D24" s="370" t="n"/>
      <c r="E24" s="323" t="inlineStr">
        <is>
          <t>Sub total (Score)</t>
        </is>
      </c>
      <c r="F24" s="77">
        <f>SUM(F27:F33)</f>
        <v/>
      </c>
      <c r="G24" s="77">
        <f>SUM(G27:G33)</f>
        <v/>
      </c>
      <c r="H24" s="307" t="inlineStr">
        <is>
          <t>COMMENT</t>
        </is>
      </c>
    </row>
    <row r="25" ht="24" customFormat="1" customHeight="1" s="75">
      <c r="A25" s="375" t="n"/>
      <c r="B25" s="376" t="n"/>
      <c r="C25" s="376" t="n"/>
      <c r="D25" s="353" t="n"/>
      <c r="E25" s="323" t="inlineStr">
        <is>
          <t xml:space="preserve">Achievement rate </t>
        </is>
      </c>
      <c r="F25" s="78">
        <f>F24/100</f>
        <v/>
      </c>
      <c r="G25" s="78">
        <f>G24/100</f>
        <v/>
      </c>
      <c r="H25" s="378" t="n"/>
    </row>
    <row r="26" ht="33" customFormat="1" customHeight="1" s="75">
      <c r="A26" s="97" t="inlineStr">
        <is>
          <t>Question
Number</t>
        </is>
      </c>
      <c r="B26" s="97" t="inlineStr">
        <is>
          <t>Element</t>
        </is>
      </c>
      <c r="C26" s="98" t="inlineStr">
        <is>
          <t>Question / Requirement</t>
        </is>
      </c>
      <c r="D26" s="98" t="n"/>
      <c r="E26" s="98" t="inlineStr">
        <is>
          <t>Rating Criteria</t>
        </is>
      </c>
      <c r="F26" s="82" t="inlineStr">
        <is>
          <t xml:space="preserve"> Score</t>
        </is>
      </c>
      <c r="G26" s="82" t="inlineStr">
        <is>
          <t xml:space="preserve">Result </t>
        </is>
      </c>
      <c r="H26" s="349" t="n"/>
    </row>
    <row r="27" ht="240.75" customFormat="1" customHeight="1" s="172">
      <c r="A27" s="167" t="n">
        <v>1</v>
      </c>
      <c r="B27" s="168" t="inlineStr">
        <is>
          <t>Painting</t>
        </is>
      </c>
      <c r="C27" s="169" t="inlineStr">
        <is>
          <t>-Is expiry of paints managed?
1. No expiry management criteria is in place, and expired materials are mixed with valid ones
2. No expiry management criteria is in place, but no expired materials are found due to proper expiry management; or the expiry management criteria is in place
3.  The expiry management criteria is in place, but improvement is required in the management of expired materials list and expiration dates as well as the implementation.
4. The items are managed in accordance with the standard, where the list of expired materials and dates are managed and expired materials are discarded.</t>
        </is>
      </c>
      <c r="D27" s="175" t="inlineStr">
        <is>
          <t>- 유통기한이 지난 페인트는 관리되나요?
0.만료관리 기준이 없으며, 만료된 서류와 유효한 서류가 혼재되어 있습니다.
1. 유효기간 관리 기준이 없으나, 적절한 유효기간 관리로 인해 유효기간이 지난 서류가 발견되지 않은 경우 또는 만료된 관리 기준.
2. 유효기간 관리기준은 마련되어 있으나, 유효기간이 지난 문서 목록 및 유효기간 관리 및 시행에 있어 개선이 필요합니다.
3. 품목은 기준에 따라 관리되며, 자재 목록 및 유통기한을 삭제하고 만료됩니다.</t>
        </is>
      </c>
      <c r="E27" s="85" t="inlineStr">
        <is>
          <t>Score 1. Do not meet requirement 1.1.
Score 2. Meet requirement 1.1. Only use of c.
Score 3. Meet requirement 1.1. Use of a or b.
Score 4. Meet all requirements.</t>
        </is>
      </c>
      <c r="F27" s="170" t="n">
        <v>4</v>
      </c>
      <c r="G27" s="178" t="n"/>
      <c r="H27" s="180" t="n"/>
    </row>
    <row r="28" ht="233.25" customFormat="1" customHeight="1" s="172">
      <c r="A28" s="167" t="n">
        <v>2</v>
      </c>
      <c r="B28" s="168" t="inlineStr">
        <is>
          <t>Painting</t>
        </is>
      </c>
      <c r="C28" s="169" t="inlineStr">
        <is>
          <t>-Are paint mixing ratio/stiring conditions managed?
  . 1 : No relevant criteria is in place, while the ratio is not controlled. 
  . 2 : No relevant criteria is in place, but the ratio is managed; or the standard to manage the ratio is in place.
  . 3 : The standard to manage the ratio is in place, but improvement is required with regard to the accuracy of the method to manage the ratio (highly likely to yield errors)
  . 4 : The standard to manage the ratio is in place and the mixing is performed using a verified meters, with the ratio maintained.</t>
        </is>
      </c>
      <c r="D28" s="169" t="inlineStr">
        <is>
          <t>페인트 혼합/소성 조건이 규정되어 있나요?
   . 1: 관련 기준이 제공되지 않으며 이 비율이 제어되지 않습니다.
   . 2: 관련 기준은 제공되지 않지만 요율은 관리됩니다. 또는 요금 관리 기준이 제공됩니다.
   . 3: 요금관리에 대한 기준은 있으나, 요금관리 방법의 정확성에 대해서는 개선이 필요함(오류가 발생할 가능성이 높음)
   . 4: 비율 관리에 대한 기준을 설정하고 검증된 계량기를 사용하여 비율을 유지하면서 혼합을 수행합니다.</t>
        </is>
      </c>
      <c r="E28" s="85" t="inlineStr">
        <is>
          <t>Score 1. Do not meet requirement 1.1.
Score 2. Meet requirement 1.1. Only use of c.
Score 3. Meet requirement 1.1. Use of a or b.
Score 4. Meet all requirements.</t>
        </is>
      </c>
      <c r="F28" s="170" t="n">
        <v>4</v>
      </c>
      <c r="G28" s="170" t="n"/>
      <c r="H28" s="171" t="n"/>
    </row>
    <row r="29" ht="270" customFormat="1" customHeight="1" s="172">
      <c r="A29" s="167" t="n">
        <v>3</v>
      </c>
      <c r="B29" s="168" t="inlineStr">
        <is>
          <t>Painting</t>
        </is>
      </c>
      <c r="C29" s="169" t="inlineStr">
        <is>
          <t>Is the mixed paint applied within a predefined period of time (must use within 8hrs when a hardener agent was added)
  . 0 : Mixing time and application period are not observed, and there is no application criteria.
  . 1 : No application time criteria is in place, but the application time after mixing is properly observed; or the application time criteria is in place.
  . 2 : The criteria to apply paints after mixing is in place, but improvement is required in terms of its implementation and management.
  . 3 : The criteria to manage mixing and application time, and the application is performed in accordance with the criteria.r shoots?</t>
        </is>
      </c>
      <c r="D29" s="169" t="inlineStr">
        <is>
          <t>- 혼합도료를 일정시간 이내에 사용하는지 여부(경화제 첨가 후 8시간 이내에 사용하여야 함)
0: 혼합시간 및 도포시간이 관찰되지 않았으며, 도포기준이 적용되지 않았다.
. 1 : 적용시간 기준은 없으나, 혼합 후 적용시간을 정확하게 준수하였거나 적용시간 기준을 적용한다.
. 2: 혼합 후 도료를 도포하는 기준이 정해져 있으나 시행 및 관리에 있어 개선이 필요하다.
. 3 : 배합 및 적용시기 관리 및 기준에 따라 투여하기 위한 기준입니다.</t>
        </is>
      </c>
      <c r="E29" s="85" t="inlineStr">
        <is>
          <t>Score 1. Do not meet requirement 1.1.
Score 2. Meet requirement 1.1. Only use of c.
Score 3. Meet requirement 1.1. Use of a or b.
Score 4. Meet all requirements.</t>
        </is>
      </c>
      <c r="F29" s="170" t="n">
        <v>4</v>
      </c>
      <c r="G29" s="170" t="n"/>
      <c r="H29" s="180" t="n"/>
    </row>
    <row r="30" ht="297" customFormat="1" customHeight="1" s="166">
      <c r="A30" s="168" t="n">
        <v>4</v>
      </c>
      <c r="B30" s="168" t="inlineStr">
        <is>
          <t>Painting</t>
        </is>
      </c>
      <c r="C30" s="176" t="inlineStr">
        <is>
          <t>Is there any effective standard applied to compressed air used for paintings, and are the cleanliness, moisture removal and pressure properly managed?
  . 1 : Air is not filtered with no moisture removal in place, and the pressure ill-controlled, so compressed air with foreign materials is used; or the relevant standard is not in place.
  . 2 : No compressed air-related standard is in place, but clean air with no foreign materials is used and/or the pressure is proplerly controlled; or the relevant standard is in place.
  . 3 : The compressed air-related standard is in place, but improvement is required to further remove foreign materials and to better manage the pressures.
  . 4 : The compressed air-related standard is in place and observed so that clean air with no foreign materials is used while the pressure is controlled through calibrated meters.</t>
        </is>
      </c>
      <c r="D30" s="176" t="inlineStr">
        <is>
          <t>도장에 적합한 압축 공기에 대한 효과적인 표준이 있습니까? 청결도, 제습율, 압력은 적절하게 관리되고 있나요?
. 1: 여과가 되지 않고, 수분 제거가 되지 않으며, 압력 조절이 불량하여 이물질이 포함된 압축공기를 사용하거나 관련 규격이 없다.
. 2: 압축공기에 관한 기준은 확립되어 있지 않으나, 이물질이 없는 깨끗한 공기를 사용하거나 압력이 적절하게 관리되고 있다. 또는 관련 표준이 있습니다.
. 3: 압축공기에 관한 규격은 있으나, 지속적인 이물질 제거 및 압력제어 향상을 위해서는 개선이 필요하다.
. 4: 압축공기에 관한 규격이 주어지며, 교정된 게이지를 통해 압력을 조절하면서 이물질이 없는 깨끗한 공기를 사용하는 것을 관찰한다.</t>
        </is>
      </c>
      <c r="E30" s="85" t="inlineStr">
        <is>
          <t>Score 1. Do not meet requirement 1.1.
Score 2. Meet requirement 1.1. Only use of c.
Score 3. Meet requirement 1.1. Use of a or b.
Score 4. Meet all requirements.</t>
        </is>
      </c>
      <c r="F30" s="168" t="n">
        <v>4</v>
      </c>
      <c r="G30" s="178" t="n"/>
      <c r="H30" s="180" t="n"/>
    </row>
    <row r="31" ht="278.25" customFormat="1" customHeight="1" s="166">
      <c r="A31" s="168" t="n">
        <v>5</v>
      </c>
      <c r="B31" s="168" t="inlineStr">
        <is>
          <t>Painting</t>
        </is>
      </c>
      <c r="C31" s="176" t="inlineStr">
        <is>
          <t xml:space="preserve">Does the SOW specify the drying time and method after painting and are they observed? (temp., time, amount, etc.)
  . 0 : No standard specifying drying time and mothod is in place, and the practices are performed in an arbitrary manner.
  . 1 : No standard specifying drying time and mothod is in place, but the methods and times are consistently managed; or the relevant standard is in place.
  . 2 : There is a standard specifying drying time and mothod in place, but improvement is required for the provisions and implementation.
  . 3 : The drying time and method are specified in the standard and the compliance has been objectively verified (e.g., by logging start/end times) </t>
        </is>
      </c>
      <c r="D31" s="176" t="inlineStr">
        <is>
          <t>SOW에 도장 후 건조 시간과 방법이 명시되어 있습니까? 이를 준수하고 있습니까? (온도, 시간, 수량 등)
. 0: 건조시간 및 방법에 대한 기준이 없으며 임의대로 작동한다.
. 1: 건조 시간 및 방법에 대한 기준은 없으나, 방법 및 시간을 일관되게 관리하거나 관련 기준을 마련하고 있다.
. 2: 건조시간과 방법을 규제하는 표준이 있으나, 규정과 시행에 대한 개선이 필요하다.
. 3: 건조 시간 및 방법은 표준에 명시되어 있으며 준수 여부가 객관적으로 검증되었습니다(예: 시작/종료 시간 기록을 통해).</t>
        </is>
      </c>
      <c r="E31" s="85" t="inlineStr">
        <is>
          <t>Score 1. Do not meet requirement 1.1.
Score 2. Meet requirement 1.1. Only use of c.
Score 3. Meet requirement 1.1. Use of a or b.
Score 4. Meet all requirements.</t>
        </is>
      </c>
      <c r="F31" s="168" t="n">
        <v>4</v>
      </c>
      <c r="G31" s="170" t="n"/>
      <c r="H31" s="168" t="n"/>
    </row>
    <row r="32" ht="216" customFormat="1" customHeight="1" s="166">
      <c r="A32" s="168" t="n">
        <v>6</v>
      </c>
      <c r="B32" s="168" t="inlineStr">
        <is>
          <t>Painting</t>
        </is>
      </c>
      <c r="C32" s="176" t="inlineStr">
        <is>
          <t>-Are criteria for testing paint thickness and adhesion in place, and is there any relevant inspection performed?
-  Is there a management of dust concentration and thickness of paint?
- Are the speed of conveying and spraying parameters managed?</t>
        </is>
      </c>
      <c r="D32" s="91" t="inlineStr">
        <is>
          <t>-도료의 두께와 접착력을 테스트하는 테스트 기준이 있나요?, 테스트를 해보았나요?
- 먼지 농도와 도료 두께에 대한 통제가 이루어지나요?
- 라인속도, 사출시간 등의 변수가 관리되고 있는가?</t>
        </is>
      </c>
      <c r="E32" s="85" t="inlineStr">
        <is>
          <t xml:space="preserve">Score 1. Do not meet requirement 1.1.
Score 2. Meet requirement 1.1. Only use of c.
Score 3. Meet requirement 1.1. Use of a or b.
</t>
        </is>
      </c>
      <c r="F32" s="168" t="n">
        <v>4</v>
      </c>
      <c r="G32" s="179" t="n"/>
      <c r="H32" s="180" t="n"/>
    </row>
    <row r="33" ht="252.75" customFormat="1" customHeight="1" s="166">
      <c r="A33" s="167" t="n">
        <v>7</v>
      </c>
      <c r="B33" s="168" t="inlineStr">
        <is>
          <t>Painting</t>
        </is>
      </c>
      <c r="C33" s="91" t="inlineStr">
        <is>
          <t>Are painted items stored in a good condition? (no exposure to sunlight, rainfall, snow and condensation)
 . 1 : No standards to manage dried painted items is in place, and painted items are ill-managed (e.g. storing outdoor without packaging)
 . 2 : No management standard is in place, but the painted items are well-managed; or the management standard is in place.
 . 3 : The management standard is in place, but improvement is required in some aspects.
 . 4 : In accordance with the relevant standards, the painted items are stored in a clean indoor place with no exposure to sunlights and weather and packaged when shipped.</t>
        </is>
      </c>
      <c r="D33" s="91" t="inlineStr">
        <is>
          <t>칠해진 물건은 잘 보관되어 있나요? (햇빛, 비, 눈, 결로에 노출되지 않음)
. 1: 건식 페인트 작업 관리에 대한 기준이 없으며, 페인트 작업 관리가 제대로 이루어지지 않음(예: 포장하지 않고 옥외에 보관)
. 2: 관리 기준은 없지만 도장 프로젝트가 잘 관리되거나 관리 기준이 마련되어 있습니다.
. 3: 관리 표준이 개발되었지만 일부 영역에서는 여전히 개선이 필요합니다.
. 4: 관련 표준에 따라 도장된 품목은 깨끗한 실내에 보관해야 하며 햇빛과 날씨에 노출되지 않아야 하며 운송 중에 포장되어야 합니다.</t>
        </is>
      </c>
      <c r="E33" s="91" t="inlineStr">
        <is>
          <t>Score 01- No any of the listed critical control point is inspected after die cutting.
Score 2- Some critical control points are inspected, but missed any 2 of the listed critical control points.
Score 3 - Some critical control points are inspected, but missed any 1 of the listed critical control points.
Score 4 - All the listed critical control points are inspected after die cutting.</t>
        </is>
      </c>
      <c r="F33" s="170" t="n">
        <v>4</v>
      </c>
      <c r="G33" s="168" t="n"/>
      <c r="H33" s="168" t="n"/>
    </row>
    <row r="34" ht="28.5" customFormat="1" customHeight="1" s="95">
      <c r="A34" s="99" t="inlineStr">
        <is>
          <t>Section 4- Product Evaluation (OQC)</t>
        </is>
      </c>
      <c r="B34" s="100" t="n"/>
      <c r="C34" s="100" t="n"/>
      <c r="D34" s="101" t="n"/>
      <c r="E34" s="323" t="inlineStr">
        <is>
          <t>Sub total (Score)</t>
        </is>
      </c>
      <c r="F34" s="77">
        <f>SUM(F36:F42)</f>
        <v/>
      </c>
      <c r="G34" s="77">
        <f>SUM(G36:G42)</f>
        <v/>
      </c>
      <c r="H34" s="307" t="inlineStr">
        <is>
          <t>COMMENT</t>
        </is>
      </c>
    </row>
    <row r="35" ht="28.5" customFormat="1" customHeight="1" s="75">
      <c r="A35" s="102" t="inlineStr">
        <is>
          <t>Question
Number</t>
        </is>
      </c>
      <c r="B35" s="102" t="inlineStr">
        <is>
          <t>Element</t>
        </is>
      </c>
      <c r="C35" s="103" t="inlineStr">
        <is>
          <t>Question / Requirement</t>
        </is>
      </c>
      <c r="D35" s="104" t="n"/>
      <c r="E35" s="323" t="inlineStr">
        <is>
          <t xml:space="preserve">Achievement rate </t>
        </is>
      </c>
      <c r="F35" s="78">
        <f>F34/100</f>
        <v/>
      </c>
      <c r="G35" s="78">
        <f>G34/100</f>
        <v/>
      </c>
      <c r="H35" s="349" t="n"/>
    </row>
    <row r="36" ht="230.25" customHeight="1" s="340">
      <c r="A36" s="105" t="n">
        <v>1</v>
      </c>
      <c r="B36" s="106" t="inlineStr">
        <is>
          <t>Training</t>
        </is>
      </c>
      <c r="C36" s="112" t="inlineStr">
        <is>
          <t xml:space="preserve">Did an auditor receive an education about the measuring method, auditing method, and equipment use method , and get certified?
  </t>
        </is>
      </c>
      <c r="D36" s="112" t="inlineStr">
        <is>
          <t>검사자는 측정 방법, 시험 방법, 장비 사용 방법에 대한 교육을 받고 인증을 받았습니까?</t>
        </is>
      </c>
      <c r="E36" s="112" t="inlineStr">
        <is>
          <t xml:space="preserve">Score 0: There is no auditor certiification standard, and an auditor has not been certified. 
Score 1: Though there is no auditor certification standard,  the auditor certification has been invested, or the auditor certification standard is retained. 
Score 2: Though there is an auditor certification standard, the auditor certification system,  identification management, and cyclic education management, etc are required to be partly improved. 
Score 3- There is the auditor certification standard, and certification evaluation/ identification management/ cyclic education, etc. are normally implemented. </t>
        </is>
      </c>
      <c r="F36" s="283" t="n">
        <v>4</v>
      </c>
      <c r="G36" s="283" t="n"/>
      <c r="H36" s="109" t="n"/>
    </row>
    <row r="37" ht="182.25" customHeight="1" s="340">
      <c r="A37" s="105" t="n">
        <v>2</v>
      </c>
      <c r="B37" s="106" t="inlineStr">
        <is>
          <t>Standard</t>
        </is>
      </c>
      <c r="C37" s="112" t="inlineStr">
        <is>
          <t xml:space="preserve">Are the audit standard and drawings are kept, and does the standard coincide with the products which are under auditing? 
  </t>
        </is>
      </c>
      <c r="D37" s="112" t="inlineStr">
        <is>
          <t>검사 기준이 적절하고 제품 검사 구역에 게시되어 있습니까?</t>
        </is>
      </c>
      <c r="E37" s="112" t="inlineStr">
        <is>
          <t xml:space="preserve">Score 0: There are no audit standard management criteria, and an audit is done under an auditor's self-judgment without the audit standard and drawings. 
Score 1:Though the related standard is not available, an audit is performed according to the audit standard suited for products , or the criteria for the audit standard management are retained. 
Score 2: The audit standard is prepared and applied according to audit standard criteria, but audit items/method are required to be partly improved. 
Score 3: An audit is performed based on the audit standard prepared according to the audit standard management critera. </t>
        </is>
      </c>
      <c r="F37" s="283" t="n">
        <v>4</v>
      </c>
      <c r="G37" s="283" t="n"/>
      <c r="H37" s="110" t="n"/>
    </row>
    <row r="38" ht="185.25" customHeight="1" s="340">
      <c r="A38" s="105" t="n">
        <v>3</v>
      </c>
      <c r="B38" s="106" t="inlineStr">
        <is>
          <t>Layout</t>
        </is>
      </c>
      <c r="C38" s="112" t="inlineStr">
        <is>
          <t xml:space="preserve">Are the products/pre/post shipment inspection, and the storage place for rejected products under separately classified management, and marked? 
of pre/post audit for products is clearly handled. </t>
        </is>
      </c>
      <c r="D38" s="112" t="inlineStr">
        <is>
          <t>검사구역은 검사대기품, NG품, OK품으로 구분되나요?</t>
        </is>
      </c>
      <c r="E38" s="112" t="inlineStr">
        <is>
          <t xml:space="preserve">Score 0: There is no separate storage place, and products are stored in a state without distinction of pre/post audit. 
Score 1: Though there is no separate storage place for products, they are stored under classified management, or only the separate storage place is designated. 
Score 2: Products are kept in a separate storage place under classified management, but there are some products without distinction of pre/post audit. 
Score 3: Products are kept in a separate storage place under classified management, and distintion of pre/post audit for products is clearly handled. </t>
        </is>
      </c>
      <c r="F38" s="283" t="n">
        <v>4</v>
      </c>
      <c r="G38" s="283" t="n"/>
      <c r="H38" s="110" t="n"/>
    </row>
    <row r="39" ht="246.75" customHeight="1" s="340">
      <c r="A39" s="105" t="n">
        <v>4</v>
      </c>
      <c r="B39" s="106" t="inlineStr">
        <is>
          <t>Measuring equipmen</t>
        </is>
      </c>
      <c r="C39" s="112" t="inlineStr">
        <is>
          <t>Is the measuring equipment controlled and  calibrated?</t>
        </is>
      </c>
      <c r="D39" s="112" t="inlineStr">
        <is>
          <t>측정 장비가 관리되고 교정됩니까?</t>
        </is>
      </c>
      <c r="E39" s="112" t="inlineStr">
        <is>
          <t>Score 0 : There is no measuring instrument selection standard, and the accuracy of a measuring instrument is not compatible with the allowance of actual measurement items  (ex. standard: xx.xx, measuring equipment: xx.x)
Score 1 : There is the measuring instrument selection standard, or a measuring instrument in use is suitable for allowance measurement of actual products despite the absence of the standard.   
Score 2: There is the measuring instrument selection standard, but there exists a measuring instrument which is not selected according to the standard, or partial improvements are required, such as converiience of measurement, etc. 
Score 3: There is the the measuring instrument selection standard, and the accuracy of the measuring instrument in use is suited for measurement item allowance. (ex. standard: xx.xx, measuring equipment: xx.xx abnormal)</t>
        </is>
      </c>
      <c r="F39" s="106" t="n">
        <v>4</v>
      </c>
      <c r="G39" s="106" t="n"/>
      <c r="H39" s="165" t="n"/>
    </row>
    <row r="40" ht="200.25" customHeight="1" s="340">
      <c r="A40" s="105" t="n">
        <v>5</v>
      </c>
      <c r="B40" s="106" t="inlineStr">
        <is>
          <t xml:space="preserve">Follow  customer </t>
        </is>
      </c>
      <c r="C40" s="112" t="inlineStr">
        <is>
          <t xml:space="preserve">Is the unacceptable item arising from a customer reflected in the management point of the audit process? 
 </t>
        </is>
      </c>
      <c r="D40" s="112" t="inlineStr">
        <is>
          <t>고객불만 처리 프로세스가 있나요?</t>
        </is>
      </c>
      <c r="E40" s="112" t="inlineStr">
        <is>
          <t xml:space="preserve">Score 0: There is no system for revison by reflecting unacceptable item in the audit standard, and it is not reflected as the audit item. 
Score 1: Although there is no audit standard reflection system, it is reflected through the revision and addition of the audit item, or the system reflecting it in the audit standard is established. 
Score 2: Established is the system reflecting it in the audit item according to the countermeasures against an unacceptable item, but there are some cases of omissions, or partial improvement are required. 
Score 3: Etablished is the system reflecting it in the audit standard according to an unacceptable item, and actually such an unacceptable item is reflected in the audit standard. </t>
        </is>
      </c>
      <c r="F40" s="283" t="n">
        <v>4</v>
      </c>
      <c r="G40" s="179" t="n"/>
      <c r="H40" s="158" t="n"/>
    </row>
    <row r="41" ht="202.5" customHeight="1" s="340">
      <c r="A41" s="105" t="n">
        <v>6</v>
      </c>
      <c r="B41" s="106" t="inlineStr">
        <is>
          <t>Internal audit</t>
        </is>
      </c>
      <c r="C41" s="112" t="inlineStr">
        <is>
          <t xml:space="preserve">Is the receiving audit history managment register under record management?(receiving audit report, audit history, rejection status, corrective measures, and post-management, etc. )
</t>
        </is>
      </c>
      <c r="D41" s="112" t="inlineStr">
        <is>
          <t>내부감사가 실시되나요? 적시에 해결해야 할 문제가 개선되고 있습니까?</t>
        </is>
      </c>
      <c r="E41" s="112" t="inlineStr">
        <is>
          <t xml:space="preserve">Score 0: There is no receiving audit history management standard, and history management is not in progress. 
Score 1: Although there is no receiving audit history management standard, the audit history is managed, or only the standard for history management is retained. 
Score 2:  Although there is the receiving audit history management standard in time of the receiving audit, partial improvements of the history maintenance state(post-measure contents, etc.) are required.  .
Score 3: There is the receiving audit management standard, and all audit history records are maintained. </t>
        </is>
      </c>
      <c r="F41" s="283" t="n">
        <v>4</v>
      </c>
      <c r="G41" s="179" t="n"/>
      <c r="H41" s="158" t="n"/>
    </row>
    <row r="42" ht="152.25" customHeight="1" s="340">
      <c r="A42" s="105" t="n">
        <v>7</v>
      </c>
      <c r="B42" s="106" t="inlineStr">
        <is>
          <t>Product Evaluation</t>
        </is>
      </c>
      <c r="C42" s="112" t="inlineStr">
        <is>
          <t xml:space="preserve">Does the result of re-inspection of the products finished with the shippment inspection meet the standard? (Confirmation of the minimum 5 samples)
 (Inspection of the item relevant to the audit standard by sampling the minimum 5 pieces of the parts which passed the shippment inspection, and post-judgment by selecting additional items when necessary) 
  </t>
        </is>
      </c>
      <c r="D42" s="112" t="inlineStr">
        <is>
          <t>검사 완제품이 기준을 충족할 확률은 얼마나 됩니까?</t>
        </is>
      </c>
      <c r="E42" s="112" t="inlineStr">
        <is>
          <t xml:space="preserve">
Score 0: As a result of the inspection, unacceptable parts account for more than 75%.
Score 1: As a result of the inspection, unacceptable parts account for 25~74%.
Score 2 As a result of the inspection, unacceptable parts account for 1~24%.
Score 3: As a result of the inspection, all parts in comparison with the standard are acceptable.   </t>
        </is>
      </c>
      <c r="F42" s="283" t="n">
        <v>4</v>
      </c>
      <c r="G42" s="283" t="n"/>
      <c r="H42" s="110" t="n"/>
    </row>
    <row r="43" ht="23.25" customFormat="1" customHeight="1" s="95">
      <c r="A43" s="323" t="inlineStr">
        <is>
          <t>Section 5- Packing and Shipment</t>
        </is>
      </c>
      <c r="B43" s="342" t="n"/>
      <c r="C43" s="342" t="n"/>
      <c r="D43" s="341" t="n"/>
      <c r="E43" s="323" t="inlineStr">
        <is>
          <t>Sub total (Score)</t>
        </is>
      </c>
      <c r="F43" s="77">
        <f>SUM(F45:F47)</f>
        <v/>
      </c>
      <c r="G43" s="77">
        <f>SUM(G45:G48)</f>
        <v/>
      </c>
      <c r="H43" s="307" t="inlineStr">
        <is>
          <t>COMMENT</t>
        </is>
      </c>
    </row>
    <row r="44" ht="33.75" customFormat="1" customHeight="1" s="75">
      <c r="A44" s="102" t="inlineStr">
        <is>
          <t>Question
Number</t>
        </is>
      </c>
      <c r="B44" s="102" t="inlineStr">
        <is>
          <t>Element</t>
        </is>
      </c>
      <c r="C44" s="103" t="inlineStr">
        <is>
          <t>Question / Requirement</t>
        </is>
      </c>
      <c r="D44" s="104" t="n"/>
      <c r="E44" s="323" t="inlineStr">
        <is>
          <t xml:space="preserve">Achievement rate </t>
        </is>
      </c>
      <c r="F44" s="78">
        <f>F43/100</f>
        <v/>
      </c>
      <c r="G44" s="78">
        <f>G43/100</f>
        <v/>
      </c>
      <c r="H44" s="349" t="n"/>
    </row>
    <row r="45" ht="201.75" customHeight="1" s="340">
      <c r="A45" s="105" t="n">
        <v>1</v>
      </c>
      <c r="B45" s="106" t="inlineStr">
        <is>
          <t>Standard</t>
        </is>
      </c>
      <c r="C45" s="112" t="inlineStr">
        <is>
          <t xml:space="preserve">Are there packing work standard management criteria by part/item? If so, are they distributed to the relevant process, and under revised management?
</t>
        </is>
      </c>
      <c r="D45" s="112" t="inlineStr">
        <is>
          <t>제품 포장 관리 기준을 갖추고 있습니다. 실제로 준수가 이루어지나요?</t>
        </is>
      </c>
      <c r="E45" s="112" t="inlineStr">
        <is>
          <t xml:space="preserve">
Score 1: There are no criteria for packing work standard management, nor is the packing standard used in time of packing. 
Score 2: Although there are no packing work management criteria, the packing standard by part/item is being used, or the criteria for packing work standard management are retained. 
Score 3: Though there are packing work standard management criteria, some of the packing guidelines and revised managment ,etc.  are required to be partly improved.
Score 4: There are packing work standard management criteria, and the standard is prepared, approved and distributed according to the criteria, and the standard is kept on the site to be applied. </t>
        </is>
      </c>
      <c r="F45" s="283" t="n">
        <v>4</v>
      </c>
      <c r="G45" s="283" t="n"/>
      <c r="H45" s="110" t="n"/>
    </row>
    <row r="46" ht="186" customHeight="1" s="340">
      <c r="A46" s="105" t="n">
        <v>2</v>
      </c>
      <c r="B46" s="106" t="inlineStr">
        <is>
          <t>FIFO (선입선출)</t>
        </is>
      </c>
      <c r="C46" s="112" t="inlineStr">
        <is>
          <t xml:space="preserve">Is there first-in, first-out for products in need of life-cycle management and history management of products, and are the products managed by the system? (color difference, before/after design change)
  </t>
        </is>
      </c>
      <c r="D46" s="112" t="inlineStr">
        <is>
          <t>물품을 수출할 때 FIFO(선입선출) 규정을 준수하나요?</t>
        </is>
      </c>
      <c r="E46" s="112" t="inlineStr">
        <is>
          <t xml:space="preserve">Score 1:  There is no system for life-cycle management, or history management of a product, nor is first-in, first-out implemented. 
Score 2: Although there is no standard for product life-cycle &amp; history management, first-in, first-out is implemented through the identification and maintenance of Lot and date of manfacturing, etc., or there are managment criteria. 
Score 3: There are the criteria of first-in, first-out for product life cycle &amp; history management, but some are insufficient, or in need of improvements. 
Score 4: According to the criteria for first-in, first-out management of product, the first-in, first-out for actual products is implemented. </t>
        </is>
      </c>
      <c r="F46" s="283" t="n">
        <v>4</v>
      </c>
      <c r="G46" s="283" t="n"/>
      <c r="H46" s="110" t="n"/>
    </row>
    <row r="47" ht="180.75" customHeight="1" s="340">
      <c r="A47" s="105" t="n">
        <v>3</v>
      </c>
      <c r="B47" s="106" t="inlineStr">
        <is>
          <t>Environment</t>
        </is>
      </c>
      <c r="C47" s="112" t="inlineStr">
        <is>
          <t xml:space="preserve">Is the environmental condition of the warehouse under measurement control regularly? (temperature/humidity)
 </t>
        </is>
      </c>
      <c r="D47" s="112" t="inlineStr">
        <is>
          <t>완제품 보관환경(온도,습도)이 관리되고 있나요?</t>
        </is>
      </c>
      <c r="E47" s="113" t="inlineStr">
        <is>
          <t xml:space="preserve">
Score 1: The environmental condition is not defined, nor is the temperature/humidity managed. 
Score 2 : Although the environmental condition is not defiend, temperature/humdity is managed, or the environmental condition for materials storage is established.
Score 3 : The environmental condition is established, but a state of management needs to be improved.
Score 4 : The environmental condition is established, and it is managed according to the established standard. </t>
        </is>
      </c>
      <c r="F47" s="283" t="n">
        <v>4</v>
      </c>
      <c r="G47" s="283" t="n"/>
      <c r="H47" s="110" t="n"/>
    </row>
    <row r="48" ht="35.25" customFormat="1" customHeight="1" s="75">
      <c r="A48" s="311" t="inlineStr">
        <is>
          <t>SCORE OF EVALUATION</t>
        </is>
      </c>
      <c r="B48" s="371" t="n"/>
      <c r="C48" s="371" t="n"/>
      <c r="D48" s="371" t="n"/>
      <c r="E48" s="371" t="n"/>
      <c r="F48" s="371" t="n"/>
      <c r="G48" s="371" t="n"/>
      <c r="H48" s="371" t="n"/>
    </row>
    <row r="49" ht="22.5" customHeight="1" s="340">
      <c r="A49" s="312" t="inlineStr">
        <is>
          <t>No</t>
        </is>
      </c>
      <c r="B49" s="312" t="inlineStr">
        <is>
          <t>Process</t>
        </is>
      </c>
      <c r="C49" s="370" t="n"/>
      <c r="D49" s="279" t="inlineStr">
        <is>
          <t xml:space="preserve">Number of evaluation items </t>
        </is>
      </c>
      <c r="E49" s="312" t="inlineStr">
        <is>
          <t>Evaluation result</t>
        </is>
      </c>
      <c r="F49" s="342" t="n"/>
      <c r="G49" s="342" t="n"/>
      <c r="H49" s="341" t="n"/>
    </row>
    <row r="50" ht="36.75" customHeight="1" s="340">
      <c r="A50" s="349" t="n"/>
      <c r="B50" s="375" t="n"/>
      <c r="C50" s="353" t="n"/>
      <c r="D50" s="375" t="n"/>
      <c r="E50" s="312" t="inlineStr">
        <is>
          <t>Standard Score</t>
        </is>
      </c>
      <c r="F50" s="312" t="inlineStr">
        <is>
          <t>Actual Score</t>
        </is>
      </c>
      <c r="G50" s="341" t="n"/>
      <c r="H50" s="312" t="inlineStr">
        <is>
          <t xml:space="preserve">Achievement rate </t>
        </is>
      </c>
    </row>
    <row r="51" ht="36.75" customHeight="1" s="340">
      <c r="A51" s="115" t="n">
        <v>1</v>
      </c>
      <c r="B51" s="379" t="inlineStr">
        <is>
          <t xml:space="preserve"> Warehouse for Materials</t>
        </is>
      </c>
      <c r="C51" s="380" t="n"/>
      <c r="D51" s="116" t="n">
        <v>3</v>
      </c>
      <c r="E51" s="117">
        <f>F10</f>
        <v/>
      </c>
      <c r="F51" s="117">
        <f>G10</f>
        <v/>
      </c>
      <c r="G51" s="341" t="n"/>
      <c r="H51" s="118">
        <f>F51/100</f>
        <v/>
      </c>
    </row>
    <row r="52" ht="36.75" customHeight="1" s="340">
      <c r="A52" s="115" t="n">
        <v>2</v>
      </c>
      <c r="B52" s="381" t="inlineStr">
        <is>
          <t>Material Inspection  and  Preparation</t>
        </is>
      </c>
      <c r="C52" s="382" t="n"/>
      <c r="D52" s="116" t="n">
        <v>5</v>
      </c>
      <c r="E52" s="117">
        <f>F16</f>
        <v/>
      </c>
      <c r="F52" s="117">
        <f>G16</f>
        <v/>
      </c>
      <c r="G52" s="341" t="n"/>
      <c r="H52" s="118">
        <f>F52/100</f>
        <v/>
      </c>
    </row>
    <row r="53" ht="36.75" customHeight="1" s="340">
      <c r="A53" s="115" t="n">
        <v>3</v>
      </c>
      <c r="B53" s="381" t="inlineStr">
        <is>
          <t xml:space="preserve"> Production Process</t>
        </is>
      </c>
      <c r="C53" s="382" t="n"/>
      <c r="D53" s="116" t="n">
        <v>7</v>
      </c>
      <c r="E53" s="117">
        <f>F24</f>
        <v/>
      </c>
      <c r="F53" s="117">
        <f>G24</f>
        <v/>
      </c>
      <c r="G53" s="341" t="n"/>
      <c r="H53" s="118">
        <f>F53/100</f>
        <v/>
      </c>
    </row>
    <row r="54" ht="36.75" customHeight="1" s="340">
      <c r="A54" s="115" t="n">
        <v>4</v>
      </c>
      <c r="B54" s="381" t="inlineStr">
        <is>
          <t>Product Evaluation (OQC)</t>
        </is>
      </c>
      <c r="C54" s="382" t="n"/>
      <c r="D54" s="116" t="n">
        <v>7</v>
      </c>
      <c r="E54" s="117">
        <f>F34</f>
        <v/>
      </c>
      <c r="F54" s="117">
        <f>G34</f>
        <v/>
      </c>
      <c r="G54" s="341" t="n"/>
      <c r="H54" s="118">
        <f>F54/100</f>
        <v/>
      </c>
    </row>
    <row r="55" ht="36.75" customHeight="1" s="340">
      <c r="A55" s="115" t="n">
        <v>5</v>
      </c>
      <c r="B55" s="381" t="inlineStr">
        <is>
          <t>Packing and Shipment</t>
        </is>
      </c>
      <c r="C55" s="382" t="n"/>
      <c r="D55" s="116" t="n">
        <v>3</v>
      </c>
      <c r="E55" s="117">
        <f>F43</f>
        <v/>
      </c>
      <c r="F55" s="117">
        <f>G43</f>
        <v/>
      </c>
      <c r="G55" s="341" t="n"/>
      <c r="H55" s="118">
        <f>F55/100</f>
        <v/>
      </c>
    </row>
    <row r="56" ht="39" customHeight="1" s="340">
      <c r="A56" s="312" t="inlineStr">
        <is>
          <t>TOTAL</t>
        </is>
      </c>
      <c r="B56" s="342" t="n"/>
      <c r="C56" s="341" t="n"/>
      <c r="D56" s="279">
        <f>SUM(D51:D55)</f>
        <v/>
      </c>
      <c r="E56" s="312">
        <f>SUM(E51:E55)</f>
        <v/>
      </c>
      <c r="F56" s="312">
        <f>SUM(F51:G55)</f>
        <v/>
      </c>
      <c r="G56" s="341" t="n"/>
      <c r="H56" s="120">
        <f>SUM(H51:H55)</f>
        <v/>
      </c>
    </row>
    <row r="57" ht="35.25" customHeight="1" s="340">
      <c r="A57" s="296" t="inlineStr">
        <is>
          <t>RANK</t>
        </is>
      </c>
      <c r="B57" s="371" t="n"/>
      <c r="C57" s="370" t="n"/>
      <c r="D57" s="282" t="inlineStr">
        <is>
          <t>RESULT</t>
        </is>
      </c>
      <c r="E57" s="341" t="n"/>
      <c r="F57" s="383" t="inlineStr">
        <is>
          <t>공급업체 확인/ 공급업체 확인</t>
        </is>
      </c>
      <c r="G57" s="371" t="n"/>
      <c r="H57" s="370" t="n"/>
    </row>
    <row r="58" ht="35.25" customHeight="1" s="340">
      <c r="A58" s="375" t="n"/>
      <c r="B58" s="376" t="n"/>
      <c r="C58" s="353" t="n"/>
      <c r="D58" s="157" t="inlineStr">
        <is>
          <t>첫 평가/처음으로 평가</t>
        </is>
      </c>
      <c r="E58" s="282" t="inlineStr">
        <is>
          <t>재평가/다시 평가</t>
        </is>
      </c>
      <c r="F58" s="375" t="n"/>
      <c r="G58" s="376" t="n"/>
      <c r="H58" s="353" t="n"/>
    </row>
    <row r="59" ht="36" customHeight="1" s="340">
      <c r="A59" s="106" t="inlineStr">
        <is>
          <t>A</t>
        </is>
      </c>
      <c r="B59" s="334" t="inlineStr">
        <is>
          <t>90-100%</t>
        </is>
      </c>
      <c r="C59" s="121" t="inlineStr">
        <is>
          <t>훌륭하다/아주 좋다</t>
        </is>
      </c>
      <c r="D59" s="159" t="n"/>
      <c r="E59" s="160" t="n"/>
      <c r="F59" s="283" t="n"/>
      <c r="G59" s="371" t="n"/>
      <c r="H59" s="370" t="n"/>
    </row>
    <row r="60" ht="36" customHeight="1" s="340">
      <c r="A60" s="106" t="inlineStr">
        <is>
          <t>B</t>
        </is>
      </c>
      <c r="B60" s="334" t="inlineStr">
        <is>
          <t>80-89%</t>
        </is>
      </c>
      <c r="C60" s="121" t="inlineStr">
        <is>
          <t>좋다, 계속 개선이 필요하다/ 좋다, 계속 자기 개선이 필요하다</t>
        </is>
      </c>
      <c r="D60" s="159" t="n"/>
      <c r="E60" s="160" t="n"/>
      <c r="F60" s="373" t="n"/>
      <c r="H60" s="374" t="n"/>
    </row>
    <row r="61" ht="36" customHeight="1" s="340">
      <c r="A61" s="106" t="inlineStr">
        <is>
          <t>C</t>
        </is>
      </c>
      <c r="B61" s="334" t="inlineStr">
        <is>
          <t>70-79%</t>
        </is>
      </c>
      <c r="C61" s="121" t="inlineStr">
        <is>
          <t>수락하다, 개선이 필요하다/ 합격하다, 개선이 필요하다</t>
        </is>
      </c>
      <c r="D61" s="159" t="n"/>
      <c r="E61" s="160" t="n"/>
      <c r="F61" s="373" t="n"/>
      <c r="H61" s="374" t="n"/>
    </row>
    <row r="62" ht="36" customHeight="1" s="340">
      <c r="A62" s="153" t="inlineStr">
        <is>
          <t>D</t>
        </is>
      </c>
      <c r="B62" s="154" t="inlineStr">
        <is>
          <t>60-79%</t>
        </is>
      </c>
      <c r="C62" s="121" t="inlineStr">
        <is>
          <t>나쁨, 필요할 때 재평가/ 나쁨, 필요할 때 재평가</t>
        </is>
      </c>
      <c r="D62" s="159" t="n"/>
      <c r="E62" s="160" t="n"/>
      <c r="F62" s="373" t="n"/>
      <c r="H62" s="374" t="n"/>
    </row>
    <row r="63" ht="36" customHeight="1" s="340">
      <c r="A63" s="106" t="inlineStr">
        <is>
          <t>E</t>
        </is>
      </c>
      <c r="B63" s="334" t="inlineStr">
        <is>
          <t>≤   59%</t>
        </is>
      </c>
      <c r="C63" s="121" t="inlineStr">
        <is>
          <t>받아들이지 않는다/받아들이지 않는다</t>
        </is>
      </c>
      <c r="D63" s="156" t="n"/>
      <c r="E63" s="158" t="n"/>
      <c r="F63" s="375" t="n"/>
      <c r="G63" s="376" t="n"/>
      <c r="H63" s="353" t="n"/>
    </row>
    <row r="64" ht="33.75" customHeight="1" s="340">
      <c r="A64" s="296" t="inlineStr">
        <is>
          <t>Confirmation</t>
        </is>
      </c>
      <c r="B64" s="341" t="n"/>
      <c r="C64" s="296" t="inlineStr">
        <is>
          <t>감사/평가위원</t>
        </is>
      </c>
      <c r="D64" s="296" t="inlineStr">
        <is>
          <t>감사/평가위원</t>
        </is>
      </c>
      <c r="E64" s="296" t="inlineStr">
        <is>
          <t>감사/평가위원</t>
        </is>
      </c>
      <c r="F64" s="296" t="inlineStr">
        <is>
          <t>평가팀장/평가팀장</t>
        </is>
      </c>
      <c r="G64" s="342" t="n"/>
      <c r="H64" s="341" t="n"/>
    </row>
    <row r="65" ht="39.75" customHeight="1" s="340">
      <c r="A65" s="297" t="inlineStr">
        <is>
          <t>서명/서명</t>
        </is>
      </c>
      <c r="B65" s="384" t="n"/>
      <c r="C65" s="202" t="inlineStr">
        <is>
          <t>하우</t>
        </is>
      </c>
      <c r="D65" s="202" t="inlineStr">
        <is>
          <t>댄</t>
        </is>
      </c>
      <c r="E65" s="123" t="n"/>
      <c r="F65" s="385" t="n"/>
      <c r="G65" s="386" t="n"/>
      <c r="H65" s="387" t="n"/>
    </row>
    <row r="66" ht="24" customHeight="1" s="340">
      <c r="A66" s="275" t="n"/>
      <c r="B66" s="388" t="n"/>
      <c r="C66" s="275" t="n"/>
      <c r="D66" s="275" t="n"/>
      <c r="E66" s="124" t="n"/>
      <c r="F66" s="389" t="n"/>
      <c r="G66" s="390" t="n"/>
      <c r="H66" s="388" t="n"/>
    </row>
    <row r="67" ht="24" customHeight="1" s="340">
      <c r="A67" s="275" t="n"/>
      <c r="B67" s="388" t="n"/>
      <c r="C67" s="275" t="n"/>
      <c r="D67" s="275" t="n"/>
      <c r="E67" s="124" t="n"/>
      <c r="F67" s="389" t="n"/>
      <c r="G67" s="390" t="n"/>
      <c r="H67" s="388" t="n"/>
    </row>
    <row r="68" ht="24" customHeight="1" s="340">
      <c r="A68" s="275" t="n"/>
      <c r="B68" s="388" t="n"/>
      <c r="C68" s="275" t="n"/>
      <c r="D68" s="275" t="n"/>
      <c r="E68" s="124" t="n"/>
      <c r="F68" s="389" t="n"/>
      <c r="G68" s="390" t="n"/>
      <c r="H68" s="388" t="n"/>
    </row>
    <row r="69" ht="24" customHeight="1" s="340">
      <c r="A69" s="275" t="n"/>
      <c r="B69" s="388" t="n"/>
      <c r="C69" s="275" t="n"/>
      <c r="D69" s="275" t="n"/>
      <c r="E69" s="124" t="n"/>
      <c r="F69" s="389" t="n"/>
      <c r="G69" s="390" t="n"/>
      <c r="H69" s="388" t="n"/>
    </row>
    <row r="70" ht="24" customHeight="1" s="340">
      <c r="A70" s="270" t="n"/>
      <c r="B70" s="391" t="n"/>
      <c r="C70" s="203" t="n"/>
      <c r="D70" s="203" t="n"/>
      <c r="E70" s="125" t="n"/>
      <c r="F70" s="392" t="n"/>
      <c r="G70" s="393" t="n"/>
      <c r="H70" s="391" t="n"/>
    </row>
    <row r="71" ht="34.5" customHeight="1" s="340">
      <c r="A71" s="274" t="inlineStr">
        <is>
          <t>PUR.04.00.07. 발행일 02/01/2015</t>
        </is>
      </c>
      <c r="B71" s="371" t="n"/>
      <c r="C71" s="126" t="inlineStr">
        <is>
          <t>보관 장소: 부서 thu mua</t>
        </is>
      </c>
      <c r="D71" s="126" t="inlineStr">
        <is>
          <t>보관 형태: 하드 카피</t>
        </is>
      </c>
      <c r="E71" s="126" t="inlineStr">
        <is>
          <t>보관 기간: 03년</t>
        </is>
      </c>
      <c r="F71" s="126" t="inlineStr">
        <is>
          <t>파기방법 : 절단/소각</t>
        </is>
      </c>
      <c r="H71" s="126" t="inlineStr">
        <is>
          <t>마지막 수정: 00</t>
        </is>
      </c>
    </row>
  </sheetData>
  <mergeCells count="64">
    <mergeCell ref="A9:H9"/>
    <mergeCell ref="A48:H48"/>
    <mergeCell ref="D49:D50"/>
    <mergeCell ref="B54:C54"/>
    <mergeCell ref="F59:H63"/>
    <mergeCell ref="A64:B64"/>
    <mergeCell ref="H43:H44"/>
    <mergeCell ref="A24:D25"/>
    <mergeCell ref="F54:G54"/>
    <mergeCell ref="H16:H18"/>
    <mergeCell ref="C5:D5"/>
    <mergeCell ref="F57:H58"/>
    <mergeCell ref="A56:C56"/>
    <mergeCell ref="A16:D17"/>
    <mergeCell ref="F70:H70"/>
    <mergeCell ref="A43:D43"/>
    <mergeCell ref="F66:H66"/>
    <mergeCell ref="A70:B70"/>
    <mergeCell ref="A1:B3"/>
    <mergeCell ref="A6:B6"/>
    <mergeCell ref="H34:H35"/>
    <mergeCell ref="B49:C50"/>
    <mergeCell ref="C4:D4"/>
    <mergeCell ref="F3:G3"/>
    <mergeCell ref="J9:K9"/>
    <mergeCell ref="B52:C52"/>
    <mergeCell ref="F55:G55"/>
    <mergeCell ref="A69:B69"/>
    <mergeCell ref="A7:B7"/>
    <mergeCell ref="A65:B65"/>
    <mergeCell ref="D57:E57"/>
    <mergeCell ref="F5:G5"/>
    <mergeCell ref="F51:G51"/>
    <mergeCell ref="H24:H26"/>
    <mergeCell ref="A66:B66"/>
    <mergeCell ref="F50:G50"/>
    <mergeCell ref="F67:H67"/>
    <mergeCell ref="B53:C53"/>
    <mergeCell ref="C1:E2"/>
    <mergeCell ref="F2:G2"/>
    <mergeCell ref="A71:B71"/>
    <mergeCell ref="A5:B5"/>
    <mergeCell ref="H10:H12"/>
    <mergeCell ref="F4:H4"/>
    <mergeCell ref="F64:H64"/>
    <mergeCell ref="F56:G56"/>
    <mergeCell ref="A10:D11"/>
    <mergeCell ref="F52:G52"/>
    <mergeCell ref="F69:H69"/>
    <mergeCell ref="F65:H65"/>
    <mergeCell ref="A4:B4"/>
    <mergeCell ref="B55:C55"/>
    <mergeCell ref="F6:H6"/>
    <mergeCell ref="F68:H68"/>
    <mergeCell ref="B51:C51"/>
    <mergeCell ref="A68:B68"/>
    <mergeCell ref="A57:C58"/>
    <mergeCell ref="E49:H49"/>
    <mergeCell ref="A49:A50"/>
    <mergeCell ref="F7:H7"/>
    <mergeCell ref="A67:B67"/>
    <mergeCell ref="C3:D3"/>
    <mergeCell ref="F1:G1"/>
    <mergeCell ref="F53:G53"/>
  </mergeCells>
  <hyperlinks>
    <hyperlink xmlns:r="http://schemas.openxmlformats.org/officeDocument/2006/relationships" ref="E7" r:id="rId1"/>
  </hyperlinks>
  <printOptions horizontalCentered="1"/>
  <pageMargins left="0.5" right="0.5" top="0.5" bottom="0" header="0.5" footer="0"/>
  <pageSetup orientation="landscape" paperSize="9" scale="41" fitToHeight="0"/>
  <rowBreaks count="5" manualBreakCount="5">
    <brk id="15" min="0" max="7" man="1"/>
    <brk id="28" min="0" max="7" man="1"/>
    <brk id="33" min="0" max="7" man="1"/>
    <brk id="39" min="0" max="7" man="1"/>
    <brk id="47" min="0" max="7" man="1"/>
  </rowBreaks>
  <drawing xmlns:r="http://schemas.openxmlformats.org/officeDocument/2006/relationships" r:id="rId2"/>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dealong.kim_김대용</dc:creator>
  <dcterms:created xmlns:dcterms="http://purl.org/dc/terms/" xmlns:xsi="http://www.w3.org/2001/XMLSchema-instance" xsi:type="dcterms:W3CDTF">2017-04-13T14:36:27Z</dcterms:created>
  <dcterms:modified xmlns:dcterms="http://purl.org/dc/terms/" xmlns:xsi="http://www.w3.org/2001/XMLSchema-instance" xsi:type="dcterms:W3CDTF">2026-04-10T11:05:59Z</dcterms:modified>
  <cp:lastModifiedBy>VPSX-QC</cp:lastModifiedBy>
  <cp:lastPrinted>2019-11-06T03:41:34Z</cp:lastPrinted>
</cp:coreProperties>
</file>

<file path=docProps/custom.xml><?xml version="1.0" encoding="utf-8"?>
<Properties xmlns="http://schemas.openxmlformats.org/officeDocument/2006/custom-properties">
  <property name="NSCPROP_SA" fmtid="{D5CDD505-2E9C-101B-9397-08002B2CF9AE}" pid="2">
    <vt:lpwstr xmlns:vt="http://schemas.openxmlformats.org/officeDocument/2006/docPropsVTypes">D:\한화테크윈 교육컨텐츠 제작_시안\김대용_과장_번역의뢰\20170903_9종 추가\지비씨 번역본-번역완료\QPA_Diecasting_R6_20170420.xlsx</vt:lpwstr>
  </property>
</Properties>
</file>